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.aon.net/personal/jon_kemp_aon_com/Documents/Documents/Personal/"/>
    </mc:Choice>
  </mc:AlternateContent>
  <xr:revisionPtr revIDLastSave="446" documentId="11_06E410FE11A10A58E127717DC56EFCB06F9D62B2" xr6:coauthVersionLast="47" xr6:coauthVersionMax="47" xr10:uidLastSave="{36C3874C-2805-4F29-93A5-5D788C4BA53B}"/>
  <bookViews>
    <workbookView xWindow="-23148" yWindow="-2964" windowWidth="23256" windowHeight="12456" tabRatio="531" activeTab="1" xr2:uid="{00000000-000D-0000-FFFF-FFFF00000000}"/>
  </bookViews>
  <sheets>
    <sheet name="Dashboard" sheetId="1" r:id="rId1"/>
    <sheet name="Inventory" sheetId="2" r:id="rId2"/>
    <sheet name="Sales Log" sheetId="3" r:id="rId3"/>
    <sheet name="Pricing Intelligence" sheetId="4" r:id="rId4"/>
    <sheet name="Categories" sheetId="7" r:id="rId5"/>
    <sheet name="Fee Reference" sheetId="9" r:id="rId6"/>
  </sheets>
  <definedNames>
    <definedName name="_xlnm._FilterDatabase" localSheetId="1" hidden="1">Inventory!$A$1:$AK$36</definedName>
    <definedName name="_xlnm._FilterDatabase" localSheetId="3" hidden="1">'Pricing Intelligence'!$A$4:$K$38</definedName>
    <definedName name="PlatformFees">'Fee Reference'!$A$4:$C$15</definedName>
    <definedName name="PlatformList">'Fee Reference'!$A$4:$A$15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35" i="2" l="1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H9" i="1"/>
  <c r="B9" i="1"/>
  <c r="H6" i="1"/>
  <c r="W2" i="2"/>
  <c r="X2" i="2" s="1"/>
  <c r="W3" i="2"/>
  <c r="X3" i="2" s="1"/>
  <c r="W4" i="2"/>
  <c r="X4" i="2" s="1"/>
  <c r="W5" i="2"/>
  <c r="X5" i="2" s="1"/>
  <c r="W6" i="2"/>
  <c r="X6" i="2" s="1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W23" i="2"/>
  <c r="X23" i="2" s="1"/>
  <c r="W24" i="2"/>
  <c r="X24" i="2" s="1"/>
  <c r="W25" i="2"/>
  <c r="X25" i="2" s="1"/>
  <c r="W26" i="2"/>
  <c r="X26" i="2" s="1"/>
  <c r="W27" i="2"/>
  <c r="X27" i="2" s="1"/>
  <c r="W28" i="2"/>
  <c r="X28" i="2" s="1"/>
  <c r="W29" i="2"/>
  <c r="X29" i="2" s="1"/>
  <c r="W30" i="2"/>
  <c r="X30" i="2" s="1"/>
  <c r="W31" i="2"/>
  <c r="X31" i="2" s="1"/>
  <c r="W32" i="2"/>
  <c r="X32" i="2" s="1"/>
  <c r="W33" i="2"/>
  <c r="X33" i="2" s="1"/>
  <c r="W34" i="2"/>
  <c r="X34" i="2" s="1"/>
  <c r="W35" i="2"/>
  <c r="X35" i="2" s="1"/>
  <c r="H20" i="4"/>
  <c r="H38" i="4"/>
  <c r="A38" i="4"/>
  <c r="K38" i="4" s="1"/>
  <c r="H37" i="4"/>
  <c r="A37" i="4"/>
  <c r="K37" i="4" s="1"/>
  <c r="H36" i="4"/>
  <c r="A36" i="4"/>
  <c r="K36" i="4" s="1"/>
  <c r="H35" i="4"/>
  <c r="A35" i="4"/>
  <c r="K35" i="4" s="1"/>
  <c r="H34" i="4"/>
  <c r="A34" i="4"/>
  <c r="K34" i="4" s="1"/>
  <c r="H33" i="4"/>
  <c r="A33" i="4"/>
  <c r="K33" i="4" s="1"/>
  <c r="H32" i="4"/>
  <c r="A32" i="4"/>
  <c r="K32" i="4" s="1"/>
  <c r="H31" i="4"/>
  <c r="A31" i="4"/>
  <c r="K31" i="4" s="1"/>
  <c r="H30" i="4"/>
  <c r="A30" i="4"/>
  <c r="K30" i="4" s="1"/>
  <c r="H29" i="4"/>
  <c r="A29" i="4"/>
  <c r="K29" i="4" s="1"/>
  <c r="H28" i="4"/>
  <c r="A28" i="4"/>
  <c r="K28" i="4" s="1"/>
  <c r="H27" i="4"/>
  <c r="A27" i="4"/>
  <c r="K27" i="4" s="1"/>
  <c r="H26" i="4"/>
  <c r="A26" i="4"/>
  <c r="K26" i="4" s="1"/>
  <c r="H25" i="4"/>
  <c r="A25" i="4"/>
  <c r="K25" i="4" s="1"/>
  <c r="H24" i="4"/>
  <c r="A24" i="4"/>
  <c r="K24" i="4" s="1"/>
  <c r="H23" i="4"/>
  <c r="A23" i="4"/>
  <c r="K23" i="4" s="1"/>
  <c r="H22" i="4"/>
  <c r="A22" i="4"/>
  <c r="K22" i="4" s="1"/>
  <c r="H21" i="4"/>
  <c r="A21" i="4"/>
  <c r="K21" i="4" s="1"/>
  <c r="A20" i="4"/>
  <c r="K20" i="4" s="1"/>
  <c r="H19" i="4"/>
  <c r="A19" i="4"/>
  <c r="K19" i="4" s="1"/>
  <c r="H18" i="4"/>
  <c r="A18" i="4"/>
  <c r="K18" i="4" s="1"/>
  <c r="H17" i="4"/>
  <c r="A17" i="4"/>
  <c r="K17" i="4" s="1"/>
  <c r="H16" i="4"/>
  <c r="A16" i="4"/>
  <c r="K16" i="4" s="1"/>
  <c r="H15" i="4"/>
  <c r="A15" i="4"/>
  <c r="K15" i="4" s="1"/>
  <c r="H14" i="4"/>
  <c r="A14" i="4"/>
  <c r="K14" i="4" s="1"/>
  <c r="H13" i="4"/>
  <c r="A13" i="4"/>
  <c r="K13" i="4" s="1"/>
  <c r="H12" i="4"/>
  <c r="A12" i="4"/>
  <c r="K12" i="4" s="1"/>
  <c r="H11" i="4"/>
  <c r="A11" i="4"/>
  <c r="K11" i="4" s="1"/>
  <c r="H10" i="4"/>
  <c r="A10" i="4"/>
  <c r="K10" i="4" s="1"/>
  <c r="H9" i="4"/>
  <c r="A9" i="4"/>
  <c r="K9" i="4" s="1"/>
  <c r="H8" i="4"/>
  <c r="A8" i="4"/>
  <c r="K8" i="4" s="1"/>
  <c r="H7" i="4"/>
  <c r="A7" i="4"/>
  <c r="K7" i="4" s="1"/>
  <c r="H6" i="4"/>
  <c r="A6" i="4"/>
  <c r="K6" i="4" s="1"/>
  <c r="H5" i="4"/>
  <c r="A5" i="4"/>
  <c r="K5" i="4" s="1"/>
  <c r="W303" i="3"/>
  <c r="V303" i="3"/>
  <c r="U303" i="3"/>
  <c r="R303" i="3"/>
  <c r="P303" i="3"/>
  <c r="O303" i="3"/>
  <c r="Q303" i="3" s="1"/>
  <c r="N303" i="3"/>
  <c r="K303" i="3"/>
  <c r="J303" i="3"/>
  <c r="I303" i="3"/>
  <c r="A303" i="3"/>
  <c r="W302" i="3"/>
  <c r="V302" i="3"/>
  <c r="U302" i="3"/>
  <c r="R302" i="3"/>
  <c r="P302" i="3"/>
  <c r="O302" i="3"/>
  <c r="Q302" i="3" s="1"/>
  <c r="N302" i="3"/>
  <c r="K302" i="3"/>
  <c r="J302" i="3"/>
  <c r="I302" i="3"/>
  <c r="A302" i="3"/>
  <c r="W301" i="3"/>
  <c r="V301" i="3"/>
  <c r="U301" i="3"/>
  <c r="R301" i="3"/>
  <c r="P301" i="3"/>
  <c r="O301" i="3"/>
  <c r="Q301" i="3" s="1"/>
  <c r="N301" i="3"/>
  <c r="K301" i="3"/>
  <c r="J301" i="3"/>
  <c r="I301" i="3"/>
  <c r="A301" i="3"/>
  <c r="W300" i="3"/>
  <c r="V300" i="3"/>
  <c r="U300" i="3"/>
  <c r="R300" i="3"/>
  <c r="P300" i="3"/>
  <c r="O300" i="3"/>
  <c r="Q300" i="3" s="1"/>
  <c r="N300" i="3"/>
  <c r="K300" i="3"/>
  <c r="J300" i="3"/>
  <c r="I300" i="3"/>
  <c r="A300" i="3"/>
  <c r="W299" i="3"/>
  <c r="V299" i="3"/>
  <c r="U299" i="3"/>
  <c r="R299" i="3"/>
  <c r="P299" i="3"/>
  <c r="O299" i="3"/>
  <c r="Q299" i="3" s="1"/>
  <c r="N299" i="3"/>
  <c r="K299" i="3"/>
  <c r="J299" i="3"/>
  <c r="I299" i="3"/>
  <c r="A299" i="3"/>
  <c r="W298" i="3"/>
  <c r="V298" i="3"/>
  <c r="U298" i="3"/>
  <c r="R298" i="3"/>
  <c r="P298" i="3"/>
  <c r="O298" i="3"/>
  <c r="Q298" i="3" s="1"/>
  <c r="N298" i="3"/>
  <c r="K298" i="3"/>
  <c r="J298" i="3"/>
  <c r="I298" i="3"/>
  <c r="A298" i="3"/>
  <c r="W297" i="3"/>
  <c r="V297" i="3"/>
  <c r="U297" i="3"/>
  <c r="R297" i="3"/>
  <c r="P297" i="3"/>
  <c r="O297" i="3"/>
  <c r="Q297" i="3" s="1"/>
  <c r="N297" i="3"/>
  <c r="K297" i="3"/>
  <c r="J297" i="3"/>
  <c r="I297" i="3"/>
  <c r="A297" i="3"/>
  <c r="W296" i="3"/>
  <c r="V296" i="3"/>
  <c r="U296" i="3"/>
  <c r="R296" i="3"/>
  <c r="P296" i="3"/>
  <c r="O296" i="3"/>
  <c r="Q296" i="3" s="1"/>
  <c r="N296" i="3"/>
  <c r="K296" i="3"/>
  <c r="J296" i="3"/>
  <c r="I296" i="3"/>
  <c r="A296" i="3"/>
  <c r="W295" i="3"/>
  <c r="V295" i="3"/>
  <c r="U295" i="3"/>
  <c r="R295" i="3"/>
  <c r="P295" i="3"/>
  <c r="O295" i="3"/>
  <c r="Q295" i="3" s="1"/>
  <c r="N295" i="3"/>
  <c r="K295" i="3"/>
  <c r="J295" i="3"/>
  <c r="I295" i="3"/>
  <c r="A295" i="3"/>
  <c r="W294" i="3"/>
  <c r="V294" i="3"/>
  <c r="U294" i="3"/>
  <c r="R294" i="3"/>
  <c r="P294" i="3"/>
  <c r="O294" i="3"/>
  <c r="Q294" i="3" s="1"/>
  <c r="N294" i="3"/>
  <c r="K294" i="3"/>
  <c r="J294" i="3"/>
  <c r="I294" i="3"/>
  <c r="A294" i="3"/>
  <c r="W293" i="3"/>
  <c r="V293" i="3"/>
  <c r="U293" i="3"/>
  <c r="R293" i="3"/>
  <c r="P293" i="3"/>
  <c r="O293" i="3"/>
  <c r="Q293" i="3" s="1"/>
  <c r="N293" i="3"/>
  <c r="K293" i="3"/>
  <c r="J293" i="3"/>
  <c r="I293" i="3"/>
  <c r="A293" i="3"/>
  <c r="W292" i="3"/>
  <c r="V292" i="3"/>
  <c r="U292" i="3"/>
  <c r="R292" i="3"/>
  <c r="P292" i="3"/>
  <c r="O292" i="3"/>
  <c r="Q292" i="3" s="1"/>
  <c r="N292" i="3"/>
  <c r="K292" i="3"/>
  <c r="J292" i="3"/>
  <c r="I292" i="3"/>
  <c r="A292" i="3"/>
  <c r="W291" i="3"/>
  <c r="V291" i="3"/>
  <c r="U291" i="3"/>
  <c r="R291" i="3"/>
  <c r="P291" i="3"/>
  <c r="O291" i="3"/>
  <c r="Q291" i="3" s="1"/>
  <c r="N291" i="3"/>
  <c r="K291" i="3"/>
  <c r="J291" i="3"/>
  <c r="I291" i="3"/>
  <c r="A291" i="3"/>
  <c r="W290" i="3"/>
  <c r="V290" i="3"/>
  <c r="U290" i="3"/>
  <c r="R290" i="3"/>
  <c r="P290" i="3"/>
  <c r="O290" i="3"/>
  <c r="Q290" i="3" s="1"/>
  <c r="N290" i="3"/>
  <c r="K290" i="3"/>
  <c r="J290" i="3"/>
  <c r="I290" i="3"/>
  <c r="A290" i="3"/>
  <c r="W289" i="3"/>
  <c r="V289" i="3"/>
  <c r="U289" i="3"/>
  <c r="R289" i="3"/>
  <c r="P289" i="3"/>
  <c r="O289" i="3"/>
  <c r="Q289" i="3" s="1"/>
  <c r="N289" i="3"/>
  <c r="K289" i="3"/>
  <c r="J289" i="3"/>
  <c r="I289" i="3"/>
  <c r="A289" i="3"/>
  <c r="W288" i="3"/>
  <c r="V288" i="3"/>
  <c r="U288" i="3"/>
  <c r="R288" i="3"/>
  <c r="P288" i="3"/>
  <c r="O288" i="3"/>
  <c r="Q288" i="3" s="1"/>
  <c r="N288" i="3"/>
  <c r="K288" i="3"/>
  <c r="J288" i="3"/>
  <c r="I288" i="3"/>
  <c r="A288" i="3"/>
  <c r="W287" i="3"/>
  <c r="V287" i="3"/>
  <c r="U287" i="3"/>
  <c r="R287" i="3"/>
  <c r="P287" i="3"/>
  <c r="O287" i="3"/>
  <c r="Q287" i="3" s="1"/>
  <c r="N287" i="3"/>
  <c r="K287" i="3"/>
  <c r="J287" i="3"/>
  <c r="I287" i="3"/>
  <c r="A287" i="3"/>
  <c r="W286" i="3"/>
  <c r="V286" i="3"/>
  <c r="U286" i="3"/>
  <c r="R286" i="3"/>
  <c r="P286" i="3"/>
  <c r="O286" i="3"/>
  <c r="Q286" i="3" s="1"/>
  <c r="N286" i="3"/>
  <c r="K286" i="3"/>
  <c r="J286" i="3"/>
  <c r="I286" i="3"/>
  <c r="A286" i="3"/>
  <c r="W285" i="3"/>
  <c r="V285" i="3"/>
  <c r="U285" i="3"/>
  <c r="R285" i="3"/>
  <c r="P285" i="3"/>
  <c r="O285" i="3"/>
  <c r="Q285" i="3" s="1"/>
  <c r="N285" i="3"/>
  <c r="K285" i="3"/>
  <c r="J285" i="3"/>
  <c r="I285" i="3"/>
  <c r="A285" i="3"/>
  <c r="W284" i="3"/>
  <c r="V284" i="3"/>
  <c r="U284" i="3"/>
  <c r="R284" i="3"/>
  <c r="P284" i="3"/>
  <c r="O284" i="3"/>
  <c r="Q284" i="3" s="1"/>
  <c r="N284" i="3"/>
  <c r="K284" i="3"/>
  <c r="J284" i="3"/>
  <c r="I284" i="3"/>
  <c r="A284" i="3"/>
  <c r="W283" i="3"/>
  <c r="V283" i="3"/>
  <c r="U283" i="3"/>
  <c r="R283" i="3"/>
  <c r="P283" i="3"/>
  <c r="O283" i="3"/>
  <c r="Q283" i="3" s="1"/>
  <c r="N283" i="3"/>
  <c r="K283" i="3"/>
  <c r="J283" i="3"/>
  <c r="I283" i="3"/>
  <c r="A283" i="3"/>
  <c r="W282" i="3"/>
  <c r="V282" i="3"/>
  <c r="U282" i="3"/>
  <c r="R282" i="3"/>
  <c r="P282" i="3"/>
  <c r="O282" i="3"/>
  <c r="Q282" i="3" s="1"/>
  <c r="N282" i="3"/>
  <c r="K282" i="3"/>
  <c r="J282" i="3"/>
  <c r="I282" i="3"/>
  <c r="A282" i="3"/>
  <c r="W281" i="3"/>
  <c r="V281" i="3"/>
  <c r="U281" i="3"/>
  <c r="R281" i="3"/>
  <c r="P281" i="3"/>
  <c r="O281" i="3"/>
  <c r="Q281" i="3" s="1"/>
  <c r="N281" i="3"/>
  <c r="K281" i="3"/>
  <c r="J281" i="3"/>
  <c r="I281" i="3"/>
  <c r="A281" i="3"/>
  <c r="W280" i="3"/>
  <c r="V280" i="3"/>
  <c r="U280" i="3"/>
  <c r="R280" i="3"/>
  <c r="P280" i="3"/>
  <c r="O280" i="3"/>
  <c r="Q280" i="3" s="1"/>
  <c r="N280" i="3"/>
  <c r="K280" i="3"/>
  <c r="J280" i="3"/>
  <c r="I280" i="3"/>
  <c r="A280" i="3"/>
  <c r="W279" i="3"/>
  <c r="V279" i="3"/>
  <c r="U279" i="3"/>
  <c r="R279" i="3"/>
  <c r="P279" i="3"/>
  <c r="O279" i="3"/>
  <c r="Q279" i="3" s="1"/>
  <c r="N279" i="3"/>
  <c r="K279" i="3"/>
  <c r="J279" i="3"/>
  <c r="I279" i="3"/>
  <c r="A279" i="3"/>
  <c r="W278" i="3"/>
  <c r="V278" i="3"/>
  <c r="U278" i="3"/>
  <c r="R278" i="3"/>
  <c r="P278" i="3"/>
  <c r="O278" i="3"/>
  <c r="Q278" i="3" s="1"/>
  <c r="N278" i="3"/>
  <c r="K278" i="3"/>
  <c r="J278" i="3"/>
  <c r="I278" i="3"/>
  <c r="A278" i="3"/>
  <c r="W277" i="3"/>
  <c r="V277" i="3"/>
  <c r="U277" i="3"/>
  <c r="R277" i="3"/>
  <c r="P277" i="3"/>
  <c r="O277" i="3"/>
  <c r="Q277" i="3" s="1"/>
  <c r="N277" i="3"/>
  <c r="K277" i="3"/>
  <c r="J277" i="3"/>
  <c r="I277" i="3"/>
  <c r="A277" i="3"/>
  <c r="W276" i="3"/>
  <c r="V276" i="3"/>
  <c r="U276" i="3"/>
  <c r="R276" i="3"/>
  <c r="P276" i="3"/>
  <c r="O276" i="3"/>
  <c r="Q276" i="3" s="1"/>
  <c r="N276" i="3"/>
  <c r="K276" i="3"/>
  <c r="J276" i="3"/>
  <c r="I276" i="3"/>
  <c r="A276" i="3"/>
  <c r="W275" i="3"/>
  <c r="V275" i="3"/>
  <c r="U275" i="3"/>
  <c r="R275" i="3"/>
  <c r="P275" i="3"/>
  <c r="O275" i="3"/>
  <c r="Q275" i="3" s="1"/>
  <c r="N275" i="3"/>
  <c r="K275" i="3"/>
  <c r="J275" i="3"/>
  <c r="I275" i="3"/>
  <c r="A275" i="3"/>
  <c r="W274" i="3"/>
  <c r="V274" i="3"/>
  <c r="U274" i="3"/>
  <c r="R274" i="3"/>
  <c r="P274" i="3"/>
  <c r="O274" i="3"/>
  <c r="Q274" i="3" s="1"/>
  <c r="N274" i="3"/>
  <c r="K274" i="3"/>
  <c r="J274" i="3"/>
  <c r="I274" i="3"/>
  <c r="A274" i="3"/>
  <c r="W273" i="3"/>
  <c r="V273" i="3"/>
  <c r="U273" i="3"/>
  <c r="R273" i="3"/>
  <c r="P273" i="3"/>
  <c r="O273" i="3"/>
  <c r="Q273" i="3" s="1"/>
  <c r="N273" i="3"/>
  <c r="K273" i="3"/>
  <c r="J273" i="3"/>
  <c r="I273" i="3"/>
  <c r="A273" i="3"/>
  <c r="W272" i="3"/>
  <c r="V272" i="3"/>
  <c r="U272" i="3"/>
  <c r="R272" i="3"/>
  <c r="P272" i="3"/>
  <c r="O272" i="3"/>
  <c r="Q272" i="3" s="1"/>
  <c r="N272" i="3"/>
  <c r="K272" i="3"/>
  <c r="J272" i="3"/>
  <c r="I272" i="3"/>
  <c r="A272" i="3"/>
  <c r="W271" i="3"/>
  <c r="V271" i="3"/>
  <c r="U271" i="3"/>
  <c r="R271" i="3"/>
  <c r="P271" i="3"/>
  <c r="O271" i="3"/>
  <c r="Q271" i="3" s="1"/>
  <c r="N271" i="3"/>
  <c r="K271" i="3"/>
  <c r="J271" i="3"/>
  <c r="I271" i="3"/>
  <c r="A271" i="3"/>
  <c r="W270" i="3"/>
  <c r="V270" i="3"/>
  <c r="U270" i="3"/>
  <c r="R270" i="3"/>
  <c r="P270" i="3"/>
  <c r="O270" i="3"/>
  <c r="Q270" i="3" s="1"/>
  <c r="N270" i="3"/>
  <c r="K270" i="3"/>
  <c r="J270" i="3"/>
  <c r="I270" i="3"/>
  <c r="A270" i="3"/>
  <c r="W269" i="3"/>
  <c r="V269" i="3"/>
  <c r="U269" i="3"/>
  <c r="R269" i="3"/>
  <c r="P269" i="3"/>
  <c r="O269" i="3"/>
  <c r="Q269" i="3" s="1"/>
  <c r="N269" i="3"/>
  <c r="K269" i="3"/>
  <c r="J269" i="3"/>
  <c r="I269" i="3"/>
  <c r="A269" i="3"/>
  <c r="W268" i="3"/>
  <c r="V268" i="3"/>
  <c r="U268" i="3"/>
  <c r="R268" i="3"/>
  <c r="P268" i="3"/>
  <c r="O268" i="3"/>
  <c r="Q268" i="3" s="1"/>
  <c r="N268" i="3"/>
  <c r="K268" i="3"/>
  <c r="J268" i="3"/>
  <c r="I268" i="3"/>
  <c r="A268" i="3"/>
  <c r="W267" i="3"/>
  <c r="V267" i="3"/>
  <c r="U267" i="3"/>
  <c r="R267" i="3"/>
  <c r="P267" i="3"/>
  <c r="O267" i="3"/>
  <c r="Q267" i="3" s="1"/>
  <c r="N267" i="3"/>
  <c r="K267" i="3"/>
  <c r="J267" i="3"/>
  <c r="I267" i="3"/>
  <c r="A267" i="3"/>
  <c r="W266" i="3"/>
  <c r="V266" i="3"/>
  <c r="U266" i="3"/>
  <c r="R266" i="3"/>
  <c r="P266" i="3"/>
  <c r="O266" i="3"/>
  <c r="Q266" i="3" s="1"/>
  <c r="N266" i="3"/>
  <c r="K266" i="3"/>
  <c r="J266" i="3"/>
  <c r="I266" i="3"/>
  <c r="A266" i="3"/>
  <c r="W265" i="3"/>
  <c r="V265" i="3"/>
  <c r="U265" i="3"/>
  <c r="R265" i="3"/>
  <c r="P265" i="3"/>
  <c r="O265" i="3"/>
  <c r="Q265" i="3" s="1"/>
  <c r="N265" i="3"/>
  <c r="K265" i="3"/>
  <c r="J265" i="3"/>
  <c r="I265" i="3"/>
  <c r="A265" i="3"/>
  <c r="W264" i="3"/>
  <c r="V264" i="3"/>
  <c r="U264" i="3"/>
  <c r="R264" i="3"/>
  <c r="P264" i="3"/>
  <c r="O264" i="3"/>
  <c r="Q264" i="3" s="1"/>
  <c r="N264" i="3"/>
  <c r="K264" i="3"/>
  <c r="J264" i="3"/>
  <c r="I264" i="3"/>
  <c r="A264" i="3"/>
  <c r="W263" i="3"/>
  <c r="V263" i="3"/>
  <c r="U263" i="3"/>
  <c r="R263" i="3"/>
  <c r="P263" i="3"/>
  <c r="O263" i="3"/>
  <c r="Q263" i="3" s="1"/>
  <c r="N263" i="3"/>
  <c r="K263" i="3"/>
  <c r="J263" i="3"/>
  <c r="I263" i="3"/>
  <c r="A263" i="3"/>
  <c r="W262" i="3"/>
  <c r="V262" i="3"/>
  <c r="U262" i="3"/>
  <c r="R262" i="3"/>
  <c r="P262" i="3"/>
  <c r="O262" i="3"/>
  <c r="Q262" i="3" s="1"/>
  <c r="N262" i="3"/>
  <c r="K262" i="3"/>
  <c r="J262" i="3"/>
  <c r="I262" i="3"/>
  <c r="A262" i="3"/>
  <c r="W261" i="3"/>
  <c r="V261" i="3"/>
  <c r="U261" i="3"/>
  <c r="R261" i="3"/>
  <c r="P261" i="3"/>
  <c r="O261" i="3"/>
  <c r="Q261" i="3" s="1"/>
  <c r="N261" i="3"/>
  <c r="K261" i="3"/>
  <c r="J261" i="3"/>
  <c r="I261" i="3"/>
  <c r="A261" i="3"/>
  <c r="W260" i="3"/>
  <c r="V260" i="3"/>
  <c r="U260" i="3"/>
  <c r="R260" i="3"/>
  <c r="P260" i="3"/>
  <c r="O260" i="3"/>
  <c r="Q260" i="3" s="1"/>
  <c r="N260" i="3"/>
  <c r="K260" i="3"/>
  <c r="J260" i="3"/>
  <c r="I260" i="3"/>
  <c r="A260" i="3"/>
  <c r="W259" i="3"/>
  <c r="V259" i="3"/>
  <c r="U259" i="3"/>
  <c r="R259" i="3"/>
  <c r="P259" i="3"/>
  <c r="O259" i="3"/>
  <c r="Q259" i="3" s="1"/>
  <c r="N259" i="3"/>
  <c r="K259" i="3"/>
  <c r="J259" i="3"/>
  <c r="I259" i="3"/>
  <c r="A259" i="3"/>
  <c r="W258" i="3"/>
  <c r="V258" i="3"/>
  <c r="U258" i="3"/>
  <c r="R258" i="3"/>
  <c r="P258" i="3"/>
  <c r="O258" i="3"/>
  <c r="Q258" i="3" s="1"/>
  <c r="N258" i="3"/>
  <c r="K258" i="3"/>
  <c r="J258" i="3"/>
  <c r="I258" i="3"/>
  <c r="A258" i="3"/>
  <c r="W257" i="3"/>
  <c r="V257" i="3"/>
  <c r="U257" i="3"/>
  <c r="R257" i="3"/>
  <c r="P257" i="3"/>
  <c r="O257" i="3"/>
  <c r="Q257" i="3" s="1"/>
  <c r="N257" i="3"/>
  <c r="K257" i="3"/>
  <c r="J257" i="3"/>
  <c r="I257" i="3"/>
  <c r="A257" i="3"/>
  <c r="W256" i="3"/>
  <c r="V256" i="3"/>
  <c r="U256" i="3"/>
  <c r="R256" i="3"/>
  <c r="P256" i="3"/>
  <c r="O256" i="3"/>
  <c r="Q256" i="3" s="1"/>
  <c r="N256" i="3"/>
  <c r="K256" i="3"/>
  <c r="J256" i="3"/>
  <c r="I256" i="3"/>
  <c r="A256" i="3"/>
  <c r="W255" i="3"/>
  <c r="V255" i="3"/>
  <c r="U255" i="3"/>
  <c r="R255" i="3"/>
  <c r="P255" i="3"/>
  <c r="O255" i="3"/>
  <c r="Q255" i="3" s="1"/>
  <c r="N255" i="3"/>
  <c r="K255" i="3"/>
  <c r="J255" i="3"/>
  <c r="I255" i="3"/>
  <c r="A255" i="3"/>
  <c r="W254" i="3"/>
  <c r="V254" i="3"/>
  <c r="U254" i="3"/>
  <c r="R254" i="3"/>
  <c r="P254" i="3"/>
  <c r="O254" i="3"/>
  <c r="Q254" i="3" s="1"/>
  <c r="N254" i="3"/>
  <c r="K254" i="3"/>
  <c r="J254" i="3"/>
  <c r="I254" i="3"/>
  <c r="A254" i="3"/>
  <c r="W253" i="3"/>
  <c r="V253" i="3"/>
  <c r="U253" i="3"/>
  <c r="R253" i="3"/>
  <c r="P253" i="3"/>
  <c r="O253" i="3"/>
  <c r="Q253" i="3" s="1"/>
  <c r="N253" i="3"/>
  <c r="K253" i="3"/>
  <c r="J253" i="3"/>
  <c r="I253" i="3"/>
  <c r="A253" i="3"/>
  <c r="W252" i="3"/>
  <c r="V252" i="3"/>
  <c r="U252" i="3"/>
  <c r="R252" i="3"/>
  <c r="P252" i="3"/>
  <c r="O252" i="3"/>
  <c r="Q252" i="3" s="1"/>
  <c r="N252" i="3"/>
  <c r="K252" i="3"/>
  <c r="J252" i="3"/>
  <c r="I252" i="3"/>
  <c r="A252" i="3"/>
  <c r="W251" i="3"/>
  <c r="V251" i="3"/>
  <c r="U251" i="3"/>
  <c r="R251" i="3"/>
  <c r="P251" i="3"/>
  <c r="O251" i="3"/>
  <c r="Q251" i="3" s="1"/>
  <c r="N251" i="3"/>
  <c r="K251" i="3"/>
  <c r="J251" i="3"/>
  <c r="I251" i="3"/>
  <c r="A251" i="3"/>
  <c r="W250" i="3"/>
  <c r="V250" i="3"/>
  <c r="U250" i="3"/>
  <c r="R250" i="3"/>
  <c r="P250" i="3"/>
  <c r="O250" i="3"/>
  <c r="Q250" i="3" s="1"/>
  <c r="N250" i="3"/>
  <c r="K250" i="3"/>
  <c r="J250" i="3"/>
  <c r="I250" i="3"/>
  <c r="A250" i="3"/>
  <c r="W249" i="3"/>
  <c r="V249" i="3"/>
  <c r="U249" i="3"/>
  <c r="R249" i="3"/>
  <c r="P249" i="3"/>
  <c r="O249" i="3"/>
  <c r="Q249" i="3" s="1"/>
  <c r="N249" i="3"/>
  <c r="K249" i="3"/>
  <c r="J249" i="3"/>
  <c r="I249" i="3"/>
  <c r="A249" i="3"/>
  <c r="W248" i="3"/>
  <c r="V248" i="3"/>
  <c r="U248" i="3"/>
  <c r="R248" i="3"/>
  <c r="P248" i="3"/>
  <c r="O248" i="3"/>
  <c r="Q248" i="3" s="1"/>
  <c r="N248" i="3"/>
  <c r="K248" i="3"/>
  <c r="J248" i="3"/>
  <c r="I248" i="3"/>
  <c r="A248" i="3"/>
  <c r="W247" i="3"/>
  <c r="V247" i="3"/>
  <c r="U247" i="3"/>
  <c r="R247" i="3"/>
  <c r="P247" i="3"/>
  <c r="O247" i="3"/>
  <c r="Q247" i="3" s="1"/>
  <c r="N247" i="3"/>
  <c r="K247" i="3"/>
  <c r="J247" i="3"/>
  <c r="I247" i="3"/>
  <c r="A247" i="3"/>
  <c r="W246" i="3"/>
  <c r="V246" i="3"/>
  <c r="U246" i="3"/>
  <c r="R246" i="3"/>
  <c r="P246" i="3"/>
  <c r="O246" i="3"/>
  <c r="Q246" i="3" s="1"/>
  <c r="N246" i="3"/>
  <c r="K246" i="3"/>
  <c r="J246" i="3"/>
  <c r="I246" i="3"/>
  <c r="A246" i="3"/>
  <c r="W245" i="3"/>
  <c r="V245" i="3"/>
  <c r="U245" i="3"/>
  <c r="R245" i="3"/>
  <c r="P245" i="3"/>
  <c r="O245" i="3"/>
  <c r="Q245" i="3" s="1"/>
  <c r="N245" i="3"/>
  <c r="K245" i="3"/>
  <c r="J245" i="3"/>
  <c r="I245" i="3"/>
  <c r="A245" i="3"/>
  <c r="W244" i="3"/>
  <c r="V244" i="3"/>
  <c r="U244" i="3"/>
  <c r="R244" i="3"/>
  <c r="P244" i="3"/>
  <c r="O244" i="3"/>
  <c r="Q244" i="3" s="1"/>
  <c r="N244" i="3"/>
  <c r="K244" i="3"/>
  <c r="J244" i="3"/>
  <c r="I244" i="3"/>
  <c r="A244" i="3"/>
  <c r="W243" i="3"/>
  <c r="V243" i="3"/>
  <c r="U243" i="3"/>
  <c r="R243" i="3"/>
  <c r="P243" i="3"/>
  <c r="O243" i="3"/>
  <c r="Q243" i="3" s="1"/>
  <c r="N243" i="3"/>
  <c r="K243" i="3"/>
  <c r="J243" i="3"/>
  <c r="I243" i="3"/>
  <c r="A243" i="3"/>
  <c r="W242" i="3"/>
  <c r="V242" i="3"/>
  <c r="U242" i="3"/>
  <c r="R242" i="3"/>
  <c r="P242" i="3"/>
  <c r="O242" i="3"/>
  <c r="Q242" i="3" s="1"/>
  <c r="N242" i="3"/>
  <c r="K242" i="3"/>
  <c r="J242" i="3"/>
  <c r="I242" i="3"/>
  <c r="A242" i="3"/>
  <c r="W241" i="3"/>
  <c r="V241" i="3"/>
  <c r="U241" i="3"/>
  <c r="R241" i="3"/>
  <c r="P241" i="3"/>
  <c r="O241" i="3"/>
  <c r="Q241" i="3" s="1"/>
  <c r="N241" i="3"/>
  <c r="K241" i="3"/>
  <c r="J241" i="3"/>
  <c r="I241" i="3"/>
  <c r="A241" i="3"/>
  <c r="W240" i="3"/>
  <c r="V240" i="3"/>
  <c r="U240" i="3"/>
  <c r="R240" i="3"/>
  <c r="P240" i="3"/>
  <c r="O240" i="3"/>
  <c r="Q240" i="3" s="1"/>
  <c r="N240" i="3"/>
  <c r="K240" i="3"/>
  <c r="J240" i="3"/>
  <c r="I240" i="3"/>
  <c r="A240" i="3"/>
  <c r="W239" i="3"/>
  <c r="V239" i="3"/>
  <c r="U239" i="3"/>
  <c r="R239" i="3"/>
  <c r="P239" i="3"/>
  <c r="O239" i="3"/>
  <c r="Q239" i="3" s="1"/>
  <c r="N239" i="3"/>
  <c r="K239" i="3"/>
  <c r="J239" i="3"/>
  <c r="I239" i="3"/>
  <c r="A239" i="3"/>
  <c r="W238" i="3"/>
  <c r="V238" i="3"/>
  <c r="U238" i="3"/>
  <c r="R238" i="3"/>
  <c r="P238" i="3"/>
  <c r="O238" i="3"/>
  <c r="Q238" i="3" s="1"/>
  <c r="N238" i="3"/>
  <c r="K238" i="3"/>
  <c r="J238" i="3"/>
  <c r="I238" i="3"/>
  <c r="A238" i="3"/>
  <c r="W237" i="3"/>
  <c r="V237" i="3"/>
  <c r="U237" i="3"/>
  <c r="R237" i="3"/>
  <c r="P237" i="3"/>
  <c r="O237" i="3"/>
  <c r="Q237" i="3" s="1"/>
  <c r="N237" i="3"/>
  <c r="K237" i="3"/>
  <c r="J237" i="3"/>
  <c r="I237" i="3"/>
  <c r="A237" i="3"/>
  <c r="W236" i="3"/>
  <c r="V236" i="3"/>
  <c r="U236" i="3"/>
  <c r="R236" i="3"/>
  <c r="P236" i="3"/>
  <c r="O236" i="3"/>
  <c r="Q236" i="3" s="1"/>
  <c r="N236" i="3"/>
  <c r="K236" i="3"/>
  <c r="J236" i="3"/>
  <c r="I236" i="3"/>
  <c r="A236" i="3"/>
  <c r="W235" i="3"/>
  <c r="V235" i="3"/>
  <c r="U235" i="3"/>
  <c r="R235" i="3"/>
  <c r="P235" i="3"/>
  <c r="O235" i="3"/>
  <c r="Q235" i="3" s="1"/>
  <c r="N235" i="3"/>
  <c r="K235" i="3"/>
  <c r="J235" i="3"/>
  <c r="I235" i="3"/>
  <c r="A235" i="3"/>
  <c r="W234" i="3"/>
  <c r="V234" i="3"/>
  <c r="U234" i="3"/>
  <c r="R234" i="3"/>
  <c r="P234" i="3"/>
  <c r="O234" i="3"/>
  <c r="Q234" i="3" s="1"/>
  <c r="N234" i="3"/>
  <c r="K234" i="3"/>
  <c r="J234" i="3"/>
  <c r="I234" i="3"/>
  <c r="A234" i="3"/>
  <c r="W233" i="3"/>
  <c r="V233" i="3"/>
  <c r="U233" i="3"/>
  <c r="R233" i="3"/>
  <c r="P233" i="3"/>
  <c r="O233" i="3"/>
  <c r="Q233" i="3" s="1"/>
  <c r="N233" i="3"/>
  <c r="K233" i="3"/>
  <c r="J233" i="3"/>
  <c r="I233" i="3"/>
  <c r="A233" i="3"/>
  <c r="W232" i="3"/>
  <c r="V232" i="3"/>
  <c r="U232" i="3"/>
  <c r="R232" i="3"/>
  <c r="P232" i="3"/>
  <c r="O232" i="3"/>
  <c r="Q232" i="3" s="1"/>
  <c r="N232" i="3"/>
  <c r="K232" i="3"/>
  <c r="J232" i="3"/>
  <c r="I232" i="3"/>
  <c r="A232" i="3"/>
  <c r="W231" i="3"/>
  <c r="V231" i="3"/>
  <c r="U231" i="3"/>
  <c r="R231" i="3"/>
  <c r="P231" i="3"/>
  <c r="O231" i="3"/>
  <c r="Q231" i="3" s="1"/>
  <c r="N231" i="3"/>
  <c r="K231" i="3"/>
  <c r="J231" i="3"/>
  <c r="I231" i="3"/>
  <c r="A231" i="3"/>
  <c r="W230" i="3"/>
  <c r="V230" i="3"/>
  <c r="U230" i="3"/>
  <c r="R230" i="3"/>
  <c r="P230" i="3"/>
  <c r="O230" i="3"/>
  <c r="Q230" i="3" s="1"/>
  <c r="N230" i="3"/>
  <c r="K230" i="3"/>
  <c r="J230" i="3"/>
  <c r="I230" i="3"/>
  <c r="A230" i="3"/>
  <c r="W229" i="3"/>
  <c r="V229" i="3"/>
  <c r="U229" i="3"/>
  <c r="R229" i="3"/>
  <c r="P229" i="3"/>
  <c r="O229" i="3"/>
  <c r="Q229" i="3" s="1"/>
  <c r="N229" i="3"/>
  <c r="K229" i="3"/>
  <c r="J229" i="3"/>
  <c r="I229" i="3"/>
  <c r="A229" i="3"/>
  <c r="W228" i="3"/>
  <c r="V228" i="3"/>
  <c r="U228" i="3"/>
  <c r="R228" i="3"/>
  <c r="P228" i="3"/>
  <c r="O228" i="3"/>
  <c r="Q228" i="3" s="1"/>
  <c r="N228" i="3"/>
  <c r="K228" i="3"/>
  <c r="J228" i="3"/>
  <c r="I228" i="3"/>
  <c r="A228" i="3"/>
  <c r="W227" i="3"/>
  <c r="V227" i="3"/>
  <c r="U227" i="3"/>
  <c r="R227" i="3"/>
  <c r="P227" i="3"/>
  <c r="O227" i="3"/>
  <c r="Q227" i="3" s="1"/>
  <c r="N227" i="3"/>
  <c r="K227" i="3"/>
  <c r="J227" i="3"/>
  <c r="I227" i="3"/>
  <c r="A227" i="3"/>
  <c r="W226" i="3"/>
  <c r="V226" i="3"/>
  <c r="U226" i="3"/>
  <c r="R226" i="3"/>
  <c r="P226" i="3"/>
  <c r="O226" i="3"/>
  <c r="Q226" i="3" s="1"/>
  <c r="N226" i="3"/>
  <c r="K226" i="3"/>
  <c r="J226" i="3"/>
  <c r="I226" i="3"/>
  <c r="A226" i="3"/>
  <c r="W225" i="3"/>
  <c r="V225" i="3"/>
  <c r="U225" i="3"/>
  <c r="R225" i="3"/>
  <c r="P225" i="3"/>
  <c r="O225" i="3"/>
  <c r="Q225" i="3" s="1"/>
  <c r="N225" i="3"/>
  <c r="K225" i="3"/>
  <c r="J225" i="3"/>
  <c r="I225" i="3"/>
  <c r="A225" i="3"/>
  <c r="W224" i="3"/>
  <c r="V224" i="3"/>
  <c r="U224" i="3"/>
  <c r="R224" i="3"/>
  <c r="P224" i="3"/>
  <c r="O224" i="3"/>
  <c r="Q224" i="3" s="1"/>
  <c r="N224" i="3"/>
  <c r="K224" i="3"/>
  <c r="J224" i="3"/>
  <c r="I224" i="3"/>
  <c r="A224" i="3"/>
  <c r="W223" i="3"/>
  <c r="V223" i="3"/>
  <c r="U223" i="3"/>
  <c r="R223" i="3"/>
  <c r="P223" i="3"/>
  <c r="O223" i="3"/>
  <c r="Q223" i="3" s="1"/>
  <c r="N223" i="3"/>
  <c r="K223" i="3"/>
  <c r="J223" i="3"/>
  <c r="I223" i="3"/>
  <c r="A223" i="3"/>
  <c r="W222" i="3"/>
  <c r="V222" i="3"/>
  <c r="U222" i="3"/>
  <c r="R222" i="3"/>
  <c r="P222" i="3"/>
  <c r="O222" i="3"/>
  <c r="Q222" i="3" s="1"/>
  <c r="N222" i="3"/>
  <c r="K222" i="3"/>
  <c r="J222" i="3"/>
  <c r="I222" i="3"/>
  <c r="A222" i="3"/>
  <c r="W221" i="3"/>
  <c r="V221" i="3"/>
  <c r="U221" i="3"/>
  <c r="R221" i="3"/>
  <c r="P221" i="3"/>
  <c r="O221" i="3"/>
  <c r="Q221" i="3" s="1"/>
  <c r="N221" i="3"/>
  <c r="K221" i="3"/>
  <c r="J221" i="3"/>
  <c r="I221" i="3"/>
  <c r="A221" i="3"/>
  <c r="W220" i="3"/>
  <c r="V220" i="3"/>
  <c r="U220" i="3"/>
  <c r="R220" i="3"/>
  <c r="P220" i="3"/>
  <c r="O220" i="3"/>
  <c r="Q220" i="3" s="1"/>
  <c r="N220" i="3"/>
  <c r="K220" i="3"/>
  <c r="J220" i="3"/>
  <c r="I220" i="3"/>
  <c r="A220" i="3"/>
  <c r="W219" i="3"/>
  <c r="V219" i="3"/>
  <c r="U219" i="3"/>
  <c r="R219" i="3"/>
  <c r="P219" i="3"/>
  <c r="O219" i="3"/>
  <c r="Q219" i="3" s="1"/>
  <c r="N219" i="3"/>
  <c r="K219" i="3"/>
  <c r="J219" i="3"/>
  <c r="I219" i="3"/>
  <c r="A219" i="3"/>
  <c r="W218" i="3"/>
  <c r="V218" i="3"/>
  <c r="U218" i="3"/>
  <c r="R218" i="3"/>
  <c r="P218" i="3"/>
  <c r="O218" i="3"/>
  <c r="Q218" i="3" s="1"/>
  <c r="N218" i="3"/>
  <c r="K218" i="3"/>
  <c r="J218" i="3"/>
  <c r="I218" i="3"/>
  <c r="A218" i="3"/>
  <c r="W217" i="3"/>
  <c r="V217" i="3"/>
  <c r="U217" i="3"/>
  <c r="R217" i="3"/>
  <c r="P217" i="3"/>
  <c r="O217" i="3"/>
  <c r="Q217" i="3" s="1"/>
  <c r="N217" i="3"/>
  <c r="K217" i="3"/>
  <c r="J217" i="3"/>
  <c r="I217" i="3"/>
  <c r="A217" i="3"/>
  <c r="W216" i="3"/>
  <c r="V216" i="3"/>
  <c r="U216" i="3"/>
  <c r="R216" i="3"/>
  <c r="P216" i="3"/>
  <c r="O216" i="3"/>
  <c r="Q216" i="3" s="1"/>
  <c r="N216" i="3"/>
  <c r="K216" i="3"/>
  <c r="J216" i="3"/>
  <c r="I216" i="3"/>
  <c r="A216" i="3"/>
  <c r="W215" i="3"/>
  <c r="V215" i="3"/>
  <c r="U215" i="3"/>
  <c r="R215" i="3"/>
  <c r="P215" i="3"/>
  <c r="O215" i="3"/>
  <c r="Q215" i="3" s="1"/>
  <c r="N215" i="3"/>
  <c r="K215" i="3"/>
  <c r="J215" i="3"/>
  <c r="I215" i="3"/>
  <c r="A215" i="3"/>
  <c r="W214" i="3"/>
  <c r="V214" i="3"/>
  <c r="U214" i="3"/>
  <c r="R214" i="3"/>
  <c r="P214" i="3"/>
  <c r="O214" i="3"/>
  <c r="Q214" i="3" s="1"/>
  <c r="N214" i="3"/>
  <c r="K214" i="3"/>
  <c r="J214" i="3"/>
  <c r="I214" i="3"/>
  <c r="A214" i="3"/>
  <c r="W213" i="3"/>
  <c r="V213" i="3"/>
  <c r="U213" i="3"/>
  <c r="R213" i="3"/>
  <c r="P213" i="3"/>
  <c r="O213" i="3"/>
  <c r="Q213" i="3" s="1"/>
  <c r="N213" i="3"/>
  <c r="K213" i="3"/>
  <c r="J213" i="3"/>
  <c r="I213" i="3"/>
  <c r="A213" i="3"/>
  <c r="W212" i="3"/>
  <c r="V212" i="3"/>
  <c r="U212" i="3"/>
  <c r="R212" i="3"/>
  <c r="P212" i="3"/>
  <c r="O212" i="3"/>
  <c r="Q212" i="3" s="1"/>
  <c r="N212" i="3"/>
  <c r="K212" i="3"/>
  <c r="J212" i="3"/>
  <c r="I212" i="3"/>
  <c r="A212" i="3"/>
  <c r="W211" i="3"/>
  <c r="V211" i="3"/>
  <c r="U211" i="3"/>
  <c r="R211" i="3"/>
  <c r="P211" i="3"/>
  <c r="O211" i="3"/>
  <c r="Q211" i="3" s="1"/>
  <c r="N211" i="3"/>
  <c r="K211" i="3"/>
  <c r="J211" i="3"/>
  <c r="I211" i="3"/>
  <c r="A211" i="3"/>
  <c r="W210" i="3"/>
  <c r="V210" i="3"/>
  <c r="U210" i="3"/>
  <c r="R210" i="3"/>
  <c r="P210" i="3"/>
  <c r="O210" i="3"/>
  <c r="Q210" i="3" s="1"/>
  <c r="N210" i="3"/>
  <c r="K210" i="3"/>
  <c r="J210" i="3"/>
  <c r="I210" i="3"/>
  <c r="A210" i="3"/>
  <c r="W209" i="3"/>
  <c r="V209" i="3"/>
  <c r="U209" i="3"/>
  <c r="R209" i="3"/>
  <c r="P209" i="3"/>
  <c r="O209" i="3"/>
  <c r="Q209" i="3" s="1"/>
  <c r="N209" i="3"/>
  <c r="K209" i="3"/>
  <c r="J209" i="3"/>
  <c r="I209" i="3"/>
  <c r="A209" i="3"/>
  <c r="W208" i="3"/>
  <c r="V208" i="3"/>
  <c r="U208" i="3"/>
  <c r="R208" i="3"/>
  <c r="P208" i="3"/>
  <c r="O208" i="3"/>
  <c r="Q208" i="3" s="1"/>
  <c r="N208" i="3"/>
  <c r="K208" i="3"/>
  <c r="J208" i="3"/>
  <c r="I208" i="3"/>
  <c r="A208" i="3"/>
  <c r="W207" i="3"/>
  <c r="V207" i="3"/>
  <c r="U207" i="3"/>
  <c r="R207" i="3"/>
  <c r="P207" i="3"/>
  <c r="O207" i="3"/>
  <c r="Q207" i="3" s="1"/>
  <c r="N207" i="3"/>
  <c r="K207" i="3"/>
  <c r="J207" i="3"/>
  <c r="I207" i="3"/>
  <c r="A207" i="3"/>
  <c r="W206" i="3"/>
  <c r="V206" i="3"/>
  <c r="U206" i="3"/>
  <c r="R206" i="3"/>
  <c r="P206" i="3"/>
  <c r="O206" i="3"/>
  <c r="Q206" i="3" s="1"/>
  <c r="N206" i="3"/>
  <c r="K206" i="3"/>
  <c r="J206" i="3"/>
  <c r="I206" i="3"/>
  <c r="A206" i="3"/>
  <c r="W205" i="3"/>
  <c r="V205" i="3"/>
  <c r="U205" i="3"/>
  <c r="R205" i="3"/>
  <c r="P205" i="3"/>
  <c r="O205" i="3"/>
  <c r="Q205" i="3" s="1"/>
  <c r="N205" i="3"/>
  <c r="K205" i="3"/>
  <c r="J205" i="3"/>
  <c r="I205" i="3"/>
  <c r="A205" i="3"/>
  <c r="W204" i="3"/>
  <c r="V204" i="3"/>
  <c r="U204" i="3"/>
  <c r="R204" i="3"/>
  <c r="P204" i="3"/>
  <c r="O204" i="3"/>
  <c r="Q204" i="3" s="1"/>
  <c r="N204" i="3"/>
  <c r="K204" i="3"/>
  <c r="J204" i="3"/>
  <c r="I204" i="3"/>
  <c r="A204" i="3"/>
  <c r="W203" i="3"/>
  <c r="V203" i="3"/>
  <c r="U203" i="3"/>
  <c r="R203" i="3"/>
  <c r="P203" i="3"/>
  <c r="O203" i="3"/>
  <c r="Q203" i="3" s="1"/>
  <c r="N203" i="3"/>
  <c r="K203" i="3"/>
  <c r="J203" i="3"/>
  <c r="I203" i="3"/>
  <c r="A203" i="3"/>
  <c r="W202" i="3"/>
  <c r="V202" i="3"/>
  <c r="U202" i="3"/>
  <c r="R202" i="3"/>
  <c r="P202" i="3"/>
  <c r="O202" i="3"/>
  <c r="Q202" i="3" s="1"/>
  <c r="N202" i="3"/>
  <c r="K202" i="3"/>
  <c r="J202" i="3"/>
  <c r="I202" i="3"/>
  <c r="A202" i="3"/>
  <c r="W201" i="3"/>
  <c r="V201" i="3"/>
  <c r="U201" i="3"/>
  <c r="R201" i="3"/>
  <c r="P201" i="3"/>
  <c r="O201" i="3"/>
  <c r="Q201" i="3" s="1"/>
  <c r="N201" i="3"/>
  <c r="K201" i="3"/>
  <c r="J201" i="3"/>
  <c r="I201" i="3"/>
  <c r="A201" i="3"/>
  <c r="W200" i="3"/>
  <c r="V200" i="3"/>
  <c r="U200" i="3"/>
  <c r="R200" i="3"/>
  <c r="P200" i="3"/>
  <c r="O200" i="3"/>
  <c r="Q200" i="3" s="1"/>
  <c r="N200" i="3"/>
  <c r="K200" i="3"/>
  <c r="J200" i="3"/>
  <c r="I200" i="3"/>
  <c r="A200" i="3"/>
  <c r="W199" i="3"/>
  <c r="V199" i="3"/>
  <c r="U199" i="3"/>
  <c r="R199" i="3"/>
  <c r="P199" i="3"/>
  <c r="O199" i="3"/>
  <c r="Q199" i="3" s="1"/>
  <c r="N199" i="3"/>
  <c r="K199" i="3"/>
  <c r="J199" i="3"/>
  <c r="I199" i="3"/>
  <c r="A199" i="3"/>
  <c r="W198" i="3"/>
  <c r="V198" i="3"/>
  <c r="U198" i="3"/>
  <c r="R198" i="3"/>
  <c r="P198" i="3"/>
  <c r="O198" i="3"/>
  <c r="Q198" i="3" s="1"/>
  <c r="N198" i="3"/>
  <c r="K198" i="3"/>
  <c r="J198" i="3"/>
  <c r="I198" i="3"/>
  <c r="A198" i="3"/>
  <c r="W197" i="3"/>
  <c r="V197" i="3"/>
  <c r="U197" i="3"/>
  <c r="R197" i="3"/>
  <c r="P197" i="3"/>
  <c r="O197" i="3"/>
  <c r="Q197" i="3" s="1"/>
  <c r="N197" i="3"/>
  <c r="K197" i="3"/>
  <c r="J197" i="3"/>
  <c r="I197" i="3"/>
  <c r="A197" i="3"/>
  <c r="W196" i="3"/>
  <c r="V196" i="3"/>
  <c r="U196" i="3"/>
  <c r="R196" i="3"/>
  <c r="P196" i="3"/>
  <c r="O196" i="3"/>
  <c r="Q196" i="3" s="1"/>
  <c r="N196" i="3"/>
  <c r="K196" i="3"/>
  <c r="J196" i="3"/>
  <c r="I196" i="3"/>
  <c r="A196" i="3"/>
  <c r="W195" i="3"/>
  <c r="V195" i="3"/>
  <c r="U195" i="3"/>
  <c r="R195" i="3"/>
  <c r="P195" i="3"/>
  <c r="O195" i="3"/>
  <c r="Q195" i="3" s="1"/>
  <c r="N195" i="3"/>
  <c r="K195" i="3"/>
  <c r="J195" i="3"/>
  <c r="I195" i="3"/>
  <c r="A195" i="3"/>
  <c r="W194" i="3"/>
  <c r="V194" i="3"/>
  <c r="U194" i="3"/>
  <c r="R194" i="3"/>
  <c r="P194" i="3"/>
  <c r="O194" i="3"/>
  <c r="Q194" i="3" s="1"/>
  <c r="N194" i="3"/>
  <c r="K194" i="3"/>
  <c r="J194" i="3"/>
  <c r="I194" i="3"/>
  <c r="A194" i="3"/>
  <c r="W193" i="3"/>
  <c r="V193" i="3"/>
  <c r="U193" i="3"/>
  <c r="R193" i="3"/>
  <c r="P193" i="3"/>
  <c r="O193" i="3"/>
  <c r="Q193" i="3" s="1"/>
  <c r="N193" i="3"/>
  <c r="K193" i="3"/>
  <c r="J193" i="3"/>
  <c r="I193" i="3"/>
  <c r="A193" i="3"/>
  <c r="W192" i="3"/>
  <c r="V192" i="3"/>
  <c r="U192" i="3"/>
  <c r="R192" i="3"/>
  <c r="P192" i="3"/>
  <c r="O192" i="3"/>
  <c r="Q192" i="3" s="1"/>
  <c r="N192" i="3"/>
  <c r="K192" i="3"/>
  <c r="J192" i="3"/>
  <c r="I192" i="3"/>
  <c r="A192" i="3"/>
  <c r="W191" i="3"/>
  <c r="V191" i="3"/>
  <c r="U191" i="3"/>
  <c r="R191" i="3"/>
  <c r="P191" i="3"/>
  <c r="O191" i="3"/>
  <c r="Q191" i="3" s="1"/>
  <c r="N191" i="3"/>
  <c r="K191" i="3"/>
  <c r="J191" i="3"/>
  <c r="I191" i="3"/>
  <c r="A191" i="3"/>
  <c r="W190" i="3"/>
  <c r="V190" i="3"/>
  <c r="U190" i="3"/>
  <c r="R190" i="3"/>
  <c r="P190" i="3"/>
  <c r="O190" i="3"/>
  <c r="Q190" i="3" s="1"/>
  <c r="N190" i="3"/>
  <c r="K190" i="3"/>
  <c r="J190" i="3"/>
  <c r="I190" i="3"/>
  <c r="A190" i="3"/>
  <c r="W189" i="3"/>
  <c r="V189" i="3"/>
  <c r="U189" i="3"/>
  <c r="R189" i="3"/>
  <c r="P189" i="3"/>
  <c r="O189" i="3"/>
  <c r="Q189" i="3" s="1"/>
  <c r="N189" i="3"/>
  <c r="K189" i="3"/>
  <c r="J189" i="3"/>
  <c r="I189" i="3"/>
  <c r="A189" i="3"/>
  <c r="W188" i="3"/>
  <c r="V188" i="3"/>
  <c r="U188" i="3"/>
  <c r="R188" i="3"/>
  <c r="P188" i="3"/>
  <c r="O188" i="3"/>
  <c r="Q188" i="3" s="1"/>
  <c r="N188" i="3"/>
  <c r="K188" i="3"/>
  <c r="J188" i="3"/>
  <c r="I188" i="3"/>
  <c r="A188" i="3"/>
  <c r="W187" i="3"/>
  <c r="V187" i="3"/>
  <c r="U187" i="3"/>
  <c r="R187" i="3"/>
  <c r="P187" i="3"/>
  <c r="O187" i="3"/>
  <c r="Q187" i="3" s="1"/>
  <c r="N187" i="3"/>
  <c r="K187" i="3"/>
  <c r="J187" i="3"/>
  <c r="I187" i="3"/>
  <c r="A187" i="3"/>
  <c r="W186" i="3"/>
  <c r="V186" i="3"/>
  <c r="U186" i="3"/>
  <c r="R186" i="3"/>
  <c r="P186" i="3"/>
  <c r="O186" i="3"/>
  <c r="Q186" i="3" s="1"/>
  <c r="N186" i="3"/>
  <c r="K186" i="3"/>
  <c r="J186" i="3"/>
  <c r="I186" i="3"/>
  <c r="A186" i="3"/>
  <c r="W185" i="3"/>
  <c r="V185" i="3"/>
  <c r="U185" i="3"/>
  <c r="R185" i="3"/>
  <c r="P185" i="3"/>
  <c r="O185" i="3"/>
  <c r="Q185" i="3" s="1"/>
  <c r="N185" i="3"/>
  <c r="K185" i="3"/>
  <c r="J185" i="3"/>
  <c r="I185" i="3"/>
  <c r="A185" i="3"/>
  <c r="W184" i="3"/>
  <c r="V184" i="3"/>
  <c r="U184" i="3"/>
  <c r="R184" i="3"/>
  <c r="P184" i="3"/>
  <c r="O184" i="3"/>
  <c r="Q184" i="3" s="1"/>
  <c r="N184" i="3"/>
  <c r="K184" i="3"/>
  <c r="J184" i="3"/>
  <c r="I184" i="3"/>
  <c r="A184" i="3"/>
  <c r="W183" i="3"/>
  <c r="V183" i="3"/>
  <c r="U183" i="3"/>
  <c r="R183" i="3"/>
  <c r="P183" i="3"/>
  <c r="O183" i="3"/>
  <c r="Q183" i="3" s="1"/>
  <c r="N183" i="3"/>
  <c r="K183" i="3"/>
  <c r="J183" i="3"/>
  <c r="I183" i="3"/>
  <c r="A183" i="3"/>
  <c r="W182" i="3"/>
  <c r="V182" i="3"/>
  <c r="U182" i="3"/>
  <c r="R182" i="3"/>
  <c r="P182" i="3"/>
  <c r="O182" i="3"/>
  <c r="Q182" i="3" s="1"/>
  <c r="N182" i="3"/>
  <c r="K182" i="3"/>
  <c r="J182" i="3"/>
  <c r="I182" i="3"/>
  <c r="A182" i="3"/>
  <c r="W181" i="3"/>
  <c r="V181" i="3"/>
  <c r="U181" i="3"/>
  <c r="R181" i="3"/>
  <c r="P181" i="3"/>
  <c r="O181" i="3"/>
  <c r="Q181" i="3" s="1"/>
  <c r="N181" i="3"/>
  <c r="K181" i="3"/>
  <c r="J181" i="3"/>
  <c r="I181" i="3"/>
  <c r="A181" i="3"/>
  <c r="W180" i="3"/>
  <c r="V180" i="3"/>
  <c r="U180" i="3"/>
  <c r="R180" i="3"/>
  <c r="P180" i="3"/>
  <c r="O180" i="3"/>
  <c r="Q180" i="3" s="1"/>
  <c r="N180" i="3"/>
  <c r="K180" i="3"/>
  <c r="J180" i="3"/>
  <c r="I180" i="3"/>
  <c r="A180" i="3"/>
  <c r="W179" i="3"/>
  <c r="V179" i="3"/>
  <c r="U179" i="3"/>
  <c r="R179" i="3"/>
  <c r="P179" i="3"/>
  <c r="O179" i="3"/>
  <c r="Q179" i="3" s="1"/>
  <c r="N179" i="3"/>
  <c r="K179" i="3"/>
  <c r="J179" i="3"/>
  <c r="I179" i="3"/>
  <c r="A179" i="3"/>
  <c r="W178" i="3"/>
  <c r="V178" i="3"/>
  <c r="U178" i="3"/>
  <c r="R178" i="3"/>
  <c r="P178" i="3"/>
  <c r="O178" i="3"/>
  <c r="Q178" i="3" s="1"/>
  <c r="N178" i="3"/>
  <c r="K178" i="3"/>
  <c r="J178" i="3"/>
  <c r="I178" i="3"/>
  <c r="A178" i="3"/>
  <c r="W177" i="3"/>
  <c r="V177" i="3"/>
  <c r="U177" i="3"/>
  <c r="R177" i="3"/>
  <c r="P177" i="3"/>
  <c r="O177" i="3"/>
  <c r="Q177" i="3" s="1"/>
  <c r="N177" i="3"/>
  <c r="K177" i="3"/>
  <c r="J177" i="3"/>
  <c r="I177" i="3"/>
  <c r="A177" i="3"/>
  <c r="W176" i="3"/>
  <c r="V176" i="3"/>
  <c r="U176" i="3"/>
  <c r="R176" i="3"/>
  <c r="P176" i="3"/>
  <c r="O176" i="3"/>
  <c r="Q176" i="3" s="1"/>
  <c r="N176" i="3"/>
  <c r="K176" i="3"/>
  <c r="J176" i="3"/>
  <c r="I176" i="3"/>
  <c r="A176" i="3"/>
  <c r="W175" i="3"/>
  <c r="V175" i="3"/>
  <c r="U175" i="3"/>
  <c r="R175" i="3"/>
  <c r="P175" i="3"/>
  <c r="O175" i="3"/>
  <c r="Q175" i="3" s="1"/>
  <c r="N175" i="3"/>
  <c r="K175" i="3"/>
  <c r="J175" i="3"/>
  <c r="I175" i="3"/>
  <c r="A175" i="3"/>
  <c r="W174" i="3"/>
  <c r="V174" i="3"/>
  <c r="U174" i="3"/>
  <c r="R174" i="3"/>
  <c r="P174" i="3"/>
  <c r="O174" i="3"/>
  <c r="Q174" i="3" s="1"/>
  <c r="N174" i="3"/>
  <c r="K174" i="3"/>
  <c r="J174" i="3"/>
  <c r="I174" i="3"/>
  <c r="A174" i="3"/>
  <c r="W173" i="3"/>
  <c r="V173" i="3"/>
  <c r="U173" i="3"/>
  <c r="R173" i="3"/>
  <c r="P173" i="3"/>
  <c r="O173" i="3"/>
  <c r="Q173" i="3" s="1"/>
  <c r="N173" i="3"/>
  <c r="K173" i="3"/>
  <c r="J173" i="3"/>
  <c r="I173" i="3"/>
  <c r="A173" i="3"/>
  <c r="W172" i="3"/>
  <c r="V172" i="3"/>
  <c r="U172" i="3"/>
  <c r="R172" i="3"/>
  <c r="P172" i="3"/>
  <c r="O172" i="3"/>
  <c r="Q172" i="3" s="1"/>
  <c r="N172" i="3"/>
  <c r="K172" i="3"/>
  <c r="J172" i="3"/>
  <c r="I172" i="3"/>
  <c r="A172" i="3"/>
  <c r="W171" i="3"/>
  <c r="V171" i="3"/>
  <c r="U171" i="3"/>
  <c r="R171" i="3"/>
  <c r="P171" i="3"/>
  <c r="O171" i="3"/>
  <c r="Q171" i="3" s="1"/>
  <c r="N171" i="3"/>
  <c r="K171" i="3"/>
  <c r="J171" i="3"/>
  <c r="I171" i="3"/>
  <c r="A171" i="3"/>
  <c r="W170" i="3"/>
  <c r="V170" i="3"/>
  <c r="U170" i="3"/>
  <c r="R170" i="3"/>
  <c r="P170" i="3"/>
  <c r="O170" i="3"/>
  <c r="Q170" i="3" s="1"/>
  <c r="N170" i="3"/>
  <c r="K170" i="3"/>
  <c r="J170" i="3"/>
  <c r="I170" i="3"/>
  <c r="A170" i="3"/>
  <c r="W169" i="3"/>
  <c r="V169" i="3"/>
  <c r="U169" i="3"/>
  <c r="R169" i="3"/>
  <c r="P169" i="3"/>
  <c r="O169" i="3"/>
  <c r="Q169" i="3" s="1"/>
  <c r="N169" i="3"/>
  <c r="K169" i="3"/>
  <c r="J169" i="3"/>
  <c r="I169" i="3"/>
  <c r="A169" i="3"/>
  <c r="W168" i="3"/>
  <c r="V168" i="3"/>
  <c r="U168" i="3"/>
  <c r="R168" i="3"/>
  <c r="P168" i="3"/>
  <c r="O168" i="3"/>
  <c r="Q168" i="3" s="1"/>
  <c r="N168" i="3"/>
  <c r="K168" i="3"/>
  <c r="J168" i="3"/>
  <c r="I168" i="3"/>
  <c r="A168" i="3"/>
  <c r="W167" i="3"/>
  <c r="V167" i="3"/>
  <c r="U167" i="3"/>
  <c r="R167" i="3"/>
  <c r="P167" i="3"/>
  <c r="O167" i="3"/>
  <c r="Q167" i="3" s="1"/>
  <c r="N167" i="3"/>
  <c r="K167" i="3"/>
  <c r="J167" i="3"/>
  <c r="I167" i="3"/>
  <c r="A167" i="3"/>
  <c r="W166" i="3"/>
  <c r="V166" i="3"/>
  <c r="U166" i="3"/>
  <c r="R166" i="3"/>
  <c r="P166" i="3"/>
  <c r="O166" i="3"/>
  <c r="Q166" i="3" s="1"/>
  <c r="N166" i="3"/>
  <c r="K166" i="3"/>
  <c r="J166" i="3"/>
  <c r="I166" i="3"/>
  <c r="A166" i="3"/>
  <c r="W165" i="3"/>
  <c r="V165" i="3"/>
  <c r="U165" i="3"/>
  <c r="R165" i="3"/>
  <c r="P165" i="3"/>
  <c r="O165" i="3"/>
  <c r="Q165" i="3" s="1"/>
  <c r="N165" i="3"/>
  <c r="K165" i="3"/>
  <c r="J165" i="3"/>
  <c r="I165" i="3"/>
  <c r="A165" i="3"/>
  <c r="W164" i="3"/>
  <c r="V164" i="3"/>
  <c r="U164" i="3"/>
  <c r="R164" i="3"/>
  <c r="P164" i="3"/>
  <c r="O164" i="3"/>
  <c r="Q164" i="3" s="1"/>
  <c r="N164" i="3"/>
  <c r="K164" i="3"/>
  <c r="J164" i="3"/>
  <c r="I164" i="3"/>
  <c r="A164" i="3"/>
  <c r="W163" i="3"/>
  <c r="V163" i="3"/>
  <c r="U163" i="3"/>
  <c r="R163" i="3"/>
  <c r="P163" i="3"/>
  <c r="O163" i="3"/>
  <c r="Q163" i="3" s="1"/>
  <c r="N163" i="3"/>
  <c r="K163" i="3"/>
  <c r="J163" i="3"/>
  <c r="I163" i="3"/>
  <c r="A163" i="3"/>
  <c r="W162" i="3"/>
  <c r="V162" i="3"/>
  <c r="U162" i="3"/>
  <c r="R162" i="3"/>
  <c r="P162" i="3"/>
  <c r="O162" i="3"/>
  <c r="Q162" i="3" s="1"/>
  <c r="N162" i="3"/>
  <c r="K162" i="3"/>
  <c r="J162" i="3"/>
  <c r="I162" i="3"/>
  <c r="A162" i="3"/>
  <c r="W161" i="3"/>
  <c r="V161" i="3"/>
  <c r="U161" i="3"/>
  <c r="R161" i="3"/>
  <c r="P161" i="3"/>
  <c r="O161" i="3"/>
  <c r="Q161" i="3" s="1"/>
  <c r="N161" i="3"/>
  <c r="K161" i="3"/>
  <c r="J161" i="3"/>
  <c r="I161" i="3"/>
  <c r="A161" i="3"/>
  <c r="W160" i="3"/>
  <c r="V160" i="3"/>
  <c r="U160" i="3"/>
  <c r="R160" i="3"/>
  <c r="P160" i="3"/>
  <c r="O160" i="3"/>
  <c r="Q160" i="3" s="1"/>
  <c r="N160" i="3"/>
  <c r="K160" i="3"/>
  <c r="J160" i="3"/>
  <c r="I160" i="3"/>
  <c r="A160" i="3"/>
  <c r="W159" i="3"/>
  <c r="V159" i="3"/>
  <c r="U159" i="3"/>
  <c r="R159" i="3"/>
  <c r="P159" i="3"/>
  <c r="O159" i="3"/>
  <c r="Q159" i="3" s="1"/>
  <c r="N159" i="3"/>
  <c r="K159" i="3"/>
  <c r="J159" i="3"/>
  <c r="I159" i="3"/>
  <c r="A159" i="3"/>
  <c r="W158" i="3"/>
  <c r="V158" i="3"/>
  <c r="U158" i="3"/>
  <c r="R158" i="3"/>
  <c r="P158" i="3"/>
  <c r="O158" i="3"/>
  <c r="Q158" i="3" s="1"/>
  <c r="N158" i="3"/>
  <c r="K158" i="3"/>
  <c r="J158" i="3"/>
  <c r="I158" i="3"/>
  <c r="A158" i="3"/>
  <c r="W157" i="3"/>
  <c r="V157" i="3"/>
  <c r="U157" i="3"/>
  <c r="R157" i="3"/>
  <c r="P157" i="3"/>
  <c r="O157" i="3"/>
  <c r="Q157" i="3" s="1"/>
  <c r="N157" i="3"/>
  <c r="K157" i="3"/>
  <c r="J157" i="3"/>
  <c r="I157" i="3"/>
  <c r="A157" i="3"/>
  <c r="W156" i="3"/>
  <c r="V156" i="3"/>
  <c r="U156" i="3"/>
  <c r="R156" i="3"/>
  <c r="P156" i="3"/>
  <c r="O156" i="3"/>
  <c r="Q156" i="3" s="1"/>
  <c r="N156" i="3"/>
  <c r="K156" i="3"/>
  <c r="J156" i="3"/>
  <c r="I156" i="3"/>
  <c r="A156" i="3"/>
  <c r="W155" i="3"/>
  <c r="V155" i="3"/>
  <c r="U155" i="3"/>
  <c r="R155" i="3"/>
  <c r="P155" i="3"/>
  <c r="O155" i="3"/>
  <c r="Q155" i="3" s="1"/>
  <c r="N155" i="3"/>
  <c r="K155" i="3"/>
  <c r="J155" i="3"/>
  <c r="I155" i="3"/>
  <c r="A155" i="3"/>
  <c r="W154" i="3"/>
  <c r="V154" i="3"/>
  <c r="U154" i="3"/>
  <c r="R154" i="3"/>
  <c r="P154" i="3"/>
  <c r="O154" i="3"/>
  <c r="Q154" i="3" s="1"/>
  <c r="N154" i="3"/>
  <c r="K154" i="3"/>
  <c r="J154" i="3"/>
  <c r="I154" i="3"/>
  <c r="A154" i="3"/>
  <c r="W153" i="3"/>
  <c r="V153" i="3"/>
  <c r="U153" i="3"/>
  <c r="R153" i="3"/>
  <c r="P153" i="3"/>
  <c r="O153" i="3"/>
  <c r="Q153" i="3" s="1"/>
  <c r="N153" i="3"/>
  <c r="K153" i="3"/>
  <c r="J153" i="3"/>
  <c r="I153" i="3"/>
  <c r="A153" i="3"/>
  <c r="W152" i="3"/>
  <c r="V152" i="3"/>
  <c r="U152" i="3"/>
  <c r="R152" i="3"/>
  <c r="P152" i="3"/>
  <c r="O152" i="3"/>
  <c r="Q152" i="3" s="1"/>
  <c r="N152" i="3"/>
  <c r="K152" i="3"/>
  <c r="J152" i="3"/>
  <c r="I152" i="3"/>
  <c r="A152" i="3"/>
  <c r="W151" i="3"/>
  <c r="V151" i="3"/>
  <c r="U151" i="3"/>
  <c r="R151" i="3"/>
  <c r="P151" i="3"/>
  <c r="O151" i="3"/>
  <c r="Q151" i="3" s="1"/>
  <c r="N151" i="3"/>
  <c r="K151" i="3"/>
  <c r="J151" i="3"/>
  <c r="I151" i="3"/>
  <c r="A151" i="3"/>
  <c r="W150" i="3"/>
  <c r="V150" i="3"/>
  <c r="U150" i="3"/>
  <c r="R150" i="3"/>
  <c r="P150" i="3"/>
  <c r="O150" i="3"/>
  <c r="Q150" i="3" s="1"/>
  <c r="N150" i="3"/>
  <c r="K150" i="3"/>
  <c r="J150" i="3"/>
  <c r="I150" i="3"/>
  <c r="A150" i="3"/>
  <c r="W149" i="3"/>
  <c r="V149" i="3"/>
  <c r="U149" i="3"/>
  <c r="R149" i="3"/>
  <c r="P149" i="3"/>
  <c r="O149" i="3"/>
  <c r="Q149" i="3" s="1"/>
  <c r="N149" i="3"/>
  <c r="K149" i="3"/>
  <c r="J149" i="3"/>
  <c r="I149" i="3"/>
  <c r="A149" i="3"/>
  <c r="W148" i="3"/>
  <c r="V148" i="3"/>
  <c r="U148" i="3"/>
  <c r="R148" i="3"/>
  <c r="P148" i="3"/>
  <c r="O148" i="3"/>
  <c r="Q148" i="3" s="1"/>
  <c r="N148" i="3"/>
  <c r="K148" i="3"/>
  <c r="J148" i="3"/>
  <c r="I148" i="3"/>
  <c r="A148" i="3"/>
  <c r="W147" i="3"/>
  <c r="V147" i="3"/>
  <c r="U147" i="3"/>
  <c r="R147" i="3"/>
  <c r="P147" i="3"/>
  <c r="O147" i="3"/>
  <c r="Q147" i="3" s="1"/>
  <c r="N147" i="3"/>
  <c r="K147" i="3"/>
  <c r="J147" i="3"/>
  <c r="I147" i="3"/>
  <c r="A147" i="3"/>
  <c r="W146" i="3"/>
  <c r="V146" i="3"/>
  <c r="U146" i="3"/>
  <c r="R146" i="3"/>
  <c r="P146" i="3"/>
  <c r="O146" i="3"/>
  <c r="Q146" i="3" s="1"/>
  <c r="N146" i="3"/>
  <c r="K146" i="3"/>
  <c r="J146" i="3"/>
  <c r="I146" i="3"/>
  <c r="A146" i="3"/>
  <c r="W145" i="3"/>
  <c r="V145" i="3"/>
  <c r="U145" i="3"/>
  <c r="R145" i="3"/>
  <c r="P145" i="3"/>
  <c r="O145" i="3"/>
  <c r="Q145" i="3" s="1"/>
  <c r="N145" i="3"/>
  <c r="K145" i="3"/>
  <c r="J145" i="3"/>
  <c r="I145" i="3"/>
  <c r="A145" i="3"/>
  <c r="W144" i="3"/>
  <c r="V144" i="3"/>
  <c r="U144" i="3"/>
  <c r="R144" i="3"/>
  <c r="P144" i="3"/>
  <c r="O144" i="3"/>
  <c r="Q144" i="3" s="1"/>
  <c r="N144" i="3"/>
  <c r="K144" i="3"/>
  <c r="J144" i="3"/>
  <c r="I144" i="3"/>
  <c r="A144" i="3"/>
  <c r="W143" i="3"/>
  <c r="V143" i="3"/>
  <c r="U143" i="3"/>
  <c r="R143" i="3"/>
  <c r="P143" i="3"/>
  <c r="O143" i="3"/>
  <c r="Q143" i="3" s="1"/>
  <c r="N143" i="3"/>
  <c r="K143" i="3"/>
  <c r="J143" i="3"/>
  <c r="I143" i="3"/>
  <c r="A143" i="3"/>
  <c r="W142" i="3"/>
  <c r="V142" i="3"/>
  <c r="U142" i="3"/>
  <c r="R142" i="3"/>
  <c r="P142" i="3"/>
  <c r="O142" i="3"/>
  <c r="Q142" i="3" s="1"/>
  <c r="N142" i="3"/>
  <c r="K142" i="3"/>
  <c r="J142" i="3"/>
  <c r="I142" i="3"/>
  <c r="A142" i="3"/>
  <c r="W141" i="3"/>
  <c r="V141" i="3"/>
  <c r="U141" i="3"/>
  <c r="R141" i="3"/>
  <c r="P141" i="3"/>
  <c r="O141" i="3"/>
  <c r="Q141" i="3" s="1"/>
  <c r="N141" i="3"/>
  <c r="K141" i="3"/>
  <c r="J141" i="3"/>
  <c r="I141" i="3"/>
  <c r="A141" i="3"/>
  <c r="W140" i="3"/>
  <c r="V140" i="3"/>
  <c r="U140" i="3"/>
  <c r="R140" i="3"/>
  <c r="P140" i="3"/>
  <c r="O140" i="3"/>
  <c r="Q140" i="3" s="1"/>
  <c r="N140" i="3"/>
  <c r="K140" i="3"/>
  <c r="J140" i="3"/>
  <c r="I140" i="3"/>
  <c r="A140" i="3"/>
  <c r="W139" i="3"/>
  <c r="V139" i="3"/>
  <c r="U139" i="3"/>
  <c r="R139" i="3"/>
  <c r="P139" i="3"/>
  <c r="O139" i="3"/>
  <c r="Q139" i="3" s="1"/>
  <c r="N139" i="3"/>
  <c r="K139" i="3"/>
  <c r="J139" i="3"/>
  <c r="I139" i="3"/>
  <c r="A139" i="3"/>
  <c r="W138" i="3"/>
  <c r="V138" i="3"/>
  <c r="U138" i="3"/>
  <c r="R138" i="3"/>
  <c r="P138" i="3"/>
  <c r="O138" i="3"/>
  <c r="Q138" i="3" s="1"/>
  <c r="N138" i="3"/>
  <c r="K138" i="3"/>
  <c r="J138" i="3"/>
  <c r="I138" i="3"/>
  <c r="A138" i="3"/>
  <c r="W137" i="3"/>
  <c r="V137" i="3"/>
  <c r="U137" i="3"/>
  <c r="R137" i="3"/>
  <c r="P137" i="3"/>
  <c r="O137" i="3"/>
  <c r="Q137" i="3" s="1"/>
  <c r="N137" i="3"/>
  <c r="K137" i="3"/>
  <c r="J137" i="3"/>
  <c r="I137" i="3"/>
  <c r="A137" i="3"/>
  <c r="W136" i="3"/>
  <c r="V136" i="3"/>
  <c r="U136" i="3"/>
  <c r="R136" i="3"/>
  <c r="P136" i="3"/>
  <c r="O136" i="3"/>
  <c r="Q136" i="3" s="1"/>
  <c r="N136" i="3"/>
  <c r="K136" i="3"/>
  <c r="J136" i="3"/>
  <c r="I136" i="3"/>
  <c r="A136" i="3"/>
  <c r="W135" i="3"/>
  <c r="V135" i="3"/>
  <c r="U135" i="3"/>
  <c r="R135" i="3"/>
  <c r="P135" i="3"/>
  <c r="O135" i="3"/>
  <c r="Q135" i="3" s="1"/>
  <c r="N135" i="3"/>
  <c r="K135" i="3"/>
  <c r="J135" i="3"/>
  <c r="I135" i="3"/>
  <c r="A135" i="3"/>
  <c r="W134" i="3"/>
  <c r="V134" i="3"/>
  <c r="U134" i="3"/>
  <c r="R134" i="3"/>
  <c r="P134" i="3"/>
  <c r="O134" i="3"/>
  <c r="Q134" i="3" s="1"/>
  <c r="N134" i="3"/>
  <c r="K134" i="3"/>
  <c r="J134" i="3"/>
  <c r="I134" i="3"/>
  <c r="A134" i="3"/>
  <c r="W133" i="3"/>
  <c r="V133" i="3"/>
  <c r="U133" i="3"/>
  <c r="R133" i="3"/>
  <c r="P133" i="3"/>
  <c r="O133" i="3"/>
  <c r="Q133" i="3" s="1"/>
  <c r="N133" i="3"/>
  <c r="K133" i="3"/>
  <c r="J133" i="3"/>
  <c r="I133" i="3"/>
  <c r="A133" i="3"/>
  <c r="W132" i="3"/>
  <c r="V132" i="3"/>
  <c r="U132" i="3"/>
  <c r="R132" i="3"/>
  <c r="P132" i="3"/>
  <c r="O132" i="3"/>
  <c r="Q132" i="3" s="1"/>
  <c r="N132" i="3"/>
  <c r="K132" i="3"/>
  <c r="J132" i="3"/>
  <c r="I132" i="3"/>
  <c r="A132" i="3"/>
  <c r="W131" i="3"/>
  <c r="V131" i="3"/>
  <c r="U131" i="3"/>
  <c r="R131" i="3"/>
  <c r="P131" i="3"/>
  <c r="O131" i="3"/>
  <c r="Q131" i="3" s="1"/>
  <c r="N131" i="3"/>
  <c r="K131" i="3"/>
  <c r="J131" i="3"/>
  <c r="I131" i="3"/>
  <c r="A131" i="3"/>
  <c r="W130" i="3"/>
  <c r="V130" i="3"/>
  <c r="U130" i="3"/>
  <c r="R130" i="3"/>
  <c r="P130" i="3"/>
  <c r="O130" i="3"/>
  <c r="Q130" i="3" s="1"/>
  <c r="N130" i="3"/>
  <c r="K130" i="3"/>
  <c r="J130" i="3"/>
  <c r="I130" i="3"/>
  <c r="A130" i="3"/>
  <c r="W129" i="3"/>
  <c r="V129" i="3"/>
  <c r="U129" i="3"/>
  <c r="R129" i="3"/>
  <c r="P129" i="3"/>
  <c r="O129" i="3"/>
  <c r="Q129" i="3" s="1"/>
  <c r="N129" i="3"/>
  <c r="K129" i="3"/>
  <c r="J129" i="3"/>
  <c r="I129" i="3"/>
  <c r="A129" i="3"/>
  <c r="W128" i="3"/>
  <c r="V128" i="3"/>
  <c r="U128" i="3"/>
  <c r="R128" i="3"/>
  <c r="P128" i="3"/>
  <c r="O128" i="3"/>
  <c r="Q128" i="3" s="1"/>
  <c r="N128" i="3"/>
  <c r="K128" i="3"/>
  <c r="J128" i="3"/>
  <c r="I128" i="3"/>
  <c r="A128" i="3"/>
  <c r="W127" i="3"/>
  <c r="V127" i="3"/>
  <c r="U127" i="3"/>
  <c r="R127" i="3"/>
  <c r="P127" i="3"/>
  <c r="O127" i="3"/>
  <c r="Q127" i="3" s="1"/>
  <c r="N127" i="3"/>
  <c r="K127" i="3"/>
  <c r="J127" i="3"/>
  <c r="I127" i="3"/>
  <c r="A127" i="3"/>
  <c r="W126" i="3"/>
  <c r="V126" i="3"/>
  <c r="U126" i="3"/>
  <c r="R126" i="3"/>
  <c r="P126" i="3"/>
  <c r="O126" i="3"/>
  <c r="Q126" i="3" s="1"/>
  <c r="N126" i="3"/>
  <c r="K126" i="3"/>
  <c r="J126" i="3"/>
  <c r="I126" i="3"/>
  <c r="A126" i="3"/>
  <c r="W125" i="3"/>
  <c r="V125" i="3"/>
  <c r="U125" i="3"/>
  <c r="R125" i="3"/>
  <c r="P125" i="3"/>
  <c r="O125" i="3"/>
  <c r="Q125" i="3" s="1"/>
  <c r="N125" i="3"/>
  <c r="K125" i="3"/>
  <c r="J125" i="3"/>
  <c r="I125" i="3"/>
  <c r="A125" i="3"/>
  <c r="W124" i="3"/>
  <c r="V124" i="3"/>
  <c r="U124" i="3"/>
  <c r="R124" i="3"/>
  <c r="P124" i="3"/>
  <c r="O124" i="3"/>
  <c r="Q124" i="3" s="1"/>
  <c r="N124" i="3"/>
  <c r="K124" i="3"/>
  <c r="J124" i="3"/>
  <c r="I124" i="3"/>
  <c r="A124" i="3"/>
  <c r="W123" i="3"/>
  <c r="V123" i="3"/>
  <c r="U123" i="3"/>
  <c r="R123" i="3"/>
  <c r="P123" i="3"/>
  <c r="O123" i="3"/>
  <c r="Q123" i="3" s="1"/>
  <c r="N123" i="3"/>
  <c r="K123" i="3"/>
  <c r="J123" i="3"/>
  <c r="I123" i="3"/>
  <c r="A123" i="3"/>
  <c r="W122" i="3"/>
  <c r="V122" i="3"/>
  <c r="U122" i="3"/>
  <c r="R122" i="3"/>
  <c r="P122" i="3"/>
  <c r="O122" i="3"/>
  <c r="Q122" i="3" s="1"/>
  <c r="N122" i="3"/>
  <c r="K122" i="3"/>
  <c r="J122" i="3"/>
  <c r="I122" i="3"/>
  <c r="A122" i="3"/>
  <c r="W121" i="3"/>
  <c r="V121" i="3"/>
  <c r="U121" i="3"/>
  <c r="R121" i="3"/>
  <c r="P121" i="3"/>
  <c r="O121" i="3"/>
  <c r="Q121" i="3" s="1"/>
  <c r="N121" i="3"/>
  <c r="K121" i="3"/>
  <c r="J121" i="3"/>
  <c r="I121" i="3"/>
  <c r="A121" i="3"/>
  <c r="W120" i="3"/>
  <c r="V120" i="3"/>
  <c r="U120" i="3"/>
  <c r="R120" i="3"/>
  <c r="P120" i="3"/>
  <c r="O120" i="3"/>
  <c r="Q120" i="3" s="1"/>
  <c r="N120" i="3"/>
  <c r="K120" i="3"/>
  <c r="J120" i="3"/>
  <c r="I120" i="3"/>
  <c r="A120" i="3"/>
  <c r="W119" i="3"/>
  <c r="V119" i="3"/>
  <c r="U119" i="3"/>
  <c r="R119" i="3"/>
  <c r="P119" i="3"/>
  <c r="O119" i="3"/>
  <c r="Q119" i="3" s="1"/>
  <c r="N119" i="3"/>
  <c r="K119" i="3"/>
  <c r="J119" i="3"/>
  <c r="I119" i="3"/>
  <c r="A119" i="3"/>
  <c r="W118" i="3"/>
  <c r="V118" i="3"/>
  <c r="U118" i="3"/>
  <c r="R118" i="3"/>
  <c r="P118" i="3"/>
  <c r="O118" i="3"/>
  <c r="Q118" i="3" s="1"/>
  <c r="N118" i="3"/>
  <c r="K118" i="3"/>
  <c r="J118" i="3"/>
  <c r="I118" i="3"/>
  <c r="A118" i="3"/>
  <c r="W117" i="3"/>
  <c r="V117" i="3"/>
  <c r="U117" i="3"/>
  <c r="R117" i="3"/>
  <c r="P117" i="3"/>
  <c r="O117" i="3"/>
  <c r="Q117" i="3" s="1"/>
  <c r="N117" i="3"/>
  <c r="K117" i="3"/>
  <c r="J117" i="3"/>
  <c r="I117" i="3"/>
  <c r="A117" i="3"/>
  <c r="W116" i="3"/>
  <c r="V116" i="3"/>
  <c r="U116" i="3"/>
  <c r="R116" i="3"/>
  <c r="P116" i="3"/>
  <c r="O116" i="3"/>
  <c r="Q116" i="3" s="1"/>
  <c r="N116" i="3"/>
  <c r="K116" i="3"/>
  <c r="J116" i="3"/>
  <c r="I116" i="3"/>
  <c r="A116" i="3"/>
  <c r="W115" i="3"/>
  <c r="V115" i="3"/>
  <c r="U115" i="3"/>
  <c r="R115" i="3"/>
  <c r="P115" i="3"/>
  <c r="O115" i="3"/>
  <c r="Q115" i="3" s="1"/>
  <c r="N115" i="3"/>
  <c r="K115" i="3"/>
  <c r="J115" i="3"/>
  <c r="I115" i="3"/>
  <c r="A115" i="3"/>
  <c r="W114" i="3"/>
  <c r="V114" i="3"/>
  <c r="U114" i="3"/>
  <c r="R114" i="3"/>
  <c r="P114" i="3"/>
  <c r="O114" i="3"/>
  <c r="Q114" i="3" s="1"/>
  <c r="N114" i="3"/>
  <c r="K114" i="3"/>
  <c r="J114" i="3"/>
  <c r="I114" i="3"/>
  <c r="A114" i="3"/>
  <c r="W113" i="3"/>
  <c r="V113" i="3"/>
  <c r="U113" i="3"/>
  <c r="R113" i="3"/>
  <c r="P113" i="3"/>
  <c r="O113" i="3"/>
  <c r="Q113" i="3" s="1"/>
  <c r="N113" i="3"/>
  <c r="K113" i="3"/>
  <c r="J113" i="3"/>
  <c r="I113" i="3"/>
  <c r="A113" i="3"/>
  <c r="W112" i="3"/>
  <c r="V112" i="3"/>
  <c r="U112" i="3"/>
  <c r="R112" i="3"/>
  <c r="P112" i="3"/>
  <c r="O112" i="3"/>
  <c r="Q112" i="3" s="1"/>
  <c r="N112" i="3"/>
  <c r="K112" i="3"/>
  <c r="J112" i="3"/>
  <c r="I112" i="3"/>
  <c r="A112" i="3"/>
  <c r="W111" i="3"/>
  <c r="V111" i="3"/>
  <c r="U111" i="3"/>
  <c r="R111" i="3"/>
  <c r="P111" i="3"/>
  <c r="O111" i="3"/>
  <c r="Q111" i="3" s="1"/>
  <c r="N111" i="3"/>
  <c r="K111" i="3"/>
  <c r="J111" i="3"/>
  <c r="I111" i="3"/>
  <c r="A111" i="3"/>
  <c r="W110" i="3"/>
  <c r="V110" i="3"/>
  <c r="U110" i="3"/>
  <c r="R110" i="3"/>
  <c r="P110" i="3"/>
  <c r="O110" i="3"/>
  <c r="Q110" i="3" s="1"/>
  <c r="N110" i="3"/>
  <c r="K110" i="3"/>
  <c r="J110" i="3"/>
  <c r="I110" i="3"/>
  <c r="A110" i="3"/>
  <c r="W109" i="3"/>
  <c r="V109" i="3"/>
  <c r="U109" i="3"/>
  <c r="R109" i="3"/>
  <c r="P109" i="3"/>
  <c r="O109" i="3"/>
  <c r="Q109" i="3" s="1"/>
  <c r="N109" i="3"/>
  <c r="K109" i="3"/>
  <c r="J109" i="3"/>
  <c r="I109" i="3"/>
  <c r="A109" i="3"/>
  <c r="W108" i="3"/>
  <c r="V108" i="3"/>
  <c r="U108" i="3"/>
  <c r="R108" i="3"/>
  <c r="P108" i="3"/>
  <c r="O108" i="3"/>
  <c r="Q108" i="3" s="1"/>
  <c r="N108" i="3"/>
  <c r="K108" i="3"/>
  <c r="J108" i="3"/>
  <c r="I108" i="3"/>
  <c r="A108" i="3"/>
  <c r="W107" i="3"/>
  <c r="V107" i="3"/>
  <c r="U107" i="3"/>
  <c r="R107" i="3"/>
  <c r="P107" i="3"/>
  <c r="O107" i="3"/>
  <c r="Q107" i="3" s="1"/>
  <c r="N107" i="3"/>
  <c r="K107" i="3"/>
  <c r="J107" i="3"/>
  <c r="I107" i="3"/>
  <c r="A107" i="3"/>
  <c r="W106" i="3"/>
  <c r="V106" i="3"/>
  <c r="U106" i="3"/>
  <c r="R106" i="3"/>
  <c r="P106" i="3"/>
  <c r="O106" i="3"/>
  <c r="Q106" i="3" s="1"/>
  <c r="N106" i="3"/>
  <c r="K106" i="3"/>
  <c r="J106" i="3"/>
  <c r="I106" i="3"/>
  <c r="A106" i="3"/>
  <c r="W105" i="3"/>
  <c r="V105" i="3"/>
  <c r="U105" i="3"/>
  <c r="R105" i="3"/>
  <c r="P105" i="3"/>
  <c r="O105" i="3"/>
  <c r="Q105" i="3" s="1"/>
  <c r="N105" i="3"/>
  <c r="K105" i="3"/>
  <c r="J105" i="3"/>
  <c r="I105" i="3"/>
  <c r="A105" i="3"/>
  <c r="W104" i="3"/>
  <c r="V104" i="3"/>
  <c r="U104" i="3"/>
  <c r="R104" i="3"/>
  <c r="P104" i="3"/>
  <c r="O104" i="3"/>
  <c r="Q104" i="3" s="1"/>
  <c r="N104" i="3"/>
  <c r="K104" i="3"/>
  <c r="J104" i="3"/>
  <c r="I104" i="3"/>
  <c r="A104" i="3"/>
  <c r="W103" i="3"/>
  <c r="V103" i="3"/>
  <c r="U103" i="3"/>
  <c r="R103" i="3"/>
  <c r="P103" i="3"/>
  <c r="O103" i="3"/>
  <c r="Q103" i="3" s="1"/>
  <c r="N103" i="3"/>
  <c r="K103" i="3"/>
  <c r="J103" i="3"/>
  <c r="I103" i="3"/>
  <c r="A103" i="3"/>
  <c r="W102" i="3"/>
  <c r="V102" i="3"/>
  <c r="U102" i="3"/>
  <c r="R102" i="3"/>
  <c r="P102" i="3"/>
  <c r="O102" i="3"/>
  <c r="Q102" i="3" s="1"/>
  <c r="N102" i="3"/>
  <c r="K102" i="3"/>
  <c r="J102" i="3"/>
  <c r="I102" i="3"/>
  <c r="A102" i="3"/>
  <c r="W101" i="3"/>
  <c r="V101" i="3"/>
  <c r="U101" i="3"/>
  <c r="R101" i="3"/>
  <c r="P101" i="3"/>
  <c r="O101" i="3"/>
  <c r="Q101" i="3" s="1"/>
  <c r="N101" i="3"/>
  <c r="K101" i="3"/>
  <c r="J101" i="3"/>
  <c r="I101" i="3"/>
  <c r="A101" i="3"/>
  <c r="W100" i="3"/>
  <c r="V100" i="3"/>
  <c r="U100" i="3"/>
  <c r="R100" i="3"/>
  <c r="P100" i="3"/>
  <c r="O100" i="3"/>
  <c r="Q100" i="3" s="1"/>
  <c r="N100" i="3"/>
  <c r="K100" i="3"/>
  <c r="J100" i="3"/>
  <c r="I100" i="3"/>
  <c r="A100" i="3"/>
  <c r="W99" i="3"/>
  <c r="V99" i="3"/>
  <c r="U99" i="3"/>
  <c r="R99" i="3"/>
  <c r="P99" i="3"/>
  <c r="O99" i="3"/>
  <c r="Q99" i="3" s="1"/>
  <c r="N99" i="3"/>
  <c r="K99" i="3"/>
  <c r="J99" i="3"/>
  <c r="I99" i="3"/>
  <c r="A99" i="3"/>
  <c r="W98" i="3"/>
  <c r="V98" i="3"/>
  <c r="U98" i="3"/>
  <c r="R98" i="3"/>
  <c r="P98" i="3"/>
  <c r="O98" i="3"/>
  <c r="Q98" i="3" s="1"/>
  <c r="N98" i="3"/>
  <c r="K98" i="3"/>
  <c r="J98" i="3"/>
  <c r="I98" i="3"/>
  <c r="A98" i="3"/>
  <c r="W97" i="3"/>
  <c r="V97" i="3"/>
  <c r="U97" i="3"/>
  <c r="R97" i="3"/>
  <c r="P97" i="3"/>
  <c r="O97" i="3"/>
  <c r="Q97" i="3" s="1"/>
  <c r="N97" i="3"/>
  <c r="K97" i="3"/>
  <c r="J97" i="3"/>
  <c r="I97" i="3"/>
  <c r="A97" i="3"/>
  <c r="W96" i="3"/>
  <c r="V96" i="3"/>
  <c r="U96" i="3"/>
  <c r="R96" i="3"/>
  <c r="P96" i="3"/>
  <c r="O96" i="3"/>
  <c r="Q96" i="3" s="1"/>
  <c r="N96" i="3"/>
  <c r="K96" i="3"/>
  <c r="J96" i="3"/>
  <c r="I96" i="3"/>
  <c r="A96" i="3"/>
  <c r="W95" i="3"/>
  <c r="V95" i="3"/>
  <c r="U95" i="3"/>
  <c r="R95" i="3"/>
  <c r="P95" i="3"/>
  <c r="O95" i="3"/>
  <c r="Q95" i="3" s="1"/>
  <c r="N95" i="3"/>
  <c r="K95" i="3"/>
  <c r="J95" i="3"/>
  <c r="I95" i="3"/>
  <c r="A95" i="3"/>
  <c r="W94" i="3"/>
  <c r="V94" i="3"/>
  <c r="U94" i="3"/>
  <c r="R94" i="3"/>
  <c r="P94" i="3"/>
  <c r="O94" i="3"/>
  <c r="Q94" i="3" s="1"/>
  <c r="N94" i="3"/>
  <c r="K94" i="3"/>
  <c r="J94" i="3"/>
  <c r="I94" i="3"/>
  <c r="A94" i="3"/>
  <c r="W93" i="3"/>
  <c r="V93" i="3"/>
  <c r="U93" i="3"/>
  <c r="R93" i="3"/>
  <c r="P93" i="3"/>
  <c r="O93" i="3"/>
  <c r="Q93" i="3" s="1"/>
  <c r="N93" i="3"/>
  <c r="K93" i="3"/>
  <c r="J93" i="3"/>
  <c r="I93" i="3"/>
  <c r="A93" i="3"/>
  <c r="W92" i="3"/>
  <c r="V92" i="3"/>
  <c r="U92" i="3"/>
  <c r="R92" i="3"/>
  <c r="P92" i="3"/>
  <c r="O92" i="3"/>
  <c r="Q92" i="3" s="1"/>
  <c r="N92" i="3"/>
  <c r="K92" i="3"/>
  <c r="J92" i="3"/>
  <c r="I92" i="3"/>
  <c r="A92" i="3"/>
  <c r="W91" i="3"/>
  <c r="V91" i="3"/>
  <c r="U91" i="3"/>
  <c r="R91" i="3"/>
  <c r="P91" i="3"/>
  <c r="O91" i="3"/>
  <c r="Q91" i="3" s="1"/>
  <c r="N91" i="3"/>
  <c r="K91" i="3"/>
  <c r="J91" i="3"/>
  <c r="I91" i="3"/>
  <c r="A91" i="3"/>
  <c r="W90" i="3"/>
  <c r="V90" i="3"/>
  <c r="U90" i="3"/>
  <c r="R90" i="3"/>
  <c r="P90" i="3"/>
  <c r="O90" i="3"/>
  <c r="Q90" i="3" s="1"/>
  <c r="N90" i="3"/>
  <c r="K90" i="3"/>
  <c r="J90" i="3"/>
  <c r="I90" i="3"/>
  <c r="A90" i="3"/>
  <c r="W89" i="3"/>
  <c r="V89" i="3"/>
  <c r="U89" i="3"/>
  <c r="R89" i="3"/>
  <c r="P89" i="3"/>
  <c r="O89" i="3"/>
  <c r="Q89" i="3" s="1"/>
  <c r="N89" i="3"/>
  <c r="K89" i="3"/>
  <c r="J89" i="3"/>
  <c r="I89" i="3"/>
  <c r="A89" i="3"/>
  <c r="W88" i="3"/>
  <c r="V88" i="3"/>
  <c r="U88" i="3"/>
  <c r="R88" i="3"/>
  <c r="P88" i="3"/>
  <c r="O88" i="3"/>
  <c r="Q88" i="3" s="1"/>
  <c r="N88" i="3"/>
  <c r="K88" i="3"/>
  <c r="J88" i="3"/>
  <c r="I88" i="3"/>
  <c r="A88" i="3"/>
  <c r="W87" i="3"/>
  <c r="V87" i="3"/>
  <c r="U87" i="3"/>
  <c r="R87" i="3"/>
  <c r="P87" i="3"/>
  <c r="O87" i="3"/>
  <c r="Q87" i="3" s="1"/>
  <c r="N87" i="3"/>
  <c r="K87" i="3"/>
  <c r="J87" i="3"/>
  <c r="I87" i="3"/>
  <c r="A87" i="3"/>
  <c r="W86" i="3"/>
  <c r="V86" i="3"/>
  <c r="U86" i="3"/>
  <c r="R86" i="3"/>
  <c r="P86" i="3"/>
  <c r="O86" i="3"/>
  <c r="Q86" i="3" s="1"/>
  <c r="N86" i="3"/>
  <c r="K86" i="3"/>
  <c r="J86" i="3"/>
  <c r="I86" i="3"/>
  <c r="A86" i="3"/>
  <c r="W85" i="3"/>
  <c r="V85" i="3"/>
  <c r="U85" i="3"/>
  <c r="R85" i="3"/>
  <c r="P85" i="3"/>
  <c r="O85" i="3"/>
  <c r="Q85" i="3" s="1"/>
  <c r="N85" i="3"/>
  <c r="K85" i="3"/>
  <c r="J85" i="3"/>
  <c r="I85" i="3"/>
  <c r="A85" i="3"/>
  <c r="W84" i="3"/>
  <c r="V84" i="3"/>
  <c r="U84" i="3"/>
  <c r="R84" i="3"/>
  <c r="P84" i="3"/>
  <c r="O84" i="3"/>
  <c r="Q84" i="3" s="1"/>
  <c r="N84" i="3"/>
  <c r="K84" i="3"/>
  <c r="J84" i="3"/>
  <c r="I84" i="3"/>
  <c r="A84" i="3"/>
  <c r="W83" i="3"/>
  <c r="V83" i="3"/>
  <c r="U83" i="3"/>
  <c r="R83" i="3"/>
  <c r="P83" i="3"/>
  <c r="O83" i="3"/>
  <c r="Q83" i="3" s="1"/>
  <c r="N83" i="3"/>
  <c r="K83" i="3"/>
  <c r="J83" i="3"/>
  <c r="I83" i="3"/>
  <c r="A83" i="3"/>
  <c r="W82" i="3"/>
  <c r="V82" i="3"/>
  <c r="U82" i="3"/>
  <c r="R82" i="3"/>
  <c r="P82" i="3"/>
  <c r="O82" i="3"/>
  <c r="Q82" i="3" s="1"/>
  <c r="N82" i="3"/>
  <c r="K82" i="3"/>
  <c r="J82" i="3"/>
  <c r="I82" i="3"/>
  <c r="A82" i="3"/>
  <c r="W81" i="3"/>
  <c r="V81" i="3"/>
  <c r="U81" i="3"/>
  <c r="R81" i="3"/>
  <c r="P81" i="3"/>
  <c r="O81" i="3"/>
  <c r="Q81" i="3" s="1"/>
  <c r="N81" i="3"/>
  <c r="K81" i="3"/>
  <c r="J81" i="3"/>
  <c r="I81" i="3"/>
  <c r="A81" i="3"/>
  <c r="W80" i="3"/>
  <c r="V80" i="3"/>
  <c r="U80" i="3"/>
  <c r="R80" i="3"/>
  <c r="P80" i="3"/>
  <c r="O80" i="3"/>
  <c r="Q80" i="3" s="1"/>
  <c r="N80" i="3"/>
  <c r="K80" i="3"/>
  <c r="J80" i="3"/>
  <c r="I80" i="3"/>
  <c r="A80" i="3"/>
  <c r="W79" i="3"/>
  <c r="V79" i="3"/>
  <c r="U79" i="3"/>
  <c r="R79" i="3"/>
  <c r="P79" i="3"/>
  <c r="O79" i="3"/>
  <c r="Q79" i="3" s="1"/>
  <c r="N79" i="3"/>
  <c r="K79" i="3"/>
  <c r="J79" i="3"/>
  <c r="I79" i="3"/>
  <c r="A79" i="3"/>
  <c r="W78" i="3"/>
  <c r="V78" i="3"/>
  <c r="U78" i="3"/>
  <c r="R78" i="3"/>
  <c r="P78" i="3"/>
  <c r="O78" i="3"/>
  <c r="Q78" i="3" s="1"/>
  <c r="N78" i="3"/>
  <c r="K78" i="3"/>
  <c r="J78" i="3"/>
  <c r="I78" i="3"/>
  <c r="A78" i="3"/>
  <c r="W77" i="3"/>
  <c r="V77" i="3"/>
  <c r="U77" i="3"/>
  <c r="R77" i="3"/>
  <c r="P77" i="3"/>
  <c r="O77" i="3"/>
  <c r="Q77" i="3" s="1"/>
  <c r="N77" i="3"/>
  <c r="K77" i="3"/>
  <c r="J77" i="3"/>
  <c r="I77" i="3"/>
  <c r="A77" i="3"/>
  <c r="W76" i="3"/>
  <c r="V76" i="3"/>
  <c r="U76" i="3"/>
  <c r="R76" i="3"/>
  <c r="P76" i="3"/>
  <c r="O76" i="3"/>
  <c r="Q76" i="3" s="1"/>
  <c r="N76" i="3"/>
  <c r="K76" i="3"/>
  <c r="J76" i="3"/>
  <c r="I76" i="3"/>
  <c r="A76" i="3"/>
  <c r="W75" i="3"/>
  <c r="V75" i="3"/>
  <c r="U75" i="3"/>
  <c r="R75" i="3"/>
  <c r="P75" i="3"/>
  <c r="O75" i="3"/>
  <c r="Q75" i="3" s="1"/>
  <c r="N75" i="3"/>
  <c r="K75" i="3"/>
  <c r="J75" i="3"/>
  <c r="I75" i="3"/>
  <c r="A75" i="3"/>
  <c r="W74" i="3"/>
  <c r="V74" i="3"/>
  <c r="U74" i="3"/>
  <c r="R74" i="3"/>
  <c r="P74" i="3"/>
  <c r="O74" i="3"/>
  <c r="Q74" i="3" s="1"/>
  <c r="N74" i="3"/>
  <c r="K74" i="3"/>
  <c r="J74" i="3"/>
  <c r="I74" i="3"/>
  <c r="A74" i="3"/>
  <c r="W73" i="3"/>
  <c r="V73" i="3"/>
  <c r="U73" i="3"/>
  <c r="R73" i="3"/>
  <c r="P73" i="3"/>
  <c r="O73" i="3"/>
  <c r="Q73" i="3" s="1"/>
  <c r="N73" i="3"/>
  <c r="K73" i="3"/>
  <c r="J73" i="3"/>
  <c r="I73" i="3"/>
  <c r="A73" i="3"/>
  <c r="W72" i="3"/>
  <c r="V72" i="3"/>
  <c r="U72" i="3"/>
  <c r="R72" i="3"/>
  <c r="P72" i="3"/>
  <c r="O72" i="3"/>
  <c r="Q72" i="3" s="1"/>
  <c r="N72" i="3"/>
  <c r="K72" i="3"/>
  <c r="J72" i="3"/>
  <c r="I72" i="3"/>
  <c r="A72" i="3"/>
  <c r="W71" i="3"/>
  <c r="V71" i="3"/>
  <c r="U71" i="3"/>
  <c r="R71" i="3"/>
  <c r="P71" i="3"/>
  <c r="O71" i="3"/>
  <c r="Q71" i="3" s="1"/>
  <c r="N71" i="3"/>
  <c r="K71" i="3"/>
  <c r="J71" i="3"/>
  <c r="I71" i="3"/>
  <c r="A71" i="3"/>
  <c r="W70" i="3"/>
  <c r="V70" i="3"/>
  <c r="U70" i="3"/>
  <c r="R70" i="3"/>
  <c r="P70" i="3"/>
  <c r="O70" i="3"/>
  <c r="Q70" i="3" s="1"/>
  <c r="N70" i="3"/>
  <c r="K70" i="3"/>
  <c r="J70" i="3"/>
  <c r="I70" i="3"/>
  <c r="A70" i="3"/>
  <c r="W69" i="3"/>
  <c r="V69" i="3"/>
  <c r="U69" i="3"/>
  <c r="R69" i="3"/>
  <c r="P69" i="3"/>
  <c r="O69" i="3"/>
  <c r="Q69" i="3" s="1"/>
  <c r="N69" i="3"/>
  <c r="K69" i="3"/>
  <c r="J69" i="3"/>
  <c r="I69" i="3"/>
  <c r="A69" i="3"/>
  <c r="W68" i="3"/>
  <c r="V68" i="3"/>
  <c r="U68" i="3"/>
  <c r="R68" i="3"/>
  <c r="P68" i="3"/>
  <c r="O68" i="3"/>
  <c r="Q68" i="3" s="1"/>
  <c r="N68" i="3"/>
  <c r="K68" i="3"/>
  <c r="J68" i="3"/>
  <c r="I68" i="3"/>
  <c r="A68" i="3"/>
  <c r="W67" i="3"/>
  <c r="V67" i="3"/>
  <c r="U67" i="3"/>
  <c r="R67" i="3"/>
  <c r="P67" i="3"/>
  <c r="O67" i="3"/>
  <c r="Q67" i="3" s="1"/>
  <c r="N67" i="3"/>
  <c r="K67" i="3"/>
  <c r="J67" i="3"/>
  <c r="I67" i="3"/>
  <c r="A67" i="3"/>
  <c r="W66" i="3"/>
  <c r="V66" i="3"/>
  <c r="U66" i="3"/>
  <c r="R66" i="3"/>
  <c r="P66" i="3"/>
  <c r="O66" i="3"/>
  <c r="Q66" i="3" s="1"/>
  <c r="N66" i="3"/>
  <c r="K66" i="3"/>
  <c r="J66" i="3"/>
  <c r="I66" i="3"/>
  <c r="A66" i="3"/>
  <c r="W65" i="3"/>
  <c r="V65" i="3"/>
  <c r="U65" i="3"/>
  <c r="R65" i="3"/>
  <c r="P65" i="3"/>
  <c r="O65" i="3"/>
  <c r="Q65" i="3" s="1"/>
  <c r="N65" i="3"/>
  <c r="K65" i="3"/>
  <c r="J65" i="3"/>
  <c r="I65" i="3"/>
  <c r="A65" i="3"/>
  <c r="W64" i="3"/>
  <c r="V64" i="3"/>
  <c r="U64" i="3"/>
  <c r="R64" i="3"/>
  <c r="P64" i="3"/>
  <c r="O64" i="3"/>
  <c r="Q64" i="3" s="1"/>
  <c r="N64" i="3"/>
  <c r="K64" i="3"/>
  <c r="J64" i="3"/>
  <c r="I64" i="3"/>
  <c r="A64" i="3"/>
  <c r="W63" i="3"/>
  <c r="V63" i="3"/>
  <c r="U63" i="3"/>
  <c r="R63" i="3"/>
  <c r="P63" i="3"/>
  <c r="O63" i="3"/>
  <c r="Q63" i="3" s="1"/>
  <c r="N63" i="3"/>
  <c r="K63" i="3"/>
  <c r="J63" i="3"/>
  <c r="I63" i="3"/>
  <c r="A63" i="3"/>
  <c r="W62" i="3"/>
  <c r="V62" i="3"/>
  <c r="U62" i="3"/>
  <c r="R62" i="3"/>
  <c r="P62" i="3"/>
  <c r="O62" i="3"/>
  <c r="Q62" i="3" s="1"/>
  <c r="N62" i="3"/>
  <c r="K62" i="3"/>
  <c r="J62" i="3"/>
  <c r="I62" i="3"/>
  <c r="A62" i="3"/>
  <c r="W61" i="3"/>
  <c r="V61" i="3"/>
  <c r="U61" i="3"/>
  <c r="R61" i="3"/>
  <c r="P61" i="3"/>
  <c r="O61" i="3"/>
  <c r="Q61" i="3" s="1"/>
  <c r="N61" i="3"/>
  <c r="K61" i="3"/>
  <c r="J61" i="3"/>
  <c r="I61" i="3"/>
  <c r="A61" i="3"/>
  <c r="W60" i="3"/>
  <c r="V60" i="3"/>
  <c r="U60" i="3"/>
  <c r="R60" i="3"/>
  <c r="P60" i="3"/>
  <c r="O60" i="3"/>
  <c r="Q60" i="3" s="1"/>
  <c r="N60" i="3"/>
  <c r="K60" i="3"/>
  <c r="J60" i="3"/>
  <c r="I60" i="3"/>
  <c r="A60" i="3"/>
  <c r="W59" i="3"/>
  <c r="V59" i="3"/>
  <c r="U59" i="3"/>
  <c r="R59" i="3"/>
  <c r="P59" i="3"/>
  <c r="O59" i="3"/>
  <c r="Q59" i="3" s="1"/>
  <c r="N59" i="3"/>
  <c r="K59" i="3"/>
  <c r="J59" i="3"/>
  <c r="I59" i="3"/>
  <c r="A59" i="3"/>
  <c r="W58" i="3"/>
  <c r="V58" i="3"/>
  <c r="U58" i="3"/>
  <c r="R58" i="3"/>
  <c r="P58" i="3"/>
  <c r="O58" i="3"/>
  <c r="Q58" i="3" s="1"/>
  <c r="N58" i="3"/>
  <c r="K58" i="3"/>
  <c r="J58" i="3"/>
  <c r="I58" i="3"/>
  <c r="A58" i="3"/>
  <c r="W57" i="3"/>
  <c r="V57" i="3"/>
  <c r="U57" i="3"/>
  <c r="R57" i="3"/>
  <c r="P57" i="3"/>
  <c r="O57" i="3"/>
  <c r="Q57" i="3" s="1"/>
  <c r="N57" i="3"/>
  <c r="K57" i="3"/>
  <c r="J57" i="3"/>
  <c r="I57" i="3"/>
  <c r="A57" i="3"/>
  <c r="W56" i="3"/>
  <c r="V56" i="3"/>
  <c r="U56" i="3"/>
  <c r="R56" i="3"/>
  <c r="P56" i="3"/>
  <c r="O56" i="3"/>
  <c r="Q56" i="3" s="1"/>
  <c r="N56" i="3"/>
  <c r="K56" i="3"/>
  <c r="J56" i="3"/>
  <c r="I56" i="3"/>
  <c r="A56" i="3"/>
  <c r="W55" i="3"/>
  <c r="V55" i="3"/>
  <c r="U55" i="3"/>
  <c r="R55" i="3"/>
  <c r="P55" i="3"/>
  <c r="O55" i="3"/>
  <c r="Q55" i="3" s="1"/>
  <c r="N55" i="3"/>
  <c r="K55" i="3"/>
  <c r="J55" i="3"/>
  <c r="I55" i="3"/>
  <c r="A55" i="3"/>
  <c r="W54" i="3"/>
  <c r="V54" i="3"/>
  <c r="U54" i="3"/>
  <c r="R54" i="3"/>
  <c r="P54" i="3"/>
  <c r="O54" i="3"/>
  <c r="Q54" i="3" s="1"/>
  <c r="N54" i="3"/>
  <c r="K54" i="3"/>
  <c r="J54" i="3"/>
  <c r="I54" i="3"/>
  <c r="A54" i="3"/>
  <c r="W53" i="3"/>
  <c r="V53" i="3"/>
  <c r="U53" i="3"/>
  <c r="R53" i="3"/>
  <c r="P53" i="3"/>
  <c r="O53" i="3"/>
  <c r="Q53" i="3" s="1"/>
  <c r="N53" i="3"/>
  <c r="K53" i="3"/>
  <c r="J53" i="3"/>
  <c r="I53" i="3"/>
  <c r="A53" i="3"/>
  <c r="W52" i="3"/>
  <c r="V52" i="3"/>
  <c r="U52" i="3"/>
  <c r="R52" i="3"/>
  <c r="P52" i="3"/>
  <c r="O52" i="3"/>
  <c r="Q52" i="3" s="1"/>
  <c r="N52" i="3"/>
  <c r="K52" i="3"/>
  <c r="J52" i="3"/>
  <c r="I52" i="3"/>
  <c r="A52" i="3"/>
  <c r="W51" i="3"/>
  <c r="V51" i="3"/>
  <c r="U51" i="3"/>
  <c r="R51" i="3"/>
  <c r="P51" i="3"/>
  <c r="O51" i="3"/>
  <c r="Q51" i="3" s="1"/>
  <c r="N51" i="3"/>
  <c r="K51" i="3"/>
  <c r="J51" i="3"/>
  <c r="I51" i="3"/>
  <c r="A51" i="3"/>
  <c r="W50" i="3"/>
  <c r="V50" i="3"/>
  <c r="U50" i="3"/>
  <c r="R50" i="3"/>
  <c r="P50" i="3"/>
  <c r="O50" i="3"/>
  <c r="Q50" i="3" s="1"/>
  <c r="N50" i="3"/>
  <c r="K50" i="3"/>
  <c r="J50" i="3"/>
  <c r="I50" i="3"/>
  <c r="A50" i="3"/>
  <c r="W49" i="3"/>
  <c r="V49" i="3"/>
  <c r="U49" i="3"/>
  <c r="R49" i="3"/>
  <c r="P49" i="3"/>
  <c r="O49" i="3"/>
  <c r="Q49" i="3" s="1"/>
  <c r="N49" i="3"/>
  <c r="K49" i="3"/>
  <c r="J49" i="3"/>
  <c r="I49" i="3"/>
  <c r="A49" i="3"/>
  <c r="W48" i="3"/>
  <c r="V48" i="3"/>
  <c r="U48" i="3"/>
  <c r="R48" i="3"/>
  <c r="P48" i="3"/>
  <c r="O48" i="3"/>
  <c r="Q48" i="3" s="1"/>
  <c r="N48" i="3"/>
  <c r="K48" i="3"/>
  <c r="J48" i="3"/>
  <c r="I48" i="3"/>
  <c r="A48" i="3"/>
  <c r="W47" i="3"/>
  <c r="V47" i="3"/>
  <c r="U47" i="3"/>
  <c r="R47" i="3"/>
  <c r="P47" i="3"/>
  <c r="O47" i="3"/>
  <c r="Q47" i="3" s="1"/>
  <c r="N47" i="3"/>
  <c r="K47" i="3"/>
  <c r="J47" i="3"/>
  <c r="I47" i="3"/>
  <c r="A47" i="3"/>
  <c r="W46" i="3"/>
  <c r="V46" i="3"/>
  <c r="U46" i="3"/>
  <c r="R46" i="3"/>
  <c r="P46" i="3"/>
  <c r="O46" i="3"/>
  <c r="Q46" i="3" s="1"/>
  <c r="N46" i="3"/>
  <c r="K46" i="3"/>
  <c r="J46" i="3"/>
  <c r="I46" i="3"/>
  <c r="A46" i="3"/>
  <c r="W45" i="3"/>
  <c r="V45" i="3"/>
  <c r="U45" i="3"/>
  <c r="R45" i="3"/>
  <c r="P45" i="3"/>
  <c r="O45" i="3"/>
  <c r="Q45" i="3" s="1"/>
  <c r="N45" i="3"/>
  <c r="K45" i="3"/>
  <c r="J45" i="3"/>
  <c r="I45" i="3"/>
  <c r="A45" i="3"/>
  <c r="W44" i="3"/>
  <c r="V44" i="3"/>
  <c r="U44" i="3"/>
  <c r="R44" i="3"/>
  <c r="P44" i="3"/>
  <c r="O44" i="3"/>
  <c r="Q44" i="3" s="1"/>
  <c r="N44" i="3"/>
  <c r="K44" i="3"/>
  <c r="J44" i="3"/>
  <c r="I44" i="3"/>
  <c r="A44" i="3"/>
  <c r="W43" i="3"/>
  <c r="V43" i="3"/>
  <c r="U43" i="3"/>
  <c r="R43" i="3"/>
  <c r="P43" i="3"/>
  <c r="O43" i="3"/>
  <c r="Q43" i="3" s="1"/>
  <c r="N43" i="3"/>
  <c r="K43" i="3"/>
  <c r="J43" i="3"/>
  <c r="I43" i="3"/>
  <c r="A43" i="3"/>
  <c r="W42" i="3"/>
  <c r="V42" i="3"/>
  <c r="U42" i="3"/>
  <c r="R42" i="3"/>
  <c r="P42" i="3"/>
  <c r="O42" i="3"/>
  <c r="Q42" i="3" s="1"/>
  <c r="N42" i="3"/>
  <c r="K42" i="3"/>
  <c r="J42" i="3"/>
  <c r="I42" i="3"/>
  <c r="A42" i="3"/>
  <c r="W41" i="3"/>
  <c r="V41" i="3"/>
  <c r="U41" i="3"/>
  <c r="R41" i="3"/>
  <c r="P41" i="3"/>
  <c r="O41" i="3"/>
  <c r="Q41" i="3" s="1"/>
  <c r="N41" i="3"/>
  <c r="K41" i="3"/>
  <c r="J41" i="3"/>
  <c r="I41" i="3"/>
  <c r="A41" i="3"/>
  <c r="W40" i="3"/>
  <c r="V40" i="3"/>
  <c r="U40" i="3"/>
  <c r="R40" i="3"/>
  <c r="P40" i="3"/>
  <c r="O40" i="3"/>
  <c r="Q40" i="3" s="1"/>
  <c r="N40" i="3"/>
  <c r="K40" i="3"/>
  <c r="J40" i="3"/>
  <c r="I40" i="3"/>
  <c r="A40" i="3"/>
  <c r="W39" i="3"/>
  <c r="V39" i="3"/>
  <c r="U39" i="3"/>
  <c r="R39" i="3"/>
  <c r="P39" i="3"/>
  <c r="O39" i="3"/>
  <c r="Q39" i="3" s="1"/>
  <c r="N39" i="3"/>
  <c r="K39" i="3"/>
  <c r="J39" i="3"/>
  <c r="I39" i="3"/>
  <c r="A39" i="3"/>
  <c r="W38" i="3"/>
  <c r="V38" i="3"/>
  <c r="U38" i="3"/>
  <c r="R38" i="3"/>
  <c r="P38" i="3"/>
  <c r="O38" i="3"/>
  <c r="Q38" i="3" s="1"/>
  <c r="N38" i="3"/>
  <c r="K38" i="3"/>
  <c r="J38" i="3"/>
  <c r="I38" i="3"/>
  <c r="A38" i="3"/>
  <c r="W37" i="3"/>
  <c r="V37" i="3"/>
  <c r="U37" i="3"/>
  <c r="R37" i="3"/>
  <c r="P37" i="3"/>
  <c r="O37" i="3"/>
  <c r="Q37" i="3" s="1"/>
  <c r="N37" i="3"/>
  <c r="K37" i="3"/>
  <c r="J37" i="3"/>
  <c r="I37" i="3"/>
  <c r="A37" i="3"/>
  <c r="W36" i="3"/>
  <c r="V36" i="3"/>
  <c r="U36" i="3"/>
  <c r="R36" i="3"/>
  <c r="P36" i="3"/>
  <c r="O36" i="3"/>
  <c r="Q36" i="3" s="1"/>
  <c r="N36" i="3"/>
  <c r="K36" i="3"/>
  <c r="J36" i="3"/>
  <c r="I36" i="3"/>
  <c r="A36" i="3"/>
  <c r="W35" i="3"/>
  <c r="V35" i="3"/>
  <c r="U35" i="3"/>
  <c r="R35" i="3"/>
  <c r="P35" i="3"/>
  <c r="O35" i="3"/>
  <c r="Q35" i="3" s="1"/>
  <c r="N35" i="3"/>
  <c r="K35" i="3"/>
  <c r="J35" i="3"/>
  <c r="I35" i="3"/>
  <c r="A35" i="3"/>
  <c r="W34" i="3"/>
  <c r="V34" i="3"/>
  <c r="U34" i="3"/>
  <c r="R34" i="3"/>
  <c r="P34" i="3"/>
  <c r="O34" i="3"/>
  <c r="Q34" i="3" s="1"/>
  <c r="N34" i="3"/>
  <c r="K34" i="3"/>
  <c r="J34" i="3"/>
  <c r="I34" i="3"/>
  <c r="A34" i="3"/>
  <c r="W33" i="3"/>
  <c r="V33" i="3"/>
  <c r="U33" i="3"/>
  <c r="R33" i="3"/>
  <c r="P33" i="3"/>
  <c r="O33" i="3"/>
  <c r="Q33" i="3" s="1"/>
  <c r="N33" i="3"/>
  <c r="K33" i="3"/>
  <c r="J33" i="3"/>
  <c r="I33" i="3"/>
  <c r="A33" i="3"/>
  <c r="W32" i="3"/>
  <c r="V32" i="3"/>
  <c r="U32" i="3"/>
  <c r="R32" i="3"/>
  <c r="P32" i="3"/>
  <c r="O32" i="3"/>
  <c r="Q32" i="3" s="1"/>
  <c r="N32" i="3"/>
  <c r="K32" i="3"/>
  <c r="J32" i="3"/>
  <c r="I32" i="3"/>
  <c r="A32" i="3"/>
  <c r="W31" i="3"/>
  <c r="V31" i="3"/>
  <c r="U31" i="3"/>
  <c r="R31" i="3"/>
  <c r="P31" i="3"/>
  <c r="O31" i="3"/>
  <c r="Q31" i="3" s="1"/>
  <c r="N31" i="3"/>
  <c r="K31" i="3"/>
  <c r="J31" i="3"/>
  <c r="I31" i="3"/>
  <c r="A31" i="3"/>
  <c r="W30" i="3"/>
  <c r="V30" i="3"/>
  <c r="U30" i="3"/>
  <c r="R30" i="3"/>
  <c r="P30" i="3"/>
  <c r="O30" i="3"/>
  <c r="Q30" i="3" s="1"/>
  <c r="N30" i="3"/>
  <c r="K30" i="3"/>
  <c r="J30" i="3"/>
  <c r="I30" i="3"/>
  <c r="A30" i="3"/>
  <c r="W29" i="3"/>
  <c r="V29" i="3"/>
  <c r="U29" i="3"/>
  <c r="R29" i="3"/>
  <c r="P29" i="3"/>
  <c r="O29" i="3"/>
  <c r="Q29" i="3" s="1"/>
  <c r="N29" i="3"/>
  <c r="K29" i="3"/>
  <c r="J29" i="3"/>
  <c r="I29" i="3"/>
  <c r="A29" i="3"/>
  <c r="W28" i="3"/>
  <c r="V28" i="3"/>
  <c r="U28" i="3"/>
  <c r="R28" i="3"/>
  <c r="P28" i="3"/>
  <c r="O28" i="3"/>
  <c r="Q28" i="3" s="1"/>
  <c r="N28" i="3"/>
  <c r="K28" i="3"/>
  <c r="J28" i="3"/>
  <c r="I28" i="3"/>
  <c r="A28" i="3"/>
  <c r="W27" i="3"/>
  <c r="V27" i="3"/>
  <c r="U27" i="3"/>
  <c r="R27" i="3"/>
  <c r="P27" i="3"/>
  <c r="O27" i="3"/>
  <c r="Q27" i="3" s="1"/>
  <c r="N27" i="3"/>
  <c r="K27" i="3"/>
  <c r="J27" i="3"/>
  <c r="I27" i="3"/>
  <c r="A27" i="3"/>
  <c r="W26" i="3"/>
  <c r="V26" i="3"/>
  <c r="U26" i="3"/>
  <c r="R26" i="3"/>
  <c r="P26" i="3"/>
  <c r="O26" i="3"/>
  <c r="Q26" i="3" s="1"/>
  <c r="N26" i="3"/>
  <c r="K26" i="3"/>
  <c r="J26" i="3"/>
  <c r="I26" i="3"/>
  <c r="A26" i="3"/>
  <c r="W25" i="3"/>
  <c r="V25" i="3"/>
  <c r="U25" i="3"/>
  <c r="R25" i="3"/>
  <c r="P25" i="3"/>
  <c r="O25" i="3"/>
  <c r="Q25" i="3" s="1"/>
  <c r="N25" i="3"/>
  <c r="K25" i="3"/>
  <c r="J25" i="3"/>
  <c r="I25" i="3"/>
  <c r="A25" i="3"/>
  <c r="W24" i="3"/>
  <c r="V24" i="3"/>
  <c r="U24" i="3"/>
  <c r="R24" i="3"/>
  <c r="P24" i="3"/>
  <c r="O24" i="3"/>
  <c r="Q24" i="3" s="1"/>
  <c r="N24" i="3"/>
  <c r="K24" i="3"/>
  <c r="J24" i="3"/>
  <c r="I24" i="3"/>
  <c r="A24" i="3"/>
  <c r="W23" i="3"/>
  <c r="V23" i="3"/>
  <c r="U23" i="3"/>
  <c r="R23" i="3"/>
  <c r="P23" i="3"/>
  <c r="O23" i="3"/>
  <c r="Q23" i="3" s="1"/>
  <c r="N23" i="3"/>
  <c r="K23" i="3"/>
  <c r="J23" i="3"/>
  <c r="I23" i="3"/>
  <c r="A23" i="3"/>
  <c r="W22" i="3"/>
  <c r="V22" i="3"/>
  <c r="U22" i="3"/>
  <c r="R22" i="3"/>
  <c r="P22" i="3"/>
  <c r="O22" i="3"/>
  <c r="Q22" i="3" s="1"/>
  <c r="N22" i="3"/>
  <c r="K22" i="3"/>
  <c r="J22" i="3"/>
  <c r="I22" i="3"/>
  <c r="A22" i="3"/>
  <c r="W21" i="3"/>
  <c r="V21" i="3"/>
  <c r="U21" i="3"/>
  <c r="R21" i="3"/>
  <c r="P21" i="3"/>
  <c r="O21" i="3"/>
  <c r="Q21" i="3" s="1"/>
  <c r="N21" i="3"/>
  <c r="K21" i="3"/>
  <c r="J21" i="3"/>
  <c r="I21" i="3"/>
  <c r="A21" i="3"/>
  <c r="W20" i="3"/>
  <c r="V20" i="3"/>
  <c r="U20" i="3"/>
  <c r="R20" i="3"/>
  <c r="P20" i="3"/>
  <c r="O20" i="3"/>
  <c r="Q20" i="3" s="1"/>
  <c r="N20" i="3"/>
  <c r="K20" i="3"/>
  <c r="J20" i="3"/>
  <c r="I20" i="3"/>
  <c r="A20" i="3"/>
  <c r="W19" i="3"/>
  <c r="V19" i="3"/>
  <c r="U19" i="3"/>
  <c r="R19" i="3"/>
  <c r="P19" i="3"/>
  <c r="O19" i="3"/>
  <c r="Q19" i="3" s="1"/>
  <c r="N19" i="3"/>
  <c r="K19" i="3"/>
  <c r="J19" i="3"/>
  <c r="I19" i="3"/>
  <c r="A19" i="3"/>
  <c r="W18" i="3"/>
  <c r="V18" i="3"/>
  <c r="U18" i="3"/>
  <c r="R18" i="3"/>
  <c r="P18" i="3"/>
  <c r="O18" i="3"/>
  <c r="Q18" i="3" s="1"/>
  <c r="N18" i="3"/>
  <c r="K18" i="3"/>
  <c r="J18" i="3"/>
  <c r="I18" i="3"/>
  <c r="A18" i="3"/>
  <c r="W17" i="3"/>
  <c r="V17" i="3"/>
  <c r="U17" i="3"/>
  <c r="R17" i="3"/>
  <c r="P17" i="3"/>
  <c r="O17" i="3"/>
  <c r="Q17" i="3" s="1"/>
  <c r="N17" i="3"/>
  <c r="K17" i="3"/>
  <c r="J17" i="3"/>
  <c r="I17" i="3"/>
  <c r="A17" i="3"/>
  <c r="W16" i="3"/>
  <c r="V16" i="3"/>
  <c r="U16" i="3"/>
  <c r="R16" i="3"/>
  <c r="P16" i="3"/>
  <c r="O16" i="3"/>
  <c r="Q16" i="3" s="1"/>
  <c r="N16" i="3"/>
  <c r="K16" i="3"/>
  <c r="J16" i="3"/>
  <c r="I16" i="3"/>
  <c r="A16" i="3"/>
  <c r="W15" i="3"/>
  <c r="V15" i="3"/>
  <c r="U15" i="3"/>
  <c r="R15" i="3"/>
  <c r="P15" i="3"/>
  <c r="O15" i="3"/>
  <c r="Q15" i="3" s="1"/>
  <c r="N15" i="3"/>
  <c r="K15" i="3"/>
  <c r="J15" i="3"/>
  <c r="I15" i="3"/>
  <c r="A15" i="3"/>
  <c r="W14" i="3"/>
  <c r="V14" i="3"/>
  <c r="U14" i="3"/>
  <c r="R14" i="3"/>
  <c r="P14" i="3"/>
  <c r="O14" i="3"/>
  <c r="Q14" i="3" s="1"/>
  <c r="N14" i="3"/>
  <c r="K14" i="3"/>
  <c r="J14" i="3"/>
  <c r="I14" i="3"/>
  <c r="A14" i="3"/>
  <c r="W13" i="3"/>
  <c r="V13" i="3"/>
  <c r="U13" i="3"/>
  <c r="R13" i="3"/>
  <c r="P13" i="3"/>
  <c r="O13" i="3"/>
  <c r="Q13" i="3" s="1"/>
  <c r="N13" i="3"/>
  <c r="K13" i="3"/>
  <c r="J13" i="3"/>
  <c r="I13" i="3"/>
  <c r="A13" i="3"/>
  <c r="W12" i="3"/>
  <c r="V12" i="3"/>
  <c r="U12" i="3"/>
  <c r="R12" i="3"/>
  <c r="P12" i="3"/>
  <c r="O12" i="3"/>
  <c r="Q12" i="3" s="1"/>
  <c r="N12" i="3"/>
  <c r="K12" i="3"/>
  <c r="J12" i="3"/>
  <c r="I12" i="3"/>
  <c r="A12" i="3"/>
  <c r="W11" i="3"/>
  <c r="V11" i="3"/>
  <c r="U11" i="3"/>
  <c r="R11" i="3"/>
  <c r="P11" i="3"/>
  <c r="O11" i="3"/>
  <c r="Q11" i="3" s="1"/>
  <c r="N11" i="3"/>
  <c r="K11" i="3"/>
  <c r="J11" i="3"/>
  <c r="I11" i="3"/>
  <c r="A11" i="3"/>
  <c r="W10" i="3"/>
  <c r="V10" i="3"/>
  <c r="U10" i="3"/>
  <c r="R10" i="3"/>
  <c r="P10" i="3"/>
  <c r="O10" i="3"/>
  <c r="Q10" i="3" s="1"/>
  <c r="N10" i="3"/>
  <c r="K10" i="3"/>
  <c r="J10" i="3"/>
  <c r="I10" i="3"/>
  <c r="A10" i="3"/>
  <c r="W9" i="3"/>
  <c r="V9" i="3"/>
  <c r="U9" i="3"/>
  <c r="R9" i="3"/>
  <c r="P9" i="3"/>
  <c r="O9" i="3"/>
  <c r="Q9" i="3" s="1"/>
  <c r="N9" i="3"/>
  <c r="K9" i="3"/>
  <c r="J9" i="3"/>
  <c r="I9" i="3"/>
  <c r="A9" i="3"/>
  <c r="W8" i="3"/>
  <c r="V8" i="3"/>
  <c r="U8" i="3"/>
  <c r="R8" i="3"/>
  <c r="P8" i="3"/>
  <c r="O8" i="3"/>
  <c r="Q8" i="3" s="1"/>
  <c r="N8" i="3"/>
  <c r="K8" i="3"/>
  <c r="J8" i="3"/>
  <c r="I8" i="3"/>
  <c r="A8" i="3"/>
  <c r="W7" i="3"/>
  <c r="V7" i="3"/>
  <c r="U7" i="3"/>
  <c r="R7" i="3"/>
  <c r="P7" i="3"/>
  <c r="O7" i="3"/>
  <c r="Q7" i="3" s="1"/>
  <c r="N7" i="3"/>
  <c r="K7" i="3"/>
  <c r="J7" i="3"/>
  <c r="I7" i="3"/>
  <c r="A7" i="3"/>
  <c r="W6" i="3"/>
  <c r="V6" i="3"/>
  <c r="U6" i="3"/>
  <c r="R6" i="3"/>
  <c r="P6" i="3"/>
  <c r="O6" i="3"/>
  <c r="Q6" i="3" s="1"/>
  <c r="N6" i="3"/>
  <c r="K6" i="3"/>
  <c r="J6" i="3"/>
  <c r="I6" i="3"/>
  <c r="A6" i="3"/>
  <c r="W5" i="3"/>
  <c r="V5" i="3"/>
  <c r="U5" i="3"/>
  <c r="T5" i="3"/>
  <c r="R5" i="3"/>
  <c r="P5" i="3"/>
  <c r="O5" i="3"/>
  <c r="Q5" i="3" s="1"/>
  <c r="N5" i="3"/>
  <c r="K5" i="3"/>
  <c r="J5" i="3"/>
  <c r="I5" i="3"/>
  <c r="A5" i="3"/>
  <c r="W4" i="3"/>
  <c r="V4" i="3"/>
  <c r="U4" i="3"/>
  <c r="T4" i="3"/>
  <c r="R4" i="3"/>
  <c r="P4" i="3"/>
  <c r="O4" i="3"/>
  <c r="N4" i="3"/>
  <c r="T7" i="3" s="1"/>
  <c r="K4" i="3"/>
  <c r="T6" i="3" s="1"/>
  <c r="J4" i="3"/>
  <c r="I4" i="3"/>
  <c r="A4" i="3"/>
  <c r="K17" i="1"/>
  <c r="K16" i="1"/>
  <c r="K15" i="1"/>
  <c r="B12" i="1"/>
  <c r="B6" i="1"/>
  <c r="C3" i="1"/>
  <c r="D40" i="2" a="1"/>
  <c r="D40" i="2" s="1"/>
  <c r="D39" i="2"/>
  <c r="R36" i="2"/>
  <c r="L36" i="2"/>
  <c r="J36" i="2"/>
  <c r="H36" i="2"/>
  <c r="D36" i="2"/>
  <c r="AH35" i="2"/>
  <c r="AG35" i="2"/>
  <c r="AB35" i="2"/>
  <c r="AA35" i="2"/>
  <c r="Y35" i="2"/>
  <c r="B38" i="4" s="1"/>
  <c r="Q35" i="2"/>
  <c r="P35" i="2"/>
  <c r="E35" i="2"/>
  <c r="AH34" i="2"/>
  <c r="AG34" i="2"/>
  <c r="AB34" i="2"/>
  <c r="AA34" i="2"/>
  <c r="Y34" i="2"/>
  <c r="B37" i="4" s="1"/>
  <c r="Q34" i="2"/>
  <c r="P34" i="2"/>
  <c r="E34" i="2"/>
  <c r="AH33" i="2"/>
  <c r="AG33" i="2"/>
  <c r="AB33" i="2"/>
  <c r="AA33" i="2"/>
  <c r="Y33" i="2"/>
  <c r="Q33" i="2"/>
  <c r="P33" i="2"/>
  <c r="E33" i="2"/>
  <c r="AH32" i="2"/>
  <c r="AG32" i="2"/>
  <c r="AB32" i="2"/>
  <c r="AA32" i="2"/>
  <c r="Y32" i="2"/>
  <c r="Q32" i="2"/>
  <c r="P32" i="2"/>
  <c r="E32" i="2"/>
  <c r="AH31" i="2"/>
  <c r="AG31" i="2"/>
  <c r="AB31" i="2"/>
  <c r="AA31" i="2"/>
  <c r="Y31" i="2"/>
  <c r="Q31" i="2"/>
  <c r="P31" i="2"/>
  <c r="E31" i="2"/>
  <c r="AH30" i="2"/>
  <c r="AG30" i="2"/>
  <c r="AB30" i="2"/>
  <c r="AA30" i="2"/>
  <c r="Y30" i="2"/>
  <c r="Q30" i="2"/>
  <c r="P30" i="2"/>
  <c r="E30" i="2"/>
  <c r="AH29" i="2"/>
  <c r="AG29" i="2"/>
  <c r="AB29" i="2"/>
  <c r="AA29" i="2"/>
  <c r="Y29" i="2"/>
  <c r="Q29" i="2"/>
  <c r="P29" i="2"/>
  <c r="E29" i="2"/>
  <c r="AH28" i="2"/>
  <c r="AG28" i="2"/>
  <c r="AB28" i="2"/>
  <c r="AA28" i="2"/>
  <c r="Y28" i="2"/>
  <c r="Q28" i="2"/>
  <c r="P28" i="2"/>
  <c r="E28" i="2"/>
  <c r="AH27" i="2"/>
  <c r="AG27" i="2"/>
  <c r="AB27" i="2"/>
  <c r="AA27" i="2"/>
  <c r="Y27" i="2"/>
  <c r="Q27" i="2"/>
  <c r="P27" i="2"/>
  <c r="E27" i="2"/>
  <c r="AH26" i="2"/>
  <c r="AG26" i="2"/>
  <c r="AB26" i="2"/>
  <c r="AA26" i="2"/>
  <c r="Y26" i="2"/>
  <c r="Q26" i="2"/>
  <c r="P26" i="2"/>
  <c r="E26" i="2"/>
  <c r="AH25" i="2"/>
  <c r="AG25" i="2"/>
  <c r="AB25" i="2"/>
  <c r="AA25" i="2"/>
  <c r="Y25" i="2"/>
  <c r="Q25" i="2"/>
  <c r="P25" i="2"/>
  <c r="E25" i="2"/>
  <c r="AH24" i="2"/>
  <c r="AG24" i="2"/>
  <c r="AB24" i="2"/>
  <c r="AA24" i="2"/>
  <c r="Y24" i="2"/>
  <c r="Q24" i="2"/>
  <c r="P24" i="2"/>
  <c r="E24" i="2"/>
  <c r="AH23" i="2"/>
  <c r="AG23" i="2"/>
  <c r="AB23" i="2"/>
  <c r="AA23" i="2"/>
  <c r="Y23" i="2"/>
  <c r="Q23" i="2"/>
  <c r="P23" i="2"/>
  <c r="E23" i="2"/>
  <c r="AH22" i="2"/>
  <c r="AG22" i="2"/>
  <c r="AB22" i="2"/>
  <c r="AA22" i="2"/>
  <c r="Y22" i="2"/>
  <c r="Q22" i="2"/>
  <c r="P22" i="2"/>
  <c r="E22" i="2"/>
  <c r="AH21" i="2"/>
  <c r="AG21" i="2"/>
  <c r="AB21" i="2"/>
  <c r="AA21" i="2"/>
  <c r="Y21" i="2"/>
  <c r="Q21" i="2"/>
  <c r="P21" i="2"/>
  <c r="E21" i="2"/>
  <c r="AH20" i="2"/>
  <c r="AG20" i="2"/>
  <c r="AB20" i="2"/>
  <c r="AA20" i="2"/>
  <c r="Y20" i="2"/>
  <c r="Q20" i="2"/>
  <c r="P20" i="2"/>
  <c r="E20" i="2"/>
  <c r="AH19" i="2"/>
  <c r="AG19" i="2"/>
  <c r="AB19" i="2"/>
  <c r="AA19" i="2"/>
  <c r="Y19" i="2"/>
  <c r="Q19" i="2"/>
  <c r="P19" i="2"/>
  <c r="E19" i="2"/>
  <c r="AH18" i="2"/>
  <c r="AG18" i="2"/>
  <c r="AB18" i="2"/>
  <c r="AA18" i="2"/>
  <c r="Y18" i="2"/>
  <c r="Q18" i="2"/>
  <c r="P18" i="2"/>
  <c r="E18" i="2"/>
  <c r="AH17" i="2"/>
  <c r="AG17" i="2"/>
  <c r="AB17" i="2"/>
  <c r="AA17" i="2"/>
  <c r="Y17" i="2"/>
  <c r="Q17" i="2"/>
  <c r="P17" i="2"/>
  <c r="E17" i="2"/>
  <c r="AH16" i="2"/>
  <c r="AG16" i="2"/>
  <c r="AB16" i="2"/>
  <c r="AA16" i="2"/>
  <c r="Y16" i="2"/>
  <c r="Q16" i="2"/>
  <c r="P16" i="2"/>
  <c r="E16" i="2"/>
  <c r="AH15" i="2"/>
  <c r="AG15" i="2"/>
  <c r="AB15" i="2"/>
  <c r="AA15" i="2"/>
  <c r="Y15" i="2"/>
  <c r="Q15" i="2"/>
  <c r="P15" i="2"/>
  <c r="E15" i="2"/>
  <c r="AH14" i="2"/>
  <c r="AG14" i="2"/>
  <c r="AB14" i="2"/>
  <c r="AA14" i="2"/>
  <c r="Y14" i="2"/>
  <c r="Q14" i="2"/>
  <c r="P14" i="2"/>
  <c r="E14" i="2"/>
  <c r="AH13" i="2"/>
  <c r="AG13" i="2"/>
  <c r="AB13" i="2"/>
  <c r="AA13" i="2"/>
  <c r="Y13" i="2"/>
  <c r="Q13" i="2"/>
  <c r="P13" i="2"/>
  <c r="E13" i="2"/>
  <c r="AH12" i="2"/>
  <c r="AG12" i="2"/>
  <c r="AB12" i="2"/>
  <c r="AA12" i="2"/>
  <c r="Y12" i="2"/>
  <c r="Q12" i="2"/>
  <c r="P12" i="2"/>
  <c r="E12" i="2"/>
  <c r="AH11" i="2"/>
  <c r="AG11" i="2"/>
  <c r="AB11" i="2"/>
  <c r="AA11" i="2"/>
  <c r="Y11" i="2"/>
  <c r="Q11" i="2"/>
  <c r="P11" i="2"/>
  <c r="E11" i="2"/>
  <c r="AH10" i="2"/>
  <c r="AG10" i="2"/>
  <c r="AB10" i="2"/>
  <c r="AA10" i="2"/>
  <c r="Y10" i="2"/>
  <c r="Q10" i="2"/>
  <c r="P10" i="2"/>
  <c r="E10" i="2"/>
  <c r="AH9" i="2"/>
  <c r="AG9" i="2"/>
  <c r="AB9" i="2"/>
  <c r="AA9" i="2"/>
  <c r="Y9" i="2"/>
  <c r="B12" i="4" s="1"/>
  <c r="Q9" i="2"/>
  <c r="P9" i="2"/>
  <c r="E9" i="2"/>
  <c r="AH8" i="2"/>
  <c r="AG8" i="2"/>
  <c r="AB8" i="2"/>
  <c r="AA8" i="2"/>
  <c r="Y8" i="2"/>
  <c r="Q8" i="2"/>
  <c r="P8" i="2"/>
  <c r="E8" i="2"/>
  <c r="AH7" i="2"/>
  <c r="AG7" i="2"/>
  <c r="AB7" i="2"/>
  <c r="AA7" i="2"/>
  <c r="Y7" i="2"/>
  <c r="B10" i="4" s="1"/>
  <c r="Q7" i="2"/>
  <c r="P7" i="2"/>
  <c r="E7" i="2"/>
  <c r="AH6" i="2"/>
  <c r="AG6" i="2"/>
  <c r="AB6" i="2"/>
  <c r="AA6" i="2"/>
  <c r="Y6" i="2"/>
  <c r="B9" i="4" s="1"/>
  <c r="Q6" i="2"/>
  <c r="P6" i="2"/>
  <c r="E6" i="2"/>
  <c r="AH5" i="2"/>
  <c r="AG5" i="2"/>
  <c r="AB5" i="2"/>
  <c r="AA5" i="2"/>
  <c r="Y5" i="2"/>
  <c r="Q5" i="2"/>
  <c r="P5" i="2"/>
  <c r="E5" i="2"/>
  <c r="AH4" i="2"/>
  <c r="AG4" i="2"/>
  <c r="AB4" i="2"/>
  <c r="AA4" i="2"/>
  <c r="Y4" i="2"/>
  <c r="B7" i="4" s="1"/>
  <c r="Q4" i="2"/>
  <c r="P4" i="2"/>
  <c r="E4" i="2"/>
  <c r="AH3" i="2"/>
  <c r="AG3" i="2"/>
  <c r="AB3" i="2"/>
  <c r="AA3" i="2"/>
  <c r="Y3" i="2"/>
  <c r="B6" i="4" s="1"/>
  <c r="Q3" i="2"/>
  <c r="P3" i="2"/>
  <c r="E3" i="2"/>
  <c r="AH2" i="2"/>
  <c r="AG2" i="2"/>
  <c r="AB2" i="2"/>
  <c r="AA2" i="2"/>
  <c r="Y2" i="2"/>
  <c r="Q2" i="2"/>
  <c r="P2" i="2"/>
  <c r="E2" i="2"/>
  <c r="W36" i="2" l="1"/>
  <c r="K9" i="1"/>
  <c r="K18" i="1"/>
  <c r="Q36" i="2"/>
  <c r="E12" i="1"/>
  <c r="K6" i="1"/>
  <c r="T12" i="3"/>
  <c r="E15" i="1"/>
  <c r="E36" i="2"/>
  <c r="F5" i="2"/>
  <c r="G5" i="2" s="1"/>
  <c r="F4" i="2"/>
  <c r="G4" i="2" s="1"/>
  <c r="F3" i="2"/>
  <c r="G3" i="2" s="1"/>
  <c r="F2" i="2"/>
  <c r="G2" i="2" s="1"/>
  <c r="C13" i="7"/>
  <c r="B13" i="7"/>
  <c r="B12" i="7"/>
  <c r="B11" i="7"/>
  <c r="B10" i="7"/>
  <c r="B9" i="7"/>
  <c r="B8" i="7"/>
  <c r="B7" i="7"/>
  <c r="B6" i="7"/>
  <c r="B5" i="7"/>
  <c r="B5" i="4"/>
  <c r="B23" i="7"/>
  <c r="B22" i="7"/>
  <c r="B21" i="7"/>
  <c r="B20" i="7"/>
  <c r="B19" i="7"/>
  <c r="B18" i="7"/>
  <c r="B8" i="4"/>
  <c r="F8" i="2"/>
  <c r="G8" i="2" s="1"/>
  <c r="F7" i="2"/>
  <c r="G7" i="2" s="1"/>
  <c r="F6" i="2"/>
  <c r="G6" i="2" s="1"/>
  <c r="B11" i="4"/>
  <c r="F9" i="2"/>
  <c r="G9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F24" i="2"/>
  <c r="G24" i="2" s="1"/>
  <c r="B27" i="4"/>
  <c r="F28" i="2"/>
  <c r="G28" i="2" s="1"/>
  <c r="F27" i="2"/>
  <c r="G27" i="2" s="1"/>
  <c r="F26" i="2"/>
  <c r="G26" i="2" s="1"/>
  <c r="F25" i="2"/>
  <c r="G25" i="2" s="1"/>
  <c r="B28" i="4"/>
  <c r="B29" i="4"/>
  <c r="B30" i="4"/>
  <c r="B31" i="4"/>
  <c r="F31" i="2"/>
  <c r="G31" i="2" s="1"/>
  <c r="F30" i="2"/>
  <c r="G30" i="2" s="1"/>
  <c r="F29" i="2"/>
  <c r="G29" i="2" s="1"/>
  <c r="B32" i="4"/>
  <c r="B33" i="4"/>
  <c r="B34" i="4"/>
  <c r="F35" i="2"/>
  <c r="G35" i="2" s="1"/>
  <c r="F34" i="2"/>
  <c r="G34" i="2" s="1"/>
  <c r="F33" i="2"/>
  <c r="G33" i="2" s="1"/>
  <c r="F32" i="2"/>
  <c r="G32" i="2" s="1"/>
  <c r="B35" i="4"/>
  <c r="B36" i="4"/>
  <c r="T8" i="3"/>
  <c r="Q4" i="3"/>
  <c r="T11" i="3"/>
  <c r="T10" i="3"/>
  <c r="T9" i="3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E7" i="7"/>
  <c r="G6" i="7"/>
  <c r="F6" i="7"/>
  <c r="E6" i="7"/>
  <c r="G5" i="7"/>
  <c r="F5" i="7"/>
  <c r="E5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H18" i="7" l="1"/>
  <c r="H19" i="7"/>
  <c r="H20" i="7"/>
  <c r="H21" i="7"/>
  <c r="H22" i="7"/>
  <c r="H23" i="7"/>
  <c r="H5" i="7"/>
  <c r="K27" i="1"/>
  <c r="I27" i="1"/>
  <c r="K26" i="1"/>
  <c r="I26" i="1"/>
  <c r="K25" i="1"/>
  <c r="I25" i="1"/>
  <c r="K24" i="1"/>
  <c r="I24" i="1"/>
  <c r="K23" i="1"/>
  <c r="I23" i="1"/>
  <c r="H6" i="7"/>
  <c r="H7" i="7"/>
  <c r="H8" i="7"/>
  <c r="H9" i="7"/>
  <c r="H10" i="7"/>
  <c r="H11" i="7"/>
  <c r="H12" i="7"/>
  <c r="H13" i="7"/>
  <c r="M35" i="2"/>
  <c r="K35" i="2"/>
  <c r="I35" i="2"/>
  <c r="M34" i="2"/>
  <c r="K34" i="2"/>
  <c r="I34" i="2"/>
  <c r="M33" i="2"/>
  <c r="K33" i="2"/>
  <c r="I33" i="2"/>
  <c r="M32" i="2"/>
  <c r="K32" i="2"/>
  <c r="I32" i="2"/>
  <c r="M31" i="2"/>
  <c r="K31" i="2"/>
  <c r="I31" i="2"/>
  <c r="M30" i="2"/>
  <c r="K30" i="2"/>
  <c r="I30" i="2"/>
  <c r="M29" i="2"/>
  <c r="K29" i="2"/>
  <c r="I29" i="2"/>
  <c r="M28" i="2"/>
  <c r="K28" i="2"/>
  <c r="I28" i="2"/>
  <c r="M27" i="2"/>
  <c r="K27" i="2"/>
  <c r="I27" i="2"/>
  <c r="M26" i="2"/>
  <c r="K26" i="2"/>
  <c r="I26" i="2"/>
  <c r="M25" i="2"/>
  <c r="K25" i="2"/>
  <c r="I25" i="2"/>
  <c r="M24" i="2"/>
  <c r="K24" i="2"/>
  <c r="I24" i="2"/>
  <c r="M23" i="2"/>
  <c r="K23" i="2"/>
  <c r="I23" i="2"/>
  <c r="M22" i="2"/>
  <c r="K22" i="2"/>
  <c r="I22" i="2"/>
  <c r="M21" i="2"/>
  <c r="K21" i="2"/>
  <c r="I21" i="2"/>
  <c r="M20" i="2"/>
  <c r="K20" i="2"/>
  <c r="I20" i="2"/>
  <c r="M19" i="2"/>
  <c r="K19" i="2"/>
  <c r="I19" i="2"/>
  <c r="M18" i="2"/>
  <c r="K18" i="2"/>
  <c r="I18" i="2"/>
  <c r="N18" i="2" s="1"/>
  <c r="T18" i="2" s="1"/>
  <c r="M17" i="2"/>
  <c r="K17" i="2"/>
  <c r="I17" i="2"/>
  <c r="M16" i="2"/>
  <c r="K16" i="2"/>
  <c r="I16" i="2"/>
  <c r="M15" i="2"/>
  <c r="K15" i="2"/>
  <c r="I15" i="2"/>
  <c r="M14" i="2"/>
  <c r="K14" i="2"/>
  <c r="I14" i="2"/>
  <c r="M13" i="2"/>
  <c r="K13" i="2"/>
  <c r="I13" i="2"/>
  <c r="M12" i="2"/>
  <c r="K12" i="2"/>
  <c r="I12" i="2"/>
  <c r="M11" i="2"/>
  <c r="K11" i="2"/>
  <c r="I11" i="2"/>
  <c r="M10" i="2"/>
  <c r="K10" i="2"/>
  <c r="I10" i="2"/>
  <c r="M9" i="2"/>
  <c r="K9" i="2"/>
  <c r="I9" i="2"/>
  <c r="M8" i="2"/>
  <c r="K8" i="2"/>
  <c r="I8" i="2"/>
  <c r="M7" i="2"/>
  <c r="K7" i="2"/>
  <c r="I7" i="2"/>
  <c r="M6" i="2"/>
  <c r="K6" i="2"/>
  <c r="I6" i="2"/>
  <c r="M5" i="2"/>
  <c r="K5" i="2"/>
  <c r="I5" i="2"/>
  <c r="M4" i="2"/>
  <c r="K4" i="2"/>
  <c r="I4" i="2"/>
  <c r="N4" i="2" s="1"/>
  <c r="M3" i="2"/>
  <c r="K3" i="2"/>
  <c r="I3" i="2"/>
  <c r="D13" i="7"/>
  <c r="M2" i="2"/>
  <c r="K2" i="2"/>
  <c r="I2" i="2"/>
  <c r="N12" i="2" l="1"/>
  <c r="T12" i="2" s="1"/>
  <c r="N3" i="2"/>
  <c r="T3" i="2" s="1"/>
  <c r="N9" i="2"/>
  <c r="T9" i="2" s="1"/>
  <c r="N17" i="2"/>
  <c r="T17" i="2" s="1"/>
  <c r="N7" i="2"/>
  <c r="C10" i="4" s="1"/>
  <c r="N20" i="2"/>
  <c r="T20" i="2" s="1"/>
  <c r="N34" i="2"/>
  <c r="T34" i="2" s="1"/>
  <c r="N32" i="2"/>
  <c r="T32" i="2" s="1"/>
  <c r="N24" i="2"/>
  <c r="T24" i="2" s="1"/>
  <c r="N10" i="2"/>
  <c r="T10" i="2" s="1"/>
  <c r="N26" i="2"/>
  <c r="T26" i="2" s="1"/>
  <c r="N8" i="2"/>
  <c r="T8" i="2" s="1"/>
  <c r="N22" i="2"/>
  <c r="T22" i="2" s="1"/>
  <c r="N13" i="2"/>
  <c r="T13" i="2" s="1"/>
  <c r="N27" i="2"/>
  <c r="C30" i="4" s="1"/>
  <c r="N23" i="2"/>
  <c r="T23" i="2" s="1"/>
  <c r="T4" i="2"/>
  <c r="N15" i="2"/>
  <c r="T15" i="2" s="1"/>
  <c r="N29" i="2"/>
  <c r="T29" i="2" s="1"/>
  <c r="N31" i="2"/>
  <c r="T31" i="2" s="1"/>
  <c r="N6" i="2"/>
  <c r="T6" i="2" s="1"/>
  <c r="N11" i="2"/>
  <c r="T11" i="2" s="1"/>
  <c r="N25" i="2"/>
  <c r="T25" i="2" s="1"/>
  <c r="N16" i="2"/>
  <c r="T16" i="2" s="1"/>
  <c r="N30" i="2"/>
  <c r="T30" i="2" s="1"/>
  <c r="N21" i="2"/>
  <c r="T21" i="2" s="1"/>
  <c r="N35" i="2"/>
  <c r="T35" i="2" s="1"/>
  <c r="N28" i="2"/>
  <c r="C20" i="7" s="1"/>
  <c r="D20" i="7" s="1"/>
  <c r="N14" i="2"/>
  <c r="C17" i="4" s="1"/>
  <c r="N5" i="2"/>
  <c r="T5" i="2" s="1"/>
  <c r="N19" i="2"/>
  <c r="N33" i="2"/>
  <c r="E16" i="1"/>
  <c r="I36" i="2"/>
  <c r="D42" i="2" s="1"/>
  <c r="N2" i="2"/>
  <c r="E17" i="1"/>
  <c r="K36" i="2"/>
  <c r="D43" i="2" s="1"/>
  <c r="E18" i="1"/>
  <c r="M36" i="2"/>
  <c r="D44" i="2" s="1"/>
  <c r="C7" i="4"/>
  <c r="AI4" i="2"/>
  <c r="C10" i="7"/>
  <c r="D10" i="7" s="1"/>
  <c r="C15" i="4"/>
  <c r="AI12" i="2"/>
  <c r="C21" i="4"/>
  <c r="AI18" i="2"/>
  <c r="C37" i="4"/>
  <c r="C11" i="7"/>
  <c r="D11" i="7" s="1"/>
  <c r="AI34" i="2" l="1"/>
  <c r="C6" i="7"/>
  <c r="D6" i="7" s="1"/>
  <c r="AI9" i="2"/>
  <c r="AI32" i="2"/>
  <c r="C12" i="4"/>
  <c r="C6" i="4"/>
  <c r="T7" i="2"/>
  <c r="D10" i="4" s="1"/>
  <c r="J10" i="4" s="1"/>
  <c r="U7" i="2" s="1"/>
  <c r="AJ7" i="2" s="1"/>
  <c r="AI17" i="2"/>
  <c r="C20" i="4"/>
  <c r="C14" i="4"/>
  <c r="AI7" i="2"/>
  <c r="T2" i="2"/>
  <c r="E9" i="1"/>
  <c r="AI10" i="2"/>
  <c r="C35" i="4"/>
  <c r="AI29" i="2"/>
  <c r="AI24" i="2"/>
  <c r="C27" i="4"/>
  <c r="C32" i="4"/>
  <c r="AI20" i="2"/>
  <c r="AI11" i="2"/>
  <c r="C23" i="7"/>
  <c r="D23" i="7" s="1"/>
  <c r="AI26" i="2"/>
  <c r="C22" i="7"/>
  <c r="D22" i="7" s="1"/>
  <c r="C23" i="4"/>
  <c r="C28" i="4"/>
  <c r="C29" i="4"/>
  <c r="C13" i="4"/>
  <c r="AI6" i="2"/>
  <c r="AI31" i="2"/>
  <c r="C34" i="4"/>
  <c r="C9" i="4"/>
  <c r="AI8" i="2"/>
  <c r="AI21" i="2"/>
  <c r="C24" i="4"/>
  <c r="C7" i="7"/>
  <c r="D7" i="7" s="1"/>
  <c r="C8" i="4"/>
  <c r="C9" i="7"/>
  <c r="D9" i="7" s="1"/>
  <c r="AI35" i="2"/>
  <c r="C11" i="4"/>
  <c r="AI16" i="2"/>
  <c r="C38" i="4"/>
  <c r="C19" i="4"/>
  <c r="AI23" i="2"/>
  <c r="C16" i="4"/>
  <c r="C21" i="7"/>
  <c r="D21" i="7" s="1"/>
  <c r="C26" i="4"/>
  <c r="AI22" i="2"/>
  <c r="C25" i="4"/>
  <c r="C22" i="4"/>
  <c r="T19" i="2"/>
  <c r="D22" i="4" s="1"/>
  <c r="J22" i="4" s="1"/>
  <c r="AI30" i="2"/>
  <c r="AI15" i="2"/>
  <c r="AI14" i="2"/>
  <c r="T14" i="2"/>
  <c r="D17" i="4" s="1"/>
  <c r="J17" i="4" s="1"/>
  <c r="U18" i="2" s="1"/>
  <c r="AJ18" i="2" s="1"/>
  <c r="C33" i="4"/>
  <c r="C18" i="4"/>
  <c r="C31" i="4"/>
  <c r="T28" i="2"/>
  <c r="D31" i="4" s="1"/>
  <c r="J31" i="4" s="1"/>
  <c r="U28" i="2" s="1"/>
  <c r="AJ28" i="2" s="1"/>
  <c r="AI28" i="2"/>
  <c r="AI3" i="2"/>
  <c r="AI13" i="2"/>
  <c r="T27" i="2"/>
  <c r="D30" i="4" s="1"/>
  <c r="J30" i="4" s="1"/>
  <c r="U27" i="2" s="1"/>
  <c r="AJ27" i="2" s="1"/>
  <c r="AI27" i="2"/>
  <c r="C36" i="4"/>
  <c r="T33" i="2"/>
  <c r="D36" i="4" s="1"/>
  <c r="J36" i="4" s="1"/>
  <c r="C8" i="7"/>
  <c r="D8" i="7" s="1"/>
  <c r="C5" i="7"/>
  <c r="D5" i="7" s="1"/>
  <c r="AI25" i="2"/>
  <c r="AI5" i="2"/>
  <c r="C18" i="7"/>
  <c r="D18" i="7" s="1"/>
  <c r="AI33" i="2"/>
  <c r="AI19" i="2"/>
  <c r="D38" i="4"/>
  <c r="J38" i="4" s="1"/>
  <c r="U35" i="2" s="1"/>
  <c r="AJ35" i="2" s="1"/>
  <c r="D37" i="4"/>
  <c r="J37" i="4" s="1"/>
  <c r="U34" i="2" s="1"/>
  <c r="AJ34" i="2" s="1"/>
  <c r="D35" i="4"/>
  <c r="J35" i="4" s="1"/>
  <c r="D34" i="4"/>
  <c r="J34" i="4" s="1"/>
  <c r="U31" i="2" s="1"/>
  <c r="AJ31" i="2" s="1"/>
  <c r="D33" i="4"/>
  <c r="J33" i="4" s="1"/>
  <c r="U30" i="2" s="1"/>
  <c r="AJ30" i="2" s="1"/>
  <c r="D32" i="4"/>
  <c r="J32" i="4" s="1"/>
  <c r="U29" i="2" s="1"/>
  <c r="AJ29" i="2" s="1"/>
  <c r="D29" i="4"/>
  <c r="J29" i="4" s="1"/>
  <c r="U26" i="2" s="1"/>
  <c r="AJ26" i="2" s="1"/>
  <c r="D28" i="4"/>
  <c r="J28" i="4" s="1"/>
  <c r="U25" i="2" s="1"/>
  <c r="AJ25" i="2" s="1"/>
  <c r="D27" i="4"/>
  <c r="J27" i="4" s="1"/>
  <c r="U24" i="2" s="1"/>
  <c r="AJ24" i="2" s="1"/>
  <c r="D26" i="4"/>
  <c r="J26" i="4" s="1"/>
  <c r="U23" i="2" s="1"/>
  <c r="AJ23" i="2" s="1"/>
  <c r="D25" i="4"/>
  <c r="J25" i="4" s="1"/>
  <c r="U22" i="2" s="1"/>
  <c r="AJ22" i="2" s="1"/>
  <c r="D24" i="4"/>
  <c r="J24" i="4" s="1"/>
  <c r="U21" i="2" s="1"/>
  <c r="AJ21" i="2" s="1"/>
  <c r="D23" i="4"/>
  <c r="J23" i="4" s="1"/>
  <c r="U20" i="2" s="1"/>
  <c r="AJ20" i="2" s="1"/>
  <c r="D21" i="4"/>
  <c r="J21" i="4" s="1"/>
  <c r="D20" i="4"/>
  <c r="J20" i="4" s="1"/>
  <c r="D19" i="4"/>
  <c r="J19" i="4" s="1"/>
  <c r="U17" i="2" s="1"/>
  <c r="AJ17" i="2" s="1"/>
  <c r="D18" i="4"/>
  <c r="J18" i="4" s="1"/>
  <c r="U15" i="2" s="1"/>
  <c r="AJ15" i="2" s="1"/>
  <c r="D16" i="4"/>
  <c r="J16" i="4" s="1"/>
  <c r="U13" i="2" s="1"/>
  <c r="AJ13" i="2" s="1"/>
  <c r="D15" i="4"/>
  <c r="J15" i="4" s="1"/>
  <c r="U12" i="2" s="1"/>
  <c r="AJ12" i="2" s="1"/>
  <c r="D14" i="4"/>
  <c r="J14" i="4" s="1"/>
  <c r="U11" i="2" s="1"/>
  <c r="AJ11" i="2" s="1"/>
  <c r="D13" i="4"/>
  <c r="J13" i="4" s="1"/>
  <c r="U10" i="2" s="1"/>
  <c r="AJ10" i="2" s="1"/>
  <c r="D12" i="4"/>
  <c r="J12" i="4" s="1"/>
  <c r="U9" i="2" s="1"/>
  <c r="AJ9" i="2" s="1"/>
  <c r="D11" i="4"/>
  <c r="J11" i="4" s="1"/>
  <c r="U8" i="2" s="1"/>
  <c r="AJ8" i="2" s="1"/>
  <c r="D9" i="4"/>
  <c r="J9" i="4" s="1"/>
  <c r="U6" i="2" s="1"/>
  <c r="AJ6" i="2" s="1"/>
  <c r="D8" i="4"/>
  <c r="J8" i="4" s="1"/>
  <c r="U5" i="2" s="1"/>
  <c r="AJ5" i="2" s="1"/>
  <c r="D7" i="4"/>
  <c r="J7" i="4" s="1"/>
  <c r="U4" i="2" s="1"/>
  <c r="AJ4" i="2" s="1"/>
  <c r="D6" i="4"/>
  <c r="J6" i="4" s="1"/>
  <c r="U3" i="2" s="1"/>
  <c r="AJ3" i="2" s="1"/>
  <c r="C5" i="4"/>
  <c r="F27" i="1"/>
  <c r="E27" i="1"/>
  <c r="C27" i="1"/>
  <c r="F26" i="1"/>
  <c r="E26" i="1"/>
  <c r="C26" i="1"/>
  <c r="F25" i="1"/>
  <c r="E25" i="1"/>
  <c r="C25" i="1"/>
  <c r="F24" i="1"/>
  <c r="E24" i="1"/>
  <c r="C24" i="1"/>
  <c r="F23" i="1"/>
  <c r="E23" i="1"/>
  <c r="C23" i="1"/>
  <c r="E19" i="1"/>
  <c r="K12" i="1"/>
  <c r="D45" i="2"/>
  <c r="N36" i="2"/>
  <c r="AI2" i="2"/>
  <c r="C12" i="7"/>
  <c r="D12" i="7" s="1"/>
  <c r="C19" i="7"/>
  <c r="D19" i="7" s="1"/>
  <c r="U32" i="2" l="1"/>
  <c r="AJ32" i="2" s="1"/>
  <c r="X36" i="2"/>
  <c r="U16" i="2"/>
  <c r="AJ16" i="2" s="1"/>
  <c r="U33" i="2"/>
  <c r="AJ33" i="2" s="1"/>
  <c r="U14" i="2"/>
  <c r="AJ14" i="2" s="1"/>
  <c r="U19" i="2"/>
  <c r="AJ19" i="2" s="1"/>
  <c r="D5" i="4"/>
  <c r="J5" i="4" s="1"/>
  <c r="U2" i="2" s="1"/>
  <c r="T36" i="2"/>
  <c r="H12" i="1"/>
  <c r="E6" i="1"/>
  <c r="D41" i="2"/>
  <c r="K19" i="1" l="1" a="1"/>
  <c r="K19" i="1" s="1"/>
  <c r="J18" i="1" a="1"/>
  <c r="J18" i="1" s="1"/>
  <c r="U36" i="2"/>
  <c r="A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<sst xmlns="http://schemas.openxmlformats.org/spreadsheetml/2006/main" count="341" uniqueCount="213">
  <si>
    <t>PRESTINE AUCTION — COLLECTION TRACKER</t>
  </si>
  <si>
    <t>Last Refreshed:</t>
  </si>
  <si>
    <t>Total Items</t>
  </si>
  <si>
    <t>Total Invested</t>
  </si>
  <si>
    <t>Items Sold</t>
  </si>
  <si>
    <t>Realized Profit</t>
  </si>
  <si>
    <t>Items Listed</t>
  </si>
  <si>
    <t>Capital Tied Up</t>
  </si>
  <si>
    <t>Sell-Through Rate</t>
  </si>
  <si>
    <t>Blended ROI %</t>
  </si>
  <si>
    <t>Gross Revenue</t>
  </si>
  <si>
    <t>Avg Days on Market</t>
  </si>
  <si>
    <t>Avg Cost / Item</t>
  </si>
  <si>
    <t>Highest Item Cost</t>
  </si>
  <si>
    <t>COST BREAKDOWN</t>
  </si>
  <si>
    <t>PROFIT SNAPSHOT</t>
  </si>
  <si>
    <t>Base Item Cost</t>
  </si>
  <si>
    <t>Realized Gross Revenue</t>
  </si>
  <si>
    <t>Discounts Saved</t>
  </si>
  <si>
    <t>Total Fees Paid</t>
  </si>
  <si>
    <t>Shipping</t>
  </si>
  <si>
    <t>COGS (Items Sold)</t>
  </si>
  <si>
    <t>Tax</t>
  </si>
  <si>
    <t>Realized Net Profit</t>
  </si>
  <si>
    <t>Net Total Landed Cost</t>
  </si>
  <si>
    <t>Unrealized Potential Profit</t>
  </si>
  <si>
    <t>TOP 5 MOST EXPENSIVE ITEMS (BY LANDED COST)</t>
  </si>
  <si>
    <t>BEST-PERFORMING CATEGORIES (BY REALIZED PROFIT)</t>
  </si>
  <si>
    <t>Rank</t>
  </si>
  <si>
    <t>Item Name</t>
  </si>
  <si>
    <t>Category</t>
  </si>
  <si>
    <t>True Cost</t>
  </si>
  <si>
    <t>Profit</t>
  </si>
  <si>
    <t>QUICK NAVIGATION</t>
  </si>
  <si>
    <t>▶ True Cost</t>
  </si>
  <si>
    <t>▶ Sales Log</t>
  </si>
  <si>
    <t>▶ Pricing Intelligence</t>
  </si>
  <si>
    <t>Invoice ID</t>
  </si>
  <si>
    <t>Unit Price</t>
  </si>
  <si>
    <t>Item Base Total</t>
  </si>
  <si>
    <t>Invoice Base Total</t>
  </si>
  <si>
    <t>Proration Weight</t>
  </si>
  <si>
    <t>Invoice Total Discount</t>
  </si>
  <si>
    <t>Prorated Discount</t>
  </si>
  <si>
    <t>Invoice Total Shipping</t>
  </si>
  <si>
    <t>Prorated Shipping</t>
  </si>
  <si>
    <t>Invoice Total Tax</t>
  </si>
  <si>
    <t>Prorated Tax</t>
  </si>
  <si>
    <t>True Total Cost</t>
  </si>
  <si>
    <t>Platform</t>
  </si>
  <si>
    <t>Platform Fee %</t>
  </si>
  <si>
    <t>Platform Flat Fee</t>
  </si>
  <si>
    <t>Est. Shipping Cost</t>
  </si>
  <si>
    <t>Min Sell Price</t>
  </si>
  <si>
    <t>Suggested List Price</t>
  </si>
  <si>
    <t>Actual Sell Price</t>
  </si>
  <si>
    <t>Profit/Loss</t>
  </si>
  <si>
    <t>Sport / Genre</t>
  </si>
  <si>
    <t>Athlete / Person</t>
  </si>
  <si>
    <t>Authenticator</t>
  </si>
  <si>
    <t>Cert #</t>
  </si>
  <si>
    <t>Status</t>
  </si>
  <si>
    <t>Date Acquired</t>
  </si>
  <si>
    <t>Date Listed</t>
  </si>
  <si>
    <t>Date Sold</t>
  </si>
  <si>
    <t>Days on Market</t>
  </si>
  <si>
    <t>eBay Sold Comps</t>
  </si>
  <si>
    <t>ROI % (Actual)</t>
  </si>
  <si>
    <t>Margin % (Target)</t>
  </si>
  <si>
    <t>Notes</t>
  </si>
  <si>
    <t>Shawn Kemp Signed 1990-91 Hoops #279 RC (JSA)</t>
  </si>
  <si>
    <t>eBay</t>
  </si>
  <si>
    <t>Basketball</t>
  </si>
  <si>
    <t>Available</t>
  </si>
  <si>
    <t>Mark Henn Signed "The Lion King" 8x10 Photo (Beckett)</t>
  </si>
  <si>
    <t>Movie</t>
  </si>
  <si>
    <t>Ari Lehman Signed "Friday the 13th" Jason Voorhees Mask Inscribed "Jason 1" (Beckett)</t>
  </si>
  <si>
    <t>Shawn Kemp Signed Jersey (JSA)</t>
  </si>
  <si>
    <t>TV</t>
  </si>
  <si>
    <t>Chris Cooper Signed "Cars 3" 8x10 Photo Inscribed "AKA 'Smokey'" &amp; "Best Wishes" (ACOA)</t>
  </si>
  <si>
    <t>Frank Thomas Signed OML Baseball (JSA)</t>
  </si>
  <si>
    <t>Baseball</t>
  </si>
  <si>
    <t>Jimbo Covert Signed NFL Football Inscribed "SB XX Champs" (JSA)</t>
  </si>
  <si>
    <t>Football</t>
  </si>
  <si>
    <t>Moisés Ballesteros Signed OML Baseball (Beckett)</t>
  </si>
  <si>
    <t>Moisés Ballesteros Signed Jersey Inscribed "Mo Baller" (Beckett)</t>
  </si>
  <si>
    <t>Moisés Ballesteros Signed Louisville Slugger Baseball Bat (Beckett)</t>
  </si>
  <si>
    <t>Moisés Ballesteros Signed Jersey (Beckett)</t>
  </si>
  <si>
    <t>Sammy Sosa Signed Louisville Slugger Baseball Bat (Beckett)</t>
  </si>
  <si>
    <t>Sammy Sosa Signed Louisville Slugger Baseball Bat (JSA)</t>
  </si>
  <si>
    <t>Sammy Sosa Signed Jersey (JSA)</t>
  </si>
  <si>
    <t>Donte DiVincenzo Signed Jersey (Beckett)</t>
  </si>
  <si>
    <t>Derek Harper Signed Jersey (JSA)</t>
  </si>
  <si>
    <t>Jamal Anderson Signed Jersey (JSA)</t>
  </si>
  <si>
    <t>Kyle Tucker Signed Jersey (JSA)</t>
  </si>
  <si>
    <t>Steve Spurrier Signed Florida Gators 8x10 Photo Inscribed "Go Gators" (ACOA)</t>
  </si>
  <si>
    <t>Joe Johnson Signed Jersey (Beckett)</t>
  </si>
  <si>
    <t>Xavier Watts Signed Jersey (JSA)</t>
  </si>
  <si>
    <t>Xavier Watts Signed Jersey Inscribed "Dirty Birds!" (JSA)</t>
  </si>
  <si>
    <t>Joe Johnson Signed Jersey (PSA)</t>
  </si>
  <si>
    <t>Moses Moody Signed Jersey (Beckett)</t>
  </si>
  <si>
    <t>Grayson Allen Signed Jersey (Beckett)</t>
  </si>
  <si>
    <t>Sam Hauser Signed Jersey (Beckett)</t>
  </si>
  <si>
    <t>Charlie Sheen, Tom Berenger &amp; Corbin Bernsen Signed Jersey (Beckett)</t>
  </si>
  <si>
    <t>Trey Lance Signed Jersey (Beckett)</t>
  </si>
  <si>
    <t>Chad Smith Signed 16" Drum Stick (Beckett)</t>
  </si>
  <si>
    <t>Music</t>
  </si>
  <si>
    <t>Andre Rison Signed NFL Football Inscribed "Bad Moon" (Schwartz)</t>
  </si>
  <si>
    <t>TOTALS</t>
  </si>
  <si>
    <t>SUMMARY</t>
  </si>
  <si>
    <t>Total Items:</t>
  </si>
  <si>
    <t>Unique Invoices:</t>
  </si>
  <si>
    <t>Total Base Cost:</t>
  </si>
  <si>
    <t>Total Discounts Applied:</t>
  </si>
  <si>
    <t>Total Shipping:</t>
  </si>
  <si>
    <t>Total Tax:</t>
  </si>
  <si>
    <t>Average Item Cost:</t>
  </si>
  <si>
    <t>SALES LOG</t>
  </si>
  <si>
    <t>Sale ID</t>
  </si>
  <si>
    <t>Sale Date</t>
  </si>
  <si>
    <t>Platform Sold</t>
  </si>
  <si>
    <t>Buyer / Handle</t>
  </si>
  <si>
    <t>Gross Sale Price</t>
  </si>
  <si>
    <t>Buyer Shipping Paid</t>
  </si>
  <si>
    <t>Actual Shipping Cost</t>
  </si>
  <si>
    <t>Platform Fees ($)</t>
  </si>
  <si>
    <t>Payment Processing ($)</t>
  </si>
  <si>
    <t>Promoted Listing Fee ($)</t>
  </si>
  <si>
    <t>Net Proceeds</t>
  </si>
  <si>
    <t>Net Profit</t>
  </si>
  <si>
    <t>ROI %</t>
  </si>
  <si>
    <t>Days to Sell</t>
  </si>
  <si>
    <t>SALES SUMMARY</t>
  </si>
  <si>
    <t>Invoice ID (helper)</t>
  </si>
  <si>
    <t>Category (helper)</t>
  </si>
  <si>
    <t>Auth (helper)</t>
  </si>
  <si>
    <t>Total Sales Count</t>
  </si>
  <si>
    <t>Total COGS (True Cost)</t>
  </si>
  <si>
    <t>Avg Profit / Sale</t>
  </si>
  <si>
    <t>Avg Days to Sell</t>
  </si>
  <si>
    <t>PRICING INTELLIGENCE — LIVE eBay COMPS</t>
  </si>
  <si>
    <t>Use the "Refresh Live Comps" instructions in the yellow box to set up Power Query. Each item has a clickable "Sold Comps" URL that opens eBay Sold Listings. Once Power Query is wired, the Live Avg / Live High / Live Low columns auto-populate on refresh.</t>
  </si>
  <si>
    <t>Manual Comp #1</t>
  </si>
  <si>
    <t>Manual Comp #2</t>
  </si>
  <si>
    <t>Manual Comp #3</t>
  </si>
  <si>
    <t>Manual Avg</t>
  </si>
  <si>
    <t>Live Avg (eBay)</t>
  </si>
  <si>
    <t>Recommended List Price</t>
  </si>
  <si>
    <t>Sold Comps Link</t>
  </si>
  <si>
    <t>HOW TO ENABLE LIVE eBay COMP PULL-IN (Power Query)</t>
  </si>
  <si>
    <t>1. In Excel, go to Data → Get Data → From Other Sources → From Web.</t>
  </si>
  <si>
    <t>2. Paste any URL from column K (they are pre-built eBay Sold Listings search URLs).</t>
  </si>
  <si>
    <t>3. In the Power Query Navigator, choose the HTML table containing sold prices, then click "Transform Data".</t>
  </si>
  <si>
    <t>4. Filter to only completed/sold rows, keep the Price column, remove nulls, and rename the query "eBay_Comps_[Item]".</t>
  </si>
  <si>
    <t>5. Click Close &amp; Load To → Only Create Connection. Then in a helper column, use =AVERAGE() over the returned range.</t>
  </si>
  <si>
    <t>6. Alternative easier route: use an add-in like "Terapeak" (built into eBay Seller Hub) — export CSV, then use Data → From File → From CSV.</t>
  </si>
  <si>
    <t>7. Once loaded, point cell I5 (Live Avg) to the query output cell — e.g., ="eBay_Comps_Kemp"!B2. Copy down.</t>
  </si>
  <si>
    <t>8. Right-click any query → Refresh, or Data → Refresh All (Ctrl+Alt+F5) to pull fresh comps anytime.</t>
  </si>
  <si>
    <t>⚠ Note: eBay rate-limits scraping. Refresh sparingly (once per session) or use Terapeak API for higher volume.</t>
  </si>
  <si>
    <t>CATEGORY &amp; PERFORMANCE BREAKDOWN</t>
  </si>
  <si>
    <t>BY CATEGORY</t>
  </si>
  <si>
    <t># Items</t>
  </si>
  <si>
    <t>Total True Cost</t>
  </si>
  <si>
    <t>Avg Cost</t>
  </si>
  <si>
    <t>Realized Revenue</t>
  </si>
  <si>
    <t>Avg Margin %</t>
  </si>
  <si>
    <t>Jersey</t>
  </si>
  <si>
    <t>Photo</t>
  </si>
  <si>
    <t>Bat</t>
  </si>
  <si>
    <t>Mask</t>
  </si>
  <si>
    <t>Drum Stick</t>
  </si>
  <si>
    <t>Card</t>
  </si>
  <si>
    <t>Other</t>
  </si>
  <si>
    <t>BY AUTHENTICATOR</t>
  </si>
  <si>
    <t>Beckett</t>
  </si>
  <si>
    <t>JSA</t>
  </si>
  <si>
    <t>PSA</t>
  </si>
  <si>
    <t>ACOA</t>
  </si>
  <si>
    <t>Schwartz</t>
  </si>
  <si>
    <t>Unlabeled</t>
  </si>
  <si>
    <t>PLATFORM FEE REFERENCE</t>
  </si>
  <si>
    <t>Fee %</t>
  </si>
  <si>
    <t>Flat Fee ($)</t>
  </si>
  <si>
    <t>13.6% final value fee + $0.40 per order (avg)</t>
  </si>
  <si>
    <t>eBay (Promoted 2%)</t>
  </si>
  <si>
    <t>FVF + 2% promoted listing rate</t>
  </si>
  <si>
    <t>eBay (Promoted 5%)</t>
  </si>
  <si>
    <t>FVF + 5% promoted listing rate</t>
  </si>
  <si>
    <t>Facebook Marketplace (Local)</t>
  </si>
  <si>
    <t>No fees for local pickup</t>
  </si>
  <si>
    <t>Facebook Marketplace (Shipped)</t>
  </si>
  <si>
    <t>5% seller fee on shipped orders</t>
  </si>
  <si>
    <t>OfferUp</t>
  </si>
  <si>
    <t>12.9% on shipped orders</t>
  </si>
  <si>
    <t>Mercari</t>
  </si>
  <si>
    <t>10% seller fee + payment processing</t>
  </si>
  <si>
    <t>Whatnot (Live)</t>
  </si>
  <si>
    <t>8% + $0.30, live auction platform</t>
  </si>
  <si>
    <t>COMC</t>
  </si>
  <si>
    <t>Consignment ~20% depending on tier</t>
  </si>
  <si>
    <t>Craigslist</t>
  </si>
  <si>
    <t>No fees — local only</t>
  </si>
  <si>
    <t>PWCC</t>
  </si>
  <si>
    <t>Vault/consignment ~20%</t>
  </si>
  <si>
    <t>Custom</t>
  </si>
  <si>
    <t>Boost %</t>
  </si>
  <si>
    <t>Listed</t>
  </si>
  <si>
    <t>Current List Price</t>
  </si>
  <si>
    <t>Kept for Self</t>
  </si>
  <si>
    <t>💡 Click sheet tabs at bottom of Excel to navigate, or use Ctrl+Page Down / Ctrl+Page Up</t>
  </si>
  <si>
    <t>Rob Gronkowski Signed Jersey</t>
  </si>
  <si>
    <t>Best Listing Window</t>
  </si>
  <si>
    <t>Cheech Marin &amp; Tommy Chong Signed "The Simpsons" 8x10 Photo (JSA)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</si>
</sst>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d&quot;, &quot;yyyy\ h:mm\ AM/PM"/>
    <numFmt numFmtId="165" formatCode="\$#,##0.00"/>
    <numFmt numFmtId="166" formatCode="\$#,##0.00;[Red]&quot;($&quot;#,##0.00\);\-"/>
    <numFmt numFmtId="167" formatCode="0.0%"/>
    <numFmt numFmtId="168" formatCode="0.0"/>
    <numFmt numFmtId="169" formatCode="&quot;$&quot;#,##0.00"/>
  </numFmts>
  <fonts count="33" x14ac:knownFonts="1">
    <font>
      <sz val="10"/>
      <color rgb="FF000000"/>
      <name val="Arial"/>
      <charset val="1"/>
    </font>
    <font>
      <b/>
      <sz val="22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595959"/>
      <name val="Arial"/>
      <family val="2"/>
    </font>
    <font>
      <b/>
      <sz val="20"/>
      <color rgb="FF1F3864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8000"/>
      <name val="Arial"/>
      <family val="2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000000"/>
      <name val="Arial"/>
      <family val="2"/>
    </font>
    <font>
      <b/>
      <sz val="14"/>
      <color rgb="FF2F5496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8"/>
      <color rgb="FF1F3864"/>
      <name val="Arial"/>
      <family val="2"/>
    </font>
    <font>
      <i/>
      <sz val="10"/>
      <color rgb="FF595959"/>
      <name val="Arial"/>
      <family val="2"/>
    </font>
    <font>
      <u/>
      <sz val="11"/>
      <color rgb="FF0563C1"/>
      <name val="Arial"/>
      <family val="2"/>
    </font>
    <font>
      <b/>
      <sz val="12"/>
      <color rgb="FF9C5700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u/>
      <sz val="11"/>
      <color rgb="FF000000"/>
      <name val="Arial"/>
      <family val="2"/>
    </font>
    <font>
      <b/>
      <sz val="13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  <charset val="1"/>
    </font>
    <font>
      <b/>
      <u/>
      <sz val="10"/>
      <color rgb="FF0563C1"/>
      <name val="Arial"/>
      <family val="2"/>
    </font>
    <font>
      <b/>
      <u/>
      <sz val="11"/>
      <color rgb="FF0563C1"/>
      <name val="Arial"/>
      <family val="2"/>
    </font>
    <font>
      <i/>
      <sz val="10"/>
      <color rgb="FF66666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0F5FF"/>
      </patternFill>
    </fill>
    <fill>
      <patternFill patternType="solid">
        <fgColor rgb="FF2E75B6"/>
        <bgColor rgb="FF0563C1"/>
      </patternFill>
    </fill>
    <fill>
      <patternFill patternType="solid">
        <fgColor rgb="FFDEEBF7"/>
        <bgColor rgb="FFD9E2F3"/>
      </patternFill>
    </fill>
    <fill>
      <patternFill patternType="solid">
        <fgColor rgb="FF1F3864"/>
        <bgColor rgb="FF1F4E79"/>
      </patternFill>
    </fill>
    <fill>
      <patternFill patternType="solid">
        <fgColor rgb="FF2F5496"/>
        <bgColor rgb="FF1F4E79"/>
      </patternFill>
    </fill>
    <fill>
      <patternFill patternType="solid">
        <fgColor rgb="FF1F4E79"/>
        <bgColor rgb="FF2F5496"/>
      </patternFill>
    </fill>
    <fill>
      <patternFill patternType="solid">
        <fgColor rgb="FFF0F5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EEBF7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rgb="FFF2F2F2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/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medium">
        <color rgb="FFB4C6E7"/>
      </left>
      <right style="medium">
        <color auto="1"/>
      </right>
      <top/>
      <bottom style="thin">
        <color rgb="FFB4C6E7"/>
      </bottom>
      <diagonal/>
    </border>
    <border>
      <left style="thin">
        <color rgb="FFB4C6E7"/>
      </left>
      <right style="medium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medium">
        <color rgb="FFB4C6E7"/>
      </left>
      <right style="medium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B4C6E7"/>
      </left>
      <right style="medium">
        <color auto="1"/>
      </right>
      <top style="thin">
        <color rgb="FFB4C6E7"/>
      </top>
      <bottom/>
      <diagonal/>
    </border>
    <border>
      <left/>
      <right style="medium">
        <color rgb="FFB4C6E7"/>
      </right>
      <top style="thin">
        <color rgb="FFB4C6E7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medium">
        <color auto="1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6" fillId="4" borderId="2" xfId="0" applyFont="1" applyFill="1" applyBorder="1"/>
    <xf numFmtId="0" fontId="0" fillId="0" borderId="2" xfId="0" applyBorder="1" applyAlignment="1">
      <alignment horizontal="center"/>
    </xf>
    <xf numFmtId="0" fontId="8" fillId="0" borderId="2" xfId="0" applyFont="1" applyBorder="1"/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vertical="center"/>
    </xf>
    <xf numFmtId="165" fontId="12" fillId="8" borderId="11" xfId="0" applyNumberFormat="1" applyFont="1" applyFill="1" applyBorder="1" applyAlignment="1">
      <alignment vertical="center"/>
    </xf>
    <xf numFmtId="10" fontId="12" fillId="8" borderId="11" xfId="0" applyNumberFormat="1" applyFont="1" applyFill="1" applyBorder="1" applyAlignment="1">
      <alignment vertical="center"/>
    </xf>
    <xf numFmtId="165" fontId="13" fillId="8" borderId="13" xfId="0" applyNumberFormat="1" applyFont="1" applyFill="1" applyBorder="1" applyAlignment="1">
      <alignment vertical="center"/>
    </xf>
    <xf numFmtId="0" fontId="0" fillId="8" borderId="12" xfId="0" applyFill="1" applyBorder="1" applyAlignment="1">
      <alignment horizontal="center"/>
    </xf>
    <xf numFmtId="10" fontId="0" fillId="8" borderId="11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14" fillId="9" borderId="11" xfId="0" applyNumberFormat="1" applyFont="1" applyFill="1" applyBorder="1"/>
    <xf numFmtId="165" fontId="0" fillId="8" borderId="14" xfId="0" applyNumberFormat="1" applyFill="1" applyBorder="1"/>
    <xf numFmtId="165" fontId="14" fillId="10" borderId="15" xfId="0" applyNumberFormat="1" applyFont="1" applyFill="1" applyBorder="1"/>
    <xf numFmtId="165" fontId="0" fillId="8" borderId="0" xfId="0" applyNumberFormat="1" applyFill="1"/>
    <xf numFmtId="14" fontId="0" fillId="0" borderId="0" xfId="0" applyNumberFormat="1"/>
    <xf numFmtId="167" fontId="0" fillId="0" borderId="0" xfId="0" applyNumberFormat="1"/>
    <xf numFmtId="0" fontId="0" fillId="0" borderId="16" xfId="0" applyBorder="1"/>
    <xf numFmtId="165" fontId="0" fillId="0" borderId="16" xfId="0" applyNumberFormat="1" applyBorder="1"/>
    <xf numFmtId="0" fontId="11" fillId="6" borderId="0" xfId="0" applyFont="1" applyFill="1"/>
    <xf numFmtId="165" fontId="11" fillId="6" borderId="0" xfId="0" applyNumberFormat="1" applyFont="1" applyFill="1"/>
    <xf numFmtId="0" fontId="10" fillId="6" borderId="0" xfId="0" applyFont="1" applyFill="1"/>
    <xf numFmtId="165" fontId="10" fillId="6" borderId="0" xfId="0" applyNumberFormat="1" applyFont="1" applyFill="1"/>
    <xf numFmtId="165" fontId="10" fillId="6" borderId="18" xfId="0" applyNumberFormat="1" applyFont="1" applyFill="1" applyBorder="1"/>
    <xf numFmtId="165" fontId="10" fillId="6" borderId="19" xfId="0" applyNumberFormat="1" applyFont="1" applyFill="1" applyBorder="1"/>
    <xf numFmtId="0" fontId="15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righ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7" fillId="5" borderId="0" xfId="0" applyFont="1" applyFill="1"/>
    <xf numFmtId="166" fontId="0" fillId="0" borderId="0" xfId="0" applyNumberFormat="1"/>
    <xf numFmtId="1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168" fontId="0" fillId="0" borderId="2" xfId="0" applyNumberFormat="1" applyBorder="1"/>
    <xf numFmtId="0" fontId="8" fillId="0" borderId="0" xfId="0" applyFont="1"/>
    <xf numFmtId="165" fontId="8" fillId="0" borderId="0" xfId="0" applyNumberFormat="1" applyFont="1"/>
    <xf numFmtId="165" fontId="0" fillId="9" borderId="0" xfId="0" applyNumberFormat="1" applyFill="1"/>
    <xf numFmtId="0" fontId="19" fillId="0" borderId="0" xfId="0" applyFont="1"/>
    <xf numFmtId="0" fontId="0" fillId="0" borderId="2" xfId="0" applyBorder="1"/>
    <xf numFmtId="165" fontId="0" fillId="0" borderId="2" xfId="0" applyNumberFormat="1" applyBorder="1"/>
    <xf numFmtId="0" fontId="7" fillId="11" borderId="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left" vertical="center"/>
    </xf>
    <xf numFmtId="0" fontId="0" fillId="12" borderId="0" xfId="0" applyFill="1"/>
    <xf numFmtId="0" fontId="23" fillId="12" borderId="3" xfId="0" applyFont="1" applyFill="1" applyBorder="1" applyAlignment="1">
      <alignment horizontal="center" vertical="center"/>
    </xf>
    <xf numFmtId="0" fontId="23" fillId="12" borderId="20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10" fontId="0" fillId="0" borderId="17" xfId="0" applyNumberFormat="1" applyBorder="1" applyAlignment="1">
      <alignment horizontal="left"/>
    </xf>
    <xf numFmtId="167" fontId="0" fillId="8" borderId="11" xfId="0" applyNumberFormat="1" applyFill="1" applyBorder="1" applyAlignment="1">
      <alignment horizontal="center"/>
    </xf>
    <xf numFmtId="0" fontId="11" fillId="6" borderId="22" xfId="0" applyFont="1" applyFill="1" applyBorder="1" applyAlignment="1">
      <alignment horizontal="center" vertical="center" wrapText="1"/>
    </xf>
    <xf numFmtId="165" fontId="10" fillId="6" borderId="24" xfId="0" applyNumberFormat="1" applyFont="1" applyFill="1" applyBorder="1"/>
    <xf numFmtId="169" fontId="0" fillId="8" borderId="23" xfId="0" applyNumberFormat="1" applyFill="1" applyBorder="1"/>
    <xf numFmtId="0" fontId="25" fillId="6" borderId="25" xfId="0" applyFont="1" applyFill="1" applyBorder="1" applyAlignment="1">
      <alignment horizontal="center" vertical="center" wrapText="1"/>
    </xf>
    <xf numFmtId="0" fontId="25" fillId="6" borderId="0" xfId="0" applyFont="1" applyFill="1"/>
    <xf numFmtId="0" fontId="27" fillId="0" borderId="0" xfId="0" applyFont="1"/>
    <xf numFmtId="0" fontId="27" fillId="0" borderId="0" xfId="0" applyFont="1" applyAlignment="1">
      <alignment horizontal="left"/>
    </xf>
    <xf numFmtId="165" fontId="27" fillId="0" borderId="0" xfId="0" applyNumberFormat="1" applyFont="1" applyAlignment="1">
      <alignment horizontal="left"/>
    </xf>
    <xf numFmtId="0" fontId="28" fillId="8" borderId="26" xfId="0" applyFont="1" applyFill="1" applyBorder="1" applyAlignment="1">
      <alignment vertical="center"/>
    </xf>
    <xf numFmtId="0" fontId="29" fillId="8" borderId="11" xfId="0" applyFont="1" applyFill="1" applyBorder="1" applyAlignment="1">
      <alignment vertical="center"/>
    </xf>
    <xf numFmtId="169" fontId="26" fillId="13" borderId="23" xfId="0" applyNumberFormat="1" applyFont="1" applyFill="1" applyBorder="1"/>
    <xf numFmtId="0" fontId="7" fillId="15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2" fillId="0" borderId="27" xfId="0" applyFont="1" applyBorder="1" applyAlignment="1">
      <alignment horizontal="left"/>
    </xf>
    <xf numFmtId="0" fontId="0" fillId="0" borderId="27" xfId="0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2" xfId="0" applyFont="1" applyFill="1" applyBorder="1"/>
    <xf numFmtId="165" fontId="0" fillId="0" borderId="2" xfId="0" applyNumberFormat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/>
    <xf numFmtId="0" fontId="30" fillId="14" borderId="3" xfId="0" applyFont="1" applyFill="1" applyBorder="1" applyAlignment="1">
      <alignment horizontal="center" vertical="center"/>
    </xf>
    <xf numFmtId="0" fontId="30" fillId="14" borderId="20" xfId="0" applyFont="1" applyFill="1" applyBorder="1" applyAlignment="1">
      <alignment horizontal="center" vertical="center"/>
    </xf>
    <xf numFmtId="0" fontId="31" fillId="14" borderId="3" xfId="0" applyFont="1" applyFill="1" applyBorder="1" applyAlignment="1">
      <alignment horizontal="center" vertical="center"/>
    </xf>
    <xf numFmtId="0" fontId="31" fillId="14" borderId="20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vertical="top" wrapText="1"/>
    </xf>
    <xf numFmtId="0" fontId="20" fillId="9" borderId="0" xfId="0" applyFont="1" applyFill="1"/>
    <xf numFmtId="0" fontId="21" fillId="0" borderId="0" xfId="0" applyFont="1" applyAlignment="1">
      <alignment vertical="top" wrapText="1"/>
    </xf>
    <xf numFmtId="0" fontId="5" fillId="3" borderId="0" xfId="0" applyFont="1" applyFill="1"/>
    <xf numFmtId="0" fontId="22" fillId="0" borderId="0" xfId="0" applyFont="1"/>
    <xf numFmtId="0" fontId="0" fillId="16" borderId="11" xfId="0" applyFill="1" applyBorder="1" applyAlignment="1">
      <alignment vertical="center"/>
    </xf>
  </cellXfs>
  <cellStyles count="1">
    <cellStyle name="Normal" xfId="0" builtinId="0"/>
  </cellStyles>
  <dxfs count="3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FE699"/>
        </patternFill>
      </fill>
    </dxf>
    <dxf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color rgb="FFFFFFFF"/>
      </font>
      <fill>
        <patternFill patternType="solid">
          <fgColor indexed="64"/>
          <bgColor rgb="FF0064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C7CE"/>
        </patternFill>
      </fill>
    </dxf>
    <dxf>
      <font>
        <color rgb="FFFFFFFF"/>
      </font>
      <fill>
        <patternFill patternType="solid">
          <fgColor indexed="64"/>
          <bgColor rgb="FF8B000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C99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6400"/>
        </patternFill>
      </fill>
    </dxf>
    <dxf>
      <font>
        <b/>
        <i val="0"/>
        <color rgb="FF800000"/>
      </font>
    </dxf>
    <dxf>
      <font>
        <color rgb="FFFF0000"/>
      </font>
    </dxf>
    <dxf>
      <font>
        <color rgb="FFFF8C00"/>
      </font>
    </dxf>
    <dxf>
      <font>
        <color rgb="FF006400"/>
      </font>
    </dxf>
    <dxf>
      <font>
        <color rgb="FF808080"/>
      </font>
    </dxf>
    <dxf>
      <font>
        <color rgb="FF806000"/>
      </font>
      <fill>
        <patternFill patternType="solid">
          <fgColor indexed="64"/>
          <bgColor rgb="FFFFF2CC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7030A0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0"/>
        <i/>
        <color rgb="FF808080"/>
      </font>
      <fill>
        <patternFill patternType="solid">
          <fgColor indexed="64"/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2F3"/>
      <rgbColor rgb="FFF2F2F2"/>
      <rgbColor rgb="FFF0F5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C5700"/>
      <rgbColor rgb="FF993366"/>
      <rgbColor rgb="FF2F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2"/>
  <sheetViews>
    <sheetView showGridLines="0" topLeftCell="A8" zoomScaleNormal="100" workbookViewId="0">
      <selection activeCell="E25" sqref="E25"/>
    </sheetView>
  </sheetViews>
  <sheetFormatPr defaultColWidth="8.77734375" defaultRowHeight="13.2" x14ac:dyDescent="0.25"/>
  <cols>
    <col min="1" max="1" width="2" customWidth="1"/>
    <col min="2" max="2" width="10.109375" customWidth="1"/>
    <col min="3" max="3" width="20.21875" customWidth="1"/>
    <col min="4" max="4" width="43.33203125" customWidth="1"/>
    <col min="5" max="5" width="14.21875" customWidth="1"/>
    <col min="6" max="6" width="22" customWidth="1"/>
    <col min="7" max="7" width="4" customWidth="1"/>
    <col min="8" max="8" width="22" customWidth="1"/>
    <col min="9" max="9" width="16" customWidth="1"/>
    <col min="10" max="10" width="4" customWidth="1"/>
    <col min="11" max="11" width="22" customWidth="1"/>
    <col min="12" max="12" width="16" customWidth="1"/>
    <col min="13" max="13" width="2" customWidth="1"/>
  </cols>
  <sheetData>
    <row r="2" spans="2:12" ht="31.5" customHeight="1" x14ac:dyDescent="0.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2:12" ht="15" customHeight="1" x14ac:dyDescent="0.25">
      <c r="B3" s="4" t="s">
        <v>1</v>
      </c>
      <c r="C3" s="5">
        <f ca="1">NOW()</f>
        <v>46232.570143171295</v>
      </c>
    </row>
    <row r="5" spans="2:12" ht="18" customHeight="1" x14ac:dyDescent="0.25">
      <c r="B5" s="82" t="s">
        <v>2</v>
      </c>
      <c r="C5" s="82"/>
      <c r="E5" s="82" t="s">
        <v>3</v>
      </c>
      <c r="F5" s="82"/>
      <c r="H5" s="82" t="s">
        <v>4</v>
      </c>
      <c r="I5" s="82"/>
      <c r="K5" s="82" t="s">
        <v>5</v>
      </c>
      <c r="L5" s="82"/>
    </row>
    <row r="6" spans="2:12" ht="27.75" customHeight="1" x14ac:dyDescent="0.25">
      <c r="B6" s="83">
        <f>COUNTA(Inventory!A2:A35)</f>
        <v>34</v>
      </c>
      <c r="C6" s="83"/>
      <c r="E6" s="84">
        <f>Inventory!N36</f>
        <v>1067.1400000000001</v>
      </c>
      <c r="F6" s="84"/>
      <c r="H6" s="83">
        <f>COUNTIF(Inventory!B2:B35,"Sold")</f>
        <v>0</v>
      </c>
      <c r="I6" s="83"/>
      <c r="K6" s="85">
        <f>SUM('Sales Log'!P4:P303)</f>
        <v>0</v>
      </c>
      <c r="L6" s="85"/>
    </row>
    <row r="8" spans="2:12" ht="18" customHeight="1" x14ac:dyDescent="0.25">
      <c r="B8" s="82" t="s">
        <v>6</v>
      </c>
      <c r="C8" s="82"/>
      <c r="E8" s="82" t="s">
        <v>7</v>
      </c>
      <c r="F8" s="82"/>
      <c r="H8" s="82" t="s">
        <v>8</v>
      </c>
      <c r="I8" s="82"/>
      <c r="K8" s="82" t="s">
        <v>9</v>
      </c>
      <c r="L8" s="82"/>
    </row>
    <row r="9" spans="2:12" ht="27.75" customHeight="1" x14ac:dyDescent="0.25">
      <c r="B9" s="83">
        <f>COUNTIF(Inventory!B2:B35,"Listed")</f>
        <v>16</v>
      </c>
      <c r="C9" s="83"/>
      <c r="E9" s="84">
        <f>SUMIF(Inventory!B2:B35,"&lt;&gt;Sold",Inventory!N2:N35)</f>
        <v>1067.1400000000001</v>
      </c>
      <c r="F9" s="84"/>
      <c r="H9" s="86">
        <f>IFERROR(COUNTIF(Inventory!B2:B35,"Sold")/COUNTA(Inventory!A2:A35),0)</f>
        <v>0</v>
      </c>
      <c r="I9" s="86"/>
      <c r="K9" s="86">
        <f>IFERROR(SUM('Sales Log'!P4:P303)/SUMIF('Sales Log'!F4:F303,"&gt;0",'Sales Log'!O4:O303),0)</f>
        <v>0</v>
      </c>
      <c r="L9" s="86"/>
    </row>
    <row r="11" spans="2:12" ht="18" customHeight="1" x14ac:dyDescent="0.25">
      <c r="B11" s="82" t="s">
        <v>10</v>
      </c>
      <c r="C11" s="82"/>
      <c r="E11" s="82" t="s">
        <v>11</v>
      </c>
      <c r="F11" s="82"/>
      <c r="H11" s="82" t="s">
        <v>12</v>
      </c>
      <c r="I11" s="82"/>
      <c r="K11" s="82" t="s">
        <v>13</v>
      </c>
      <c r="L11" s="82"/>
    </row>
    <row r="12" spans="2:12" ht="27.75" customHeight="1" x14ac:dyDescent="0.25">
      <c r="B12" s="84">
        <f>SUM('Sales Log'!F4:F303)</f>
        <v>0</v>
      </c>
      <c r="C12" s="84"/>
      <c r="E12" s="87">
        <f ca="1">IFERROR(AVERAGEIF(Inventory!AE2:AE35,"&lt;&gt;",Inventory!AG2:AG35),0)</f>
        <v>11.8125</v>
      </c>
      <c r="F12" s="87"/>
      <c r="H12" s="84">
        <f>IFERROR(Inventory!N36/COUNTA(Inventory!A2:A35),0)</f>
        <v>31.386470588235298</v>
      </c>
      <c r="I12" s="84"/>
      <c r="K12" s="84">
        <f>MAX(Inventory!N2:N35)</f>
        <v>72.346755852842804</v>
      </c>
      <c r="L12" s="84"/>
    </row>
    <row r="14" spans="2:12" ht="21.75" customHeight="1" x14ac:dyDescent="0.25">
      <c r="B14" s="88" t="s">
        <v>14</v>
      </c>
      <c r="C14" s="88"/>
      <c r="D14" s="88"/>
      <c r="E14" s="88"/>
      <c r="F14" s="88"/>
      <c r="H14" s="88" t="s">
        <v>15</v>
      </c>
      <c r="I14" s="88"/>
      <c r="J14" s="88"/>
      <c r="K14" s="88"/>
      <c r="L14" s="88"/>
    </row>
    <row r="15" spans="2:12" ht="15" customHeight="1" x14ac:dyDescent="0.25">
      <c r="B15" s="89" t="s">
        <v>16</v>
      </c>
      <c r="C15" s="89"/>
      <c r="D15" s="89"/>
      <c r="E15" s="90">
        <f>SUM(Inventory!E2:E35)</f>
        <v>974.59000000000026</v>
      </c>
      <c r="F15" s="90"/>
      <c r="H15" s="89" t="s">
        <v>17</v>
      </c>
      <c r="I15" s="89"/>
      <c r="J15" s="89"/>
      <c r="K15" s="91">
        <f>SUM('Sales Log'!F4:F303)</f>
        <v>0</v>
      </c>
      <c r="L15" s="91"/>
    </row>
    <row r="16" spans="2:12" ht="15" customHeight="1" x14ac:dyDescent="0.25">
      <c r="B16" s="89" t="s">
        <v>18</v>
      </c>
      <c r="C16" s="89"/>
      <c r="D16" s="89"/>
      <c r="E16" s="90">
        <f>SUM(Inventory!I2:I35)</f>
        <v>221</v>
      </c>
      <c r="F16" s="90"/>
      <c r="H16" s="89" t="s">
        <v>19</v>
      </c>
      <c r="I16" s="89"/>
      <c r="J16" s="89"/>
      <c r="K16" s="91">
        <f>SUM('Sales Log'!K4:K303)+SUM('Sales Log'!L4:L303)+SUM('Sales Log'!M4:M303)</f>
        <v>0</v>
      </c>
      <c r="L16" s="91"/>
    </row>
    <row r="17" spans="2:13" ht="15" customHeight="1" x14ac:dyDescent="0.25">
      <c r="B17" s="89" t="s">
        <v>20</v>
      </c>
      <c r="C17" s="89"/>
      <c r="D17" s="89"/>
      <c r="E17" s="90">
        <f>SUM(Inventory!K2:K35)</f>
        <v>218.77999999999997</v>
      </c>
      <c r="F17" s="90"/>
      <c r="H17" s="89" t="s">
        <v>21</v>
      </c>
      <c r="I17" s="89"/>
      <c r="J17" s="89"/>
      <c r="K17" s="91">
        <f>SUMIF('Sales Log'!F4:F303,"&gt;0",'Sales Log'!O4:O303)</f>
        <v>0</v>
      </c>
      <c r="L17" s="91"/>
    </row>
    <row r="18" spans="2:13" ht="15" customHeight="1" x14ac:dyDescent="0.25">
      <c r="B18" s="89" t="s">
        <v>22</v>
      </c>
      <c r="C18" s="89"/>
      <c r="D18" s="89"/>
      <c r="E18" s="90">
        <f>SUM(Inventory!M2:M35)</f>
        <v>94.77</v>
      </c>
      <c r="F18" s="90"/>
      <c r="H18" s="89" t="s">
        <v>23</v>
      </c>
      <c r="I18" s="89"/>
      <c r="J18" s="89" cm="1">
        <f t="array" ref="J18">SUMPRODUCT((Inventory!$B$2:$B$35&lt;&gt;"Sold")*(Inventory!$B$2:$B$35&lt;&gt;"Kept for Self")*IFERROR(Inventory!$U$2:$U$35-Inventory!$U$2:$U$35*(Inventory!$P$2:$P$35+Inventory!$S$2:$S$35)-Inventory!$Q$2:$Q$35-Inventory!$R$2:$R$35-Inventory!$N$2:$N$35,0))</f>
        <v>859.07232653647509</v>
      </c>
      <c r="K18" s="91">
        <f>SUM('Sales Log'!P4:P303)</f>
        <v>0</v>
      </c>
      <c r="L18" s="91"/>
    </row>
    <row r="19" spans="2:13" ht="15" customHeight="1" x14ac:dyDescent="0.25">
      <c r="B19" s="89" t="s">
        <v>24</v>
      </c>
      <c r="C19" s="89"/>
      <c r="D19" s="89"/>
      <c r="E19" s="90">
        <f>SUM(Inventory!N2:N35)</f>
        <v>1067.1400000000001</v>
      </c>
      <c r="F19" s="90"/>
      <c r="H19" s="89" t="s">
        <v>25</v>
      </c>
      <c r="I19" s="89"/>
      <c r="J19" s="89"/>
      <c r="K19" s="91" cm="1">
        <f t="array" ref="K19">SUMPRODUCT((Inventory!$B$2:$B$35&lt;&gt;"Sold")*(Inventory!$B$2:$B$35&lt;&gt;"Kept for Self")*IFERROR(Inventory!$U$2:$U$35-Inventory!$U$2:$U$35*(Inventory!$P$2:$P$35+Inventory!$S$2:$S$35)-Inventory!$Q$2:$Q$35-Inventory!$R$2:$R$35-Inventory!$N$2:$N$35,0))</f>
        <v>859.07232653647509</v>
      </c>
      <c r="L19" s="91"/>
    </row>
    <row r="21" spans="2:13" ht="21.75" customHeight="1" x14ac:dyDescent="0.25">
      <c r="B21" s="88" t="s">
        <v>26</v>
      </c>
      <c r="C21" s="88"/>
      <c r="D21" s="88"/>
      <c r="E21" s="88"/>
      <c r="F21" s="88"/>
      <c r="H21" s="88" t="s">
        <v>27</v>
      </c>
      <c r="I21" s="88"/>
      <c r="J21" s="88"/>
      <c r="K21" s="88"/>
      <c r="L21" s="88"/>
    </row>
    <row r="22" spans="2:13" ht="15" customHeight="1" x14ac:dyDescent="0.25">
      <c r="B22" s="2" t="s">
        <v>28</v>
      </c>
      <c r="C22" s="92" t="s">
        <v>29</v>
      </c>
      <c r="D22" s="92"/>
      <c r="E22" s="2" t="s">
        <v>30</v>
      </c>
      <c r="F22" s="2" t="s">
        <v>31</v>
      </c>
      <c r="H22" s="1" t="s">
        <v>28</v>
      </c>
      <c r="I22" s="93" t="s">
        <v>30</v>
      </c>
      <c r="J22" s="93"/>
      <c r="K22" s="93" t="s">
        <v>32</v>
      </c>
      <c r="L22" s="93"/>
    </row>
    <row r="23" spans="2:13" ht="15" customHeight="1" x14ac:dyDescent="0.25">
      <c r="B23" s="7">
        <v>1</v>
      </c>
      <c r="C23" s="94" t="str">
        <f>INDEX(Inventory!$A$2:$A$35,MATCH(LARGE(Inventory!$N$2:$N$35,1),Inventory!$N$2:$N$35,0))</f>
        <v>Charlie Sheen, Tom Berenger &amp; Corbin Bernsen Signed Jersey (Beckett)</v>
      </c>
      <c r="D23" s="94"/>
      <c r="E23" s="8" t="str">
        <f>INDEX(Inventory!$Y$2:$Y$35,MATCH(LARGE(Inventory!$N$2:$N$35,1),Inventory!$N$2:$N$35,0))</f>
        <v>Jersey</v>
      </c>
      <c r="F23" s="3">
        <f>LARGE(Inventory!$N$2:$N$35,1)</f>
        <v>72.346755852842804</v>
      </c>
      <c r="H23" s="7">
        <v>1</v>
      </c>
      <c r="I23" s="95" t="str">
        <f>IFERROR(INDEX(Categories!$A$5:$A$13,MATCH(LARGE(Categories!$G$5:$G$13,1),Categories!$G$5:$G$13,0)),"—")</f>
        <v>Jersey</v>
      </c>
      <c r="J23" s="95"/>
      <c r="K23" s="91">
        <f>IFERROR(LARGE(Categories!$G$5:$G$13,1),0)</f>
        <v>0</v>
      </c>
      <c r="L23" s="91"/>
    </row>
    <row r="24" spans="2:13" ht="15" customHeight="1" x14ac:dyDescent="0.25">
      <c r="B24" s="7">
        <v>2</v>
      </c>
      <c r="C24" s="94" t="str">
        <f>INDEX(Inventory!$A$2:$A$35,MATCH(LARGE(Inventory!$N$2:$N$35,2),Inventory!$N$2:$N$35,0))</f>
        <v>Ari Lehman Signed "Friday the 13th" Jason Voorhees Mask Inscribed "Jason 1" (Beckett)</v>
      </c>
      <c r="D24" s="94"/>
      <c r="E24" s="8" t="str">
        <f>INDEX(Inventory!$Y$2:$Y$35,MATCH(LARGE(Inventory!$N$2:$N$35,2),Inventory!$N$2:$N$35,0))</f>
        <v>Mask</v>
      </c>
      <c r="F24" s="3">
        <f>LARGE(Inventory!$N$2:$N$35,2)</f>
        <v>55.903339755940912</v>
      </c>
      <c r="H24" s="7">
        <v>2</v>
      </c>
      <c r="I24" s="95" t="str">
        <f>IFERROR(INDEX(Categories!$A$5:$A$13,MATCH(LARGE(Categories!$G$5:$G$13,2),Categories!$G$5:$G$13,0)),"—")</f>
        <v>Jersey</v>
      </c>
      <c r="J24" s="95"/>
      <c r="K24" s="91">
        <f>IFERROR(LARGE(Categories!$G$5:$G$13,2),0)</f>
        <v>0</v>
      </c>
      <c r="L24" s="91"/>
    </row>
    <row r="25" spans="2:13" ht="15" customHeight="1" x14ac:dyDescent="0.25">
      <c r="B25" s="7">
        <v>3</v>
      </c>
      <c r="C25" s="94" t="str">
        <f>INDEX(Inventory!$A$2:$A$35,MATCH(LARGE(Inventory!$N$2:$N$35,3),Inventory!$N$2:$N$35,0))</f>
        <v>Steve Spurrier Signed Florida Gators 8x10 Photo Inscribed "Go Gators" (ACOA)</v>
      </c>
      <c r="D25" s="94"/>
      <c r="E25" s="8" t="str">
        <f>INDEX(Inventory!$Y$2:$Y$35,MATCH(LARGE(Inventory!$N$2:$N$35,3),Inventory!$N$2:$N$35,0))</f>
        <v>Photo</v>
      </c>
      <c r="F25" s="3">
        <f>LARGE(Inventory!$N$2:$N$35,3)</f>
        <v>54.934250923661345</v>
      </c>
      <c r="H25" s="7">
        <v>3</v>
      </c>
      <c r="I25" s="95" t="str">
        <f>IFERROR(INDEX(Categories!$A$5:$A$13,MATCH(LARGE(Categories!$G$5:$G$13,3),Categories!$G$5:$G$13,0)),"—")</f>
        <v>Jersey</v>
      </c>
      <c r="J25" s="95"/>
      <c r="K25" s="91">
        <f>IFERROR(LARGE(Categories!$G$5:$G$13,3),0)</f>
        <v>0</v>
      </c>
      <c r="L25" s="91"/>
    </row>
    <row r="26" spans="2:13" ht="15" customHeight="1" x14ac:dyDescent="0.25">
      <c r="B26" s="7">
        <v>4</v>
      </c>
      <c r="C26" s="94" t="str">
        <f>INDEX(Inventory!$A$2:$A$35,MATCH(LARGE(Inventory!$N$2:$N$35,4),Inventory!$N$2:$N$35,0))</f>
        <v>Chad Smith Signed 16" Drum Stick (Beckett)</v>
      </c>
      <c r="D26" s="94"/>
      <c r="E26" s="8" t="str">
        <f>INDEX(Inventory!$Y$2:$Y$35,MATCH(LARGE(Inventory!$N$2:$N$35,4),Inventory!$N$2:$N$35,0))</f>
        <v>Drum Stick</v>
      </c>
      <c r="F26" s="3">
        <f>LARGE(Inventory!$N$2:$N$35,4)</f>
        <v>47.480319012091584</v>
      </c>
      <c r="H26" s="7">
        <v>4</v>
      </c>
      <c r="I26" s="95" t="str">
        <f>IFERROR(INDEX(Categories!$A$5:$A$13,MATCH(LARGE(Categories!$G$5:$G$13,4),Categories!$G$5:$G$13,0)),"—")</f>
        <v>Jersey</v>
      </c>
      <c r="J26" s="95"/>
      <c r="K26" s="91">
        <f>IFERROR(LARGE(Categories!$G$5:$G$13,4),0)</f>
        <v>0</v>
      </c>
      <c r="L26" s="91"/>
    </row>
    <row r="27" spans="2:13" ht="15" customHeight="1" x14ac:dyDescent="0.25">
      <c r="B27" s="7">
        <v>5</v>
      </c>
      <c r="C27" s="94" t="str">
        <f>INDEX(Inventory!$A$2:$A$35,MATCH(LARGE(Inventory!$N$2:$N$35,5),Inventory!$N$2:$N$35,0))</f>
        <v>Shawn Kemp Signed Jersey (JSA)</v>
      </c>
      <c r="D27" s="94"/>
      <c r="E27" s="8" t="str">
        <f>INDEX(Inventory!$Y$2:$Y$35,MATCH(LARGE(Inventory!$N$2:$N$35,5),Inventory!$N$2:$N$35,0))</f>
        <v>Jersey</v>
      </c>
      <c r="F27" s="3">
        <f>LARGE(Inventory!$N$2:$N$35,5)</f>
        <v>44.722671804752729</v>
      </c>
      <c r="H27" s="7">
        <v>5</v>
      </c>
      <c r="I27" s="95" t="str">
        <f>IFERROR(INDEX(Categories!$A$5:$A$13,MATCH(LARGE(Categories!$G$5:$G$13,5),Categories!$G$5:$G$13,0)),"—")</f>
        <v>Jersey</v>
      </c>
      <c r="J27" s="95"/>
      <c r="K27" s="91">
        <f>IFERROR(LARGE(Categories!$G$5:$G$13,5),0)</f>
        <v>0</v>
      </c>
      <c r="L27" s="91"/>
    </row>
    <row r="30" spans="2:13" ht="21.75" customHeight="1" x14ac:dyDescent="0.25">
      <c r="B30" s="100" t="s">
        <v>33</v>
      </c>
      <c r="C30" s="100"/>
      <c r="D30" s="100"/>
      <c r="E30" s="100"/>
      <c r="F30" s="100"/>
      <c r="G30" s="100"/>
      <c r="H30" s="62"/>
      <c r="I30" s="62"/>
      <c r="J30" s="58"/>
      <c r="K30" s="58"/>
      <c r="L30" s="58"/>
      <c r="M30" s="59"/>
    </row>
    <row r="31" spans="2:13" ht="25.5" customHeight="1" x14ac:dyDescent="0.25">
      <c r="B31" s="96" t="s">
        <v>34</v>
      </c>
      <c r="C31" s="97"/>
      <c r="D31" s="98" t="s">
        <v>35</v>
      </c>
      <c r="E31" s="99"/>
      <c r="F31" s="98" t="s">
        <v>36</v>
      </c>
      <c r="G31" s="99"/>
      <c r="H31" s="60"/>
      <c r="I31" s="61"/>
      <c r="J31" s="57"/>
      <c r="K31" s="57"/>
      <c r="L31" s="57"/>
      <c r="M31" s="57"/>
    </row>
    <row r="32" spans="2:13" x14ac:dyDescent="0.25">
      <c r="B32" s="79" t="s">
        <v>209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</row>
  </sheetData>
  <mergeCells count="72">
    <mergeCell ref="B31:C31"/>
    <mergeCell ref="D31:E31"/>
    <mergeCell ref="F31:G31"/>
    <mergeCell ref="B30:G30"/>
    <mergeCell ref="C26:D26"/>
    <mergeCell ref="I26:J26"/>
    <mergeCell ref="K26:L26"/>
    <mergeCell ref="C27:D27"/>
    <mergeCell ref="I27:J27"/>
    <mergeCell ref="K27:L27"/>
    <mergeCell ref="C24:D24"/>
    <mergeCell ref="I24:J24"/>
    <mergeCell ref="K24:L24"/>
    <mergeCell ref="C25:D25"/>
    <mergeCell ref="I25:J25"/>
    <mergeCell ref="K25:L25"/>
    <mergeCell ref="C22:D22"/>
    <mergeCell ref="I22:J22"/>
    <mergeCell ref="K22:L22"/>
    <mergeCell ref="C23:D23"/>
    <mergeCell ref="I23:J23"/>
    <mergeCell ref="K23:L23"/>
    <mergeCell ref="B19:D19"/>
    <mergeCell ref="E19:F19"/>
    <mergeCell ref="H19:J19"/>
    <mergeCell ref="K19:L19"/>
    <mergeCell ref="B21:F21"/>
    <mergeCell ref="H21:L21"/>
    <mergeCell ref="B17:D17"/>
    <mergeCell ref="E17:F17"/>
    <mergeCell ref="H17:J17"/>
    <mergeCell ref="K17:L17"/>
    <mergeCell ref="B18:D18"/>
    <mergeCell ref="E18:F18"/>
    <mergeCell ref="H18:J18"/>
    <mergeCell ref="K18:L18"/>
    <mergeCell ref="B15:D15"/>
    <mergeCell ref="E15:F15"/>
    <mergeCell ref="H15:J15"/>
    <mergeCell ref="K15:L15"/>
    <mergeCell ref="B16:D16"/>
    <mergeCell ref="E16:F16"/>
    <mergeCell ref="H16:J16"/>
    <mergeCell ref="K16:L16"/>
    <mergeCell ref="B12:C12"/>
    <mergeCell ref="E12:F12"/>
    <mergeCell ref="H12:I12"/>
    <mergeCell ref="K12:L12"/>
    <mergeCell ref="B14:F14"/>
    <mergeCell ref="H14:L14"/>
    <mergeCell ref="H9:I9"/>
    <mergeCell ref="K9:L9"/>
    <mergeCell ref="B11:C11"/>
    <mergeCell ref="E11:F11"/>
    <mergeCell ref="H11:I11"/>
    <mergeCell ref="K11:L11"/>
    <mergeCell ref="B32:L32"/>
    <mergeCell ref="B2:L2"/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E8:F8"/>
    <mergeCell ref="H8:I8"/>
    <mergeCell ref="K8:L8"/>
    <mergeCell ref="B9:C9"/>
    <mergeCell ref="E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AL46"/>
  <sheetViews>
    <sheetView tabSelected="1" zoomScaleNormal="100" workbookViewId="0">
      <pane xSplit="2" ySplit="1" topLeftCell="P3" activePane="bottomRight" state="frozen"/>
      <selection pane="topRight" activeCell="C1" sqref="C1"/>
      <selection pane="bottomLeft" activeCell="A2" sqref="A2"/>
      <selection pane="bottomRight" activeCell="V28" sqref="V28"/>
    </sheetView>
  </sheetViews>
  <sheetFormatPr defaultColWidth="12.5546875" defaultRowHeight="15.75" customHeight="1" x14ac:dyDescent="0.25"/>
  <cols>
    <col min="1" max="1" width="49.88671875" customWidth="1"/>
    <col min="2" max="2" width="10.44140625" style="71" bestFit="1" customWidth="1"/>
    <col min="3" max="3" width="8.77734375" customWidth="1"/>
    <col min="4" max="4" width="11.109375" customWidth="1"/>
    <col min="5" max="5" width="10.77734375" customWidth="1"/>
    <col min="6" max="7" width="11.5546875" customWidth="1"/>
    <col min="8" max="8" width="13.21875" customWidth="1"/>
    <col min="9" max="9" width="9.44140625" customWidth="1"/>
    <col min="10" max="10" width="13.21875" customWidth="1"/>
    <col min="11" max="11" width="9.44140625" customWidth="1"/>
    <col min="12" max="12" width="13.21875" customWidth="1"/>
    <col min="13" max="13" width="9.21875" customWidth="1"/>
    <col min="14" max="14" width="10.5546875" customWidth="1"/>
    <col min="15" max="15" width="8.21875" customWidth="1"/>
    <col min="16" max="16" width="11.44140625" customWidth="1"/>
    <col min="17" max="17" width="11.5546875" customWidth="1"/>
    <col min="18" max="18" width="13" customWidth="1"/>
    <col min="19" max="19" width="8.109375" customWidth="1"/>
    <col min="20" max="20" width="10.5546875" customWidth="1"/>
    <col min="21" max="22" width="10.21875" customWidth="1"/>
    <col min="23" max="23" width="9.77734375" customWidth="1"/>
    <col min="24" max="24" width="10.77734375" customWidth="1"/>
    <col min="25" max="25" width="10.44140625" bestFit="1" customWidth="1"/>
    <col min="26" max="26" width="12" customWidth="1"/>
    <col min="27" max="27" width="22" style="40" customWidth="1"/>
    <col min="28" max="28" width="14.77734375" customWidth="1"/>
    <col min="29" max="29" width="14" customWidth="1"/>
    <col min="30" max="30" width="23.21875" bestFit="1" customWidth="1"/>
    <col min="31" max="32" width="13" customWidth="1"/>
    <col min="33" max="33" width="11" customWidth="1"/>
    <col min="34" max="34" width="18" customWidth="1"/>
    <col min="35" max="36" width="12" customWidth="1"/>
    <col min="37" max="37" width="28" customWidth="1"/>
    <col min="38" max="38" width="26.88671875" customWidth="1"/>
  </cols>
  <sheetData>
    <row r="1" spans="1:38" ht="36" customHeight="1" x14ac:dyDescent="0.25">
      <c r="A1" s="9" t="s">
        <v>29</v>
      </c>
      <c r="B1" s="69" t="s">
        <v>61</v>
      </c>
      <c r="C1" s="10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11" t="s">
        <v>48</v>
      </c>
      <c r="O1" s="12" t="s">
        <v>49</v>
      </c>
      <c r="P1" s="13" t="s">
        <v>50</v>
      </c>
      <c r="Q1" s="13" t="s">
        <v>51</v>
      </c>
      <c r="R1" s="13" t="s">
        <v>52</v>
      </c>
      <c r="S1" s="13" t="s">
        <v>205</v>
      </c>
      <c r="T1" s="14" t="s">
        <v>53</v>
      </c>
      <c r="U1" s="15" t="s">
        <v>54</v>
      </c>
      <c r="V1" s="66" t="s">
        <v>207</v>
      </c>
      <c r="W1" s="16" t="s">
        <v>55</v>
      </c>
      <c r="X1" s="15" t="s">
        <v>56</v>
      </c>
      <c r="Y1" s="56" t="s">
        <v>30</v>
      </c>
      <c r="Z1" s="56" t="s">
        <v>57</v>
      </c>
      <c r="AA1" s="63" t="s">
        <v>58</v>
      </c>
      <c r="AB1" s="17" t="s">
        <v>59</v>
      </c>
      <c r="AC1" s="17" t="s">
        <v>60</v>
      </c>
      <c r="AD1" s="17" t="s">
        <v>62</v>
      </c>
      <c r="AE1" s="17" t="s">
        <v>63</v>
      </c>
      <c r="AF1" s="17" t="s">
        <v>64</v>
      </c>
      <c r="AG1" s="17" t="s">
        <v>65</v>
      </c>
      <c r="AH1" s="17" t="s">
        <v>66</v>
      </c>
      <c r="AI1" s="17" t="s">
        <v>67</v>
      </c>
      <c r="AJ1" s="17" t="s">
        <v>68</v>
      </c>
      <c r="AK1" s="17" t="s">
        <v>69</v>
      </c>
      <c r="AL1" s="77" t="s">
        <v>211</v>
      </c>
    </row>
    <row r="2" spans="1:38" ht="19.5" hidden="1" customHeight="1" x14ac:dyDescent="0.25">
      <c r="A2" s="75" t="s">
        <v>70</v>
      </c>
      <c r="B2" s="74" t="s">
        <v>208</v>
      </c>
      <c r="C2" s="18">
        <v>4809173</v>
      </c>
      <c r="D2" s="19">
        <v>17.010000000000002</v>
      </c>
      <c r="E2" s="19">
        <f t="shared" ref="E2:E35" si="0">D2</f>
        <v>17.010000000000002</v>
      </c>
      <c r="F2" s="19">
        <f t="shared" ref="F2:F35" si="1">SUMIF(C:C, C2, E:E)</f>
        <v>140.13</v>
      </c>
      <c r="G2" s="20">
        <f t="shared" ref="G2:G35" si="2">E2/F2</f>
        <v>0.12138728323699423</v>
      </c>
      <c r="H2" s="19">
        <v>45</v>
      </c>
      <c r="I2" s="19">
        <f t="shared" ref="I2:I35" si="3">H2*G2</f>
        <v>5.4624277456647405</v>
      </c>
      <c r="J2" s="19">
        <v>25.77</v>
      </c>
      <c r="K2" s="19">
        <f t="shared" ref="K2:K35" si="4">J2*G2</f>
        <v>3.1281502890173414</v>
      </c>
      <c r="L2" s="19">
        <v>13.01</v>
      </c>
      <c r="M2" s="19">
        <f t="shared" ref="M2:M35" si="5">L2*G2</f>
        <v>1.5792485549132949</v>
      </c>
      <c r="N2" s="21">
        <f t="shared" ref="N2:N35" si="6">E2-I2+K2+M2</f>
        <v>16.254971098265898</v>
      </c>
      <c r="O2" s="22" t="s">
        <v>71</v>
      </c>
      <c r="P2" s="23">
        <f t="shared" ref="P2:P35" si="7">IFERROR(VLOOKUP(O2,PlatformFees,2,FALSE()),0)</f>
        <v>0.13600000000000001</v>
      </c>
      <c r="Q2" s="24">
        <f t="shared" ref="Q2:Q35" si="8">IFERROR(VLOOKUP(O2,PlatformFees,3,FALSE()),0)</f>
        <v>0.4</v>
      </c>
      <c r="R2" s="24">
        <v>6.5</v>
      </c>
      <c r="S2" s="65">
        <v>0</v>
      </c>
      <c r="T2" s="25">
        <f t="shared" ref="T2:T35" si="9">(N2+R2+Q2)/(1-(P2+S2))</f>
        <v>26.799735067437382</v>
      </c>
      <c r="U2" s="26">
        <f>MAX(MAX(T2*1.5, T2+15), IFERROR(VLOOKUP(A2,'Pricing Intelligence'!A:J,10,FALSE),0))</f>
        <v>51.330000000000005</v>
      </c>
      <c r="V2" s="68">
        <v>0</v>
      </c>
      <c r="W2" s="27">
        <f>IFERROR(_xlfn.XLOOKUP(A2,'Sales Log'!$C$4:$C$303,'Sales Log'!$F$4:$F$303,0),0)</f>
        <v>0</v>
      </c>
      <c r="X2" s="26">
        <f t="shared" ref="X2:X35" si="10">IF(W2=0,0,W2-(W2*(P2+S2))-Q2-R2-N2)</f>
        <v>0</v>
      </c>
      <c r="Y2" s="28" t="str">
        <f t="shared" ref="Y2:Y35" si="11">IFERROR(IF(ISNUMBER(SEARCH("Jersey",A2)),"Jersey",IF(ISNUMBER(SEARCH("Photo",A2)),"Photo",IF(ISNUMBER(SEARCH("Baseball Bat",A2)),"Bat",IF(ISNUMBER(SEARCH("Bat",A2)),"Bat",IF(ISNUMBER(SEARCH("Baseball",A2)),"Baseball",IF(ISNUMBER(SEARCH("Football",A2)),"Football",IF(ISNUMBER(SEARCH("Mask",A2)),"Mask",IF(ISNUMBER(SEARCH("Drum",A2)),"Drum Stick",IF(ISNUMBER(SEARCH("Card",A2)),"Card",IF(ISNUMBER(SEARCH("RC",A2)),"Card","Other")))))))))),"Other")</f>
        <v>Card</v>
      </c>
      <c r="Z2" s="31" t="s">
        <v>72</v>
      </c>
      <c r="AA2" s="64" t="str">
        <f t="shared" ref="AA2:AA35" si="12">IFERROR(TRIM(LEFT(A2,FIND(" Signed",A2)-1)),LEFT(A2,20))</f>
        <v>Shawn Kemp</v>
      </c>
      <c r="AB2" s="32" t="str">
        <f t="shared" ref="AB2:AB35" si="13">IF(ISNUMBER(SEARCH("(Beckett)",A2)),"Beckett",IF(ISNUMBER(SEARCH("(JSA)",A2)),"JSA",IF(ISNUMBER(SEARCH("(PSA)",A2)),"PSA",IF(ISNUMBER(SEARCH("(ACOA)",A2)),"ACOA",IF(ISNUMBER(SEARCH("(Schwartz)",A2)),"Schwartz","Unlabeled")))))</f>
        <v>JSA</v>
      </c>
      <c r="AD2" s="29">
        <v>46197</v>
      </c>
      <c r="AE2" s="29"/>
      <c r="AF2" s="29"/>
      <c r="AG2" t="str">
        <f t="shared" ref="AG2:AG35" ca="1" si="14">IF(AE2="","",IF(AF2="",TODAY()-AE2,AF2-AE2))</f>
        <v/>
      </c>
      <c r="AH2" t="str">
        <f t="shared" ref="AH2:AH35" si="15">HYPERLINK("https://www.ebay.com/sch/i.html?_nkw="&amp;SUBSTITUTE(SUBSTITUTE(A2," ","+"),"""","")&amp;"&amp;LH_Sold=1&amp;LH_Complete=1","View Sold Comps")</f>
        <v>View Sold Comps</v>
      </c>
      <c r="AI2" s="30" t="str">
        <f t="shared" ref="AI2:AI35" si="16">IF(OR(N2=0,W2=0),"",X2/N2)</f>
        <v/>
      </c>
      <c r="AJ2" s="30">
        <f t="shared" ref="AJ2:AJ35" si="17">IF(U2=0,"",(U2-U2*P2-Q2-R2-N2)/U2)</f>
        <v>0.41289984223132881</v>
      </c>
      <c r="AL2" t="str">
        <f>IF(B2="Kept for Self","—",IF(Z2="Baseball","Apr – Oct (MLB Season)",IF(Z2="Football","Aug – Feb (NFL Season)",IF(Z2="Basketball","Oct – Jun (NBA Season)",IF(OR(Z2="Movie",Z2="TV"),IF(ISNUMBER(SEARCH("Friday the 13th",A2)),"Sep – Oct (Halloween)","Year-Round"),IF(Z2="Music","Year-Round","Year-Round"))))))</f>
        <v>—</v>
      </c>
    </row>
    <row r="3" spans="1:38" ht="19.5" customHeight="1" x14ac:dyDescent="0.25">
      <c r="A3" s="75" t="s">
        <v>74</v>
      </c>
      <c r="B3" s="74" t="s">
        <v>206</v>
      </c>
      <c r="C3" s="18">
        <v>4809173</v>
      </c>
      <c r="D3" s="19">
        <v>17.82</v>
      </c>
      <c r="E3" s="19">
        <f t="shared" si="0"/>
        <v>17.82</v>
      </c>
      <c r="F3" s="19">
        <f t="shared" si="1"/>
        <v>140.13</v>
      </c>
      <c r="G3" s="20">
        <f t="shared" si="2"/>
        <v>0.12716763005780349</v>
      </c>
      <c r="H3" s="19">
        <v>45</v>
      </c>
      <c r="I3" s="19">
        <f t="shared" si="3"/>
        <v>5.7225433526011571</v>
      </c>
      <c r="J3" s="19">
        <v>25.77</v>
      </c>
      <c r="K3" s="19">
        <f t="shared" si="4"/>
        <v>3.2771098265895957</v>
      </c>
      <c r="L3" s="19">
        <v>13.01</v>
      </c>
      <c r="M3" s="19">
        <f t="shared" si="5"/>
        <v>1.6544508670520233</v>
      </c>
      <c r="N3" s="21">
        <f t="shared" si="6"/>
        <v>17.029017341040461</v>
      </c>
      <c r="O3" s="22" t="s">
        <v>71</v>
      </c>
      <c r="P3" s="23">
        <f t="shared" si="7"/>
        <v>0.13600000000000001</v>
      </c>
      <c r="Q3" s="24">
        <f t="shared" si="8"/>
        <v>0.4</v>
      </c>
      <c r="R3" s="24">
        <v>6.5</v>
      </c>
      <c r="S3" s="65">
        <v>0.05</v>
      </c>
      <c r="T3" s="25">
        <f t="shared" si="9"/>
        <v>29.396827200295402</v>
      </c>
      <c r="U3" s="26">
        <f>MAX(MAX(T3*1.5, T3+15), IFERROR(VLOOKUP(A3,'Pricing Intelligence'!A:J,10,FALSE),0))</f>
        <v>44.396827200295405</v>
      </c>
      <c r="V3" s="68">
        <v>51.29</v>
      </c>
      <c r="W3" s="27">
        <f>IFERROR(_xlfn.XLOOKUP(A3,'Sales Log'!$C$4:$C$303,'Sales Log'!$F$4:$F$303,0),0)</f>
        <v>0</v>
      </c>
      <c r="X3" s="26">
        <f t="shared" si="10"/>
        <v>0</v>
      </c>
      <c r="Y3" s="28" t="str">
        <f t="shared" si="11"/>
        <v>Photo</v>
      </c>
      <c r="Z3" s="31" t="s">
        <v>75</v>
      </c>
      <c r="AA3" s="64" t="str">
        <f t="shared" si="12"/>
        <v>Mark Henn</v>
      </c>
      <c r="AB3" s="32" t="str">
        <f t="shared" si="13"/>
        <v>Beckett</v>
      </c>
      <c r="AD3" s="29">
        <v>46197</v>
      </c>
      <c r="AE3" s="29">
        <v>46211</v>
      </c>
      <c r="AF3" s="29"/>
      <c r="AG3">
        <f t="shared" ca="1" si="14"/>
        <v>21</v>
      </c>
      <c r="AH3" t="str">
        <f t="shared" si="15"/>
        <v>View Sold Comps</v>
      </c>
      <c r="AI3" s="30" t="str">
        <f t="shared" si="16"/>
        <v/>
      </c>
      <c r="AJ3" s="30">
        <f t="shared" si="17"/>
        <v>0.32501965275389666</v>
      </c>
      <c r="AL3" t="str">
        <f t="shared" ref="AL3:AL35" si="18">IF(B3="Kept for Self","—",IF(Z3="Baseball","Apr – Oct (MLB Season)",IF(Z3="Football","Aug – Feb (NFL Season)",IF(Z3="Basketball","Oct – Jun (NBA Season)",IF(OR(Z3="Movie",Z3="TV"),IF(ISNUMBER(SEARCH("Friday the 13th",A3)),"Sep – Oct (Halloween)","Year-Round"),IF(Z3="Music","Year-Round","Year-Round"))))))</f>
        <v>Year-Round</v>
      </c>
    </row>
    <row r="4" spans="1:38" ht="19.5" customHeight="1" x14ac:dyDescent="0.25">
      <c r="A4" s="75" t="s">
        <v>76</v>
      </c>
      <c r="B4" s="74" t="s">
        <v>206</v>
      </c>
      <c r="C4" s="18">
        <v>4809173</v>
      </c>
      <c r="D4" s="19">
        <v>58.5</v>
      </c>
      <c r="E4" s="19">
        <f t="shared" si="0"/>
        <v>58.5</v>
      </c>
      <c r="F4" s="19">
        <f t="shared" si="1"/>
        <v>140.13</v>
      </c>
      <c r="G4" s="20">
        <f t="shared" si="2"/>
        <v>0.41746949261400129</v>
      </c>
      <c r="H4" s="19">
        <v>45</v>
      </c>
      <c r="I4" s="19">
        <f t="shared" si="3"/>
        <v>18.78612716763006</v>
      </c>
      <c r="J4" s="19">
        <v>25.77</v>
      </c>
      <c r="K4" s="19">
        <f t="shared" si="4"/>
        <v>10.758188824662813</v>
      </c>
      <c r="L4" s="19">
        <v>13.01</v>
      </c>
      <c r="M4" s="19">
        <f t="shared" si="5"/>
        <v>5.431278098908157</v>
      </c>
      <c r="N4" s="21">
        <f t="shared" si="6"/>
        <v>55.903339755940912</v>
      </c>
      <c r="O4" s="22" t="s">
        <v>71</v>
      </c>
      <c r="P4" s="23">
        <f t="shared" si="7"/>
        <v>0.13600000000000001</v>
      </c>
      <c r="Q4" s="24">
        <f t="shared" si="8"/>
        <v>0.4</v>
      </c>
      <c r="R4" s="24">
        <v>6.5</v>
      </c>
      <c r="S4" s="65">
        <v>0.02</v>
      </c>
      <c r="T4" s="25">
        <f t="shared" si="9"/>
        <v>74.411539995190651</v>
      </c>
      <c r="U4" s="26">
        <f>MAX(MAX(T4*1.5, T4+15), IFERROR(VLOOKUP(A4,'Pricing Intelligence'!A:J,10,FALSE),0))</f>
        <v>111.61730999278598</v>
      </c>
      <c r="V4" s="76">
        <v>39</v>
      </c>
      <c r="W4" s="27">
        <f>IFERROR(_xlfn.XLOOKUP(A4,'Sales Log'!$C$4:$C$303,'Sales Log'!$F$4:$F$303,0),0)</f>
        <v>0</v>
      </c>
      <c r="X4" s="26">
        <f t="shared" si="10"/>
        <v>0</v>
      </c>
      <c r="Y4" s="28" t="str">
        <f t="shared" si="11"/>
        <v>Mask</v>
      </c>
      <c r="Z4" s="31" t="s">
        <v>75</v>
      </c>
      <c r="AA4" s="64" t="str">
        <f t="shared" si="12"/>
        <v>Ari Lehman</v>
      </c>
      <c r="AB4" s="32" t="str">
        <f t="shared" si="13"/>
        <v>Beckett</v>
      </c>
      <c r="AD4" s="29">
        <v>46197</v>
      </c>
      <c r="AE4" s="29">
        <v>46211</v>
      </c>
      <c r="AF4" s="29"/>
      <c r="AG4">
        <f t="shared" ca="1" si="14"/>
        <v>21</v>
      </c>
      <c r="AH4" t="str">
        <f t="shared" si="15"/>
        <v>View Sold Comps</v>
      </c>
      <c r="AI4" s="30" t="str">
        <f t="shared" si="16"/>
        <v/>
      </c>
      <c r="AJ4" s="30">
        <f t="shared" si="17"/>
        <v>0.30133333333333329</v>
      </c>
      <c r="AL4" t="str">
        <f t="shared" si="18"/>
        <v>Sep – Oct (Halloween)</v>
      </c>
    </row>
    <row r="5" spans="1:38" ht="19.5" hidden="1" customHeight="1" x14ac:dyDescent="0.25">
      <c r="A5" s="75" t="s">
        <v>77</v>
      </c>
      <c r="B5" s="74" t="s">
        <v>208</v>
      </c>
      <c r="C5" s="18">
        <v>4809173</v>
      </c>
      <c r="D5" s="19">
        <v>46.8</v>
      </c>
      <c r="E5" s="19">
        <f t="shared" si="0"/>
        <v>46.8</v>
      </c>
      <c r="F5" s="19">
        <f t="shared" si="1"/>
        <v>140.13</v>
      </c>
      <c r="G5" s="20">
        <f t="shared" si="2"/>
        <v>0.33397559409120103</v>
      </c>
      <c r="H5" s="19">
        <v>45</v>
      </c>
      <c r="I5" s="19">
        <f t="shared" si="3"/>
        <v>15.028901734104046</v>
      </c>
      <c r="J5" s="19">
        <v>25.77</v>
      </c>
      <c r="K5" s="19">
        <f t="shared" si="4"/>
        <v>8.6065510597302506</v>
      </c>
      <c r="L5" s="19">
        <v>13.01</v>
      </c>
      <c r="M5" s="19">
        <f t="shared" si="5"/>
        <v>4.3450224791265253</v>
      </c>
      <c r="N5" s="21">
        <f t="shared" si="6"/>
        <v>44.722671804752729</v>
      </c>
      <c r="O5" s="22" t="s">
        <v>71</v>
      </c>
      <c r="P5" s="23">
        <f t="shared" si="7"/>
        <v>0.13600000000000001</v>
      </c>
      <c r="Q5" s="24">
        <f t="shared" si="8"/>
        <v>0.4</v>
      </c>
      <c r="R5" s="24">
        <v>6.5</v>
      </c>
      <c r="S5" s="65">
        <v>0</v>
      </c>
      <c r="T5" s="25">
        <f t="shared" si="9"/>
        <v>59.748462736982326</v>
      </c>
      <c r="U5" s="26">
        <f>MAX(MAX(T5*1.5, T5+15), IFERROR(VLOOKUP(A5,'Pricing Intelligence'!A:J,10,FALSE),0))</f>
        <v>89.622694105473485</v>
      </c>
      <c r="V5" s="68">
        <v>0</v>
      </c>
      <c r="W5" s="27">
        <f>IFERROR(_xlfn.XLOOKUP(A5,'Sales Log'!$C$4:$C$303,'Sales Log'!$F$4:$F$303,0),0)</f>
        <v>0</v>
      </c>
      <c r="X5" s="26">
        <f t="shared" si="10"/>
        <v>0</v>
      </c>
      <c r="Y5" s="28" t="str">
        <f t="shared" si="11"/>
        <v>Jersey</v>
      </c>
      <c r="Z5" s="31" t="s">
        <v>72</v>
      </c>
      <c r="AA5" s="64" t="str">
        <f t="shared" si="12"/>
        <v>Shawn Kemp</v>
      </c>
      <c r="AB5" s="32" t="str">
        <f t="shared" si="13"/>
        <v>JSA</v>
      </c>
      <c r="AD5" s="29">
        <v>46197</v>
      </c>
      <c r="AE5" s="29"/>
      <c r="AF5" s="29"/>
      <c r="AG5" t="str">
        <f t="shared" ca="1" si="14"/>
        <v/>
      </c>
      <c r="AH5" t="str">
        <f t="shared" si="15"/>
        <v>View Sold Comps</v>
      </c>
      <c r="AI5" s="30" t="str">
        <f t="shared" si="16"/>
        <v/>
      </c>
      <c r="AJ5" s="30">
        <f t="shared" si="17"/>
        <v>0.28799999999999998</v>
      </c>
      <c r="AL5" t="str">
        <f t="shared" si="18"/>
        <v>—</v>
      </c>
    </row>
    <row r="6" spans="1:38" ht="19.5" hidden="1" customHeight="1" x14ac:dyDescent="0.25">
      <c r="A6" s="107" t="s">
        <v>212</v>
      </c>
      <c r="B6" s="74" t="s">
        <v>73</v>
      </c>
      <c r="C6" s="18">
        <v>4814462</v>
      </c>
      <c r="D6" s="19">
        <v>26.43</v>
      </c>
      <c r="E6" s="19">
        <f t="shared" si="0"/>
        <v>26.43</v>
      </c>
      <c r="F6" s="19">
        <f t="shared" si="1"/>
        <v>84.15</v>
      </c>
      <c r="G6" s="20">
        <f t="shared" si="2"/>
        <v>0.31408199643493756</v>
      </c>
      <c r="H6" s="19">
        <v>45</v>
      </c>
      <c r="I6" s="19">
        <f t="shared" si="3"/>
        <v>14.13368983957219</v>
      </c>
      <c r="J6" s="19">
        <v>5.77</v>
      </c>
      <c r="K6" s="19">
        <f t="shared" si="4"/>
        <v>1.8122531194295897</v>
      </c>
      <c r="L6" s="19">
        <v>7.09</v>
      </c>
      <c r="M6" s="19">
        <f t="shared" si="5"/>
        <v>2.2268413547237071</v>
      </c>
      <c r="N6" s="21">
        <f t="shared" si="6"/>
        <v>16.335404634581106</v>
      </c>
      <c r="O6" s="22" t="s">
        <v>71</v>
      </c>
      <c r="P6" s="23">
        <f t="shared" si="7"/>
        <v>0.13600000000000001</v>
      </c>
      <c r="Q6" s="24">
        <f t="shared" si="8"/>
        <v>0.4</v>
      </c>
      <c r="R6" s="24">
        <v>6.5</v>
      </c>
      <c r="S6" s="65">
        <v>0</v>
      </c>
      <c r="T6" s="25">
        <f t="shared" si="9"/>
        <v>26.892829438172576</v>
      </c>
      <c r="U6" s="26">
        <f>MAX(MAX(T6*1.5, T6+15), IFERROR(VLOOKUP(A6,'Pricing Intelligence'!A:J,10,FALSE),0))</f>
        <v>59.983333333333327</v>
      </c>
      <c r="V6" s="68">
        <v>0</v>
      </c>
      <c r="W6" s="27">
        <f>IFERROR(_xlfn.XLOOKUP(A6,'Sales Log'!$C$4:$C$303,'Sales Log'!$F$4:$F$303,0),0)</f>
        <v>0</v>
      </c>
      <c r="X6" s="26">
        <f t="shared" si="10"/>
        <v>0</v>
      </c>
      <c r="Y6" s="28" t="str">
        <f t="shared" si="11"/>
        <v>Photo</v>
      </c>
      <c r="Z6" s="31" t="s">
        <v>78</v>
      </c>
      <c r="AA6" s="64" t="str">
        <f t="shared" si="12"/>
        <v>Cheech Marin &amp; Tommy Chong</v>
      </c>
      <c r="AB6" s="32" t="str">
        <f t="shared" si="13"/>
        <v>JSA</v>
      </c>
      <c r="AD6" s="29">
        <v>46199</v>
      </c>
      <c r="AE6" s="29"/>
      <c r="AF6" s="29"/>
      <c r="AG6" t="str">
        <f t="shared" ca="1" si="14"/>
        <v/>
      </c>
      <c r="AH6" t="str">
        <f t="shared" si="15"/>
        <v>View Sold Comps</v>
      </c>
      <c r="AI6" s="30" t="str">
        <f t="shared" si="16"/>
        <v/>
      </c>
      <c r="AJ6" s="30">
        <f t="shared" si="17"/>
        <v>0.47663565488333803</v>
      </c>
      <c r="AL6" t="str">
        <f t="shared" si="18"/>
        <v>Year-Round</v>
      </c>
    </row>
    <row r="7" spans="1:38" ht="19.5" customHeight="1" x14ac:dyDescent="0.25">
      <c r="A7" s="75" t="s">
        <v>79</v>
      </c>
      <c r="B7" s="74" t="s">
        <v>206</v>
      </c>
      <c r="C7" s="18">
        <v>4814462</v>
      </c>
      <c r="D7" s="19">
        <v>13.51</v>
      </c>
      <c r="E7" s="19">
        <f t="shared" si="0"/>
        <v>13.51</v>
      </c>
      <c r="F7" s="19">
        <f t="shared" si="1"/>
        <v>84.15</v>
      </c>
      <c r="G7" s="20">
        <f t="shared" si="2"/>
        <v>0.16054664289958406</v>
      </c>
      <c r="H7" s="19">
        <v>45</v>
      </c>
      <c r="I7" s="19">
        <f t="shared" si="3"/>
        <v>7.2245989304812825</v>
      </c>
      <c r="J7" s="19">
        <v>5.77</v>
      </c>
      <c r="K7" s="19">
        <f t="shared" si="4"/>
        <v>0.92635412953059992</v>
      </c>
      <c r="L7" s="19">
        <v>7.09</v>
      </c>
      <c r="M7" s="19">
        <f t="shared" si="5"/>
        <v>1.1382756981580511</v>
      </c>
      <c r="N7" s="21">
        <f t="shared" si="6"/>
        <v>8.3500308972073682</v>
      </c>
      <c r="O7" s="22" t="s">
        <v>71</v>
      </c>
      <c r="P7" s="23">
        <f t="shared" si="7"/>
        <v>0.13600000000000001</v>
      </c>
      <c r="Q7" s="24">
        <f t="shared" si="8"/>
        <v>0.4</v>
      </c>
      <c r="R7" s="24">
        <v>6.5</v>
      </c>
      <c r="S7" s="65">
        <v>0.05</v>
      </c>
      <c r="T7" s="25">
        <f t="shared" si="9"/>
        <v>18.734681691900942</v>
      </c>
      <c r="U7" s="26">
        <f>MAX(MAX(T7*1.5, T7+15), IFERROR(VLOOKUP(A7,'Pricing Intelligence'!A:J,10,FALSE),0))</f>
        <v>33.734681691900946</v>
      </c>
      <c r="V7" s="68">
        <v>24.99</v>
      </c>
      <c r="W7" s="27">
        <f>IFERROR(_xlfn.XLOOKUP(A7,'Sales Log'!$C$4:$C$303,'Sales Log'!$F$4:$F$303,0),0)</f>
        <v>0</v>
      </c>
      <c r="X7" s="26">
        <f t="shared" si="10"/>
        <v>0</v>
      </c>
      <c r="Y7" s="28" t="str">
        <f t="shared" si="11"/>
        <v>Photo</v>
      </c>
      <c r="Z7" s="31" t="s">
        <v>75</v>
      </c>
      <c r="AA7" s="64" t="str">
        <f t="shared" si="12"/>
        <v>Chris Cooper</v>
      </c>
      <c r="AB7" s="32" t="str">
        <f t="shared" si="13"/>
        <v>ACOA</v>
      </c>
      <c r="AD7" s="29">
        <v>46199</v>
      </c>
      <c r="AE7" s="29">
        <v>46211</v>
      </c>
      <c r="AF7" s="29"/>
      <c r="AG7">
        <f t="shared" ca="1" si="14"/>
        <v>21</v>
      </c>
      <c r="AH7" t="str">
        <f t="shared" si="15"/>
        <v>View Sold Comps</v>
      </c>
      <c r="AI7" s="30" t="str">
        <f t="shared" si="16"/>
        <v/>
      </c>
      <c r="AJ7" s="30">
        <f t="shared" si="17"/>
        <v>0.41194205451570604</v>
      </c>
      <c r="AL7" t="str">
        <f t="shared" si="18"/>
        <v>Year-Round</v>
      </c>
    </row>
    <row r="8" spans="1:38" ht="19.5" customHeight="1" x14ac:dyDescent="0.25">
      <c r="A8" s="75" t="s">
        <v>80</v>
      </c>
      <c r="B8" s="74" t="s">
        <v>206</v>
      </c>
      <c r="C8" s="18">
        <v>4814462</v>
      </c>
      <c r="D8" s="19">
        <v>44.21</v>
      </c>
      <c r="E8" s="19">
        <f t="shared" si="0"/>
        <v>44.21</v>
      </c>
      <c r="F8" s="19">
        <f t="shared" si="1"/>
        <v>84.15</v>
      </c>
      <c r="G8" s="20">
        <f t="shared" si="2"/>
        <v>0.52537136066547829</v>
      </c>
      <c r="H8" s="19">
        <v>45</v>
      </c>
      <c r="I8" s="19">
        <f t="shared" si="3"/>
        <v>23.641711229946523</v>
      </c>
      <c r="J8" s="19">
        <v>5.77</v>
      </c>
      <c r="K8" s="19">
        <f t="shared" si="4"/>
        <v>3.0313927510398093</v>
      </c>
      <c r="L8" s="19">
        <v>7.09</v>
      </c>
      <c r="M8" s="19">
        <f t="shared" si="5"/>
        <v>3.7248829471182412</v>
      </c>
      <c r="N8" s="21">
        <f t="shared" si="6"/>
        <v>27.324564468211531</v>
      </c>
      <c r="O8" s="22" t="s">
        <v>71</v>
      </c>
      <c r="P8" s="23">
        <f t="shared" si="7"/>
        <v>0.13600000000000001</v>
      </c>
      <c r="Q8" s="24">
        <f t="shared" si="8"/>
        <v>0.4</v>
      </c>
      <c r="R8" s="24">
        <v>6.5</v>
      </c>
      <c r="S8" s="65">
        <v>0</v>
      </c>
      <c r="T8" s="25">
        <f t="shared" si="9"/>
        <v>39.611764430800385</v>
      </c>
      <c r="U8" s="26">
        <f>MAX(MAX(T8*1.5, T8+15), IFERROR(VLOOKUP(A8,'Pricing Intelligence'!A:J,10,FALSE),0))</f>
        <v>59.417646646200581</v>
      </c>
      <c r="V8" s="68">
        <v>45</v>
      </c>
      <c r="W8" s="27">
        <f>IFERROR(_xlfn.XLOOKUP(A8,'Sales Log'!$C$4:$C$303,'Sales Log'!$F$4:$F$303,0),0)</f>
        <v>0</v>
      </c>
      <c r="X8" s="26">
        <f t="shared" si="10"/>
        <v>0</v>
      </c>
      <c r="Y8" s="28" t="str">
        <f t="shared" si="11"/>
        <v>Baseball</v>
      </c>
      <c r="Z8" s="31" t="s">
        <v>81</v>
      </c>
      <c r="AA8" s="64" t="str">
        <f t="shared" si="12"/>
        <v>Frank Thomas</v>
      </c>
      <c r="AB8" s="32" t="str">
        <f t="shared" si="13"/>
        <v>JSA</v>
      </c>
      <c r="AD8" s="29">
        <v>46199</v>
      </c>
      <c r="AE8" s="29">
        <v>46226</v>
      </c>
      <c r="AF8" s="29"/>
      <c r="AG8">
        <f t="shared" ca="1" si="14"/>
        <v>6</v>
      </c>
      <c r="AH8" t="str">
        <f t="shared" si="15"/>
        <v>View Sold Comps</v>
      </c>
      <c r="AI8" s="30" t="str">
        <f t="shared" si="16"/>
        <v/>
      </c>
      <c r="AJ8" s="30">
        <f t="shared" si="17"/>
        <v>0.28800000000000009</v>
      </c>
      <c r="AL8" t="str">
        <f t="shared" si="18"/>
        <v>Apr – Oct (MLB Season)</v>
      </c>
    </row>
    <row r="9" spans="1:38" ht="19.5" customHeight="1" x14ac:dyDescent="0.25">
      <c r="A9" s="75" t="s">
        <v>82</v>
      </c>
      <c r="B9" s="74" t="s">
        <v>206</v>
      </c>
      <c r="C9" s="18">
        <v>4814637</v>
      </c>
      <c r="D9" s="19">
        <v>32.25</v>
      </c>
      <c r="E9" s="19">
        <f t="shared" si="0"/>
        <v>32.25</v>
      </c>
      <c r="F9" s="19">
        <f t="shared" si="1"/>
        <v>32.25</v>
      </c>
      <c r="G9" s="20">
        <f t="shared" si="2"/>
        <v>1</v>
      </c>
      <c r="H9" s="19">
        <v>20</v>
      </c>
      <c r="I9" s="19">
        <f t="shared" si="3"/>
        <v>20</v>
      </c>
      <c r="J9" s="19">
        <v>19.37</v>
      </c>
      <c r="K9" s="19">
        <f t="shared" si="4"/>
        <v>19.37</v>
      </c>
      <c r="L9" s="19">
        <v>4.0599999999999996</v>
      </c>
      <c r="M9" s="19">
        <f t="shared" si="5"/>
        <v>4.0599999999999996</v>
      </c>
      <c r="N9" s="21">
        <f t="shared" si="6"/>
        <v>35.68</v>
      </c>
      <c r="O9" s="22" t="s">
        <v>71</v>
      </c>
      <c r="P9" s="23">
        <f t="shared" si="7"/>
        <v>0.13600000000000001</v>
      </c>
      <c r="Q9" s="24">
        <f t="shared" si="8"/>
        <v>0.4</v>
      </c>
      <c r="R9" s="24">
        <v>6.5</v>
      </c>
      <c r="S9" s="65">
        <v>0.03</v>
      </c>
      <c r="T9" s="25">
        <f t="shared" si="9"/>
        <v>51.055155875299761</v>
      </c>
      <c r="U9" s="26">
        <f>MAX(MAX(T9*1.5, T9+15), IFERROR(VLOOKUP(A9,'Pricing Intelligence'!A:J,10,FALSE),0))</f>
        <v>111</v>
      </c>
      <c r="V9" s="68">
        <v>129</v>
      </c>
      <c r="W9" s="27">
        <f>IFERROR(_xlfn.XLOOKUP(A9,'Sales Log'!$C$4:$C$303,'Sales Log'!$F$4:$F$303,0),0)</f>
        <v>0</v>
      </c>
      <c r="X9" s="26">
        <f t="shared" si="10"/>
        <v>0</v>
      </c>
      <c r="Y9" s="28" t="str">
        <f t="shared" si="11"/>
        <v>Football</v>
      </c>
      <c r="Z9" s="31" t="s">
        <v>83</v>
      </c>
      <c r="AA9" s="64" t="str">
        <f t="shared" si="12"/>
        <v>Jimbo Covert</v>
      </c>
      <c r="AB9" s="32" t="str">
        <f t="shared" si="13"/>
        <v>JSA</v>
      </c>
      <c r="AD9" s="29">
        <v>46199</v>
      </c>
      <c r="AE9" s="29">
        <v>46211</v>
      </c>
      <c r="AF9" s="29"/>
      <c r="AG9">
        <f t="shared" ca="1" si="14"/>
        <v>21</v>
      </c>
      <c r="AH9" t="str">
        <f t="shared" si="15"/>
        <v>View Sold Comps</v>
      </c>
      <c r="AI9" s="30" t="str">
        <f t="shared" si="16"/>
        <v/>
      </c>
      <c r="AJ9" s="30">
        <f t="shared" si="17"/>
        <v>0.48039639639639631</v>
      </c>
      <c r="AL9" t="str">
        <f t="shared" si="18"/>
        <v>Aug – Feb (NFL Season)</v>
      </c>
    </row>
    <row r="10" spans="1:38" ht="19.5" customHeight="1" x14ac:dyDescent="0.25">
      <c r="A10" s="75" t="s">
        <v>84</v>
      </c>
      <c r="B10" s="74" t="s">
        <v>206</v>
      </c>
      <c r="C10" s="18">
        <v>4824728</v>
      </c>
      <c r="D10" s="19">
        <v>24.57</v>
      </c>
      <c r="E10" s="19">
        <f t="shared" si="0"/>
        <v>24.57</v>
      </c>
      <c r="F10" s="19">
        <f t="shared" si="1"/>
        <v>384.34</v>
      </c>
      <c r="G10" s="20">
        <f t="shared" si="2"/>
        <v>6.3927772284956039E-2</v>
      </c>
      <c r="H10" s="19">
        <v>31</v>
      </c>
      <c r="I10" s="19">
        <f t="shared" si="3"/>
        <v>1.9817609408336372</v>
      </c>
      <c r="J10" s="19">
        <v>99</v>
      </c>
      <c r="K10" s="19">
        <f t="shared" si="4"/>
        <v>6.3288494562106479</v>
      </c>
      <c r="L10" s="19">
        <v>38.67</v>
      </c>
      <c r="M10" s="19">
        <f t="shared" si="5"/>
        <v>2.4720869542592503</v>
      </c>
      <c r="N10" s="21">
        <f t="shared" si="6"/>
        <v>31.38917546963626</v>
      </c>
      <c r="O10" s="22" t="s">
        <v>71</v>
      </c>
      <c r="P10" s="23">
        <f t="shared" si="7"/>
        <v>0.13600000000000001</v>
      </c>
      <c r="Q10" s="24">
        <f t="shared" si="8"/>
        <v>0.4</v>
      </c>
      <c r="R10" s="24">
        <v>6.5</v>
      </c>
      <c r="S10" s="65">
        <v>0</v>
      </c>
      <c r="T10" s="25">
        <f t="shared" si="9"/>
        <v>44.316175312078997</v>
      </c>
      <c r="U10" s="26">
        <f>MAX(MAX(T10*1.5, T10+15), IFERROR(VLOOKUP(A10,'Pricing Intelligence'!A:J,10,FALSE),0))</f>
        <v>66.474262968118495</v>
      </c>
      <c r="V10" s="68">
        <v>65.989999999999995</v>
      </c>
      <c r="W10" s="27">
        <f>IFERROR(_xlfn.XLOOKUP(A10,'Sales Log'!$C$4:$C$303,'Sales Log'!$F$4:$F$303,0),0)</f>
        <v>0</v>
      </c>
      <c r="X10" s="26">
        <f t="shared" si="10"/>
        <v>0</v>
      </c>
      <c r="Y10" s="28" t="str">
        <f t="shared" si="11"/>
        <v>Baseball</v>
      </c>
      <c r="Z10" s="31" t="s">
        <v>81</v>
      </c>
      <c r="AA10" s="64" t="str">
        <f t="shared" si="12"/>
        <v>Moisés Ballesteros</v>
      </c>
      <c r="AB10" s="32" t="str">
        <f t="shared" si="13"/>
        <v>Beckett</v>
      </c>
      <c r="AD10" s="29">
        <v>46204</v>
      </c>
      <c r="AE10" s="29">
        <v>46226</v>
      </c>
      <c r="AF10" s="29"/>
      <c r="AG10">
        <f t="shared" ca="1" si="14"/>
        <v>6</v>
      </c>
      <c r="AH10" t="str">
        <f t="shared" si="15"/>
        <v>View Sold Comps</v>
      </c>
      <c r="AI10" s="30" t="str">
        <f t="shared" si="16"/>
        <v/>
      </c>
      <c r="AJ10" s="30">
        <f t="shared" si="17"/>
        <v>0.28799999999999992</v>
      </c>
      <c r="AL10" t="str">
        <f t="shared" si="18"/>
        <v>Apr – Oct (MLB Season)</v>
      </c>
    </row>
    <row r="11" spans="1:38" ht="19.5" customHeight="1" x14ac:dyDescent="0.25">
      <c r="A11" s="75" t="s">
        <v>85</v>
      </c>
      <c r="B11" s="74" t="s">
        <v>206</v>
      </c>
      <c r="C11" s="18">
        <v>4824728</v>
      </c>
      <c r="D11" s="19">
        <v>24.57</v>
      </c>
      <c r="E11" s="19">
        <f t="shared" si="0"/>
        <v>24.57</v>
      </c>
      <c r="F11" s="19">
        <f t="shared" si="1"/>
        <v>384.34</v>
      </c>
      <c r="G11" s="20">
        <f t="shared" si="2"/>
        <v>6.3927772284956039E-2</v>
      </c>
      <c r="H11" s="19">
        <v>31</v>
      </c>
      <c r="I11" s="19">
        <f t="shared" si="3"/>
        <v>1.9817609408336372</v>
      </c>
      <c r="J11" s="19">
        <v>99</v>
      </c>
      <c r="K11" s="19">
        <f t="shared" si="4"/>
        <v>6.3288494562106479</v>
      </c>
      <c r="L11" s="19">
        <v>38.67</v>
      </c>
      <c r="M11" s="19">
        <f t="shared" si="5"/>
        <v>2.4720869542592503</v>
      </c>
      <c r="N11" s="21">
        <f t="shared" si="6"/>
        <v>31.38917546963626</v>
      </c>
      <c r="O11" s="22" t="s">
        <v>71</v>
      </c>
      <c r="P11" s="23">
        <f t="shared" si="7"/>
        <v>0.13600000000000001</v>
      </c>
      <c r="Q11" s="24">
        <f t="shared" si="8"/>
        <v>0.4</v>
      </c>
      <c r="R11" s="24">
        <v>6.5</v>
      </c>
      <c r="S11" s="65">
        <v>0</v>
      </c>
      <c r="T11" s="25">
        <f t="shared" si="9"/>
        <v>44.316175312078997</v>
      </c>
      <c r="U11" s="26">
        <f>MAX(MAX(T11*1.5, T11+15), IFERROR(VLOOKUP(A11,'Pricing Intelligence'!A:J,10,FALSE),0))</f>
        <v>99.5</v>
      </c>
      <c r="V11" s="68">
        <v>125</v>
      </c>
      <c r="W11" s="27">
        <f>IFERROR(_xlfn.XLOOKUP(A11,'Sales Log'!$C$4:$C$303,'Sales Log'!$F$4:$F$303,0),0)</f>
        <v>0</v>
      </c>
      <c r="X11" s="26">
        <f t="shared" si="10"/>
        <v>0</v>
      </c>
      <c r="Y11" s="28" t="str">
        <f t="shared" si="11"/>
        <v>Jersey</v>
      </c>
      <c r="Z11" s="31" t="s">
        <v>81</v>
      </c>
      <c r="AA11" s="64" t="str">
        <f t="shared" si="12"/>
        <v>Moisés Ballesteros</v>
      </c>
      <c r="AB11" s="32" t="str">
        <f t="shared" si="13"/>
        <v>Beckett</v>
      </c>
      <c r="AD11" s="29">
        <v>46204</v>
      </c>
      <c r="AE11" s="29">
        <v>46226</v>
      </c>
      <c r="AF11" s="29"/>
      <c r="AG11">
        <f t="shared" ca="1" si="14"/>
        <v>6</v>
      </c>
      <c r="AH11" t="str">
        <f t="shared" si="15"/>
        <v>View Sold Comps</v>
      </c>
      <c r="AI11" s="30" t="str">
        <f t="shared" si="16"/>
        <v/>
      </c>
      <c r="AJ11" s="30">
        <f t="shared" si="17"/>
        <v>0.47918416613430898</v>
      </c>
      <c r="AL11" t="str">
        <f t="shared" si="18"/>
        <v>Apr – Oct (MLB Season)</v>
      </c>
    </row>
    <row r="12" spans="1:38" ht="19.5" hidden="1" customHeight="1" x14ac:dyDescent="0.25">
      <c r="A12" s="75" t="s">
        <v>86</v>
      </c>
      <c r="B12" s="74" t="s">
        <v>73</v>
      </c>
      <c r="C12" s="18">
        <v>4824728</v>
      </c>
      <c r="D12" s="19">
        <v>24.57</v>
      </c>
      <c r="E12" s="19">
        <f t="shared" si="0"/>
        <v>24.57</v>
      </c>
      <c r="F12" s="19">
        <f t="shared" si="1"/>
        <v>384.34</v>
      </c>
      <c r="G12" s="20">
        <f t="shared" si="2"/>
        <v>6.3927772284956039E-2</v>
      </c>
      <c r="H12" s="19">
        <v>31</v>
      </c>
      <c r="I12" s="19">
        <f t="shared" si="3"/>
        <v>1.9817609408336372</v>
      </c>
      <c r="J12" s="19">
        <v>99</v>
      </c>
      <c r="K12" s="19">
        <f t="shared" si="4"/>
        <v>6.3288494562106479</v>
      </c>
      <c r="L12" s="19">
        <v>38.67</v>
      </c>
      <c r="M12" s="19">
        <f t="shared" si="5"/>
        <v>2.4720869542592503</v>
      </c>
      <c r="N12" s="21">
        <f t="shared" si="6"/>
        <v>31.38917546963626</v>
      </c>
      <c r="O12" s="22" t="s">
        <v>71</v>
      </c>
      <c r="P12" s="23">
        <f t="shared" si="7"/>
        <v>0.13600000000000001</v>
      </c>
      <c r="Q12" s="24">
        <f t="shared" si="8"/>
        <v>0.4</v>
      </c>
      <c r="R12" s="24">
        <v>6.5</v>
      </c>
      <c r="S12" s="65">
        <v>0</v>
      </c>
      <c r="T12" s="25">
        <f t="shared" si="9"/>
        <v>44.316175312078997</v>
      </c>
      <c r="U12" s="26">
        <f>MAX(MAX(T12*1.5, T12+15), IFERROR(VLOOKUP(A12,'Pricing Intelligence'!A:J,10,FALSE),0))</f>
        <v>122.99333333333334</v>
      </c>
      <c r="V12" s="68">
        <v>0</v>
      </c>
      <c r="W12" s="27">
        <f>IFERROR(_xlfn.XLOOKUP(A12,'Sales Log'!$C$4:$C$303,'Sales Log'!$F$4:$F$303,0),0)</f>
        <v>0</v>
      </c>
      <c r="X12" s="26">
        <f t="shared" si="10"/>
        <v>0</v>
      </c>
      <c r="Y12" s="28" t="str">
        <f t="shared" si="11"/>
        <v>Bat</v>
      </c>
      <c r="Z12" s="31" t="s">
        <v>81</v>
      </c>
      <c r="AA12" s="64" t="str">
        <f t="shared" si="12"/>
        <v>Moisés Ballesteros</v>
      </c>
      <c r="AB12" s="32" t="str">
        <f t="shared" si="13"/>
        <v>Beckett</v>
      </c>
      <c r="AD12" s="29">
        <v>46204</v>
      </c>
      <c r="AE12" s="29"/>
      <c r="AF12" s="29"/>
      <c r="AG12" t="str">
        <f t="shared" ca="1" si="14"/>
        <v/>
      </c>
      <c r="AH12" t="str">
        <f t="shared" si="15"/>
        <v>View Sold Comps</v>
      </c>
      <c r="AI12" s="30" t="str">
        <f t="shared" si="16"/>
        <v/>
      </c>
      <c r="AJ12" s="30">
        <f t="shared" si="17"/>
        <v>0.55268901726676578</v>
      </c>
      <c r="AL12" t="str">
        <f t="shared" si="18"/>
        <v>Apr – Oct (MLB Season)</v>
      </c>
    </row>
    <row r="13" spans="1:38" ht="19.5" customHeight="1" x14ac:dyDescent="0.25">
      <c r="A13" s="75" t="s">
        <v>87</v>
      </c>
      <c r="B13" s="74" t="s">
        <v>206</v>
      </c>
      <c r="C13" s="18">
        <v>4824728</v>
      </c>
      <c r="D13" s="19">
        <v>24.57</v>
      </c>
      <c r="E13" s="19">
        <f t="shared" si="0"/>
        <v>24.57</v>
      </c>
      <c r="F13" s="19">
        <f t="shared" si="1"/>
        <v>384.34</v>
      </c>
      <c r="G13" s="20">
        <f t="shared" si="2"/>
        <v>6.3927772284956039E-2</v>
      </c>
      <c r="H13" s="19">
        <v>31</v>
      </c>
      <c r="I13" s="19">
        <f t="shared" si="3"/>
        <v>1.9817609408336372</v>
      </c>
      <c r="J13" s="19">
        <v>99</v>
      </c>
      <c r="K13" s="19">
        <f t="shared" si="4"/>
        <v>6.3288494562106479</v>
      </c>
      <c r="L13" s="19">
        <v>38.67</v>
      </c>
      <c r="M13" s="19">
        <f t="shared" si="5"/>
        <v>2.4720869542592503</v>
      </c>
      <c r="N13" s="21">
        <f t="shared" si="6"/>
        <v>31.38917546963626</v>
      </c>
      <c r="O13" s="22" t="s">
        <v>71</v>
      </c>
      <c r="P13" s="23">
        <f t="shared" si="7"/>
        <v>0.13600000000000001</v>
      </c>
      <c r="Q13" s="24">
        <f t="shared" si="8"/>
        <v>0.4</v>
      </c>
      <c r="R13" s="24">
        <v>6.5</v>
      </c>
      <c r="S13" s="65">
        <v>0</v>
      </c>
      <c r="T13" s="25">
        <f t="shared" si="9"/>
        <v>44.316175312078997</v>
      </c>
      <c r="U13" s="26">
        <f>MAX(MAX(T13*1.5, T13+15), IFERROR(VLOOKUP(A13,'Pricing Intelligence'!A:J,10,FALSE),0))</f>
        <v>99.5</v>
      </c>
      <c r="V13" s="68">
        <v>109.99</v>
      </c>
      <c r="W13" s="27">
        <f>IFERROR(_xlfn.XLOOKUP(A13,'Sales Log'!$C$4:$C$303,'Sales Log'!$F$4:$F$303,0),0)</f>
        <v>0</v>
      </c>
      <c r="X13" s="26">
        <f t="shared" si="10"/>
        <v>0</v>
      </c>
      <c r="Y13" s="28" t="str">
        <f t="shared" si="11"/>
        <v>Jersey</v>
      </c>
      <c r="Z13" s="31" t="s">
        <v>81</v>
      </c>
      <c r="AA13" s="64" t="str">
        <f t="shared" si="12"/>
        <v>Moisés Ballesteros</v>
      </c>
      <c r="AB13" s="32" t="str">
        <f t="shared" si="13"/>
        <v>Beckett</v>
      </c>
      <c r="AD13" s="29">
        <v>46204</v>
      </c>
      <c r="AE13" s="29">
        <v>46226</v>
      </c>
      <c r="AF13" s="29"/>
      <c r="AG13">
        <f t="shared" ca="1" si="14"/>
        <v>6</v>
      </c>
      <c r="AH13" t="str">
        <f t="shared" si="15"/>
        <v>View Sold Comps</v>
      </c>
      <c r="AI13" s="30" t="str">
        <f t="shared" si="16"/>
        <v/>
      </c>
      <c r="AJ13" s="30">
        <f t="shared" si="17"/>
        <v>0.47918416613430898</v>
      </c>
      <c r="AL13" t="str">
        <f t="shared" si="18"/>
        <v>Apr – Oct (MLB Season)</v>
      </c>
    </row>
    <row r="14" spans="1:38" ht="19.5" hidden="1" customHeight="1" x14ac:dyDescent="0.25">
      <c r="A14" s="75" t="s">
        <v>88</v>
      </c>
      <c r="B14" s="74" t="s">
        <v>73</v>
      </c>
      <c r="C14" s="18">
        <v>4824728</v>
      </c>
      <c r="D14" s="19">
        <v>30.72</v>
      </c>
      <c r="E14" s="19">
        <f t="shared" si="0"/>
        <v>30.72</v>
      </c>
      <c r="F14" s="19">
        <f t="shared" si="1"/>
        <v>384.34</v>
      </c>
      <c r="G14" s="20">
        <f t="shared" si="2"/>
        <v>7.9929229328198986E-2</v>
      </c>
      <c r="H14" s="19">
        <v>31</v>
      </c>
      <c r="I14" s="19">
        <f t="shared" si="3"/>
        <v>2.4778061091741685</v>
      </c>
      <c r="J14" s="19">
        <v>99</v>
      </c>
      <c r="K14" s="19">
        <f t="shared" si="4"/>
        <v>7.9129937034916997</v>
      </c>
      <c r="L14" s="19">
        <v>38.67</v>
      </c>
      <c r="M14" s="19">
        <f t="shared" si="5"/>
        <v>3.0908632981214548</v>
      </c>
      <c r="N14" s="21">
        <f t="shared" si="6"/>
        <v>39.246050892438987</v>
      </c>
      <c r="O14" s="22" t="s">
        <v>71</v>
      </c>
      <c r="P14" s="23">
        <f t="shared" si="7"/>
        <v>0.13600000000000001</v>
      </c>
      <c r="Q14" s="24">
        <f t="shared" si="8"/>
        <v>0.4</v>
      </c>
      <c r="R14" s="24">
        <v>6.5</v>
      </c>
      <c r="S14" s="65">
        <v>0</v>
      </c>
      <c r="T14" s="25">
        <f t="shared" si="9"/>
        <v>53.409781125508083</v>
      </c>
      <c r="U14" s="26">
        <f>MAX(MAX(T14*1.5, T14+15), IFERROR(VLOOKUP(A14,'Pricing Intelligence'!A:J,10,FALSE),0))</f>
        <v>106.66666666666667</v>
      </c>
      <c r="V14" s="68">
        <v>0</v>
      </c>
      <c r="W14" s="27">
        <f>IFERROR(_xlfn.XLOOKUP(A14,'Sales Log'!$C$4:$C$303,'Sales Log'!$F$4:$F$303,0),0)</f>
        <v>0</v>
      </c>
      <c r="X14" s="26">
        <f t="shared" si="10"/>
        <v>0</v>
      </c>
      <c r="Y14" s="28" t="str">
        <f t="shared" si="11"/>
        <v>Bat</v>
      </c>
      <c r="Z14" s="31" t="s">
        <v>81</v>
      </c>
      <c r="AA14" s="64" t="str">
        <f t="shared" si="12"/>
        <v>Sammy Sosa</v>
      </c>
      <c r="AB14" s="32" t="str">
        <f t="shared" si="13"/>
        <v>Beckett</v>
      </c>
      <c r="AD14" s="29">
        <v>46204</v>
      </c>
      <c r="AE14" s="29"/>
      <c r="AF14" s="29"/>
      <c r="AG14" t="str">
        <f t="shared" ca="1" si="14"/>
        <v/>
      </c>
      <c r="AH14" t="str">
        <f t="shared" si="15"/>
        <v>View Sold Comps</v>
      </c>
      <c r="AI14" s="30" t="str">
        <f t="shared" si="16"/>
        <v/>
      </c>
      <c r="AJ14" s="30">
        <f t="shared" si="17"/>
        <v>0.43138077288338439</v>
      </c>
      <c r="AL14" s="78" t="str">
        <f t="shared" si="18"/>
        <v>Apr – Oct (MLB Season)</v>
      </c>
    </row>
    <row r="15" spans="1:38" ht="19.5" hidden="1" customHeight="1" x14ac:dyDescent="0.25">
      <c r="A15" s="75" t="s">
        <v>89</v>
      </c>
      <c r="B15" s="74" t="s">
        <v>73</v>
      </c>
      <c r="C15" s="18">
        <v>4824728</v>
      </c>
      <c r="D15" s="19">
        <v>30.72</v>
      </c>
      <c r="E15" s="19">
        <f t="shared" si="0"/>
        <v>30.72</v>
      </c>
      <c r="F15" s="19">
        <f t="shared" si="1"/>
        <v>384.34</v>
      </c>
      <c r="G15" s="20">
        <f t="shared" si="2"/>
        <v>7.9929229328198986E-2</v>
      </c>
      <c r="H15" s="19">
        <v>31</v>
      </c>
      <c r="I15" s="19">
        <f t="shared" si="3"/>
        <v>2.4778061091741685</v>
      </c>
      <c r="J15" s="19">
        <v>99</v>
      </c>
      <c r="K15" s="19">
        <f t="shared" si="4"/>
        <v>7.9129937034916997</v>
      </c>
      <c r="L15" s="19">
        <v>38.67</v>
      </c>
      <c r="M15" s="19">
        <f t="shared" si="5"/>
        <v>3.0908632981214548</v>
      </c>
      <c r="N15" s="21">
        <f t="shared" si="6"/>
        <v>39.246050892438987</v>
      </c>
      <c r="O15" s="22" t="s">
        <v>71</v>
      </c>
      <c r="P15" s="23">
        <f t="shared" si="7"/>
        <v>0.13600000000000001</v>
      </c>
      <c r="Q15" s="24">
        <f t="shared" si="8"/>
        <v>0.4</v>
      </c>
      <c r="R15" s="24">
        <v>6.5</v>
      </c>
      <c r="S15" s="65">
        <v>0</v>
      </c>
      <c r="T15" s="25">
        <f t="shared" si="9"/>
        <v>53.409781125508083</v>
      </c>
      <c r="U15" s="26">
        <f>MAX(MAX(T15*1.5, T15+15), IFERROR(VLOOKUP(A15,'Pricing Intelligence'!A:J,10,FALSE),0))</f>
        <v>108</v>
      </c>
      <c r="V15" s="68">
        <v>0</v>
      </c>
      <c r="W15" s="27">
        <f>IFERROR(_xlfn.XLOOKUP(A15,'Sales Log'!$C$4:$C$303,'Sales Log'!$F$4:$F$303,0),0)</f>
        <v>0</v>
      </c>
      <c r="X15" s="26">
        <f t="shared" si="10"/>
        <v>0</v>
      </c>
      <c r="Y15" s="28" t="str">
        <f t="shared" si="11"/>
        <v>Bat</v>
      </c>
      <c r="Z15" s="31" t="s">
        <v>81</v>
      </c>
      <c r="AA15" s="64" t="str">
        <f t="shared" si="12"/>
        <v>Sammy Sosa</v>
      </c>
      <c r="AB15" s="32" t="str">
        <f t="shared" si="13"/>
        <v>JSA</v>
      </c>
      <c r="AD15" s="29">
        <v>46204</v>
      </c>
      <c r="AE15" s="29"/>
      <c r="AF15" s="29"/>
      <c r="AG15" t="str">
        <f t="shared" ca="1" si="14"/>
        <v/>
      </c>
      <c r="AH15" t="str">
        <f t="shared" si="15"/>
        <v>View Sold Comps</v>
      </c>
      <c r="AI15" s="30" t="str">
        <f t="shared" si="16"/>
        <v/>
      </c>
      <c r="AJ15" s="30">
        <f t="shared" si="17"/>
        <v>0.43672175099593524</v>
      </c>
      <c r="AL15" s="78" t="str">
        <f t="shared" si="18"/>
        <v>Apr – Oct (MLB Season)</v>
      </c>
    </row>
    <row r="16" spans="1:38" ht="19.5" customHeight="1" x14ac:dyDescent="0.25">
      <c r="A16" s="75" t="s">
        <v>90</v>
      </c>
      <c r="B16" s="74" t="s">
        <v>206</v>
      </c>
      <c r="C16" s="18">
        <v>4824728</v>
      </c>
      <c r="D16" s="19">
        <v>26.48</v>
      </c>
      <c r="E16" s="19">
        <f t="shared" si="0"/>
        <v>26.48</v>
      </c>
      <c r="F16" s="19">
        <f t="shared" si="1"/>
        <v>384.34</v>
      </c>
      <c r="G16" s="20">
        <f t="shared" si="2"/>
        <v>6.8897330488629865E-2</v>
      </c>
      <c r="H16" s="19">
        <v>31</v>
      </c>
      <c r="I16" s="19">
        <f t="shared" si="3"/>
        <v>2.1358172451475257</v>
      </c>
      <c r="J16" s="19">
        <v>99</v>
      </c>
      <c r="K16" s="19">
        <f t="shared" si="4"/>
        <v>6.8208357183743571</v>
      </c>
      <c r="L16" s="19">
        <v>38.67</v>
      </c>
      <c r="M16" s="19">
        <f t="shared" si="5"/>
        <v>2.6642597699953172</v>
      </c>
      <c r="N16" s="21">
        <f t="shared" si="6"/>
        <v>33.829278243222149</v>
      </c>
      <c r="O16" s="22" t="s">
        <v>71</v>
      </c>
      <c r="P16" s="23">
        <f t="shared" si="7"/>
        <v>0.13600000000000001</v>
      </c>
      <c r="Q16" s="24">
        <f t="shared" si="8"/>
        <v>0.4</v>
      </c>
      <c r="R16" s="24">
        <v>6.5</v>
      </c>
      <c r="S16" s="65">
        <v>0</v>
      </c>
      <c r="T16" s="25">
        <f t="shared" si="9"/>
        <v>47.140368337062668</v>
      </c>
      <c r="U16" s="26">
        <f>MAX(MAX(T16*1.5, T16+15), IFERROR(VLOOKUP(A16,'Pricing Intelligence'!A:J,10,FALSE),0))</f>
        <v>70.710552505593995</v>
      </c>
      <c r="V16" s="68">
        <v>63</v>
      </c>
      <c r="W16" s="27">
        <f>IFERROR(_xlfn.XLOOKUP(A16,'Sales Log'!$C$4:$C$303,'Sales Log'!$F$4:$F$303,0),0)</f>
        <v>0</v>
      </c>
      <c r="X16" s="26">
        <f t="shared" si="10"/>
        <v>0</v>
      </c>
      <c r="Y16" s="28" t="str">
        <f t="shared" si="11"/>
        <v>Jersey</v>
      </c>
      <c r="Z16" s="31" t="s">
        <v>81</v>
      </c>
      <c r="AA16" s="64" t="str">
        <f t="shared" si="12"/>
        <v>Sammy Sosa</v>
      </c>
      <c r="AB16" s="32" t="str">
        <f t="shared" si="13"/>
        <v>JSA</v>
      </c>
      <c r="AD16" s="29">
        <v>46204</v>
      </c>
      <c r="AE16" s="29">
        <v>46226</v>
      </c>
      <c r="AF16" s="29"/>
      <c r="AG16">
        <f t="shared" ca="1" si="14"/>
        <v>6</v>
      </c>
      <c r="AH16" t="str">
        <f t="shared" si="15"/>
        <v>View Sold Comps</v>
      </c>
      <c r="AI16" s="30" t="str">
        <f t="shared" si="16"/>
        <v/>
      </c>
      <c r="AJ16" s="30">
        <f t="shared" si="17"/>
        <v>0.28799999999999987</v>
      </c>
      <c r="AL16" s="78" t="str">
        <f t="shared" si="18"/>
        <v>Apr – Oct (MLB Season)</v>
      </c>
    </row>
    <row r="17" spans="1:38" ht="19.5" customHeight="1" x14ac:dyDescent="0.25">
      <c r="A17" s="75" t="s">
        <v>90</v>
      </c>
      <c r="B17" s="74" t="s">
        <v>206</v>
      </c>
      <c r="C17" s="18">
        <v>4824728</v>
      </c>
      <c r="D17" s="19">
        <v>34.21</v>
      </c>
      <c r="E17" s="19">
        <f t="shared" si="0"/>
        <v>34.21</v>
      </c>
      <c r="F17" s="19">
        <f t="shared" si="1"/>
        <v>384.34</v>
      </c>
      <c r="G17" s="20">
        <f t="shared" si="2"/>
        <v>8.9009730967372649E-2</v>
      </c>
      <c r="H17" s="19">
        <v>31</v>
      </c>
      <c r="I17" s="19">
        <f t="shared" si="3"/>
        <v>2.759301659988552</v>
      </c>
      <c r="J17" s="19">
        <v>99</v>
      </c>
      <c r="K17" s="19">
        <f t="shared" si="4"/>
        <v>8.811963365769893</v>
      </c>
      <c r="L17" s="19">
        <v>38.67</v>
      </c>
      <c r="M17" s="19">
        <f t="shared" si="5"/>
        <v>3.4420062965083007</v>
      </c>
      <c r="N17" s="21">
        <f t="shared" si="6"/>
        <v>43.704668002289644</v>
      </c>
      <c r="O17" s="22" t="s">
        <v>71</v>
      </c>
      <c r="P17" s="23">
        <f t="shared" si="7"/>
        <v>0.13600000000000001</v>
      </c>
      <c r="Q17" s="24">
        <f t="shared" si="8"/>
        <v>0.4</v>
      </c>
      <c r="R17" s="24">
        <v>6.5</v>
      </c>
      <c r="S17" s="65">
        <v>0</v>
      </c>
      <c r="T17" s="25">
        <f t="shared" si="9"/>
        <v>58.570217595242646</v>
      </c>
      <c r="U17" s="26">
        <f>MAX(MAX(T17*1.5, T17+15), IFERROR(VLOOKUP(A17,'Pricing Intelligence'!A:J,10,FALSE),0))</f>
        <v>87.855326392863972</v>
      </c>
      <c r="V17" s="68">
        <v>63</v>
      </c>
      <c r="W17" s="27">
        <f>IFERROR(_xlfn.XLOOKUP(A17,'Sales Log'!$C$4:$C$303,'Sales Log'!$F$4:$F$303,0),0)</f>
        <v>0</v>
      </c>
      <c r="X17" s="26">
        <f t="shared" si="10"/>
        <v>0</v>
      </c>
      <c r="Y17" s="28" t="str">
        <f t="shared" si="11"/>
        <v>Jersey</v>
      </c>
      <c r="Z17" s="31" t="s">
        <v>81</v>
      </c>
      <c r="AA17" s="64" t="str">
        <f t="shared" si="12"/>
        <v>Sammy Sosa</v>
      </c>
      <c r="AB17" s="32" t="str">
        <f t="shared" si="13"/>
        <v>JSA</v>
      </c>
      <c r="AD17" s="29">
        <v>46204</v>
      </c>
      <c r="AE17" s="29">
        <v>46226</v>
      </c>
      <c r="AF17" s="29"/>
      <c r="AG17">
        <f t="shared" ca="1" si="14"/>
        <v>6</v>
      </c>
      <c r="AH17" t="str">
        <f t="shared" si="15"/>
        <v>View Sold Comps</v>
      </c>
      <c r="AI17" s="30" t="str">
        <f t="shared" si="16"/>
        <v/>
      </c>
      <c r="AJ17" s="30">
        <f t="shared" si="17"/>
        <v>0.28799999999999998</v>
      </c>
      <c r="AL17" s="78" t="str">
        <f t="shared" si="18"/>
        <v>Apr – Oct (MLB Season)</v>
      </c>
    </row>
    <row r="18" spans="1:38" ht="19.5" hidden="1" customHeight="1" x14ac:dyDescent="0.25">
      <c r="A18" s="75" t="s">
        <v>88</v>
      </c>
      <c r="B18" s="74" t="s">
        <v>73</v>
      </c>
      <c r="C18" s="18">
        <v>4824728</v>
      </c>
      <c r="D18" s="19">
        <v>34.25</v>
      </c>
      <c r="E18" s="19">
        <f t="shared" si="0"/>
        <v>34.25</v>
      </c>
      <c r="F18" s="19">
        <f t="shared" si="1"/>
        <v>384.34</v>
      </c>
      <c r="G18" s="20">
        <f t="shared" si="2"/>
        <v>8.9113805484727068E-2</v>
      </c>
      <c r="H18" s="19">
        <v>31</v>
      </c>
      <c r="I18" s="19">
        <f t="shared" si="3"/>
        <v>2.762527970026539</v>
      </c>
      <c r="J18" s="19">
        <v>99</v>
      </c>
      <c r="K18" s="19">
        <f t="shared" si="4"/>
        <v>8.8222667429879795</v>
      </c>
      <c r="L18" s="19">
        <v>38.67</v>
      </c>
      <c r="M18" s="19">
        <f t="shared" si="5"/>
        <v>3.4460308580943959</v>
      </c>
      <c r="N18" s="21">
        <f t="shared" si="6"/>
        <v>43.755769631055834</v>
      </c>
      <c r="O18" s="22" t="s">
        <v>71</v>
      </c>
      <c r="P18" s="23">
        <f t="shared" si="7"/>
        <v>0.13600000000000001</v>
      </c>
      <c r="Q18" s="24">
        <f t="shared" si="8"/>
        <v>0.4</v>
      </c>
      <c r="R18" s="24">
        <v>6.5</v>
      </c>
      <c r="S18" s="65">
        <v>0</v>
      </c>
      <c r="T18" s="25">
        <f t="shared" si="9"/>
        <v>58.629362998907212</v>
      </c>
      <c r="U18" s="26">
        <f>MAX(MAX(T18*1.5, T18+15), IFERROR(VLOOKUP(A18,'Pricing Intelligence'!A:J,10,FALSE),0))</f>
        <v>106.66666666666667</v>
      </c>
      <c r="V18" s="68">
        <v>0</v>
      </c>
      <c r="W18" s="27">
        <f>IFERROR(_xlfn.XLOOKUP(A18,'Sales Log'!$C$4:$C$303,'Sales Log'!$F$4:$F$303,0),0)</f>
        <v>0</v>
      </c>
      <c r="X18" s="26">
        <f t="shared" si="10"/>
        <v>0</v>
      </c>
      <c r="Y18" s="28" t="str">
        <f t="shared" si="11"/>
        <v>Bat</v>
      </c>
      <c r="Z18" s="31" t="s">
        <v>81</v>
      </c>
      <c r="AA18" s="64" t="str">
        <f t="shared" si="12"/>
        <v>Sammy Sosa</v>
      </c>
      <c r="AB18" s="32" t="str">
        <f t="shared" si="13"/>
        <v>Beckett</v>
      </c>
      <c r="AD18" s="29">
        <v>46204</v>
      </c>
      <c r="AE18" s="29"/>
      <c r="AF18" s="29"/>
      <c r="AG18" t="str">
        <f t="shared" ca="1" si="14"/>
        <v/>
      </c>
      <c r="AH18" t="str">
        <f t="shared" si="15"/>
        <v>View Sold Comps</v>
      </c>
      <c r="AI18" s="30" t="str">
        <f t="shared" si="16"/>
        <v/>
      </c>
      <c r="AJ18" s="30">
        <f t="shared" si="17"/>
        <v>0.38910215970885143</v>
      </c>
      <c r="AL18" s="78" t="str">
        <f t="shared" si="18"/>
        <v>Apr – Oct (MLB Season)</v>
      </c>
    </row>
    <row r="19" spans="1:38" ht="19.5" hidden="1" customHeight="1" x14ac:dyDescent="0.25">
      <c r="A19" s="75" t="s">
        <v>91</v>
      </c>
      <c r="B19" s="74" t="s">
        <v>73</v>
      </c>
      <c r="C19" s="18">
        <v>4824728</v>
      </c>
      <c r="D19" s="19">
        <v>18.43</v>
      </c>
      <c r="E19" s="19">
        <f t="shared" si="0"/>
        <v>18.43</v>
      </c>
      <c r="F19" s="19">
        <f t="shared" si="1"/>
        <v>384.34</v>
      </c>
      <c r="G19" s="20">
        <f t="shared" si="2"/>
        <v>4.7952333871051675E-2</v>
      </c>
      <c r="H19" s="19">
        <v>31</v>
      </c>
      <c r="I19" s="19">
        <f t="shared" si="3"/>
        <v>1.4865223500026019</v>
      </c>
      <c r="J19" s="19">
        <v>99</v>
      </c>
      <c r="K19" s="19">
        <f t="shared" si="4"/>
        <v>4.7472810532341159</v>
      </c>
      <c r="L19" s="19">
        <v>38.67</v>
      </c>
      <c r="M19" s="19">
        <f t="shared" si="5"/>
        <v>1.8543167507935683</v>
      </c>
      <c r="N19" s="21">
        <f t="shared" si="6"/>
        <v>23.545075454025081</v>
      </c>
      <c r="O19" s="22" t="s">
        <v>71</v>
      </c>
      <c r="P19" s="23">
        <f t="shared" si="7"/>
        <v>0.13600000000000001</v>
      </c>
      <c r="Q19" s="24">
        <f t="shared" si="8"/>
        <v>0.4</v>
      </c>
      <c r="R19" s="24">
        <v>6.5</v>
      </c>
      <c r="S19" s="65">
        <v>0</v>
      </c>
      <c r="T19" s="25">
        <f t="shared" si="9"/>
        <v>35.237355849566065</v>
      </c>
      <c r="U19" s="26">
        <f>MAX(MAX(T19*1.5, T19+15), IFERROR(VLOOKUP(A19,'Pricing Intelligence'!A:J,10,FALSE),0))</f>
        <v>52.8560337743491</v>
      </c>
      <c r="V19" s="68">
        <v>0</v>
      </c>
      <c r="W19" s="27">
        <f>IFERROR(_xlfn.XLOOKUP(A19,'Sales Log'!$C$4:$C$303,'Sales Log'!$F$4:$F$303,0),0)</f>
        <v>0</v>
      </c>
      <c r="X19" s="26">
        <f t="shared" si="10"/>
        <v>0</v>
      </c>
      <c r="Y19" s="28" t="str">
        <f t="shared" si="11"/>
        <v>Jersey</v>
      </c>
      <c r="Z19" s="31" t="s">
        <v>72</v>
      </c>
      <c r="AA19" s="64" t="str">
        <f t="shared" si="12"/>
        <v>Donte DiVincenzo</v>
      </c>
      <c r="AB19" s="32" t="str">
        <f t="shared" si="13"/>
        <v>Beckett</v>
      </c>
      <c r="AD19" s="29">
        <v>46204</v>
      </c>
      <c r="AE19" s="29"/>
      <c r="AF19" s="29"/>
      <c r="AG19" t="str">
        <f t="shared" ca="1" si="14"/>
        <v/>
      </c>
      <c r="AH19" t="str">
        <f t="shared" si="15"/>
        <v>View Sold Comps</v>
      </c>
      <c r="AI19" s="30" t="str">
        <f t="shared" si="16"/>
        <v/>
      </c>
      <c r="AJ19" s="30">
        <f t="shared" si="17"/>
        <v>0.28800000000000003</v>
      </c>
      <c r="AL19" t="str">
        <f t="shared" si="18"/>
        <v>Oct – Jun (NBA Season)</v>
      </c>
    </row>
    <row r="20" spans="1:38" ht="19.5" hidden="1" customHeight="1" x14ac:dyDescent="0.25">
      <c r="A20" s="75" t="s">
        <v>92</v>
      </c>
      <c r="B20" s="74" t="s">
        <v>73</v>
      </c>
      <c r="C20" s="18">
        <v>4824728</v>
      </c>
      <c r="D20" s="19">
        <v>24.57</v>
      </c>
      <c r="E20" s="19">
        <f t="shared" si="0"/>
        <v>24.57</v>
      </c>
      <c r="F20" s="19">
        <f t="shared" si="1"/>
        <v>384.34</v>
      </c>
      <c r="G20" s="20">
        <f t="shared" si="2"/>
        <v>6.3927772284956039E-2</v>
      </c>
      <c r="H20" s="19">
        <v>31</v>
      </c>
      <c r="I20" s="19">
        <f t="shared" si="3"/>
        <v>1.9817609408336372</v>
      </c>
      <c r="J20" s="19">
        <v>99</v>
      </c>
      <c r="K20" s="19">
        <f t="shared" si="4"/>
        <v>6.3288494562106479</v>
      </c>
      <c r="L20" s="19">
        <v>38.67</v>
      </c>
      <c r="M20" s="19">
        <f t="shared" si="5"/>
        <v>2.4720869542592503</v>
      </c>
      <c r="N20" s="21">
        <f t="shared" si="6"/>
        <v>31.38917546963626</v>
      </c>
      <c r="O20" s="22" t="s">
        <v>71</v>
      </c>
      <c r="P20" s="23">
        <f t="shared" si="7"/>
        <v>0.13600000000000001</v>
      </c>
      <c r="Q20" s="24">
        <f t="shared" si="8"/>
        <v>0.4</v>
      </c>
      <c r="R20" s="24">
        <v>6.5</v>
      </c>
      <c r="S20" s="65">
        <v>0</v>
      </c>
      <c r="T20" s="25">
        <f t="shared" si="9"/>
        <v>44.316175312078997</v>
      </c>
      <c r="U20" s="26">
        <f>MAX(MAX(T20*1.5, T20+15), IFERROR(VLOOKUP(A20,'Pricing Intelligence'!A:J,10,FALSE),0))</f>
        <v>66.474262968118495</v>
      </c>
      <c r="V20" s="68">
        <v>0</v>
      </c>
      <c r="W20" s="27">
        <f>IFERROR(_xlfn.XLOOKUP(A20,'Sales Log'!$C$4:$C$303,'Sales Log'!$F$4:$F$303,0),0)</f>
        <v>0</v>
      </c>
      <c r="X20" s="26">
        <f t="shared" si="10"/>
        <v>0</v>
      </c>
      <c r="Y20" s="28" t="str">
        <f t="shared" si="11"/>
        <v>Jersey</v>
      </c>
      <c r="Z20" s="31" t="s">
        <v>72</v>
      </c>
      <c r="AA20" s="64" t="str">
        <f t="shared" si="12"/>
        <v>Derek Harper</v>
      </c>
      <c r="AB20" s="32" t="str">
        <f t="shared" si="13"/>
        <v>JSA</v>
      </c>
      <c r="AD20" s="29">
        <v>46204</v>
      </c>
      <c r="AE20" s="29"/>
      <c r="AF20" s="29"/>
      <c r="AG20" t="str">
        <f t="shared" ca="1" si="14"/>
        <v/>
      </c>
      <c r="AH20" t="str">
        <f t="shared" si="15"/>
        <v>View Sold Comps</v>
      </c>
      <c r="AI20" s="30" t="str">
        <f t="shared" si="16"/>
        <v/>
      </c>
      <c r="AJ20" s="30">
        <f t="shared" si="17"/>
        <v>0.28799999999999992</v>
      </c>
      <c r="AL20" t="str">
        <f t="shared" si="18"/>
        <v>Oct – Jun (NBA Season)</v>
      </c>
    </row>
    <row r="21" spans="1:38" ht="19.5" hidden="1" customHeight="1" x14ac:dyDescent="0.25">
      <c r="A21" s="75" t="s">
        <v>93</v>
      </c>
      <c r="B21" s="74" t="s">
        <v>73</v>
      </c>
      <c r="C21" s="18">
        <v>4824728</v>
      </c>
      <c r="D21" s="19">
        <v>19.11</v>
      </c>
      <c r="E21" s="19">
        <f t="shared" si="0"/>
        <v>19.11</v>
      </c>
      <c r="F21" s="19">
        <f t="shared" si="1"/>
        <v>384.34</v>
      </c>
      <c r="G21" s="20">
        <f t="shared" si="2"/>
        <v>4.9721600666076914E-2</v>
      </c>
      <c r="H21" s="19">
        <v>31</v>
      </c>
      <c r="I21" s="19">
        <f t="shared" si="3"/>
        <v>1.5413696206483842</v>
      </c>
      <c r="J21" s="19">
        <v>99</v>
      </c>
      <c r="K21" s="19">
        <f t="shared" si="4"/>
        <v>4.9224384659416147</v>
      </c>
      <c r="L21" s="19">
        <v>38.67</v>
      </c>
      <c r="M21" s="19">
        <f t="shared" si="5"/>
        <v>1.9227342977571944</v>
      </c>
      <c r="N21" s="21">
        <f t="shared" si="6"/>
        <v>24.413803143050423</v>
      </c>
      <c r="O21" s="22" t="s">
        <v>71</v>
      </c>
      <c r="P21" s="23">
        <f t="shared" si="7"/>
        <v>0.13600000000000001</v>
      </c>
      <c r="Q21" s="24">
        <f t="shared" si="8"/>
        <v>0.4</v>
      </c>
      <c r="R21" s="24">
        <v>6.5</v>
      </c>
      <c r="S21" s="65">
        <v>0</v>
      </c>
      <c r="T21" s="25">
        <f t="shared" si="9"/>
        <v>36.242827711863917</v>
      </c>
      <c r="U21" s="26">
        <f>MAX(MAX(T21*1.5, T21+15), IFERROR(VLOOKUP(A21,'Pricing Intelligence'!A:J,10,FALSE),0))</f>
        <v>54.364241567795872</v>
      </c>
      <c r="V21" s="68">
        <v>0</v>
      </c>
      <c r="W21" s="27">
        <f>IFERROR(_xlfn.XLOOKUP(A21,'Sales Log'!$C$4:$C$303,'Sales Log'!$F$4:$F$303,0),0)</f>
        <v>0</v>
      </c>
      <c r="X21" s="26">
        <f t="shared" si="10"/>
        <v>0</v>
      </c>
      <c r="Y21" s="28" t="str">
        <f t="shared" si="11"/>
        <v>Jersey</v>
      </c>
      <c r="Z21" s="31" t="s">
        <v>83</v>
      </c>
      <c r="AA21" s="64" t="str">
        <f t="shared" si="12"/>
        <v>Jamal Anderson</v>
      </c>
      <c r="AB21" s="32" t="str">
        <f t="shared" si="13"/>
        <v>JSA</v>
      </c>
      <c r="AD21" s="29">
        <v>46204</v>
      </c>
      <c r="AE21" s="29"/>
      <c r="AF21" s="29"/>
      <c r="AG21" t="str">
        <f t="shared" ca="1" si="14"/>
        <v/>
      </c>
      <c r="AH21" t="str">
        <f t="shared" si="15"/>
        <v>View Sold Comps</v>
      </c>
      <c r="AI21" s="30" t="str">
        <f t="shared" si="16"/>
        <v/>
      </c>
      <c r="AJ21" s="30">
        <f t="shared" si="17"/>
        <v>0.28799999999999998</v>
      </c>
      <c r="AL21" t="str">
        <f t="shared" si="18"/>
        <v>Aug – Feb (NFL Season)</v>
      </c>
    </row>
    <row r="22" spans="1:38" ht="19.5" customHeight="1" x14ac:dyDescent="0.25">
      <c r="A22" s="75" t="s">
        <v>94</v>
      </c>
      <c r="B22" s="74" t="s">
        <v>206</v>
      </c>
      <c r="C22" s="18">
        <v>4824728</v>
      </c>
      <c r="D22" s="19">
        <v>24.57</v>
      </c>
      <c r="E22" s="19">
        <f t="shared" si="0"/>
        <v>24.57</v>
      </c>
      <c r="F22" s="19">
        <f t="shared" si="1"/>
        <v>384.34</v>
      </c>
      <c r="G22" s="20">
        <f t="shared" si="2"/>
        <v>6.3927772284956039E-2</v>
      </c>
      <c r="H22" s="19">
        <v>31</v>
      </c>
      <c r="I22" s="19">
        <f t="shared" si="3"/>
        <v>1.9817609408336372</v>
      </c>
      <c r="J22" s="19">
        <v>99</v>
      </c>
      <c r="K22" s="19">
        <f t="shared" si="4"/>
        <v>6.3288494562106479</v>
      </c>
      <c r="L22" s="19">
        <v>38.67</v>
      </c>
      <c r="M22" s="19">
        <f t="shared" si="5"/>
        <v>2.4720869542592503</v>
      </c>
      <c r="N22" s="21">
        <f t="shared" si="6"/>
        <v>31.38917546963626</v>
      </c>
      <c r="O22" s="22" t="s">
        <v>71</v>
      </c>
      <c r="P22" s="23">
        <f t="shared" si="7"/>
        <v>0.13600000000000001</v>
      </c>
      <c r="Q22" s="24">
        <f t="shared" si="8"/>
        <v>0.4</v>
      </c>
      <c r="R22" s="24">
        <v>6.5</v>
      </c>
      <c r="S22" s="65">
        <v>0</v>
      </c>
      <c r="T22" s="25">
        <f t="shared" si="9"/>
        <v>44.316175312078997</v>
      </c>
      <c r="U22" s="26">
        <f>MAX(MAX(T22*1.5, T22+15), IFERROR(VLOOKUP(A22,'Pricing Intelligence'!A:J,10,FALSE),0))</f>
        <v>66.474262968118495</v>
      </c>
      <c r="V22" s="68">
        <v>125</v>
      </c>
      <c r="W22" s="27">
        <f>IFERROR(_xlfn.XLOOKUP(A22,'Sales Log'!$C$4:$C$303,'Sales Log'!$F$4:$F$303,0),0)</f>
        <v>0</v>
      </c>
      <c r="X22" s="26">
        <f t="shared" si="10"/>
        <v>0</v>
      </c>
      <c r="Y22" s="28" t="str">
        <f t="shared" si="11"/>
        <v>Jersey</v>
      </c>
      <c r="Z22" s="31" t="s">
        <v>81</v>
      </c>
      <c r="AA22" s="64" t="str">
        <f t="shared" si="12"/>
        <v>Kyle Tucker</v>
      </c>
      <c r="AB22" s="32" t="str">
        <f t="shared" si="13"/>
        <v>JSA</v>
      </c>
      <c r="AD22" s="29">
        <v>46204</v>
      </c>
      <c r="AE22" s="29">
        <v>46226</v>
      </c>
      <c r="AF22" s="29"/>
      <c r="AG22">
        <f t="shared" ca="1" si="14"/>
        <v>6</v>
      </c>
      <c r="AH22" t="str">
        <f t="shared" si="15"/>
        <v>View Sold Comps</v>
      </c>
      <c r="AI22" s="30" t="str">
        <f t="shared" si="16"/>
        <v/>
      </c>
      <c r="AJ22" s="30">
        <f t="shared" si="17"/>
        <v>0.28799999999999992</v>
      </c>
      <c r="AL22" t="str">
        <f t="shared" si="18"/>
        <v>Apr – Oct (MLB Season)</v>
      </c>
    </row>
    <row r="23" spans="1:38" ht="19.5" hidden="1" customHeight="1" x14ac:dyDescent="0.25">
      <c r="A23" s="75" t="s">
        <v>95</v>
      </c>
      <c r="B23" s="74" t="s">
        <v>73</v>
      </c>
      <c r="C23" s="18">
        <v>4824728</v>
      </c>
      <c r="D23" s="19">
        <v>43</v>
      </c>
      <c r="E23" s="19">
        <f t="shared" si="0"/>
        <v>43</v>
      </c>
      <c r="F23" s="19">
        <f t="shared" si="1"/>
        <v>384.34</v>
      </c>
      <c r="G23" s="20">
        <f t="shared" si="2"/>
        <v>0.11188010615600771</v>
      </c>
      <c r="H23" s="19">
        <v>31</v>
      </c>
      <c r="I23" s="19">
        <f t="shared" si="3"/>
        <v>3.4682832908362391</v>
      </c>
      <c r="J23" s="19">
        <v>99</v>
      </c>
      <c r="K23" s="19">
        <f t="shared" si="4"/>
        <v>11.076130509444763</v>
      </c>
      <c r="L23" s="19">
        <v>38.67</v>
      </c>
      <c r="M23" s="19">
        <f t="shared" si="5"/>
        <v>4.3264037050528188</v>
      </c>
      <c r="N23" s="21">
        <f t="shared" si="6"/>
        <v>54.934250923661345</v>
      </c>
      <c r="O23" s="22" t="s">
        <v>71</v>
      </c>
      <c r="P23" s="23">
        <f t="shared" si="7"/>
        <v>0.13600000000000001</v>
      </c>
      <c r="Q23" s="24">
        <f t="shared" si="8"/>
        <v>0.4</v>
      </c>
      <c r="R23" s="24">
        <v>6.5</v>
      </c>
      <c r="S23" s="65">
        <v>0</v>
      </c>
      <c r="T23" s="25">
        <f t="shared" si="9"/>
        <v>71.567420050533968</v>
      </c>
      <c r="U23" s="26">
        <f>MAX(MAX(T23*1.5, T23+15), IFERROR(VLOOKUP(A23,'Pricing Intelligence'!A:J,10,FALSE),0))</f>
        <v>107.35113007580095</v>
      </c>
      <c r="V23" s="68">
        <v>0</v>
      </c>
      <c r="W23" s="27">
        <f>IFERROR(_xlfn.XLOOKUP(A23,'Sales Log'!$C$4:$C$303,'Sales Log'!$F$4:$F$303,0),0)</f>
        <v>0</v>
      </c>
      <c r="X23" s="26">
        <f t="shared" si="10"/>
        <v>0</v>
      </c>
      <c r="Y23" s="28" t="str">
        <f t="shared" si="11"/>
        <v>Photo</v>
      </c>
      <c r="Z23" s="31" t="s">
        <v>83</v>
      </c>
      <c r="AA23" s="64" t="str">
        <f t="shared" si="12"/>
        <v>Steve Spurrier</v>
      </c>
      <c r="AB23" s="32" t="str">
        <f t="shared" si="13"/>
        <v>ACOA</v>
      </c>
      <c r="AD23" s="29">
        <v>46204</v>
      </c>
      <c r="AE23" s="29"/>
      <c r="AF23" s="29"/>
      <c r="AG23" t="str">
        <f t="shared" ca="1" si="14"/>
        <v/>
      </c>
      <c r="AH23" t="str">
        <f t="shared" si="15"/>
        <v>View Sold Comps</v>
      </c>
      <c r="AI23" s="30" t="str">
        <f t="shared" si="16"/>
        <v/>
      </c>
      <c r="AJ23" s="30">
        <f t="shared" si="17"/>
        <v>0.28799999999999998</v>
      </c>
      <c r="AL23" t="str">
        <f t="shared" si="18"/>
        <v>Aug – Feb (NFL Season)</v>
      </c>
    </row>
    <row r="24" spans="1:38" ht="19.5" hidden="1" customHeight="1" x14ac:dyDescent="0.25">
      <c r="A24" s="75" t="s">
        <v>96</v>
      </c>
      <c r="B24" s="74" t="s">
        <v>73</v>
      </c>
      <c r="C24" s="18">
        <v>4824988</v>
      </c>
      <c r="D24" s="19">
        <v>18.46</v>
      </c>
      <c r="E24" s="19">
        <f t="shared" si="0"/>
        <v>18.46</v>
      </c>
      <c r="F24" s="19">
        <f t="shared" si="1"/>
        <v>18.46</v>
      </c>
      <c r="G24" s="20">
        <f t="shared" si="2"/>
        <v>1</v>
      </c>
      <c r="H24" s="19">
        <v>20</v>
      </c>
      <c r="I24" s="19">
        <f t="shared" si="3"/>
        <v>20</v>
      </c>
      <c r="J24" s="19">
        <v>4.1100000000000003</v>
      </c>
      <c r="K24" s="19">
        <f t="shared" si="4"/>
        <v>4.1100000000000003</v>
      </c>
      <c r="L24" s="19">
        <v>1.8</v>
      </c>
      <c r="M24" s="19">
        <f t="shared" si="5"/>
        <v>1.8</v>
      </c>
      <c r="N24" s="21">
        <f t="shared" si="6"/>
        <v>4.370000000000001</v>
      </c>
      <c r="O24" s="22" t="s">
        <v>71</v>
      </c>
      <c r="P24" s="23">
        <f t="shared" si="7"/>
        <v>0.13600000000000001</v>
      </c>
      <c r="Q24" s="24">
        <f t="shared" si="8"/>
        <v>0.4</v>
      </c>
      <c r="R24" s="24">
        <v>6.5</v>
      </c>
      <c r="S24" s="65">
        <v>0</v>
      </c>
      <c r="T24" s="25">
        <f t="shared" si="9"/>
        <v>13.043981481481483</v>
      </c>
      <c r="U24" s="26">
        <f>MAX(MAX(T24*1.5, T24+15), IFERROR(VLOOKUP(A24,'Pricing Intelligence'!A:J,10,FALSE),0))</f>
        <v>28.043981481481481</v>
      </c>
      <c r="V24" s="68">
        <v>0</v>
      </c>
      <c r="W24" s="27">
        <f>IFERROR(_xlfn.XLOOKUP(A24,'Sales Log'!$C$4:$C$303,'Sales Log'!$F$4:$F$303,0),0)</f>
        <v>0</v>
      </c>
      <c r="X24" s="26">
        <f t="shared" si="10"/>
        <v>0</v>
      </c>
      <c r="Y24" s="28" t="str">
        <f t="shared" si="11"/>
        <v>Jersey</v>
      </c>
      <c r="Z24" s="31" t="s">
        <v>72</v>
      </c>
      <c r="AA24" s="64" t="str">
        <f t="shared" si="12"/>
        <v>Joe Johnson</v>
      </c>
      <c r="AB24" s="32" t="str">
        <f t="shared" si="13"/>
        <v>Beckett</v>
      </c>
      <c r="AD24" s="29">
        <v>46204</v>
      </c>
      <c r="AE24" s="29"/>
      <c r="AF24" s="29"/>
      <c r="AG24" t="str">
        <f t="shared" ca="1" si="14"/>
        <v/>
      </c>
      <c r="AH24" t="str">
        <f t="shared" si="15"/>
        <v>View Sold Comps</v>
      </c>
      <c r="AI24" s="30" t="str">
        <f t="shared" si="16"/>
        <v/>
      </c>
      <c r="AJ24" s="30">
        <f t="shared" si="17"/>
        <v>0.46213124226165914</v>
      </c>
      <c r="AL24" t="str">
        <f t="shared" si="18"/>
        <v>Oct – Jun (NBA Season)</v>
      </c>
    </row>
    <row r="25" spans="1:38" ht="19.5" hidden="1" customHeight="1" x14ac:dyDescent="0.25">
      <c r="A25" s="75" t="s">
        <v>97</v>
      </c>
      <c r="B25" s="74" t="s">
        <v>73</v>
      </c>
      <c r="C25" s="18">
        <v>4825068</v>
      </c>
      <c r="D25" s="19">
        <v>30.75</v>
      </c>
      <c r="E25" s="19">
        <f t="shared" si="0"/>
        <v>30.75</v>
      </c>
      <c r="F25" s="19">
        <f t="shared" si="1"/>
        <v>110.63999999999999</v>
      </c>
      <c r="G25" s="20">
        <f t="shared" si="2"/>
        <v>0.27792841648590028</v>
      </c>
      <c r="H25" s="19">
        <v>20</v>
      </c>
      <c r="I25" s="19">
        <f t="shared" si="3"/>
        <v>5.5585683297180051</v>
      </c>
      <c r="J25" s="19">
        <v>31.76</v>
      </c>
      <c r="K25" s="19">
        <f t="shared" si="4"/>
        <v>8.8270065075921931</v>
      </c>
      <c r="L25" s="19">
        <v>11.13</v>
      </c>
      <c r="M25" s="19">
        <f t="shared" si="5"/>
        <v>3.0933432754880701</v>
      </c>
      <c r="N25" s="21">
        <f t="shared" si="6"/>
        <v>37.111781453362255</v>
      </c>
      <c r="O25" s="22" t="s">
        <v>71</v>
      </c>
      <c r="P25" s="23">
        <f t="shared" si="7"/>
        <v>0.13600000000000001</v>
      </c>
      <c r="Q25" s="24">
        <f t="shared" si="8"/>
        <v>0.4</v>
      </c>
      <c r="R25" s="24">
        <v>6.5</v>
      </c>
      <c r="S25" s="65">
        <v>0</v>
      </c>
      <c r="T25" s="25">
        <f t="shared" si="9"/>
        <v>50.939561867317423</v>
      </c>
      <c r="U25" s="26">
        <f>MAX(MAX(T25*1.5, T25+15), IFERROR(VLOOKUP(A25,'Pricing Intelligence'!A:J,10,FALSE),0))</f>
        <v>76.409342800976134</v>
      </c>
      <c r="V25" s="68">
        <v>0</v>
      </c>
      <c r="W25" s="27">
        <f>IFERROR(_xlfn.XLOOKUP(A25,'Sales Log'!$C$4:$C$303,'Sales Log'!$F$4:$F$303,0),0)</f>
        <v>0</v>
      </c>
      <c r="X25" s="26">
        <f t="shared" si="10"/>
        <v>0</v>
      </c>
      <c r="Y25" s="28" t="str">
        <f t="shared" si="11"/>
        <v>Jersey</v>
      </c>
      <c r="Z25" s="31" t="s">
        <v>83</v>
      </c>
      <c r="AA25" s="64" t="str">
        <f t="shared" si="12"/>
        <v>Xavier Watts</v>
      </c>
      <c r="AB25" s="32" t="str">
        <f t="shared" si="13"/>
        <v>JSA</v>
      </c>
      <c r="AD25" s="29">
        <v>46204</v>
      </c>
      <c r="AE25" s="29"/>
      <c r="AF25" s="29"/>
      <c r="AG25" t="str">
        <f t="shared" ca="1" si="14"/>
        <v/>
      </c>
      <c r="AH25" t="str">
        <f t="shared" si="15"/>
        <v>View Sold Comps</v>
      </c>
      <c r="AI25" s="30" t="str">
        <f t="shared" si="16"/>
        <v/>
      </c>
      <c r="AJ25" s="30">
        <f t="shared" si="17"/>
        <v>0.28799999999999987</v>
      </c>
      <c r="AL25" t="str">
        <f t="shared" si="18"/>
        <v>Aug – Feb (NFL Season)</v>
      </c>
    </row>
    <row r="26" spans="1:38" ht="19.5" hidden="1" customHeight="1" x14ac:dyDescent="0.25">
      <c r="A26" s="75" t="s">
        <v>98</v>
      </c>
      <c r="B26" s="74" t="s">
        <v>73</v>
      </c>
      <c r="C26" s="18">
        <v>4825068</v>
      </c>
      <c r="D26" s="19">
        <v>30.75</v>
      </c>
      <c r="E26" s="19">
        <f t="shared" si="0"/>
        <v>30.75</v>
      </c>
      <c r="F26" s="19">
        <f t="shared" si="1"/>
        <v>110.63999999999999</v>
      </c>
      <c r="G26" s="20">
        <f t="shared" si="2"/>
        <v>0.27792841648590028</v>
      </c>
      <c r="H26" s="19">
        <v>20</v>
      </c>
      <c r="I26" s="19">
        <f t="shared" si="3"/>
        <v>5.5585683297180051</v>
      </c>
      <c r="J26" s="19">
        <v>31.76</v>
      </c>
      <c r="K26" s="19">
        <f t="shared" si="4"/>
        <v>8.8270065075921931</v>
      </c>
      <c r="L26" s="19">
        <v>11.13</v>
      </c>
      <c r="M26" s="19">
        <f t="shared" si="5"/>
        <v>3.0933432754880701</v>
      </c>
      <c r="N26" s="21">
        <f t="shared" si="6"/>
        <v>37.111781453362255</v>
      </c>
      <c r="O26" s="22" t="s">
        <v>71</v>
      </c>
      <c r="P26" s="23">
        <f t="shared" si="7"/>
        <v>0.13600000000000001</v>
      </c>
      <c r="Q26" s="24">
        <f t="shared" si="8"/>
        <v>0.4</v>
      </c>
      <c r="R26" s="24">
        <v>6.5</v>
      </c>
      <c r="S26" s="65">
        <v>0</v>
      </c>
      <c r="T26" s="25">
        <f t="shared" si="9"/>
        <v>50.939561867317423</v>
      </c>
      <c r="U26" s="26">
        <f>MAX(MAX(T26*1.5, T26+15), IFERROR(VLOOKUP(A26,'Pricing Intelligence'!A:J,10,FALSE),0))</f>
        <v>76.409342800976134</v>
      </c>
      <c r="V26" s="68">
        <v>0</v>
      </c>
      <c r="W26" s="27">
        <f>IFERROR(_xlfn.XLOOKUP(A26,'Sales Log'!$C$4:$C$303,'Sales Log'!$F$4:$F$303,0),0)</f>
        <v>0</v>
      </c>
      <c r="X26" s="26">
        <f t="shared" si="10"/>
        <v>0</v>
      </c>
      <c r="Y26" s="28" t="str">
        <f t="shared" si="11"/>
        <v>Jersey</v>
      </c>
      <c r="Z26" s="31" t="s">
        <v>83</v>
      </c>
      <c r="AA26" s="64" t="str">
        <f t="shared" si="12"/>
        <v>Xavier Watts</v>
      </c>
      <c r="AB26" s="32" t="str">
        <f t="shared" si="13"/>
        <v>JSA</v>
      </c>
      <c r="AD26" s="29">
        <v>46204</v>
      </c>
      <c r="AE26" s="29"/>
      <c r="AF26" s="29"/>
      <c r="AG26" t="str">
        <f t="shared" ca="1" si="14"/>
        <v/>
      </c>
      <c r="AH26" t="str">
        <f t="shared" si="15"/>
        <v>View Sold Comps</v>
      </c>
      <c r="AI26" s="30" t="str">
        <f t="shared" si="16"/>
        <v/>
      </c>
      <c r="AJ26" s="30">
        <f t="shared" si="17"/>
        <v>0.28799999999999987</v>
      </c>
      <c r="AL26" t="str">
        <f t="shared" si="18"/>
        <v>Aug – Feb (NFL Season)</v>
      </c>
    </row>
    <row r="27" spans="1:38" ht="19.5" customHeight="1" x14ac:dyDescent="0.25">
      <c r="A27" s="75" t="s">
        <v>210</v>
      </c>
      <c r="B27" s="74" t="s">
        <v>206</v>
      </c>
      <c r="C27" s="18">
        <v>4825068</v>
      </c>
      <c r="D27" s="19">
        <v>24.57</v>
      </c>
      <c r="E27" s="19">
        <f t="shared" si="0"/>
        <v>24.57</v>
      </c>
      <c r="F27" s="19">
        <f t="shared" si="1"/>
        <v>110.63999999999999</v>
      </c>
      <c r="G27" s="20">
        <f t="shared" si="2"/>
        <v>0.22207158351409981</v>
      </c>
      <c r="H27" s="19">
        <v>20</v>
      </c>
      <c r="I27" s="19">
        <f t="shared" si="3"/>
        <v>4.4414316702819958</v>
      </c>
      <c r="J27" s="19">
        <v>31.76</v>
      </c>
      <c r="K27" s="19">
        <f t="shared" si="4"/>
        <v>7.0529934924078104</v>
      </c>
      <c r="L27" s="19">
        <v>11.13</v>
      </c>
      <c r="M27" s="19">
        <f t="shared" si="5"/>
        <v>2.4716567245119312</v>
      </c>
      <c r="N27" s="21">
        <f t="shared" si="6"/>
        <v>29.653218546637746</v>
      </c>
      <c r="O27" s="22" t="s">
        <v>71</v>
      </c>
      <c r="P27" s="23">
        <f t="shared" si="7"/>
        <v>0.13600000000000001</v>
      </c>
      <c r="Q27" s="24">
        <f t="shared" si="8"/>
        <v>0.4</v>
      </c>
      <c r="R27" s="24">
        <v>6.5</v>
      </c>
      <c r="S27" s="65">
        <v>0.02</v>
      </c>
      <c r="T27" s="25">
        <f t="shared" si="9"/>
        <v>43.309500647675051</v>
      </c>
      <c r="U27" s="26">
        <f>MAX(MAX(T27*1.5, T27+15), IFERROR(VLOOKUP(A27,'Pricing Intelligence'!A:J,10,FALSE),0))</f>
        <v>64.96425097151257</v>
      </c>
      <c r="V27" s="68">
        <v>69.989999999999995</v>
      </c>
      <c r="W27" s="27">
        <f>IFERROR(_xlfn.XLOOKUP(A27,'Sales Log'!$C$4:$C$303,'Sales Log'!$F$4:$F$303,0),0)</f>
        <v>0</v>
      </c>
      <c r="X27" s="26">
        <f t="shared" si="10"/>
        <v>0</v>
      </c>
      <c r="Y27" s="28" t="str">
        <f t="shared" si="11"/>
        <v>Jersey</v>
      </c>
      <c r="Z27" s="31" t="s">
        <v>83</v>
      </c>
      <c r="AA27" s="64" t="str">
        <f t="shared" si="12"/>
        <v>Rob Gronkowski</v>
      </c>
      <c r="AB27" s="32" t="str">
        <f t="shared" si="13"/>
        <v>Unlabeled</v>
      </c>
      <c r="AD27" s="29">
        <v>46204</v>
      </c>
      <c r="AE27" s="29">
        <v>46211</v>
      </c>
      <c r="AF27" s="29"/>
      <c r="AG27">
        <f t="shared" ca="1" si="14"/>
        <v>21</v>
      </c>
      <c r="AH27" t="str">
        <f t="shared" si="15"/>
        <v>View Sold Comps</v>
      </c>
      <c r="AI27" s="30" t="str">
        <f t="shared" si="16"/>
        <v/>
      </c>
      <c r="AJ27" s="30">
        <f t="shared" si="17"/>
        <v>0.30133333333333329</v>
      </c>
      <c r="AL27" t="str">
        <f t="shared" si="18"/>
        <v>Aug – Feb (NFL Season)</v>
      </c>
    </row>
    <row r="28" spans="1:38" ht="19.5" customHeight="1" x14ac:dyDescent="0.25">
      <c r="A28" s="75" t="s">
        <v>99</v>
      </c>
      <c r="B28" s="74" t="s">
        <v>206</v>
      </c>
      <c r="C28" s="18">
        <v>4825068</v>
      </c>
      <c r="D28" s="19">
        <v>24.57</v>
      </c>
      <c r="E28" s="19">
        <f t="shared" si="0"/>
        <v>24.57</v>
      </c>
      <c r="F28" s="19">
        <f t="shared" si="1"/>
        <v>110.63999999999999</v>
      </c>
      <c r="G28" s="20">
        <f t="shared" si="2"/>
        <v>0.22207158351409981</v>
      </c>
      <c r="H28" s="19">
        <v>20</v>
      </c>
      <c r="I28" s="19">
        <f t="shared" si="3"/>
        <v>4.4414316702819958</v>
      </c>
      <c r="J28" s="19">
        <v>31.76</v>
      </c>
      <c r="K28" s="19">
        <f t="shared" si="4"/>
        <v>7.0529934924078104</v>
      </c>
      <c r="L28" s="19">
        <v>11.13</v>
      </c>
      <c r="M28" s="19">
        <f t="shared" si="5"/>
        <v>2.4716567245119312</v>
      </c>
      <c r="N28" s="21">
        <f t="shared" si="6"/>
        <v>29.653218546637746</v>
      </c>
      <c r="O28" s="22" t="s">
        <v>71</v>
      </c>
      <c r="P28" s="23">
        <f t="shared" si="7"/>
        <v>0.13600000000000001</v>
      </c>
      <c r="Q28" s="24">
        <f t="shared" si="8"/>
        <v>0.4</v>
      </c>
      <c r="R28" s="24">
        <v>6.5</v>
      </c>
      <c r="S28" s="65">
        <v>0.02</v>
      </c>
      <c r="T28" s="25">
        <f t="shared" si="9"/>
        <v>43.309500647675051</v>
      </c>
      <c r="U28" s="26">
        <f>MAX(MAX(T28*1.5, T28+15), IFERROR(VLOOKUP(A28,'Pricing Intelligence'!A:J,10,FALSE),0))</f>
        <v>64.96425097151257</v>
      </c>
      <c r="V28" s="68">
        <v>64.989999999999995</v>
      </c>
      <c r="W28" s="27">
        <f>IFERROR(_xlfn.XLOOKUP(A28,'Sales Log'!$C$4:$C$303,'Sales Log'!$F$4:$F$303,0),0)</f>
        <v>0</v>
      </c>
      <c r="X28" s="26">
        <f t="shared" si="10"/>
        <v>0</v>
      </c>
      <c r="Y28" s="28" t="str">
        <f t="shared" si="11"/>
        <v>Jersey</v>
      </c>
      <c r="Z28" s="31" t="s">
        <v>72</v>
      </c>
      <c r="AA28" s="64" t="str">
        <f t="shared" si="12"/>
        <v>Joe Johnson</v>
      </c>
      <c r="AB28" s="32" t="str">
        <f t="shared" si="13"/>
        <v>PSA</v>
      </c>
      <c r="AD28" s="29">
        <v>46204</v>
      </c>
      <c r="AE28" s="29">
        <v>46211</v>
      </c>
      <c r="AF28" s="29"/>
      <c r="AG28">
        <f t="shared" ca="1" si="14"/>
        <v>21</v>
      </c>
      <c r="AH28" t="str">
        <f t="shared" si="15"/>
        <v>View Sold Comps</v>
      </c>
      <c r="AI28" s="30" t="str">
        <f t="shared" si="16"/>
        <v/>
      </c>
      <c r="AJ28" s="30">
        <f t="shared" si="17"/>
        <v>0.30133333333333329</v>
      </c>
      <c r="AL28" t="str">
        <f t="shared" si="18"/>
        <v>Oct – Jun (NBA Season)</v>
      </c>
    </row>
    <row r="29" spans="1:38" ht="19.5" hidden="1" customHeight="1" x14ac:dyDescent="0.25">
      <c r="A29" s="75" t="s">
        <v>100</v>
      </c>
      <c r="B29" s="74" t="s">
        <v>73</v>
      </c>
      <c r="C29" s="18">
        <v>4837185</v>
      </c>
      <c r="D29" s="19">
        <v>14.74</v>
      </c>
      <c r="E29" s="19">
        <f t="shared" si="0"/>
        <v>14.74</v>
      </c>
      <c r="F29" s="19">
        <f t="shared" si="1"/>
        <v>49.14</v>
      </c>
      <c r="G29" s="20">
        <f t="shared" si="2"/>
        <v>0.29995929995929999</v>
      </c>
      <c r="H29" s="19">
        <v>20</v>
      </c>
      <c r="I29" s="19">
        <f t="shared" si="3"/>
        <v>5.9991859991859995</v>
      </c>
      <c r="J29" s="19">
        <v>11</v>
      </c>
      <c r="K29" s="19">
        <f t="shared" si="4"/>
        <v>3.2995522995522997</v>
      </c>
      <c r="L29" s="19">
        <v>4.8099999999999996</v>
      </c>
      <c r="M29" s="19">
        <f t="shared" si="5"/>
        <v>1.4428042328042328</v>
      </c>
      <c r="N29" s="21">
        <f t="shared" si="6"/>
        <v>13.483170533170535</v>
      </c>
      <c r="O29" s="22" t="s">
        <v>71</v>
      </c>
      <c r="P29" s="23">
        <f t="shared" si="7"/>
        <v>0.13600000000000001</v>
      </c>
      <c r="Q29" s="24">
        <f t="shared" si="8"/>
        <v>0.4</v>
      </c>
      <c r="R29" s="24">
        <v>6.5</v>
      </c>
      <c r="S29" s="65">
        <v>0</v>
      </c>
      <c r="T29" s="25">
        <f t="shared" si="9"/>
        <v>23.591632561539971</v>
      </c>
      <c r="U29" s="26">
        <f>MAX(MAX(T29*1.5, T29+15), IFERROR(VLOOKUP(A29,'Pricing Intelligence'!A:J,10,FALSE),0))</f>
        <v>38.591632561539967</v>
      </c>
      <c r="V29" s="68">
        <v>0</v>
      </c>
      <c r="W29" s="27">
        <f>IFERROR(_xlfn.XLOOKUP(A29,'Sales Log'!$C$4:$C$303,'Sales Log'!$F$4:$F$303,0),0)</f>
        <v>0</v>
      </c>
      <c r="X29" s="26">
        <f t="shared" si="10"/>
        <v>0</v>
      </c>
      <c r="Y29" s="28" t="str">
        <f t="shared" si="11"/>
        <v>Jersey</v>
      </c>
      <c r="Z29" s="31" t="s">
        <v>72</v>
      </c>
      <c r="AA29" s="64" t="str">
        <f t="shared" si="12"/>
        <v>Moses Moody</v>
      </c>
      <c r="AB29" s="32" t="str">
        <f t="shared" si="13"/>
        <v>Beckett</v>
      </c>
      <c r="AD29" s="29">
        <v>46210</v>
      </c>
      <c r="AE29" s="29"/>
      <c r="AF29" s="29"/>
      <c r="AG29" t="str">
        <f t="shared" ca="1" si="14"/>
        <v/>
      </c>
      <c r="AH29" t="str">
        <f t="shared" si="15"/>
        <v>View Sold Comps</v>
      </c>
      <c r="AI29" s="30" t="str">
        <f t="shared" si="16"/>
        <v/>
      </c>
      <c r="AJ29" s="30">
        <f t="shared" si="17"/>
        <v>0.33582409293862842</v>
      </c>
      <c r="AL29" t="str">
        <f t="shared" si="18"/>
        <v>Oct – Jun (NBA Season)</v>
      </c>
    </row>
    <row r="30" spans="1:38" ht="19.5" hidden="1" customHeight="1" x14ac:dyDescent="0.25">
      <c r="A30" s="75" t="s">
        <v>101</v>
      </c>
      <c r="B30" s="74" t="s">
        <v>73</v>
      </c>
      <c r="C30" s="18">
        <v>4837185</v>
      </c>
      <c r="D30" s="19">
        <v>18.43</v>
      </c>
      <c r="E30" s="19">
        <f t="shared" si="0"/>
        <v>18.43</v>
      </c>
      <c r="F30" s="19">
        <f t="shared" si="1"/>
        <v>49.14</v>
      </c>
      <c r="G30" s="20">
        <f t="shared" si="2"/>
        <v>0.37505087505087503</v>
      </c>
      <c r="H30" s="19">
        <v>20</v>
      </c>
      <c r="I30" s="19">
        <f t="shared" si="3"/>
        <v>7.5010175010175004</v>
      </c>
      <c r="J30" s="19">
        <v>11</v>
      </c>
      <c r="K30" s="19">
        <f t="shared" si="4"/>
        <v>4.1255596255596254</v>
      </c>
      <c r="L30" s="19">
        <v>4.8099999999999996</v>
      </c>
      <c r="M30" s="19">
        <f t="shared" si="5"/>
        <v>1.8039947089947088</v>
      </c>
      <c r="N30" s="21">
        <f t="shared" si="6"/>
        <v>16.858536833536832</v>
      </c>
      <c r="O30" s="22" t="s">
        <v>71</v>
      </c>
      <c r="P30" s="23">
        <f t="shared" si="7"/>
        <v>0.13600000000000001</v>
      </c>
      <c r="Q30" s="24">
        <f t="shared" si="8"/>
        <v>0.4</v>
      </c>
      <c r="R30" s="24">
        <v>6.5</v>
      </c>
      <c r="S30" s="65">
        <v>0</v>
      </c>
      <c r="T30" s="25">
        <f t="shared" si="9"/>
        <v>27.498306520297259</v>
      </c>
      <c r="U30" s="26">
        <f>MAX(MAX(T30*1.5, T30+15), IFERROR(VLOOKUP(A30,'Pricing Intelligence'!A:J,10,FALSE),0))</f>
        <v>42.498306520297263</v>
      </c>
      <c r="V30" s="68">
        <v>0</v>
      </c>
      <c r="W30" s="27">
        <f>IFERROR(_xlfn.XLOOKUP(A30,'Sales Log'!$C$4:$C$303,'Sales Log'!$F$4:$F$303,0),0)</f>
        <v>0</v>
      </c>
      <c r="X30" s="26">
        <f t="shared" si="10"/>
        <v>0</v>
      </c>
      <c r="Y30" s="28" t="str">
        <f t="shared" si="11"/>
        <v>Jersey</v>
      </c>
      <c r="Z30" s="31" t="s">
        <v>72</v>
      </c>
      <c r="AA30" s="64" t="str">
        <f t="shared" si="12"/>
        <v>Grayson Allen</v>
      </c>
      <c r="AB30" s="32" t="str">
        <f t="shared" si="13"/>
        <v>Beckett</v>
      </c>
      <c r="AD30" s="29">
        <v>46210</v>
      </c>
      <c r="AE30" s="29"/>
      <c r="AF30" s="29"/>
      <c r="AG30" t="str">
        <f t="shared" ca="1" si="14"/>
        <v/>
      </c>
      <c r="AH30" t="str">
        <f t="shared" si="15"/>
        <v>View Sold Comps</v>
      </c>
      <c r="AI30" s="30" t="str">
        <f t="shared" si="16"/>
        <v/>
      </c>
      <c r="AJ30" s="30">
        <f t="shared" si="17"/>
        <v>0.30495332781813983</v>
      </c>
      <c r="AL30" t="str">
        <f t="shared" si="18"/>
        <v>Oct – Jun (NBA Season)</v>
      </c>
    </row>
    <row r="31" spans="1:38" ht="19.5" hidden="1" customHeight="1" x14ac:dyDescent="0.25">
      <c r="A31" s="75" t="s">
        <v>102</v>
      </c>
      <c r="B31" s="74" t="s">
        <v>73</v>
      </c>
      <c r="C31" s="18">
        <v>4837185</v>
      </c>
      <c r="D31" s="19">
        <v>15.97</v>
      </c>
      <c r="E31" s="19">
        <f t="shared" si="0"/>
        <v>15.97</v>
      </c>
      <c r="F31" s="19">
        <f t="shared" si="1"/>
        <v>49.14</v>
      </c>
      <c r="G31" s="20">
        <f t="shared" si="2"/>
        <v>0.32498982498982498</v>
      </c>
      <c r="H31" s="19">
        <v>20</v>
      </c>
      <c r="I31" s="19">
        <f t="shared" si="3"/>
        <v>6.4997964997964992</v>
      </c>
      <c r="J31" s="19">
        <v>11</v>
      </c>
      <c r="K31" s="19">
        <f t="shared" si="4"/>
        <v>3.5748880748880749</v>
      </c>
      <c r="L31" s="19">
        <v>4.8099999999999996</v>
      </c>
      <c r="M31" s="19">
        <f t="shared" si="5"/>
        <v>1.563201058201058</v>
      </c>
      <c r="N31" s="21">
        <f t="shared" si="6"/>
        <v>14.608292633292633</v>
      </c>
      <c r="O31" s="22" t="s">
        <v>71</v>
      </c>
      <c r="P31" s="23">
        <f t="shared" si="7"/>
        <v>0.13600000000000001</v>
      </c>
      <c r="Q31" s="24">
        <f t="shared" si="8"/>
        <v>0.4</v>
      </c>
      <c r="R31" s="24">
        <v>6.5</v>
      </c>
      <c r="S31" s="65">
        <v>0</v>
      </c>
      <c r="T31" s="25">
        <f t="shared" si="9"/>
        <v>24.893857214459068</v>
      </c>
      <c r="U31" s="26">
        <f>MAX(MAX(T31*1.5, T31+15), IFERROR(VLOOKUP(A31,'Pricing Intelligence'!A:J,10,FALSE),0))</f>
        <v>39.893857214459068</v>
      </c>
      <c r="V31" s="68">
        <v>0</v>
      </c>
      <c r="W31" s="27">
        <f>IFERROR(_xlfn.XLOOKUP(A31,'Sales Log'!$C$4:$C$303,'Sales Log'!$F$4:$F$303,0),0)</f>
        <v>0</v>
      </c>
      <c r="X31" s="26">
        <f t="shared" si="10"/>
        <v>0</v>
      </c>
      <c r="Y31" s="28" t="str">
        <f t="shared" si="11"/>
        <v>Jersey</v>
      </c>
      <c r="Z31" s="31" t="s">
        <v>72</v>
      </c>
      <c r="AA31" s="64" t="str">
        <f t="shared" si="12"/>
        <v>Sam Hauser</v>
      </c>
      <c r="AB31" s="32" t="str">
        <f t="shared" si="13"/>
        <v>Beckett</v>
      </c>
      <c r="AD31" s="29">
        <v>46210</v>
      </c>
      <c r="AE31" s="29"/>
      <c r="AF31" s="29"/>
      <c r="AG31" t="str">
        <f t="shared" ca="1" si="14"/>
        <v/>
      </c>
      <c r="AH31" t="str">
        <f t="shared" si="15"/>
        <v>View Sold Comps</v>
      </c>
      <c r="AI31" s="30" t="str">
        <f t="shared" si="16"/>
        <v/>
      </c>
      <c r="AJ31" s="30">
        <f t="shared" si="17"/>
        <v>0.32486204405681784</v>
      </c>
      <c r="AL31" t="str">
        <f t="shared" si="18"/>
        <v>Oct – Jun (NBA Season)</v>
      </c>
    </row>
    <row r="32" spans="1:38" ht="19.5" customHeight="1" x14ac:dyDescent="0.25">
      <c r="A32" s="75" t="s">
        <v>103</v>
      </c>
      <c r="B32" s="74" t="s">
        <v>206</v>
      </c>
      <c r="C32" s="18">
        <v>4837266</v>
      </c>
      <c r="D32" s="19">
        <v>65.52</v>
      </c>
      <c r="E32" s="19">
        <f t="shared" si="0"/>
        <v>65.52</v>
      </c>
      <c r="F32" s="19">
        <f t="shared" si="1"/>
        <v>155.47999999999999</v>
      </c>
      <c r="G32" s="20">
        <f t="shared" si="2"/>
        <v>0.42140468227424749</v>
      </c>
      <c r="H32" s="19">
        <v>20</v>
      </c>
      <c r="I32" s="19">
        <f t="shared" si="3"/>
        <v>8.4280936454849495</v>
      </c>
      <c r="J32" s="19">
        <v>22</v>
      </c>
      <c r="K32" s="19">
        <f t="shared" si="4"/>
        <v>9.2709030100334449</v>
      </c>
      <c r="L32" s="19">
        <v>14.2</v>
      </c>
      <c r="M32" s="19">
        <f t="shared" si="5"/>
        <v>5.9839464882943139</v>
      </c>
      <c r="N32" s="21">
        <f t="shared" si="6"/>
        <v>72.346755852842804</v>
      </c>
      <c r="O32" s="22" t="s">
        <v>71</v>
      </c>
      <c r="P32" s="23">
        <f t="shared" si="7"/>
        <v>0.13600000000000001</v>
      </c>
      <c r="Q32" s="24">
        <f t="shared" si="8"/>
        <v>0.4</v>
      </c>
      <c r="R32" s="24">
        <v>6.5</v>
      </c>
      <c r="S32" s="65">
        <v>0.03</v>
      </c>
      <c r="T32" s="25">
        <f t="shared" si="9"/>
        <v>95.020090950650854</v>
      </c>
      <c r="U32" s="26">
        <f>MAX(MAX(T32*1.5, T32+15), IFERROR(VLOOKUP(A32,'Pricing Intelligence'!A:J,10,FALSE),0))</f>
        <v>152.66666666666666</v>
      </c>
      <c r="V32" s="68">
        <v>142.49</v>
      </c>
      <c r="W32" s="27">
        <f>IFERROR(_xlfn.XLOOKUP(A32,'Sales Log'!$C$4:$C$303,'Sales Log'!$F$4:$F$303,0),0)</f>
        <v>0</v>
      </c>
      <c r="X32" s="26">
        <f t="shared" si="10"/>
        <v>0</v>
      </c>
      <c r="Y32" s="28" t="str">
        <f t="shared" si="11"/>
        <v>Jersey</v>
      </c>
      <c r="Z32" s="31" t="s">
        <v>75</v>
      </c>
      <c r="AA32" s="64" t="str">
        <f t="shared" si="12"/>
        <v>Charlie Sheen, Tom Berenger &amp; Corbin Bernsen</v>
      </c>
      <c r="AB32" s="32" t="str">
        <f t="shared" si="13"/>
        <v>Beckett</v>
      </c>
      <c r="AD32" s="29">
        <v>46210</v>
      </c>
      <c r="AE32" s="29">
        <v>46225</v>
      </c>
      <c r="AF32" s="29"/>
      <c r="AG32">
        <f t="shared" ca="1" si="14"/>
        <v>7</v>
      </c>
      <c r="AH32" t="str">
        <f t="shared" si="15"/>
        <v>View Sold Comps</v>
      </c>
      <c r="AI32" s="30" t="str">
        <f t="shared" si="16"/>
        <v/>
      </c>
      <c r="AJ32" s="30">
        <f t="shared" si="17"/>
        <v>0.3449164463787589</v>
      </c>
      <c r="AL32" t="str">
        <f t="shared" si="18"/>
        <v>Year-Round</v>
      </c>
    </row>
    <row r="33" spans="1:38" ht="19.5" customHeight="1" x14ac:dyDescent="0.25">
      <c r="A33" s="75" t="s">
        <v>104</v>
      </c>
      <c r="B33" s="74" t="s">
        <v>206</v>
      </c>
      <c r="C33" s="18">
        <v>4837266</v>
      </c>
      <c r="D33" s="19">
        <v>16.25</v>
      </c>
      <c r="E33" s="19">
        <f t="shared" si="0"/>
        <v>16.25</v>
      </c>
      <c r="F33" s="19">
        <f t="shared" si="1"/>
        <v>155.47999999999999</v>
      </c>
      <c r="G33" s="20">
        <f t="shared" si="2"/>
        <v>0.10451505016722409</v>
      </c>
      <c r="H33" s="19">
        <v>20</v>
      </c>
      <c r="I33" s="19">
        <f t="shared" si="3"/>
        <v>2.0903010033444818</v>
      </c>
      <c r="J33" s="19">
        <v>22</v>
      </c>
      <c r="K33" s="19">
        <f t="shared" si="4"/>
        <v>2.2993311036789299</v>
      </c>
      <c r="L33" s="19">
        <v>14.2</v>
      </c>
      <c r="M33" s="19">
        <f t="shared" si="5"/>
        <v>1.484113712374582</v>
      </c>
      <c r="N33" s="21">
        <f t="shared" si="6"/>
        <v>17.943143812709032</v>
      </c>
      <c r="O33" s="22" t="s">
        <v>71</v>
      </c>
      <c r="P33" s="23">
        <f t="shared" si="7"/>
        <v>0.13600000000000001</v>
      </c>
      <c r="Q33" s="24">
        <f t="shared" si="8"/>
        <v>0.4</v>
      </c>
      <c r="R33" s="24">
        <v>6.5</v>
      </c>
      <c r="S33" s="65">
        <v>0.03</v>
      </c>
      <c r="T33" s="25">
        <f t="shared" si="9"/>
        <v>29.78794222147366</v>
      </c>
      <c r="U33" s="26">
        <f>MAX(MAX(T33*1.5, T33+15), IFERROR(VLOOKUP(A33,'Pricing Intelligence'!A:J,10,FALSE),0))</f>
        <v>44.787942221473656</v>
      </c>
      <c r="V33" s="68">
        <v>36.090000000000003</v>
      </c>
      <c r="W33" s="27">
        <f>IFERROR(_xlfn.XLOOKUP(A33,'Sales Log'!$C$4:$C$303,'Sales Log'!$F$4:$F$303,0),0)</f>
        <v>0</v>
      </c>
      <c r="X33" s="26">
        <f t="shared" si="10"/>
        <v>0</v>
      </c>
      <c r="Y33" s="28" t="str">
        <f t="shared" si="11"/>
        <v>Jersey</v>
      </c>
      <c r="Z33" s="31" t="s">
        <v>83</v>
      </c>
      <c r="AA33" s="64" t="str">
        <f t="shared" si="12"/>
        <v>Trey Lance</v>
      </c>
      <c r="AB33" s="32" t="str">
        <f t="shared" si="13"/>
        <v>Beckett</v>
      </c>
      <c r="AD33" s="29">
        <v>46210</v>
      </c>
      <c r="AE33" s="29">
        <v>46225</v>
      </c>
      <c r="AF33" s="29"/>
      <c r="AG33">
        <f t="shared" ca="1" si="14"/>
        <v>7</v>
      </c>
      <c r="AH33" t="str">
        <f t="shared" si="15"/>
        <v>View Sold Comps</v>
      </c>
      <c r="AI33" s="30" t="str">
        <f t="shared" si="16"/>
        <v/>
      </c>
      <c r="AJ33" s="30">
        <f t="shared" si="17"/>
        <v>0.3093162485148081</v>
      </c>
      <c r="AL33" t="str">
        <f t="shared" si="18"/>
        <v>Aug – Feb (NFL Season)</v>
      </c>
    </row>
    <row r="34" spans="1:38" ht="19.5" customHeight="1" x14ac:dyDescent="0.25">
      <c r="A34" s="75" t="s">
        <v>105</v>
      </c>
      <c r="B34" s="74" t="s">
        <v>206</v>
      </c>
      <c r="C34" s="18">
        <v>4837266</v>
      </c>
      <c r="D34" s="19">
        <v>43</v>
      </c>
      <c r="E34" s="19">
        <f t="shared" si="0"/>
        <v>43</v>
      </c>
      <c r="F34" s="19">
        <f t="shared" si="1"/>
        <v>155.47999999999999</v>
      </c>
      <c r="G34" s="20">
        <f t="shared" si="2"/>
        <v>0.27656290198096217</v>
      </c>
      <c r="H34" s="19">
        <v>20</v>
      </c>
      <c r="I34" s="19">
        <f t="shared" si="3"/>
        <v>5.5312580396192432</v>
      </c>
      <c r="J34" s="19">
        <v>22</v>
      </c>
      <c r="K34" s="19">
        <f t="shared" si="4"/>
        <v>6.0843838435811675</v>
      </c>
      <c r="L34" s="19">
        <v>14.2</v>
      </c>
      <c r="M34" s="19">
        <f t="shared" si="5"/>
        <v>3.9271932081296628</v>
      </c>
      <c r="N34" s="21">
        <f t="shared" si="6"/>
        <v>47.480319012091584</v>
      </c>
      <c r="O34" s="22" t="s">
        <v>71</v>
      </c>
      <c r="P34" s="23">
        <f t="shared" si="7"/>
        <v>0.13600000000000001</v>
      </c>
      <c r="Q34" s="24">
        <f t="shared" si="8"/>
        <v>0.4</v>
      </c>
      <c r="R34" s="24">
        <v>6.5</v>
      </c>
      <c r="S34" s="65">
        <v>0.03</v>
      </c>
      <c r="T34" s="25">
        <f t="shared" si="9"/>
        <v>65.204219438958731</v>
      </c>
      <c r="U34" s="26">
        <f>MAX(MAX(T34*1.5, T34+15), IFERROR(VLOOKUP(A34,'Pricing Intelligence'!A:J,10,FALSE),0))</f>
        <v>102.66333333333334</v>
      </c>
      <c r="V34" s="68">
        <v>119.99</v>
      </c>
      <c r="W34" s="27">
        <f>IFERROR(_xlfn.XLOOKUP(A34,'Sales Log'!$C$4:$C$303,'Sales Log'!$F$4:$F$303,0),0)</f>
        <v>0</v>
      </c>
      <c r="X34" s="26">
        <f t="shared" si="10"/>
        <v>0</v>
      </c>
      <c r="Y34" s="28" t="str">
        <f t="shared" si="11"/>
        <v>Drum Stick</v>
      </c>
      <c r="Z34" s="31" t="s">
        <v>106</v>
      </c>
      <c r="AA34" s="64" t="str">
        <f t="shared" si="12"/>
        <v>Chad Smith</v>
      </c>
      <c r="AB34" s="32" t="str">
        <f t="shared" si="13"/>
        <v>Beckett</v>
      </c>
      <c r="AD34" s="29">
        <v>46210</v>
      </c>
      <c r="AE34" s="29">
        <v>46225</v>
      </c>
      <c r="AF34" s="29"/>
      <c r="AG34">
        <f t="shared" ca="1" si="14"/>
        <v>7</v>
      </c>
      <c r="AH34" t="str">
        <f t="shared" si="15"/>
        <v>View Sold Comps</v>
      </c>
      <c r="AI34" s="30" t="str">
        <f t="shared" si="16"/>
        <v/>
      </c>
      <c r="AJ34" s="30">
        <f t="shared" si="17"/>
        <v>0.33430437015398301</v>
      </c>
      <c r="AL34" t="str">
        <f t="shared" si="18"/>
        <v>Year-Round</v>
      </c>
    </row>
    <row r="35" spans="1:38" ht="19.5" hidden="1" customHeight="1" x14ac:dyDescent="0.25">
      <c r="A35" s="75" t="s">
        <v>107</v>
      </c>
      <c r="B35" s="74" t="s">
        <v>73</v>
      </c>
      <c r="C35" s="18">
        <v>4837266</v>
      </c>
      <c r="D35" s="19">
        <v>30.71</v>
      </c>
      <c r="E35" s="19">
        <f t="shared" si="0"/>
        <v>30.71</v>
      </c>
      <c r="F35" s="19">
        <f t="shared" si="1"/>
        <v>155.47999999999999</v>
      </c>
      <c r="G35" s="20">
        <f t="shared" si="2"/>
        <v>0.19751736557756627</v>
      </c>
      <c r="H35" s="19">
        <v>20</v>
      </c>
      <c r="I35" s="19">
        <f t="shared" si="3"/>
        <v>3.9503473115513255</v>
      </c>
      <c r="J35" s="19">
        <v>22</v>
      </c>
      <c r="K35" s="19">
        <f t="shared" si="4"/>
        <v>4.3453820427064578</v>
      </c>
      <c r="L35" s="19">
        <v>14.2</v>
      </c>
      <c r="M35" s="19">
        <f t="shared" si="5"/>
        <v>2.8047465912014409</v>
      </c>
      <c r="N35" s="21">
        <f t="shared" si="6"/>
        <v>33.909781322356572</v>
      </c>
      <c r="O35" s="22" t="s">
        <v>71</v>
      </c>
      <c r="P35" s="23">
        <f t="shared" si="7"/>
        <v>0.13600000000000001</v>
      </c>
      <c r="Q35" s="24">
        <f t="shared" si="8"/>
        <v>0.4</v>
      </c>
      <c r="R35" s="24">
        <v>6.5</v>
      </c>
      <c r="S35" s="65">
        <v>0</v>
      </c>
      <c r="T35" s="25">
        <f t="shared" si="9"/>
        <v>47.233543197171954</v>
      </c>
      <c r="U35" s="26">
        <f>MAX(MAX(T35*1.5, T35+15), IFERROR(VLOOKUP(A35,'Pricing Intelligence'!A:J,10,FALSE),0))</f>
        <v>70.850314795757924</v>
      </c>
      <c r="V35" s="68">
        <v>0</v>
      </c>
      <c r="W35" s="27">
        <f>IFERROR(_xlfn.XLOOKUP(A35,'Sales Log'!$C$4:$C$303,'Sales Log'!$F$4:$F$303,0),0)</f>
        <v>0</v>
      </c>
      <c r="X35" s="26">
        <f t="shared" si="10"/>
        <v>0</v>
      </c>
      <c r="Y35" s="28" t="str">
        <f t="shared" si="11"/>
        <v>Football</v>
      </c>
      <c r="Z35" s="31" t="s">
        <v>83</v>
      </c>
      <c r="AA35" s="64" t="str">
        <f t="shared" si="12"/>
        <v>Andre Rison</v>
      </c>
      <c r="AB35" s="32" t="str">
        <f t="shared" si="13"/>
        <v>Schwartz</v>
      </c>
      <c r="AD35" s="29">
        <v>46210</v>
      </c>
      <c r="AE35" s="29"/>
      <c r="AF35" s="29"/>
      <c r="AG35" t="str">
        <f t="shared" ca="1" si="14"/>
        <v/>
      </c>
      <c r="AH35" t="str">
        <f t="shared" si="15"/>
        <v>View Sold Comps</v>
      </c>
      <c r="AI35" s="30" t="str">
        <f t="shared" si="16"/>
        <v/>
      </c>
      <c r="AJ35" s="30">
        <f t="shared" si="17"/>
        <v>0.28799999999999987</v>
      </c>
      <c r="AL35" t="str">
        <f t="shared" si="18"/>
        <v>Aug – Feb (NFL Season)</v>
      </c>
    </row>
    <row r="36" spans="1:38" ht="24" hidden="1" customHeight="1" x14ac:dyDescent="0.25">
      <c r="A36" s="33"/>
      <c r="B36" s="70"/>
      <c r="C36" s="33" t="s">
        <v>108</v>
      </c>
      <c r="D36" s="34">
        <f>SUM(D2:D35)</f>
        <v>974.59000000000026</v>
      </c>
      <c r="E36" s="34">
        <f>SUM(E2:E35)</f>
        <v>974.59000000000026</v>
      </c>
      <c r="F36" s="33"/>
      <c r="G36" s="33"/>
      <c r="H36" s="34">
        <f t="shared" ref="H36:N36" si="19">SUM(H2:H35)</f>
        <v>1009</v>
      </c>
      <c r="I36" s="34">
        <f t="shared" si="19"/>
        <v>221</v>
      </c>
      <c r="J36" s="34">
        <f t="shared" si="19"/>
        <v>1777.9099999999999</v>
      </c>
      <c r="K36" s="34">
        <f t="shared" si="19"/>
        <v>218.77999999999997</v>
      </c>
      <c r="L36" s="34">
        <f t="shared" si="19"/>
        <v>736.3</v>
      </c>
      <c r="M36" s="34">
        <f t="shared" si="19"/>
        <v>94.77</v>
      </c>
      <c r="N36" s="34">
        <f t="shared" si="19"/>
        <v>1067.1400000000001</v>
      </c>
      <c r="O36" s="35"/>
      <c r="P36" s="35"/>
      <c r="Q36" s="36">
        <f t="shared" ref="Q36:X36" si="20">SUM(Q2:Q35)</f>
        <v>13.600000000000007</v>
      </c>
      <c r="R36" s="36">
        <f t="shared" si="20"/>
        <v>221</v>
      </c>
      <c r="S36" s="36"/>
      <c r="T36" s="36">
        <f t="shared" si="20"/>
        <v>1521.5268617187644</v>
      </c>
      <c r="U36" s="37">
        <f t="shared" si="20"/>
        <v>2579.7324551974029</v>
      </c>
      <c r="V36" s="67"/>
      <c r="W36" s="38">
        <f t="shared" si="20"/>
        <v>0</v>
      </c>
      <c r="X36" s="37">
        <f t="shared" si="20"/>
        <v>0</v>
      </c>
      <c r="Y36" s="36"/>
    </row>
    <row r="38" spans="1:38" ht="15.75" customHeight="1" x14ac:dyDescent="0.3">
      <c r="C38" s="39" t="s">
        <v>109</v>
      </c>
    </row>
    <row r="39" spans="1:38" ht="15.75" customHeight="1" x14ac:dyDescent="0.25">
      <c r="A39" s="40"/>
      <c r="B39" s="72"/>
      <c r="C39" s="41" t="s">
        <v>110</v>
      </c>
      <c r="D39">
        <f>COUNTA(A2:A35)</f>
        <v>34</v>
      </c>
    </row>
    <row r="40" spans="1:38" ht="15.75" customHeight="1" x14ac:dyDescent="0.25">
      <c r="A40" s="40"/>
      <c r="B40" s="72"/>
      <c r="C40" s="41" t="s">
        <v>111</v>
      </c>
      <c r="D40">
        <f t="array" ref="D40">SUMPRODUCT(1/COUNTIF(C2:C35,C2:C35))</f>
        <v>8.0000000000000018</v>
      </c>
    </row>
    <row r="41" spans="1:38" ht="15.75" customHeight="1" x14ac:dyDescent="0.25">
      <c r="A41" s="42"/>
      <c r="B41" s="73"/>
      <c r="C41" s="41" t="s">
        <v>112</v>
      </c>
      <c r="D41" s="43">
        <f>N36</f>
        <v>1067.1400000000001</v>
      </c>
    </row>
    <row r="42" spans="1:38" ht="15.75" customHeight="1" x14ac:dyDescent="0.25">
      <c r="A42" s="42"/>
      <c r="B42" s="73"/>
      <c r="C42" s="41" t="s">
        <v>113</v>
      </c>
      <c r="D42" s="43">
        <f>I36</f>
        <v>221</v>
      </c>
    </row>
    <row r="43" spans="1:38" ht="15.75" customHeight="1" x14ac:dyDescent="0.25">
      <c r="A43" s="42"/>
      <c r="B43" s="73"/>
      <c r="C43" s="41" t="s">
        <v>114</v>
      </c>
      <c r="D43" s="43">
        <f>K36</f>
        <v>218.77999999999997</v>
      </c>
    </row>
    <row r="44" spans="1:38" ht="15.75" customHeight="1" x14ac:dyDescent="0.25">
      <c r="A44" s="42"/>
      <c r="B44" s="73"/>
      <c r="C44" s="41" t="s">
        <v>115</v>
      </c>
      <c r="D44" s="43">
        <f>M36</f>
        <v>94.77</v>
      </c>
    </row>
    <row r="45" spans="1:38" ht="15.75" customHeight="1" x14ac:dyDescent="0.25">
      <c r="A45" s="42"/>
      <c r="B45" s="73"/>
      <c r="C45" s="41" t="s">
        <v>116</v>
      </c>
      <c r="D45" s="43">
        <f>AVERAGE(N2:N35)</f>
        <v>31.386470588235298</v>
      </c>
    </row>
    <row r="46" spans="1:38" ht="15.75" customHeight="1" x14ac:dyDescent="0.25">
      <c r="V46">
        <v>65</v>
      </c>
    </row>
  </sheetData>
  <autoFilter ref="A1:AK36" xr:uid="{00000000-0001-0000-0100-000000000000}">
    <filterColumn colId="30">
      <customFilters>
        <customFilter operator="notEqual" val=" "/>
      </customFilters>
    </filterColumn>
  </autoFilter>
  <conditionalFormatting sqref="A2:AK5 A7:AK35 B6:AK6">
    <cfRule type="expression" dxfId="32" priority="10" stopIfTrue="1">
      <formula>$B2="Kept for Self"</formula>
    </cfRule>
  </conditionalFormatting>
  <conditionalFormatting sqref="B2:B35">
    <cfRule type="containsText" dxfId="31" priority="26" operator="containsText" text="Listed">
      <formula>NOT(ISERROR(SEARCH("Listed",B2)))</formula>
    </cfRule>
    <cfRule type="containsText" dxfId="30" priority="27" operator="containsText" text="Kept for Self">
      <formula>NOT(ISERROR(SEARCH("Kept for Self",B2)))</formula>
    </cfRule>
    <cfRule type="containsText" dxfId="29" priority="28" operator="containsText" text="Sold">
      <formula>NOT(ISERROR(SEARCH("Sold",B2)))</formula>
    </cfRule>
    <cfRule type="containsText" dxfId="28" priority="29" operator="containsText" text="Available">
      <formula>NOT(ISERROR(SEARCH("Available",B2)))</formula>
    </cfRule>
  </conditionalFormatting>
  <conditionalFormatting sqref="S2:S35">
    <cfRule type="expression" dxfId="27" priority="15">
      <formula>S2=0</formula>
    </cfRule>
    <cfRule type="expression" dxfId="26" priority="16">
      <formula>AND(S2&gt;0,S2&lt;=0.02)</formula>
    </cfRule>
    <cfRule type="expression" dxfId="25" priority="17">
      <formula>AND(S2&gt;0.02,S2&lt;=0.05)</formula>
    </cfRule>
    <cfRule type="expression" dxfId="24" priority="18">
      <formula>AND(S2&gt;0.05,S2&lt;=0.1)</formula>
    </cfRule>
    <cfRule type="expression" dxfId="23" priority="19">
      <formula>S2&gt;0.1</formula>
    </cfRule>
  </conditionalFormatting>
  <conditionalFormatting sqref="U2:U35">
    <cfRule type="expression" dxfId="22" priority="9">
      <formula>(U2-(U2*($P2+$S2))-$Q2-$R2-$N2)/U2&gt;=0.4</formula>
    </cfRule>
    <cfRule type="expression" dxfId="21" priority="11">
      <formula>AND((U2-(U2*($P2+$S2))-$Q2-$R2-$N2)/U2&gt;=0.3,(U2-(U2*($P2+$S2))-$Q2-$R2-$N2)/U2&lt;0.4)</formula>
    </cfRule>
    <cfRule type="expression" dxfId="20" priority="12">
      <formula>AND((U2-(U2*($P2+$S2))-$Q2-$R2-$N2)/U2&gt;=0.2,(U2-(U2*($P2+$S2))-$Q2-$R2-$N2)/U2&lt;0.3)</formula>
    </cfRule>
    <cfRule type="expression" dxfId="19" priority="13">
      <formula>AND((U2-(U2*($P2+$S2))-$Q2-$R2-$N2)/U2&gt;=0.1,(U2-(U2*($P2+$S2))-$Q2-$R2-$N2)/U2&lt;0.2)</formula>
    </cfRule>
    <cfRule type="expression" dxfId="18" priority="14">
      <formula>(U2-(U2*($P2+$S2))-$Q2-$R2-$N2)/U2&lt;0.1</formula>
    </cfRule>
  </conditionalFormatting>
  <conditionalFormatting sqref="V2:V35">
    <cfRule type="expression" dxfId="17" priority="20" stopIfTrue="1">
      <formula>AND(V2&gt;0,V2&lt;$T2)</formula>
    </cfRule>
    <cfRule type="expression" dxfId="16" priority="21">
      <formula>AND(V2&gt;0,V2&gt;=$T2,(V2-(V2*($P2+$S2))-$Q2-$R2-$N2)/V2&lt;0.1)</formula>
    </cfRule>
    <cfRule type="expression" dxfId="15" priority="22">
      <formula>AND(V2&gt;0,(V2-(V2*($P2+$S2))-$Q2-$R2-$N2)/V2&gt;=0.1,(V2-(V2*($P2+$S2))-$Q2-$R2-$N2)/V2&lt;0.2)</formula>
    </cfRule>
    <cfRule type="expression" dxfId="14" priority="23">
      <formula>AND(V2&gt;0,(V2-(V2*($P2+$S2))-$Q2-$R2-$N2)/V2&gt;=0.2,(V2-(V2*($P2+$S2))-$Q2-$R2-$N2)/V2&lt;0.3)</formula>
    </cfRule>
    <cfRule type="expression" dxfId="13" priority="24">
      <formula>AND(V2&gt;0,(V2-(V2*($P2+$S2))-$Q2-$R2-$N2)/V2&gt;=0.3,(V2-(V2*($P2+$S2))-$Q2-$R2-$N2)/V2&lt;0.4)</formula>
    </cfRule>
    <cfRule type="expression" dxfId="12" priority="25">
      <formula>AND(V2&gt;0,(V2-(V2*($P2+$S2))-$Q2-$R2-$N2)/V2&gt;=0.4)</formula>
    </cfRule>
  </conditionalFormatting>
  <conditionalFormatting sqref="AE2:AE35">
    <cfRule type="expression" dxfId="11" priority="30">
      <formula>AND($B2="Listed",$V2&gt;0,AE2="")</formula>
    </cfRule>
  </conditionalFormatting>
  <conditionalFormatting sqref="AL2:AL35">
    <cfRule type="containsText" dxfId="10" priority="31" operator="containsText" text="MLB">
      <formula>NOT(ISERROR(SEARCH("MLB",AL2)))</formula>
    </cfRule>
    <cfRule type="containsText" dxfId="9" priority="32" operator="containsText" text="Year-Round">
      <formula>NOT(ISERROR(SEARCH("Year-Round",AL2)))</formula>
    </cfRule>
    <cfRule type="containsText" dxfId="8" priority="33" operator="containsText" text="NFL">
      <formula>NOT(ISERROR(SEARCH("NFL",AL2)))</formula>
    </cfRule>
    <cfRule type="containsText" dxfId="7" priority="34" operator="containsText" text="NBA">
      <formula>NOT(ISERROR(SEARCH("NBA",AL2)))</formula>
    </cfRule>
    <cfRule type="containsText" dxfId="6" priority="35" operator="containsText" text="Halloween">
      <formula>NOT(ISERROR(SEARCH("Halloween",AL2)))</formula>
    </cfRule>
  </conditionalFormatting>
  <dataValidations count="4">
    <dataValidation type="list" allowBlank="1" sqref="O2:O35" xr:uid="{00000000-0002-0000-0100-000001000000}">
      <formula1>PlatformList</formula1>
      <formula2>0</formula2>
    </dataValidation>
    <dataValidation type="list" allowBlank="1" showInputMessage="1" errorTitle="Category" error="Use a listed category or type a custom value." promptTitle="Choose Category" prompt="Select or type the item category." sqref="Y2:Y303" xr:uid="{31FCEBF1-F336-4A51-942C-B1FC4786C518}">
      <formula1>"Baseball,Bat,Card,Drum Stick,Football,Jersey,Mask,Photo,Puck,Helmet,Poster,Record,Other"</formula1>
    </dataValidation>
    <dataValidation type="list" allowBlank="1" showInputMessage="1" errorTitle="Sport / Genre" error="Use a listed sport/genre or type a custom value." promptTitle="Choose Sport / Genre" prompt="Select or type the sport/genre." sqref="Z2:Z303" xr:uid="{4E0B54F5-FD9B-43E8-B970-89BD3BB9C56B}">
      <formula1>"Basketball,Baseball,Football,Soccer,Hockey,Music,Movie,TV,Other"</formula1>
    </dataValidation>
    <dataValidation type="list" allowBlank="1" showInputMessage="1" showErrorMessage="1" sqref="B2:B35" xr:uid="{687484DF-C3E9-44C6-AFB0-EFA02E09EDD3}">
      <formula1>"Available,Listed,Sold,Returned,Holding,Damaged,Kept for Self"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7" sqref="F7"/>
    </sheetView>
  </sheetViews>
  <sheetFormatPr defaultColWidth="8.77734375" defaultRowHeight="13.2" x14ac:dyDescent="0.25"/>
  <cols>
    <col min="1" max="1" width="8" customWidth="1"/>
    <col min="2" max="2" width="11" customWidth="1"/>
    <col min="3" max="3" width="40" customWidth="1"/>
    <col min="4" max="4" width="22" customWidth="1"/>
    <col min="5" max="5" width="16" customWidth="1"/>
    <col min="6" max="6" width="14" customWidth="1"/>
    <col min="7" max="8" width="13" customWidth="1"/>
    <col min="9" max="10" width="10" customWidth="1"/>
    <col min="11" max="13" width="13" customWidth="1"/>
    <col min="14" max="14" width="14" customWidth="1"/>
    <col min="15" max="16" width="13" customWidth="1"/>
    <col min="17" max="18" width="10" customWidth="1"/>
    <col min="19" max="19" width="30" customWidth="1"/>
    <col min="20" max="20" width="14" customWidth="1"/>
    <col min="21" max="23" width="12" customWidth="1"/>
  </cols>
  <sheetData>
    <row r="1" spans="1:23" ht="21.75" customHeight="1" x14ac:dyDescent="0.4">
      <c r="A1" s="101" t="s">
        <v>117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3" spans="1:23" ht="39" customHeight="1" x14ac:dyDescent="0.25">
      <c r="A3" s="17" t="s">
        <v>118</v>
      </c>
      <c r="B3" s="17" t="s">
        <v>119</v>
      </c>
      <c r="C3" s="17" t="s">
        <v>29</v>
      </c>
      <c r="D3" s="17" t="s">
        <v>120</v>
      </c>
      <c r="E3" s="17" t="s">
        <v>121</v>
      </c>
      <c r="F3" s="17" t="s">
        <v>122</v>
      </c>
      <c r="G3" s="17" t="s">
        <v>123</v>
      </c>
      <c r="H3" s="17" t="s">
        <v>124</v>
      </c>
      <c r="I3" s="17" t="s">
        <v>50</v>
      </c>
      <c r="J3" s="17" t="s">
        <v>51</v>
      </c>
      <c r="K3" s="17" t="s">
        <v>125</v>
      </c>
      <c r="L3" s="17" t="s">
        <v>126</v>
      </c>
      <c r="M3" s="17" t="s">
        <v>127</v>
      </c>
      <c r="N3" s="17" t="s">
        <v>128</v>
      </c>
      <c r="O3" s="17" t="s">
        <v>48</v>
      </c>
      <c r="P3" s="17" t="s">
        <v>129</v>
      </c>
      <c r="Q3" s="17" t="s">
        <v>130</v>
      </c>
      <c r="R3" s="17" t="s">
        <v>131</v>
      </c>
      <c r="S3" s="17" t="s">
        <v>132</v>
      </c>
      <c r="T3" s="17"/>
      <c r="U3" s="44" t="s">
        <v>133</v>
      </c>
      <c r="V3" s="44" t="s">
        <v>134</v>
      </c>
      <c r="W3" s="44" t="s">
        <v>135</v>
      </c>
    </row>
    <row r="4" spans="1:23" ht="15" customHeight="1" x14ac:dyDescent="0.25">
      <c r="A4" t="str">
        <f t="shared" ref="A4:A67" si="0">IF(C4="","",ROW()-3)</f>
        <v/>
      </c>
      <c r="B4" s="29"/>
      <c r="F4" s="45"/>
      <c r="G4" s="45"/>
      <c r="H4" s="45"/>
      <c r="I4" s="30">
        <f t="shared" ref="I4:I67" si="1">IFERROR(VLOOKUP(D4,PlatformFees,2,FALSE()),0)</f>
        <v>0</v>
      </c>
      <c r="J4" s="45">
        <f t="shared" ref="J4:J67" si="2">IFERROR(VLOOKUP(D4,PlatformFees,3,FALSE()),0)</f>
        <v>0</v>
      </c>
      <c r="K4" s="45">
        <f t="shared" ref="K4:K67" si="3">IF(ISNUMBER(F4),F4*I4+J4,0)</f>
        <v>0</v>
      </c>
      <c r="L4" s="45"/>
      <c r="M4" s="45"/>
      <c r="N4" s="45">
        <f t="shared" ref="N4:N67" si="4">IF(ISNUMBER(F4),F4+IFERROR(G4,0)-IFERROR(H4,0)-K4-IFERROR(L4,0)-IFERROR(M4,0),0)</f>
        <v>0</v>
      </c>
      <c r="O4" s="45">
        <f>IFERROR(VLOOKUP(C4,Inventory!$A$2:$N$35,13,FALSE()),0)</f>
        <v>0</v>
      </c>
      <c r="P4" s="45">
        <f t="shared" ref="P4:P67" si="5">IF(ISNUMBER(F4),N4-O4,0)</f>
        <v>0</v>
      </c>
      <c r="Q4" s="30">
        <f t="shared" ref="Q4:Q67" si="6">IFERROR(IF(O4=0,0,P4/O4),0)</f>
        <v>0</v>
      </c>
      <c r="R4" t="str">
        <f>IFERROR(IF(AND(ISNUMBER(B4),C4&lt;&gt;""),B4-VLOOKUP(C4,Inventory!$A$2:$AE$35,29,FALSE()),""),"")</f>
        <v/>
      </c>
      <c r="S4" s="6" t="s">
        <v>136</v>
      </c>
      <c r="T4" s="46">
        <f>COUNTA(C4:C303)</f>
        <v>0</v>
      </c>
      <c r="U4" t="str">
        <f>IFERROR(VLOOKUP(C4,Inventory!$A$2:$C$35,2,FALSE()),"")</f>
        <v/>
      </c>
      <c r="V4" t="str">
        <f>IFERROR(VLOOKUP(C4,Inventory!$A$2:$Y$35,22,FALSE()),"")</f>
        <v/>
      </c>
      <c r="W4" t="str">
        <f>IFERROR(VLOOKUP(C4,Inventory!$A$2:$AB$35,25,FALSE()),"")</f>
        <v/>
      </c>
    </row>
    <row r="5" spans="1:23" ht="15" customHeight="1" x14ac:dyDescent="0.25">
      <c r="A5" t="str">
        <f t="shared" si="0"/>
        <v/>
      </c>
      <c r="B5" s="29"/>
      <c r="F5" s="45"/>
      <c r="G5" s="45"/>
      <c r="H5" s="45"/>
      <c r="I5" s="30">
        <f t="shared" si="1"/>
        <v>0</v>
      </c>
      <c r="J5" s="45">
        <f t="shared" si="2"/>
        <v>0</v>
      </c>
      <c r="K5" s="45">
        <f t="shared" si="3"/>
        <v>0</v>
      </c>
      <c r="L5" s="45"/>
      <c r="M5" s="45"/>
      <c r="N5" s="45">
        <f t="shared" si="4"/>
        <v>0</v>
      </c>
      <c r="O5" s="45">
        <f>IFERROR(VLOOKUP(C5,Inventory!$A$2:$N$35,13,FALSE()),0)</f>
        <v>0</v>
      </c>
      <c r="P5" s="45">
        <f t="shared" si="5"/>
        <v>0</v>
      </c>
      <c r="Q5" s="30">
        <f t="shared" si="6"/>
        <v>0</v>
      </c>
      <c r="R5" t="str">
        <f>IFERROR(IF(AND(ISNUMBER(B5),C5&lt;&gt;""),B5-VLOOKUP(C5,Inventory!$A$2:$AE$35,29,FALSE()),""),"")</f>
        <v/>
      </c>
      <c r="S5" s="6" t="s">
        <v>10</v>
      </c>
      <c r="T5" s="47">
        <f>SUM(F4:F303)</f>
        <v>0</v>
      </c>
      <c r="U5" t="str">
        <f>IFERROR(VLOOKUP(C5,Inventory!$A$2:$C$35,2,FALSE()),"")</f>
        <v/>
      </c>
      <c r="V5" t="str">
        <f>IFERROR(VLOOKUP(C5,Inventory!$A$2:$Y$35,22,FALSE()),"")</f>
        <v/>
      </c>
      <c r="W5" t="str">
        <f>IFERROR(VLOOKUP(C5,Inventory!$A$2:$AB$35,25,FALSE()),"")</f>
        <v/>
      </c>
    </row>
    <row r="6" spans="1:23" ht="15" customHeight="1" x14ac:dyDescent="0.25">
      <c r="A6" t="str">
        <f t="shared" si="0"/>
        <v/>
      </c>
      <c r="B6" s="29"/>
      <c r="F6" s="45"/>
      <c r="G6" s="45"/>
      <c r="H6" s="45"/>
      <c r="I6" s="30">
        <f t="shared" si="1"/>
        <v>0</v>
      </c>
      <c r="J6" s="45">
        <f t="shared" si="2"/>
        <v>0</v>
      </c>
      <c r="K6" s="45">
        <f t="shared" si="3"/>
        <v>0</v>
      </c>
      <c r="L6" s="45"/>
      <c r="M6" s="45"/>
      <c r="N6" s="45">
        <f t="shared" si="4"/>
        <v>0</v>
      </c>
      <c r="O6" s="45">
        <f>IFERROR(VLOOKUP(C6,Inventory!$A$2:$N$35,13,FALSE()),0)</f>
        <v>0</v>
      </c>
      <c r="P6" s="45">
        <f t="shared" si="5"/>
        <v>0</v>
      </c>
      <c r="Q6" s="30">
        <f t="shared" si="6"/>
        <v>0</v>
      </c>
      <c r="R6" t="str">
        <f>IFERROR(IF(AND(ISNUMBER(B6),C6&lt;&gt;""),B6-VLOOKUP(C6,Inventory!$A$2:$AE$35,29,FALSE()),""),"")</f>
        <v/>
      </c>
      <c r="S6" s="6" t="s">
        <v>19</v>
      </c>
      <c r="T6" s="47">
        <f>SUM(K4:K303)+SUM(L4:L303)+SUM(M4:M303)</f>
        <v>0</v>
      </c>
      <c r="U6" t="str">
        <f>IFERROR(VLOOKUP(C6,Inventory!$A$2:$C$35,2,FALSE()),"")</f>
        <v/>
      </c>
      <c r="V6" t="str">
        <f>IFERROR(VLOOKUP(C6,Inventory!$A$2:$Y$35,22,FALSE()),"")</f>
        <v/>
      </c>
      <c r="W6" t="str">
        <f>IFERROR(VLOOKUP(C6,Inventory!$A$2:$AB$35,25,FALSE()),"")</f>
        <v/>
      </c>
    </row>
    <row r="7" spans="1:23" ht="15" customHeight="1" x14ac:dyDescent="0.25">
      <c r="A7" t="str">
        <f t="shared" si="0"/>
        <v/>
      </c>
      <c r="B7" s="29"/>
      <c r="F7" s="45"/>
      <c r="G7" s="45"/>
      <c r="H7" s="45"/>
      <c r="I7" s="30">
        <f t="shared" si="1"/>
        <v>0</v>
      </c>
      <c r="J7" s="45">
        <f t="shared" si="2"/>
        <v>0</v>
      </c>
      <c r="K7" s="45">
        <f t="shared" si="3"/>
        <v>0</v>
      </c>
      <c r="L7" s="45"/>
      <c r="M7" s="45"/>
      <c r="N7" s="45">
        <f t="shared" si="4"/>
        <v>0</v>
      </c>
      <c r="O7" s="45">
        <f>IFERROR(VLOOKUP(C7,Inventory!$A$2:$N$35,13,FALSE()),0)</f>
        <v>0</v>
      </c>
      <c r="P7" s="45">
        <f t="shared" si="5"/>
        <v>0</v>
      </c>
      <c r="Q7" s="30">
        <f t="shared" si="6"/>
        <v>0</v>
      </c>
      <c r="R7" t="str">
        <f>IFERROR(IF(AND(ISNUMBER(B7),C7&lt;&gt;""),B7-VLOOKUP(C7,Inventory!$A$2:$AE$35,29,FALSE()),""),"")</f>
        <v/>
      </c>
      <c r="S7" s="6" t="s">
        <v>128</v>
      </c>
      <c r="T7" s="47">
        <f>SUM(N4:N303)</f>
        <v>0</v>
      </c>
      <c r="U7" t="str">
        <f>IFERROR(VLOOKUP(C7,Inventory!$A$2:$C$35,2,FALSE()),"")</f>
        <v/>
      </c>
      <c r="V7" t="str">
        <f>IFERROR(VLOOKUP(C7,Inventory!$A$2:$Y$35,22,FALSE()),"")</f>
        <v/>
      </c>
      <c r="W7" t="str">
        <f>IFERROR(VLOOKUP(C7,Inventory!$A$2:$AB$35,25,FALSE()),"")</f>
        <v/>
      </c>
    </row>
    <row r="8" spans="1:23" ht="15" customHeight="1" x14ac:dyDescent="0.25">
      <c r="A8" t="str">
        <f t="shared" si="0"/>
        <v/>
      </c>
      <c r="B8" s="29"/>
      <c r="F8" s="45"/>
      <c r="G8" s="45"/>
      <c r="H8" s="45"/>
      <c r="I8" s="30">
        <f t="shared" si="1"/>
        <v>0</v>
      </c>
      <c r="J8" s="45">
        <f t="shared" si="2"/>
        <v>0</v>
      </c>
      <c r="K8" s="45">
        <f t="shared" si="3"/>
        <v>0</v>
      </c>
      <c r="L8" s="45"/>
      <c r="M8" s="45"/>
      <c r="N8" s="45">
        <f t="shared" si="4"/>
        <v>0</v>
      </c>
      <c r="O8" s="45">
        <f>IFERROR(VLOOKUP(C8,Inventory!$A$2:$N$35,13,FALSE()),0)</f>
        <v>0</v>
      </c>
      <c r="P8" s="45">
        <f t="shared" si="5"/>
        <v>0</v>
      </c>
      <c r="Q8" s="30">
        <f t="shared" si="6"/>
        <v>0</v>
      </c>
      <c r="R8" t="str">
        <f>IFERROR(IF(AND(ISNUMBER(B8),C8&lt;&gt;""),B8-VLOOKUP(C8,Inventory!$A$2:$AE$35,29,FALSE()),""),"")</f>
        <v/>
      </c>
      <c r="S8" s="6" t="s">
        <v>137</v>
      </c>
      <c r="T8" s="47">
        <f>SUM(O4:O303)</f>
        <v>0</v>
      </c>
      <c r="U8" t="str">
        <f>IFERROR(VLOOKUP(C8,Inventory!$A$2:$C$35,2,FALSE()),"")</f>
        <v/>
      </c>
      <c r="V8" t="str">
        <f>IFERROR(VLOOKUP(C8,Inventory!$A$2:$Y$35,22,FALSE()),"")</f>
        <v/>
      </c>
      <c r="W8" t="str">
        <f>IFERROR(VLOOKUP(C8,Inventory!$A$2:$AB$35,25,FALSE()),"")</f>
        <v/>
      </c>
    </row>
    <row r="9" spans="1:23" ht="15" customHeight="1" x14ac:dyDescent="0.25">
      <c r="A9" t="str">
        <f t="shared" si="0"/>
        <v/>
      </c>
      <c r="B9" s="29"/>
      <c r="F9" s="45"/>
      <c r="G9" s="45"/>
      <c r="H9" s="45"/>
      <c r="I9" s="30">
        <f t="shared" si="1"/>
        <v>0</v>
      </c>
      <c r="J9" s="45">
        <f t="shared" si="2"/>
        <v>0</v>
      </c>
      <c r="K9" s="45">
        <f t="shared" si="3"/>
        <v>0</v>
      </c>
      <c r="L9" s="45"/>
      <c r="M9" s="45"/>
      <c r="N9" s="45">
        <f t="shared" si="4"/>
        <v>0</v>
      </c>
      <c r="O9" s="45">
        <f>IFERROR(VLOOKUP(C9,Inventory!$A$2:$N$35,13,FALSE()),0)</f>
        <v>0</v>
      </c>
      <c r="P9" s="45">
        <f t="shared" si="5"/>
        <v>0</v>
      </c>
      <c r="Q9" s="30">
        <f t="shared" si="6"/>
        <v>0</v>
      </c>
      <c r="R9" t="str">
        <f>IFERROR(IF(AND(ISNUMBER(B9),C9&lt;&gt;""),B9-VLOOKUP(C9,Inventory!$A$2:$AE$35,29,FALSE()),""),"")</f>
        <v/>
      </c>
      <c r="S9" s="6" t="s">
        <v>129</v>
      </c>
      <c r="T9" s="47">
        <f>SUM(P4:P303)</f>
        <v>0</v>
      </c>
      <c r="U9" t="str">
        <f>IFERROR(VLOOKUP(C9,Inventory!$A$2:$C$35,2,FALSE()),"")</f>
        <v/>
      </c>
      <c r="V9" t="str">
        <f>IFERROR(VLOOKUP(C9,Inventory!$A$2:$Y$35,22,FALSE()),"")</f>
        <v/>
      </c>
      <c r="W9" t="str">
        <f>IFERROR(VLOOKUP(C9,Inventory!$A$2:$AB$35,25,FALSE()),"")</f>
        <v/>
      </c>
    </row>
    <row r="10" spans="1:23" ht="15" customHeight="1" x14ac:dyDescent="0.25">
      <c r="A10" t="str">
        <f t="shared" si="0"/>
        <v/>
      </c>
      <c r="B10" s="29"/>
      <c r="F10" s="45"/>
      <c r="G10" s="45"/>
      <c r="H10" s="45"/>
      <c r="I10" s="30">
        <f t="shared" si="1"/>
        <v>0</v>
      </c>
      <c r="J10" s="45">
        <f t="shared" si="2"/>
        <v>0</v>
      </c>
      <c r="K10" s="45">
        <f t="shared" si="3"/>
        <v>0</v>
      </c>
      <c r="L10" s="45"/>
      <c r="M10" s="45"/>
      <c r="N10" s="45">
        <f t="shared" si="4"/>
        <v>0</v>
      </c>
      <c r="O10" s="45">
        <f>IFERROR(VLOOKUP(C10,Inventory!$A$2:$N$35,13,FALSE()),0)</f>
        <v>0</v>
      </c>
      <c r="P10" s="45">
        <f t="shared" si="5"/>
        <v>0</v>
      </c>
      <c r="Q10" s="30">
        <f t="shared" si="6"/>
        <v>0</v>
      </c>
      <c r="R10" t="str">
        <f>IFERROR(IF(AND(ISNUMBER(B10),C10&lt;&gt;""),B10-VLOOKUP(C10,Inventory!$A$2:$AE$35,29,FALSE()),""),"")</f>
        <v/>
      </c>
      <c r="S10" s="6" t="s">
        <v>138</v>
      </c>
      <c r="T10" s="47">
        <f>IFERROR(SUM(P4:P303)/COUNT(P4:P303),0)</f>
        <v>0</v>
      </c>
      <c r="U10" t="str">
        <f>IFERROR(VLOOKUP(C10,Inventory!$A$2:$C$35,2,FALSE()),"")</f>
        <v/>
      </c>
      <c r="V10" t="str">
        <f>IFERROR(VLOOKUP(C10,Inventory!$A$2:$Y$35,22,FALSE()),"")</f>
        <v/>
      </c>
      <c r="W10" t="str">
        <f>IFERROR(VLOOKUP(C10,Inventory!$A$2:$AB$35,25,FALSE()),"")</f>
        <v/>
      </c>
    </row>
    <row r="11" spans="1:23" ht="15" customHeight="1" x14ac:dyDescent="0.25">
      <c r="A11" t="str">
        <f t="shared" si="0"/>
        <v/>
      </c>
      <c r="B11" s="29"/>
      <c r="F11" s="45"/>
      <c r="G11" s="45"/>
      <c r="H11" s="45"/>
      <c r="I11" s="30">
        <f t="shared" si="1"/>
        <v>0</v>
      </c>
      <c r="J11" s="45">
        <f t="shared" si="2"/>
        <v>0</v>
      </c>
      <c r="K11" s="45">
        <f t="shared" si="3"/>
        <v>0</v>
      </c>
      <c r="L11" s="45"/>
      <c r="M11" s="45"/>
      <c r="N11" s="45">
        <f t="shared" si="4"/>
        <v>0</v>
      </c>
      <c r="O11" s="45">
        <f>IFERROR(VLOOKUP(C11,Inventory!$A$2:$N$35,13,FALSE()),0)</f>
        <v>0</v>
      </c>
      <c r="P11" s="45">
        <f t="shared" si="5"/>
        <v>0</v>
      </c>
      <c r="Q11" s="30">
        <f t="shared" si="6"/>
        <v>0</v>
      </c>
      <c r="R11" t="str">
        <f>IFERROR(IF(AND(ISNUMBER(B11),C11&lt;&gt;""),B11-VLOOKUP(C11,Inventory!$A$2:$AE$35,29,FALSE()),""),"")</f>
        <v/>
      </c>
      <c r="S11" s="6" t="s">
        <v>9</v>
      </c>
      <c r="T11" s="48">
        <f>IFERROR(SUM(P4:P303)/SUM(O4:O303),0)</f>
        <v>0</v>
      </c>
      <c r="U11" t="str">
        <f>IFERROR(VLOOKUP(C11,Inventory!$A$2:$C$35,2,FALSE()),"")</f>
        <v/>
      </c>
      <c r="V11" t="str">
        <f>IFERROR(VLOOKUP(C11,Inventory!$A$2:$Y$35,22,FALSE()),"")</f>
        <v/>
      </c>
      <c r="W11" t="str">
        <f>IFERROR(VLOOKUP(C11,Inventory!$A$2:$AB$35,25,FALSE()),"")</f>
        <v/>
      </c>
    </row>
    <row r="12" spans="1:23" ht="15" customHeight="1" x14ac:dyDescent="0.25">
      <c r="A12" t="str">
        <f t="shared" si="0"/>
        <v/>
      </c>
      <c r="B12" s="29"/>
      <c r="F12" s="45"/>
      <c r="G12" s="45"/>
      <c r="H12" s="45"/>
      <c r="I12" s="30">
        <f t="shared" si="1"/>
        <v>0</v>
      </c>
      <c r="J12" s="45">
        <f t="shared" si="2"/>
        <v>0</v>
      </c>
      <c r="K12" s="45">
        <f t="shared" si="3"/>
        <v>0</v>
      </c>
      <c r="L12" s="45"/>
      <c r="M12" s="45"/>
      <c r="N12" s="45">
        <f t="shared" si="4"/>
        <v>0</v>
      </c>
      <c r="O12" s="45">
        <f>IFERROR(VLOOKUP(C12,Inventory!$A$2:$N$35,13,FALSE()),0)</f>
        <v>0</v>
      </c>
      <c r="P12" s="45">
        <f t="shared" si="5"/>
        <v>0</v>
      </c>
      <c r="Q12" s="30">
        <f t="shared" si="6"/>
        <v>0</v>
      </c>
      <c r="R12" t="str">
        <f>IFERROR(IF(AND(ISNUMBER(B12),C12&lt;&gt;""),B12-VLOOKUP(C12,Inventory!$A$2:$AE$35,29,FALSE()),""),"")</f>
        <v/>
      </c>
      <c r="S12" s="6" t="s">
        <v>139</v>
      </c>
      <c r="T12" s="49">
        <f>IFERROR(AVERAGE(R4:R303),0)</f>
        <v>0</v>
      </c>
      <c r="U12" t="str">
        <f>IFERROR(VLOOKUP(C12,Inventory!$A$2:$C$35,2,FALSE()),"")</f>
        <v/>
      </c>
      <c r="V12" t="str">
        <f>IFERROR(VLOOKUP(C12,Inventory!$A$2:$Y$35,22,FALSE()),"")</f>
        <v/>
      </c>
      <c r="W12" t="str">
        <f>IFERROR(VLOOKUP(C12,Inventory!$A$2:$AB$35,25,FALSE()),"")</f>
        <v/>
      </c>
    </row>
    <row r="13" spans="1:23" ht="15" customHeight="1" x14ac:dyDescent="0.25">
      <c r="A13" t="str">
        <f t="shared" si="0"/>
        <v/>
      </c>
      <c r="B13" s="29"/>
      <c r="F13" s="45"/>
      <c r="G13" s="45"/>
      <c r="H13" s="45"/>
      <c r="I13" s="30">
        <f t="shared" si="1"/>
        <v>0</v>
      </c>
      <c r="J13" s="45">
        <f t="shared" si="2"/>
        <v>0</v>
      </c>
      <c r="K13" s="45">
        <f t="shared" si="3"/>
        <v>0</v>
      </c>
      <c r="L13" s="45"/>
      <c r="M13" s="45"/>
      <c r="N13" s="45">
        <f t="shared" si="4"/>
        <v>0</v>
      </c>
      <c r="O13" s="45">
        <f>IFERROR(VLOOKUP(C13,Inventory!$A$2:$N$35,13,FALSE()),0)</f>
        <v>0</v>
      </c>
      <c r="P13" s="45">
        <f t="shared" si="5"/>
        <v>0</v>
      </c>
      <c r="Q13" s="30">
        <f t="shared" si="6"/>
        <v>0</v>
      </c>
      <c r="R13" t="str">
        <f>IFERROR(IF(AND(ISNUMBER(B13),C13&lt;&gt;""),B13-VLOOKUP(C13,Inventory!$A$2:$AE$35,29,FALSE()),""),"")</f>
        <v/>
      </c>
      <c r="U13" t="str">
        <f>IFERROR(VLOOKUP(C13,Inventory!$A$2:$C$35,2,FALSE()),"")</f>
        <v/>
      </c>
      <c r="V13" t="str">
        <f>IFERROR(VLOOKUP(C13,Inventory!$A$2:$Y$35,22,FALSE()),"")</f>
        <v/>
      </c>
      <c r="W13" t="str">
        <f>IFERROR(VLOOKUP(C13,Inventory!$A$2:$AB$35,25,FALSE()),"")</f>
        <v/>
      </c>
    </row>
    <row r="14" spans="1:23" ht="15" customHeight="1" x14ac:dyDescent="0.25">
      <c r="A14" t="str">
        <f t="shared" si="0"/>
        <v/>
      </c>
      <c r="B14" s="29"/>
      <c r="F14" s="45"/>
      <c r="G14" s="45"/>
      <c r="H14" s="45"/>
      <c r="I14" s="30">
        <f t="shared" si="1"/>
        <v>0</v>
      </c>
      <c r="J14" s="45">
        <f t="shared" si="2"/>
        <v>0</v>
      </c>
      <c r="K14" s="45">
        <f t="shared" si="3"/>
        <v>0</v>
      </c>
      <c r="L14" s="45"/>
      <c r="M14" s="45"/>
      <c r="N14" s="45">
        <f t="shared" si="4"/>
        <v>0</v>
      </c>
      <c r="O14" s="45">
        <f>IFERROR(VLOOKUP(C14,Inventory!$A$2:$N$35,13,FALSE()),0)</f>
        <v>0</v>
      </c>
      <c r="P14" s="45">
        <f t="shared" si="5"/>
        <v>0</v>
      </c>
      <c r="Q14" s="30">
        <f t="shared" si="6"/>
        <v>0</v>
      </c>
      <c r="R14" t="str">
        <f>IFERROR(IF(AND(ISNUMBER(B14),C14&lt;&gt;""),B14-VLOOKUP(C14,Inventory!$A$2:$AE$35,29,FALSE()),""),"")</f>
        <v/>
      </c>
      <c r="U14" t="str">
        <f>IFERROR(VLOOKUP(C14,Inventory!$A$2:$C$35,2,FALSE()),"")</f>
        <v/>
      </c>
      <c r="V14" t="str">
        <f>IFERROR(VLOOKUP(C14,Inventory!$A$2:$Y$35,22,FALSE()),"")</f>
        <v/>
      </c>
      <c r="W14" t="str">
        <f>IFERROR(VLOOKUP(C14,Inventory!$A$2:$AB$35,25,FALSE()),"")</f>
        <v/>
      </c>
    </row>
    <row r="15" spans="1:23" ht="15" customHeight="1" x14ac:dyDescent="0.25">
      <c r="A15" t="str">
        <f t="shared" si="0"/>
        <v/>
      </c>
      <c r="B15" s="29"/>
      <c r="F15" s="45"/>
      <c r="G15" s="45"/>
      <c r="H15" s="45"/>
      <c r="I15" s="30">
        <f t="shared" si="1"/>
        <v>0</v>
      </c>
      <c r="J15" s="45">
        <f t="shared" si="2"/>
        <v>0</v>
      </c>
      <c r="K15" s="45">
        <f t="shared" si="3"/>
        <v>0</v>
      </c>
      <c r="L15" s="45"/>
      <c r="M15" s="45"/>
      <c r="N15" s="45">
        <f t="shared" si="4"/>
        <v>0</v>
      </c>
      <c r="O15" s="45">
        <f>IFERROR(VLOOKUP(C15,Inventory!$A$2:$N$35,13,FALSE()),0)</f>
        <v>0</v>
      </c>
      <c r="P15" s="45">
        <f t="shared" si="5"/>
        <v>0</v>
      </c>
      <c r="Q15" s="30">
        <f t="shared" si="6"/>
        <v>0</v>
      </c>
      <c r="R15" t="str">
        <f>IFERROR(IF(AND(ISNUMBER(B15),C15&lt;&gt;""),B15-VLOOKUP(C15,Inventory!$A$2:$AE$35,29,FALSE()),""),"")</f>
        <v/>
      </c>
      <c r="U15" t="str">
        <f>IFERROR(VLOOKUP(C15,Inventory!$A$2:$C$35,2,FALSE()),"")</f>
        <v/>
      </c>
      <c r="V15" t="str">
        <f>IFERROR(VLOOKUP(C15,Inventory!$A$2:$Y$35,22,FALSE()),"")</f>
        <v/>
      </c>
      <c r="W15" t="str">
        <f>IFERROR(VLOOKUP(C15,Inventory!$A$2:$AB$35,25,FALSE()),"")</f>
        <v/>
      </c>
    </row>
    <row r="16" spans="1:23" ht="15" customHeight="1" x14ac:dyDescent="0.25">
      <c r="A16" t="str">
        <f t="shared" si="0"/>
        <v/>
      </c>
      <c r="B16" s="29"/>
      <c r="F16" s="45"/>
      <c r="G16" s="45"/>
      <c r="H16" s="45"/>
      <c r="I16" s="30">
        <f t="shared" si="1"/>
        <v>0</v>
      </c>
      <c r="J16" s="45">
        <f t="shared" si="2"/>
        <v>0</v>
      </c>
      <c r="K16" s="45">
        <f t="shared" si="3"/>
        <v>0</v>
      </c>
      <c r="L16" s="45"/>
      <c r="M16" s="45"/>
      <c r="N16" s="45">
        <f t="shared" si="4"/>
        <v>0</v>
      </c>
      <c r="O16" s="45">
        <f>IFERROR(VLOOKUP(C16,Inventory!$A$2:$N$35,13,FALSE()),0)</f>
        <v>0</v>
      </c>
      <c r="P16" s="45">
        <f t="shared" si="5"/>
        <v>0</v>
      </c>
      <c r="Q16" s="30">
        <f t="shared" si="6"/>
        <v>0</v>
      </c>
      <c r="R16" t="str">
        <f>IFERROR(IF(AND(ISNUMBER(B16),C16&lt;&gt;""),B16-VLOOKUP(C16,Inventory!$A$2:$AE$35,29,FALSE()),""),"")</f>
        <v/>
      </c>
      <c r="U16" t="str">
        <f>IFERROR(VLOOKUP(C16,Inventory!$A$2:$C$35,2,FALSE()),"")</f>
        <v/>
      </c>
      <c r="V16" t="str">
        <f>IFERROR(VLOOKUP(C16,Inventory!$A$2:$Y$35,22,FALSE()),"")</f>
        <v/>
      </c>
      <c r="W16" t="str">
        <f>IFERROR(VLOOKUP(C16,Inventory!$A$2:$AB$35,25,FALSE()),"")</f>
        <v/>
      </c>
    </row>
    <row r="17" spans="1:23" ht="15" customHeight="1" x14ac:dyDescent="0.25">
      <c r="A17" t="str">
        <f t="shared" si="0"/>
        <v/>
      </c>
      <c r="B17" s="29"/>
      <c r="F17" s="45"/>
      <c r="G17" s="45"/>
      <c r="H17" s="45"/>
      <c r="I17" s="30">
        <f t="shared" si="1"/>
        <v>0</v>
      </c>
      <c r="J17" s="45">
        <f t="shared" si="2"/>
        <v>0</v>
      </c>
      <c r="K17" s="45">
        <f t="shared" si="3"/>
        <v>0</v>
      </c>
      <c r="L17" s="45"/>
      <c r="M17" s="45"/>
      <c r="N17" s="45">
        <f t="shared" si="4"/>
        <v>0</v>
      </c>
      <c r="O17" s="45">
        <f>IFERROR(VLOOKUP(C17,Inventory!$A$2:$N$35,13,FALSE()),0)</f>
        <v>0</v>
      </c>
      <c r="P17" s="45">
        <f t="shared" si="5"/>
        <v>0</v>
      </c>
      <c r="Q17" s="30">
        <f t="shared" si="6"/>
        <v>0</v>
      </c>
      <c r="R17" t="str">
        <f>IFERROR(IF(AND(ISNUMBER(B17),C17&lt;&gt;""),B17-VLOOKUP(C17,Inventory!$A$2:$AE$35,29,FALSE()),""),"")</f>
        <v/>
      </c>
      <c r="U17" t="str">
        <f>IFERROR(VLOOKUP(C17,Inventory!$A$2:$C$35,2,FALSE()),"")</f>
        <v/>
      </c>
      <c r="V17" t="str">
        <f>IFERROR(VLOOKUP(C17,Inventory!$A$2:$Y$35,22,FALSE()),"")</f>
        <v/>
      </c>
      <c r="W17" t="str">
        <f>IFERROR(VLOOKUP(C17,Inventory!$A$2:$AB$35,25,FALSE()),"")</f>
        <v/>
      </c>
    </row>
    <row r="18" spans="1:23" ht="15" customHeight="1" x14ac:dyDescent="0.25">
      <c r="A18" t="str">
        <f t="shared" si="0"/>
        <v/>
      </c>
      <c r="B18" s="29"/>
      <c r="F18" s="45"/>
      <c r="G18" s="45"/>
      <c r="H18" s="45"/>
      <c r="I18" s="30">
        <f t="shared" si="1"/>
        <v>0</v>
      </c>
      <c r="J18" s="45">
        <f t="shared" si="2"/>
        <v>0</v>
      </c>
      <c r="K18" s="45">
        <f t="shared" si="3"/>
        <v>0</v>
      </c>
      <c r="L18" s="45"/>
      <c r="M18" s="45"/>
      <c r="N18" s="45">
        <f t="shared" si="4"/>
        <v>0</v>
      </c>
      <c r="O18" s="45">
        <f>IFERROR(VLOOKUP(C18,Inventory!$A$2:$N$35,13,FALSE()),0)</f>
        <v>0</v>
      </c>
      <c r="P18" s="45">
        <f t="shared" si="5"/>
        <v>0</v>
      </c>
      <c r="Q18" s="30">
        <f t="shared" si="6"/>
        <v>0</v>
      </c>
      <c r="R18" t="str">
        <f>IFERROR(IF(AND(ISNUMBER(B18),C18&lt;&gt;""),B18-VLOOKUP(C18,Inventory!$A$2:$AE$35,29,FALSE()),""),"")</f>
        <v/>
      </c>
      <c r="U18" t="str">
        <f>IFERROR(VLOOKUP(C18,Inventory!$A$2:$C$35,2,FALSE()),"")</f>
        <v/>
      </c>
      <c r="V18" t="str">
        <f>IFERROR(VLOOKUP(C18,Inventory!$A$2:$Y$35,22,FALSE()),"")</f>
        <v/>
      </c>
      <c r="W18" t="str">
        <f>IFERROR(VLOOKUP(C18,Inventory!$A$2:$AB$35,25,FALSE()),"")</f>
        <v/>
      </c>
    </row>
    <row r="19" spans="1:23" ht="15" customHeight="1" x14ac:dyDescent="0.25">
      <c r="A19" t="str">
        <f t="shared" si="0"/>
        <v/>
      </c>
      <c r="B19" s="29"/>
      <c r="F19" s="45"/>
      <c r="G19" s="45"/>
      <c r="H19" s="45"/>
      <c r="I19" s="30">
        <f t="shared" si="1"/>
        <v>0</v>
      </c>
      <c r="J19" s="45">
        <f t="shared" si="2"/>
        <v>0</v>
      </c>
      <c r="K19" s="45">
        <f t="shared" si="3"/>
        <v>0</v>
      </c>
      <c r="L19" s="45"/>
      <c r="M19" s="45"/>
      <c r="N19" s="45">
        <f t="shared" si="4"/>
        <v>0</v>
      </c>
      <c r="O19" s="45">
        <f>IFERROR(VLOOKUP(C19,Inventory!$A$2:$N$35,13,FALSE()),0)</f>
        <v>0</v>
      </c>
      <c r="P19" s="45">
        <f t="shared" si="5"/>
        <v>0</v>
      </c>
      <c r="Q19" s="30">
        <f t="shared" si="6"/>
        <v>0</v>
      </c>
      <c r="R19" t="str">
        <f>IFERROR(IF(AND(ISNUMBER(B19),C19&lt;&gt;""),B19-VLOOKUP(C19,Inventory!$A$2:$AE$35,29,FALSE()),""),"")</f>
        <v/>
      </c>
      <c r="U19" t="str">
        <f>IFERROR(VLOOKUP(C19,Inventory!$A$2:$C$35,2,FALSE()),"")</f>
        <v/>
      </c>
      <c r="V19" t="str">
        <f>IFERROR(VLOOKUP(C19,Inventory!$A$2:$Y$35,22,FALSE()),"")</f>
        <v/>
      </c>
      <c r="W19" t="str">
        <f>IFERROR(VLOOKUP(C19,Inventory!$A$2:$AB$35,25,FALSE()),"")</f>
        <v/>
      </c>
    </row>
    <row r="20" spans="1:23" ht="15" customHeight="1" x14ac:dyDescent="0.25">
      <c r="A20" t="str">
        <f t="shared" si="0"/>
        <v/>
      </c>
      <c r="B20" s="29"/>
      <c r="F20" s="45"/>
      <c r="G20" s="45"/>
      <c r="H20" s="45"/>
      <c r="I20" s="30">
        <f t="shared" si="1"/>
        <v>0</v>
      </c>
      <c r="J20" s="45">
        <f t="shared" si="2"/>
        <v>0</v>
      </c>
      <c r="K20" s="45">
        <f t="shared" si="3"/>
        <v>0</v>
      </c>
      <c r="L20" s="45"/>
      <c r="M20" s="45"/>
      <c r="N20" s="45">
        <f t="shared" si="4"/>
        <v>0</v>
      </c>
      <c r="O20" s="45">
        <f>IFERROR(VLOOKUP(C20,Inventory!$A$2:$N$35,13,FALSE()),0)</f>
        <v>0</v>
      </c>
      <c r="P20" s="45">
        <f t="shared" si="5"/>
        <v>0</v>
      </c>
      <c r="Q20" s="30">
        <f t="shared" si="6"/>
        <v>0</v>
      </c>
      <c r="R20" t="str">
        <f>IFERROR(IF(AND(ISNUMBER(B20),C20&lt;&gt;""),B20-VLOOKUP(C20,Inventory!$A$2:$AE$35,29,FALSE()),""),"")</f>
        <v/>
      </c>
      <c r="U20" t="str">
        <f>IFERROR(VLOOKUP(C20,Inventory!$A$2:$C$35,2,FALSE()),"")</f>
        <v/>
      </c>
      <c r="V20" t="str">
        <f>IFERROR(VLOOKUP(C20,Inventory!$A$2:$Y$35,22,FALSE()),"")</f>
        <v/>
      </c>
      <c r="W20" t="str">
        <f>IFERROR(VLOOKUP(C20,Inventory!$A$2:$AB$35,25,FALSE()),"")</f>
        <v/>
      </c>
    </row>
    <row r="21" spans="1:23" ht="15" customHeight="1" x14ac:dyDescent="0.25">
      <c r="A21" t="str">
        <f t="shared" si="0"/>
        <v/>
      </c>
      <c r="B21" s="29"/>
      <c r="F21" s="45"/>
      <c r="G21" s="45"/>
      <c r="H21" s="45"/>
      <c r="I21" s="30">
        <f t="shared" si="1"/>
        <v>0</v>
      </c>
      <c r="J21" s="45">
        <f t="shared" si="2"/>
        <v>0</v>
      </c>
      <c r="K21" s="45">
        <f t="shared" si="3"/>
        <v>0</v>
      </c>
      <c r="L21" s="45"/>
      <c r="M21" s="45"/>
      <c r="N21" s="45">
        <f t="shared" si="4"/>
        <v>0</v>
      </c>
      <c r="O21" s="45">
        <f>IFERROR(VLOOKUP(C21,Inventory!$A$2:$N$35,13,FALSE()),0)</f>
        <v>0</v>
      </c>
      <c r="P21" s="45">
        <f t="shared" si="5"/>
        <v>0</v>
      </c>
      <c r="Q21" s="30">
        <f t="shared" si="6"/>
        <v>0</v>
      </c>
      <c r="R21" t="str">
        <f>IFERROR(IF(AND(ISNUMBER(B21),C21&lt;&gt;""),B21-VLOOKUP(C21,Inventory!$A$2:$AE$35,29,FALSE()),""),"")</f>
        <v/>
      </c>
      <c r="U21" t="str">
        <f>IFERROR(VLOOKUP(C21,Inventory!$A$2:$C$35,2,FALSE()),"")</f>
        <v/>
      </c>
      <c r="V21" t="str">
        <f>IFERROR(VLOOKUP(C21,Inventory!$A$2:$Y$35,22,FALSE()),"")</f>
        <v/>
      </c>
      <c r="W21" t="str">
        <f>IFERROR(VLOOKUP(C21,Inventory!$A$2:$AB$35,25,FALSE()),"")</f>
        <v/>
      </c>
    </row>
    <row r="22" spans="1:23" ht="15" customHeight="1" x14ac:dyDescent="0.25">
      <c r="A22" t="str">
        <f t="shared" si="0"/>
        <v/>
      </c>
      <c r="B22" s="29"/>
      <c r="F22" s="45"/>
      <c r="G22" s="45"/>
      <c r="H22" s="45"/>
      <c r="I22" s="30">
        <f t="shared" si="1"/>
        <v>0</v>
      </c>
      <c r="J22" s="45">
        <f t="shared" si="2"/>
        <v>0</v>
      </c>
      <c r="K22" s="45">
        <f t="shared" si="3"/>
        <v>0</v>
      </c>
      <c r="L22" s="45"/>
      <c r="M22" s="45"/>
      <c r="N22" s="45">
        <f t="shared" si="4"/>
        <v>0</v>
      </c>
      <c r="O22" s="45">
        <f>IFERROR(VLOOKUP(C22,Inventory!$A$2:$N$35,13,FALSE()),0)</f>
        <v>0</v>
      </c>
      <c r="P22" s="45">
        <f t="shared" si="5"/>
        <v>0</v>
      </c>
      <c r="Q22" s="30">
        <f t="shared" si="6"/>
        <v>0</v>
      </c>
      <c r="R22" t="str">
        <f>IFERROR(IF(AND(ISNUMBER(B22),C22&lt;&gt;""),B22-VLOOKUP(C22,Inventory!$A$2:$AE$35,29,FALSE()),""),"")</f>
        <v/>
      </c>
      <c r="U22" t="str">
        <f>IFERROR(VLOOKUP(C22,Inventory!$A$2:$C$35,2,FALSE()),"")</f>
        <v/>
      </c>
      <c r="V22" t="str">
        <f>IFERROR(VLOOKUP(C22,Inventory!$A$2:$Y$35,22,FALSE()),"")</f>
        <v/>
      </c>
      <c r="W22" t="str">
        <f>IFERROR(VLOOKUP(C22,Inventory!$A$2:$AB$35,25,FALSE()),"")</f>
        <v/>
      </c>
    </row>
    <row r="23" spans="1:23" ht="15" customHeight="1" x14ac:dyDescent="0.25">
      <c r="A23" t="str">
        <f t="shared" si="0"/>
        <v/>
      </c>
      <c r="B23" s="29"/>
      <c r="F23" s="45"/>
      <c r="G23" s="45"/>
      <c r="H23" s="45"/>
      <c r="I23" s="30">
        <f t="shared" si="1"/>
        <v>0</v>
      </c>
      <c r="J23" s="45">
        <f t="shared" si="2"/>
        <v>0</v>
      </c>
      <c r="K23" s="45">
        <f t="shared" si="3"/>
        <v>0</v>
      </c>
      <c r="L23" s="45"/>
      <c r="M23" s="45"/>
      <c r="N23" s="45">
        <f t="shared" si="4"/>
        <v>0</v>
      </c>
      <c r="O23" s="45">
        <f>IFERROR(VLOOKUP(C23,Inventory!$A$2:$N$35,13,FALSE()),0)</f>
        <v>0</v>
      </c>
      <c r="P23" s="45">
        <f t="shared" si="5"/>
        <v>0</v>
      </c>
      <c r="Q23" s="30">
        <f t="shared" si="6"/>
        <v>0</v>
      </c>
      <c r="R23" t="str">
        <f>IFERROR(IF(AND(ISNUMBER(B23),C23&lt;&gt;""),B23-VLOOKUP(C23,Inventory!$A$2:$AE$35,29,FALSE()),""),"")</f>
        <v/>
      </c>
      <c r="U23" t="str">
        <f>IFERROR(VLOOKUP(C23,Inventory!$A$2:$C$35,2,FALSE()),"")</f>
        <v/>
      </c>
      <c r="V23" t="str">
        <f>IFERROR(VLOOKUP(C23,Inventory!$A$2:$Y$35,22,FALSE()),"")</f>
        <v/>
      </c>
      <c r="W23" t="str">
        <f>IFERROR(VLOOKUP(C23,Inventory!$A$2:$AB$35,25,FALSE()),"")</f>
        <v/>
      </c>
    </row>
    <row r="24" spans="1:23" ht="15" customHeight="1" x14ac:dyDescent="0.25">
      <c r="A24" t="str">
        <f t="shared" si="0"/>
        <v/>
      </c>
      <c r="B24" s="29"/>
      <c r="F24" s="45"/>
      <c r="G24" s="45"/>
      <c r="H24" s="45"/>
      <c r="I24" s="30">
        <f t="shared" si="1"/>
        <v>0</v>
      </c>
      <c r="J24" s="45">
        <f t="shared" si="2"/>
        <v>0</v>
      </c>
      <c r="K24" s="45">
        <f t="shared" si="3"/>
        <v>0</v>
      </c>
      <c r="L24" s="45"/>
      <c r="M24" s="45"/>
      <c r="N24" s="45">
        <f t="shared" si="4"/>
        <v>0</v>
      </c>
      <c r="O24" s="45">
        <f>IFERROR(VLOOKUP(C24,Inventory!$A$2:$N$35,13,FALSE()),0)</f>
        <v>0</v>
      </c>
      <c r="P24" s="45">
        <f t="shared" si="5"/>
        <v>0</v>
      </c>
      <c r="Q24" s="30">
        <f t="shared" si="6"/>
        <v>0</v>
      </c>
      <c r="R24" t="str">
        <f>IFERROR(IF(AND(ISNUMBER(B24),C24&lt;&gt;""),B24-VLOOKUP(C24,Inventory!$A$2:$AE$35,29,FALSE()),""),"")</f>
        <v/>
      </c>
      <c r="U24" t="str">
        <f>IFERROR(VLOOKUP(C24,Inventory!$A$2:$C$35,2,FALSE()),"")</f>
        <v/>
      </c>
      <c r="V24" t="str">
        <f>IFERROR(VLOOKUP(C24,Inventory!$A$2:$Y$35,22,FALSE()),"")</f>
        <v/>
      </c>
      <c r="W24" t="str">
        <f>IFERROR(VLOOKUP(C24,Inventory!$A$2:$AB$35,25,FALSE()),"")</f>
        <v/>
      </c>
    </row>
    <row r="25" spans="1:23" ht="15" customHeight="1" x14ac:dyDescent="0.25">
      <c r="A25" t="str">
        <f t="shared" si="0"/>
        <v/>
      </c>
      <c r="B25" s="29"/>
      <c r="F25" s="45"/>
      <c r="G25" s="45"/>
      <c r="H25" s="45"/>
      <c r="I25" s="30">
        <f t="shared" si="1"/>
        <v>0</v>
      </c>
      <c r="J25" s="45">
        <f t="shared" si="2"/>
        <v>0</v>
      </c>
      <c r="K25" s="45">
        <f t="shared" si="3"/>
        <v>0</v>
      </c>
      <c r="L25" s="45"/>
      <c r="M25" s="45"/>
      <c r="N25" s="45">
        <f t="shared" si="4"/>
        <v>0</v>
      </c>
      <c r="O25" s="45">
        <f>IFERROR(VLOOKUP(C25,Inventory!$A$2:$N$35,13,FALSE()),0)</f>
        <v>0</v>
      </c>
      <c r="P25" s="45">
        <f t="shared" si="5"/>
        <v>0</v>
      </c>
      <c r="Q25" s="30">
        <f t="shared" si="6"/>
        <v>0</v>
      </c>
      <c r="R25" t="str">
        <f>IFERROR(IF(AND(ISNUMBER(B25),C25&lt;&gt;""),B25-VLOOKUP(C25,Inventory!$A$2:$AE$35,29,FALSE()),""),"")</f>
        <v/>
      </c>
      <c r="U25" t="str">
        <f>IFERROR(VLOOKUP(C25,Inventory!$A$2:$C$35,2,FALSE()),"")</f>
        <v/>
      </c>
      <c r="V25" t="str">
        <f>IFERROR(VLOOKUP(C25,Inventory!$A$2:$Y$35,22,FALSE()),"")</f>
        <v/>
      </c>
      <c r="W25" t="str">
        <f>IFERROR(VLOOKUP(C25,Inventory!$A$2:$AB$35,25,FALSE()),"")</f>
        <v/>
      </c>
    </row>
    <row r="26" spans="1:23" ht="15" customHeight="1" x14ac:dyDescent="0.25">
      <c r="A26" t="str">
        <f t="shared" si="0"/>
        <v/>
      </c>
      <c r="B26" s="29"/>
      <c r="F26" s="45"/>
      <c r="G26" s="45"/>
      <c r="H26" s="45"/>
      <c r="I26" s="30">
        <f t="shared" si="1"/>
        <v>0</v>
      </c>
      <c r="J26" s="45">
        <f t="shared" si="2"/>
        <v>0</v>
      </c>
      <c r="K26" s="45">
        <f t="shared" si="3"/>
        <v>0</v>
      </c>
      <c r="L26" s="45"/>
      <c r="M26" s="45"/>
      <c r="N26" s="45">
        <f t="shared" si="4"/>
        <v>0</v>
      </c>
      <c r="O26" s="45">
        <f>IFERROR(VLOOKUP(C26,Inventory!$A$2:$N$35,13,FALSE()),0)</f>
        <v>0</v>
      </c>
      <c r="P26" s="45">
        <f t="shared" si="5"/>
        <v>0</v>
      </c>
      <c r="Q26" s="30">
        <f t="shared" si="6"/>
        <v>0</v>
      </c>
      <c r="R26" t="str">
        <f>IFERROR(IF(AND(ISNUMBER(B26),C26&lt;&gt;""),B26-VLOOKUP(C26,Inventory!$A$2:$AE$35,29,FALSE()),""),"")</f>
        <v/>
      </c>
      <c r="U26" t="str">
        <f>IFERROR(VLOOKUP(C26,Inventory!$A$2:$C$35,2,FALSE()),"")</f>
        <v/>
      </c>
      <c r="V26" t="str">
        <f>IFERROR(VLOOKUP(C26,Inventory!$A$2:$Y$35,22,FALSE()),"")</f>
        <v/>
      </c>
      <c r="W26" t="str">
        <f>IFERROR(VLOOKUP(C26,Inventory!$A$2:$AB$35,25,FALSE()),"")</f>
        <v/>
      </c>
    </row>
    <row r="27" spans="1:23" ht="15" customHeight="1" x14ac:dyDescent="0.25">
      <c r="A27" t="str">
        <f t="shared" si="0"/>
        <v/>
      </c>
      <c r="B27" s="29"/>
      <c r="F27" s="45"/>
      <c r="G27" s="45"/>
      <c r="H27" s="45"/>
      <c r="I27" s="30">
        <f t="shared" si="1"/>
        <v>0</v>
      </c>
      <c r="J27" s="45">
        <f t="shared" si="2"/>
        <v>0</v>
      </c>
      <c r="K27" s="45">
        <f t="shared" si="3"/>
        <v>0</v>
      </c>
      <c r="L27" s="45"/>
      <c r="M27" s="45"/>
      <c r="N27" s="45">
        <f t="shared" si="4"/>
        <v>0</v>
      </c>
      <c r="O27" s="45">
        <f>IFERROR(VLOOKUP(C27,Inventory!$A$2:$N$35,13,FALSE()),0)</f>
        <v>0</v>
      </c>
      <c r="P27" s="45">
        <f t="shared" si="5"/>
        <v>0</v>
      </c>
      <c r="Q27" s="30">
        <f t="shared" si="6"/>
        <v>0</v>
      </c>
      <c r="R27" t="str">
        <f>IFERROR(IF(AND(ISNUMBER(B27),C27&lt;&gt;""),B27-VLOOKUP(C27,Inventory!$A$2:$AE$35,29,FALSE()),""),"")</f>
        <v/>
      </c>
      <c r="U27" t="str">
        <f>IFERROR(VLOOKUP(C27,Inventory!$A$2:$C$35,2,FALSE()),"")</f>
        <v/>
      </c>
      <c r="V27" t="str">
        <f>IFERROR(VLOOKUP(C27,Inventory!$A$2:$Y$35,22,FALSE()),"")</f>
        <v/>
      </c>
      <c r="W27" t="str">
        <f>IFERROR(VLOOKUP(C27,Inventory!$A$2:$AB$35,25,FALSE()),"")</f>
        <v/>
      </c>
    </row>
    <row r="28" spans="1:23" ht="15" customHeight="1" x14ac:dyDescent="0.25">
      <c r="A28" t="str">
        <f t="shared" si="0"/>
        <v/>
      </c>
      <c r="B28" s="29"/>
      <c r="F28" s="45"/>
      <c r="G28" s="45"/>
      <c r="H28" s="45"/>
      <c r="I28" s="30">
        <f t="shared" si="1"/>
        <v>0</v>
      </c>
      <c r="J28" s="45">
        <f t="shared" si="2"/>
        <v>0</v>
      </c>
      <c r="K28" s="45">
        <f t="shared" si="3"/>
        <v>0</v>
      </c>
      <c r="L28" s="45"/>
      <c r="M28" s="45"/>
      <c r="N28" s="45">
        <f t="shared" si="4"/>
        <v>0</v>
      </c>
      <c r="O28" s="45">
        <f>IFERROR(VLOOKUP(C28,Inventory!$A$2:$N$35,13,FALSE()),0)</f>
        <v>0</v>
      </c>
      <c r="P28" s="45">
        <f t="shared" si="5"/>
        <v>0</v>
      </c>
      <c r="Q28" s="30">
        <f t="shared" si="6"/>
        <v>0</v>
      </c>
      <c r="R28" t="str">
        <f>IFERROR(IF(AND(ISNUMBER(B28),C28&lt;&gt;""),B28-VLOOKUP(C28,Inventory!$A$2:$AE$35,29,FALSE()),""),"")</f>
        <v/>
      </c>
      <c r="U28" t="str">
        <f>IFERROR(VLOOKUP(C28,Inventory!$A$2:$C$35,2,FALSE()),"")</f>
        <v/>
      </c>
      <c r="V28" t="str">
        <f>IFERROR(VLOOKUP(C28,Inventory!$A$2:$Y$35,22,FALSE()),"")</f>
        <v/>
      </c>
      <c r="W28" t="str">
        <f>IFERROR(VLOOKUP(C28,Inventory!$A$2:$AB$35,25,FALSE()),"")</f>
        <v/>
      </c>
    </row>
    <row r="29" spans="1:23" ht="15" customHeight="1" x14ac:dyDescent="0.25">
      <c r="A29" t="str">
        <f t="shared" si="0"/>
        <v/>
      </c>
      <c r="B29" s="29"/>
      <c r="F29" s="45"/>
      <c r="G29" s="45"/>
      <c r="H29" s="45"/>
      <c r="I29" s="30">
        <f t="shared" si="1"/>
        <v>0</v>
      </c>
      <c r="J29" s="45">
        <f t="shared" si="2"/>
        <v>0</v>
      </c>
      <c r="K29" s="45">
        <f t="shared" si="3"/>
        <v>0</v>
      </c>
      <c r="L29" s="45"/>
      <c r="M29" s="45"/>
      <c r="N29" s="45">
        <f t="shared" si="4"/>
        <v>0</v>
      </c>
      <c r="O29" s="45">
        <f>IFERROR(VLOOKUP(C29,Inventory!$A$2:$N$35,13,FALSE()),0)</f>
        <v>0</v>
      </c>
      <c r="P29" s="45">
        <f t="shared" si="5"/>
        <v>0</v>
      </c>
      <c r="Q29" s="30">
        <f t="shared" si="6"/>
        <v>0</v>
      </c>
      <c r="R29" t="str">
        <f>IFERROR(IF(AND(ISNUMBER(B29),C29&lt;&gt;""),B29-VLOOKUP(C29,Inventory!$A$2:$AE$35,29,FALSE()),""),"")</f>
        <v/>
      </c>
      <c r="U29" t="str">
        <f>IFERROR(VLOOKUP(C29,Inventory!$A$2:$C$35,2,FALSE()),"")</f>
        <v/>
      </c>
      <c r="V29" t="str">
        <f>IFERROR(VLOOKUP(C29,Inventory!$A$2:$Y$35,22,FALSE()),"")</f>
        <v/>
      </c>
      <c r="W29" t="str">
        <f>IFERROR(VLOOKUP(C29,Inventory!$A$2:$AB$35,25,FALSE()),"")</f>
        <v/>
      </c>
    </row>
    <row r="30" spans="1:23" ht="15" customHeight="1" x14ac:dyDescent="0.25">
      <c r="A30" t="str">
        <f t="shared" si="0"/>
        <v/>
      </c>
      <c r="B30" s="29"/>
      <c r="F30" s="45"/>
      <c r="G30" s="45"/>
      <c r="H30" s="45"/>
      <c r="I30" s="30">
        <f t="shared" si="1"/>
        <v>0</v>
      </c>
      <c r="J30" s="45">
        <f t="shared" si="2"/>
        <v>0</v>
      </c>
      <c r="K30" s="45">
        <f t="shared" si="3"/>
        <v>0</v>
      </c>
      <c r="L30" s="45"/>
      <c r="M30" s="45"/>
      <c r="N30" s="45">
        <f t="shared" si="4"/>
        <v>0</v>
      </c>
      <c r="O30" s="45">
        <f>IFERROR(VLOOKUP(C30,Inventory!$A$2:$N$35,13,FALSE()),0)</f>
        <v>0</v>
      </c>
      <c r="P30" s="45">
        <f t="shared" si="5"/>
        <v>0</v>
      </c>
      <c r="Q30" s="30">
        <f t="shared" si="6"/>
        <v>0</v>
      </c>
      <c r="R30" t="str">
        <f>IFERROR(IF(AND(ISNUMBER(B30),C30&lt;&gt;""),B30-VLOOKUP(C30,Inventory!$A$2:$AE$35,29,FALSE()),""),"")</f>
        <v/>
      </c>
      <c r="U30" t="str">
        <f>IFERROR(VLOOKUP(C30,Inventory!$A$2:$C$35,2,FALSE()),"")</f>
        <v/>
      </c>
      <c r="V30" t="str">
        <f>IFERROR(VLOOKUP(C30,Inventory!$A$2:$Y$35,22,FALSE()),"")</f>
        <v/>
      </c>
      <c r="W30" t="str">
        <f>IFERROR(VLOOKUP(C30,Inventory!$A$2:$AB$35,25,FALSE()),"")</f>
        <v/>
      </c>
    </row>
    <row r="31" spans="1:23" ht="15" customHeight="1" x14ac:dyDescent="0.25">
      <c r="A31" t="str">
        <f t="shared" si="0"/>
        <v/>
      </c>
      <c r="B31" s="29"/>
      <c r="F31" s="45"/>
      <c r="G31" s="45"/>
      <c r="H31" s="45"/>
      <c r="I31" s="30">
        <f t="shared" si="1"/>
        <v>0</v>
      </c>
      <c r="J31" s="45">
        <f t="shared" si="2"/>
        <v>0</v>
      </c>
      <c r="K31" s="45">
        <f t="shared" si="3"/>
        <v>0</v>
      </c>
      <c r="L31" s="45"/>
      <c r="M31" s="45"/>
      <c r="N31" s="45">
        <f t="shared" si="4"/>
        <v>0</v>
      </c>
      <c r="O31" s="45">
        <f>IFERROR(VLOOKUP(C31,Inventory!$A$2:$N$35,13,FALSE()),0)</f>
        <v>0</v>
      </c>
      <c r="P31" s="45">
        <f t="shared" si="5"/>
        <v>0</v>
      </c>
      <c r="Q31" s="30">
        <f t="shared" si="6"/>
        <v>0</v>
      </c>
      <c r="R31" t="str">
        <f>IFERROR(IF(AND(ISNUMBER(B31),C31&lt;&gt;""),B31-VLOOKUP(C31,Inventory!$A$2:$AE$35,29,FALSE()),""),"")</f>
        <v/>
      </c>
      <c r="U31" t="str">
        <f>IFERROR(VLOOKUP(C31,Inventory!$A$2:$C$35,2,FALSE()),"")</f>
        <v/>
      </c>
      <c r="V31" t="str">
        <f>IFERROR(VLOOKUP(C31,Inventory!$A$2:$Y$35,22,FALSE()),"")</f>
        <v/>
      </c>
      <c r="W31" t="str">
        <f>IFERROR(VLOOKUP(C31,Inventory!$A$2:$AB$35,25,FALSE()),"")</f>
        <v/>
      </c>
    </row>
    <row r="32" spans="1:23" ht="15" customHeight="1" x14ac:dyDescent="0.25">
      <c r="A32" t="str">
        <f t="shared" si="0"/>
        <v/>
      </c>
      <c r="B32" s="29"/>
      <c r="F32" s="45"/>
      <c r="G32" s="45"/>
      <c r="H32" s="45"/>
      <c r="I32" s="30">
        <f t="shared" si="1"/>
        <v>0</v>
      </c>
      <c r="J32" s="45">
        <f t="shared" si="2"/>
        <v>0</v>
      </c>
      <c r="K32" s="45">
        <f t="shared" si="3"/>
        <v>0</v>
      </c>
      <c r="L32" s="45"/>
      <c r="M32" s="45"/>
      <c r="N32" s="45">
        <f t="shared" si="4"/>
        <v>0</v>
      </c>
      <c r="O32" s="45">
        <f>IFERROR(VLOOKUP(C32,Inventory!$A$2:$N$35,13,FALSE()),0)</f>
        <v>0</v>
      </c>
      <c r="P32" s="45">
        <f t="shared" si="5"/>
        <v>0</v>
      </c>
      <c r="Q32" s="30">
        <f t="shared" si="6"/>
        <v>0</v>
      </c>
      <c r="R32" t="str">
        <f>IFERROR(IF(AND(ISNUMBER(B32),C32&lt;&gt;""),B32-VLOOKUP(C32,Inventory!$A$2:$AE$35,29,FALSE()),""),"")</f>
        <v/>
      </c>
      <c r="U32" t="str">
        <f>IFERROR(VLOOKUP(C32,Inventory!$A$2:$C$35,2,FALSE()),"")</f>
        <v/>
      </c>
      <c r="V32" t="str">
        <f>IFERROR(VLOOKUP(C32,Inventory!$A$2:$Y$35,22,FALSE()),"")</f>
        <v/>
      </c>
      <c r="W32" t="str">
        <f>IFERROR(VLOOKUP(C32,Inventory!$A$2:$AB$35,25,FALSE()),"")</f>
        <v/>
      </c>
    </row>
    <row r="33" spans="1:23" ht="15" customHeight="1" x14ac:dyDescent="0.25">
      <c r="A33" t="str">
        <f t="shared" si="0"/>
        <v/>
      </c>
      <c r="B33" s="29"/>
      <c r="F33" s="45"/>
      <c r="G33" s="45"/>
      <c r="H33" s="45"/>
      <c r="I33" s="30">
        <f t="shared" si="1"/>
        <v>0</v>
      </c>
      <c r="J33" s="45">
        <f t="shared" si="2"/>
        <v>0</v>
      </c>
      <c r="K33" s="45">
        <f t="shared" si="3"/>
        <v>0</v>
      </c>
      <c r="L33" s="45"/>
      <c r="M33" s="45"/>
      <c r="N33" s="45">
        <f t="shared" si="4"/>
        <v>0</v>
      </c>
      <c r="O33" s="45">
        <f>IFERROR(VLOOKUP(C33,Inventory!$A$2:$N$35,13,FALSE()),0)</f>
        <v>0</v>
      </c>
      <c r="P33" s="45">
        <f t="shared" si="5"/>
        <v>0</v>
      </c>
      <c r="Q33" s="30">
        <f t="shared" si="6"/>
        <v>0</v>
      </c>
      <c r="R33" t="str">
        <f>IFERROR(IF(AND(ISNUMBER(B33),C33&lt;&gt;""),B33-VLOOKUP(C33,Inventory!$A$2:$AE$35,29,FALSE()),""),"")</f>
        <v/>
      </c>
      <c r="U33" t="str">
        <f>IFERROR(VLOOKUP(C33,Inventory!$A$2:$C$35,2,FALSE()),"")</f>
        <v/>
      </c>
      <c r="V33" t="str">
        <f>IFERROR(VLOOKUP(C33,Inventory!$A$2:$Y$35,22,FALSE()),"")</f>
        <v/>
      </c>
      <c r="W33" t="str">
        <f>IFERROR(VLOOKUP(C33,Inventory!$A$2:$AB$35,25,FALSE()),"")</f>
        <v/>
      </c>
    </row>
    <row r="34" spans="1:23" ht="15" customHeight="1" x14ac:dyDescent="0.25">
      <c r="A34" t="str">
        <f t="shared" si="0"/>
        <v/>
      </c>
      <c r="B34" s="29"/>
      <c r="F34" s="45"/>
      <c r="G34" s="45"/>
      <c r="H34" s="45"/>
      <c r="I34" s="30">
        <f t="shared" si="1"/>
        <v>0</v>
      </c>
      <c r="J34" s="45">
        <f t="shared" si="2"/>
        <v>0</v>
      </c>
      <c r="K34" s="45">
        <f t="shared" si="3"/>
        <v>0</v>
      </c>
      <c r="L34" s="45"/>
      <c r="M34" s="45"/>
      <c r="N34" s="45">
        <f t="shared" si="4"/>
        <v>0</v>
      </c>
      <c r="O34" s="45">
        <f>IFERROR(VLOOKUP(C34,Inventory!$A$2:$N$35,13,FALSE()),0)</f>
        <v>0</v>
      </c>
      <c r="P34" s="45">
        <f t="shared" si="5"/>
        <v>0</v>
      </c>
      <c r="Q34" s="30">
        <f t="shared" si="6"/>
        <v>0</v>
      </c>
      <c r="R34" t="str">
        <f>IFERROR(IF(AND(ISNUMBER(B34),C34&lt;&gt;""),B34-VLOOKUP(C34,Inventory!$A$2:$AE$35,29,FALSE()),""),"")</f>
        <v/>
      </c>
      <c r="U34" t="str">
        <f>IFERROR(VLOOKUP(C34,Inventory!$A$2:$C$35,2,FALSE()),"")</f>
        <v/>
      </c>
      <c r="V34" t="str">
        <f>IFERROR(VLOOKUP(C34,Inventory!$A$2:$Y$35,22,FALSE()),"")</f>
        <v/>
      </c>
      <c r="W34" t="str">
        <f>IFERROR(VLOOKUP(C34,Inventory!$A$2:$AB$35,25,FALSE()),"")</f>
        <v/>
      </c>
    </row>
    <row r="35" spans="1:23" ht="15" customHeight="1" x14ac:dyDescent="0.25">
      <c r="A35" t="str">
        <f t="shared" si="0"/>
        <v/>
      </c>
      <c r="B35" s="29"/>
      <c r="F35" s="45"/>
      <c r="G35" s="45"/>
      <c r="H35" s="45"/>
      <c r="I35" s="30">
        <f t="shared" si="1"/>
        <v>0</v>
      </c>
      <c r="J35" s="45">
        <f t="shared" si="2"/>
        <v>0</v>
      </c>
      <c r="K35" s="45">
        <f t="shared" si="3"/>
        <v>0</v>
      </c>
      <c r="L35" s="45"/>
      <c r="M35" s="45"/>
      <c r="N35" s="45">
        <f t="shared" si="4"/>
        <v>0</v>
      </c>
      <c r="O35" s="45">
        <f>IFERROR(VLOOKUP(C35,Inventory!$A$2:$N$35,13,FALSE()),0)</f>
        <v>0</v>
      </c>
      <c r="P35" s="45">
        <f t="shared" si="5"/>
        <v>0</v>
      </c>
      <c r="Q35" s="30">
        <f t="shared" si="6"/>
        <v>0</v>
      </c>
      <c r="R35" t="str">
        <f>IFERROR(IF(AND(ISNUMBER(B35),C35&lt;&gt;""),B35-VLOOKUP(C35,Inventory!$A$2:$AE$35,29,FALSE()),""),"")</f>
        <v/>
      </c>
      <c r="U35" t="str">
        <f>IFERROR(VLOOKUP(C35,Inventory!$A$2:$C$35,2,FALSE()),"")</f>
        <v/>
      </c>
      <c r="V35" t="str">
        <f>IFERROR(VLOOKUP(C35,Inventory!$A$2:$Y$35,22,FALSE()),"")</f>
        <v/>
      </c>
      <c r="W35" t="str">
        <f>IFERROR(VLOOKUP(C35,Inventory!$A$2:$AB$35,25,FALSE()),"")</f>
        <v/>
      </c>
    </row>
    <row r="36" spans="1:23" ht="15" customHeight="1" x14ac:dyDescent="0.25">
      <c r="A36" t="str">
        <f t="shared" si="0"/>
        <v/>
      </c>
      <c r="B36" s="29"/>
      <c r="F36" s="45"/>
      <c r="G36" s="45"/>
      <c r="H36" s="45"/>
      <c r="I36" s="30">
        <f t="shared" si="1"/>
        <v>0</v>
      </c>
      <c r="J36" s="45">
        <f t="shared" si="2"/>
        <v>0</v>
      </c>
      <c r="K36" s="45">
        <f t="shared" si="3"/>
        <v>0</v>
      </c>
      <c r="L36" s="45"/>
      <c r="M36" s="45"/>
      <c r="N36" s="45">
        <f t="shared" si="4"/>
        <v>0</v>
      </c>
      <c r="O36" s="45">
        <f>IFERROR(VLOOKUP(C36,Inventory!$A$2:$N$35,13,FALSE()),0)</f>
        <v>0</v>
      </c>
      <c r="P36" s="45">
        <f t="shared" si="5"/>
        <v>0</v>
      </c>
      <c r="Q36" s="30">
        <f t="shared" si="6"/>
        <v>0</v>
      </c>
      <c r="R36" t="str">
        <f>IFERROR(IF(AND(ISNUMBER(B36),C36&lt;&gt;""),B36-VLOOKUP(C36,Inventory!$A$2:$AE$35,29,FALSE()),""),"")</f>
        <v/>
      </c>
      <c r="U36" t="str">
        <f>IFERROR(VLOOKUP(C36,Inventory!$A$2:$C$35,2,FALSE()),"")</f>
        <v/>
      </c>
      <c r="V36" t="str">
        <f>IFERROR(VLOOKUP(C36,Inventory!$A$2:$Y$35,22,FALSE()),"")</f>
        <v/>
      </c>
      <c r="W36" t="str">
        <f>IFERROR(VLOOKUP(C36,Inventory!$A$2:$AB$35,25,FALSE()),"")</f>
        <v/>
      </c>
    </row>
    <row r="37" spans="1:23" ht="15" customHeight="1" x14ac:dyDescent="0.25">
      <c r="A37" t="str">
        <f t="shared" si="0"/>
        <v/>
      </c>
      <c r="B37" s="29"/>
      <c r="F37" s="45"/>
      <c r="G37" s="45"/>
      <c r="H37" s="45"/>
      <c r="I37" s="30">
        <f t="shared" si="1"/>
        <v>0</v>
      </c>
      <c r="J37" s="45">
        <f t="shared" si="2"/>
        <v>0</v>
      </c>
      <c r="K37" s="45">
        <f t="shared" si="3"/>
        <v>0</v>
      </c>
      <c r="L37" s="45"/>
      <c r="M37" s="45"/>
      <c r="N37" s="45">
        <f t="shared" si="4"/>
        <v>0</v>
      </c>
      <c r="O37" s="45">
        <f>IFERROR(VLOOKUP(C37,Inventory!$A$2:$N$35,13,FALSE()),0)</f>
        <v>0</v>
      </c>
      <c r="P37" s="45">
        <f t="shared" si="5"/>
        <v>0</v>
      </c>
      <c r="Q37" s="30">
        <f t="shared" si="6"/>
        <v>0</v>
      </c>
      <c r="R37" t="str">
        <f>IFERROR(IF(AND(ISNUMBER(B37),C37&lt;&gt;""),B37-VLOOKUP(C37,Inventory!$A$2:$AE$35,29,FALSE()),""),"")</f>
        <v/>
      </c>
      <c r="U37" t="str">
        <f>IFERROR(VLOOKUP(C37,Inventory!$A$2:$C$35,2,FALSE()),"")</f>
        <v/>
      </c>
      <c r="V37" t="str">
        <f>IFERROR(VLOOKUP(C37,Inventory!$A$2:$Y$35,22,FALSE()),"")</f>
        <v/>
      </c>
      <c r="W37" t="str">
        <f>IFERROR(VLOOKUP(C37,Inventory!$A$2:$AB$35,25,FALSE()),"")</f>
        <v/>
      </c>
    </row>
    <row r="38" spans="1:23" ht="15" customHeight="1" x14ac:dyDescent="0.25">
      <c r="A38" t="str">
        <f t="shared" si="0"/>
        <v/>
      </c>
      <c r="B38" s="29"/>
      <c r="F38" s="45"/>
      <c r="G38" s="45"/>
      <c r="H38" s="45"/>
      <c r="I38" s="30">
        <f t="shared" si="1"/>
        <v>0</v>
      </c>
      <c r="J38" s="45">
        <f t="shared" si="2"/>
        <v>0</v>
      </c>
      <c r="K38" s="45">
        <f t="shared" si="3"/>
        <v>0</v>
      </c>
      <c r="L38" s="45"/>
      <c r="M38" s="45"/>
      <c r="N38" s="45">
        <f t="shared" si="4"/>
        <v>0</v>
      </c>
      <c r="O38" s="45">
        <f>IFERROR(VLOOKUP(C38,Inventory!$A$2:$N$35,13,FALSE()),0)</f>
        <v>0</v>
      </c>
      <c r="P38" s="45">
        <f t="shared" si="5"/>
        <v>0</v>
      </c>
      <c r="Q38" s="30">
        <f t="shared" si="6"/>
        <v>0</v>
      </c>
      <c r="R38" t="str">
        <f>IFERROR(IF(AND(ISNUMBER(B38),C38&lt;&gt;""),B38-VLOOKUP(C38,Inventory!$A$2:$AE$35,29,FALSE()),""),"")</f>
        <v/>
      </c>
      <c r="U38" t="str">
        <f>IFERROR(VLOOKUP(C38,Inventory!$A$2:$C$35,2,FALSE()),"")</f>
        <v/>
      </c>
      <c r="V38" t="str">
        <f>IFERROR(VLOOKUP(C38,Inventory!$A$2:$Y$35,22,FALSE()),"")</f>
        <v/>
      </c>
      <c r="W38" t="str">
        <f>IFERROR(VLOOKUP(C38,Inventory!$A$2:$AB$35,25,FALSE()),"")</f>
        <v/>
      </c>
    </row>
    <row r="39" spans="1:23" ht="15" customHeight="1" x14ac:dyDescent="0.25">
      <c r="A39" t="str">
        <f t="shared" si="0"/>
        <v/>
      </c>
      <c r="B39" s="29"/>
      <c r="F39" s="45"/>
      <c r="G39" s="45"/>
      <c r="H39" s="45"/>
      <c r="I39" s="30">
        <f t="shared" si="1"/>
        <v>0</v>
      </c>
      <c r="J39" s="45">
        <f t="shared" si="2"/>
        <v>0</v>
      </c>
      <c r="K39" s="45">
        <f t="shared" si="3"/>
        <v>0</v>
      </c>
      <c r="L39" s="45"/>
      <c r="M39" s="45"/>
      <c r="N39" s="45">
        <f t="shared" si="4"/>
        <v>0</v>
      </c>
      <c r="O39" s="45">
        <f>IFERROR(VLOOKUP(C39,Inventory!$A$2:$N$35,13,FALSE()),0)</f>
        <v>0</v>
      </c>
      <c r="P39" s="45">
        <f t="shared" si="5"/>
        <v>0</v>
      </c>
      <c r="Q39" s="30">
        <f t="shared" si="6"/>
        <v>0</v>
      </c>
      <c r="R39" t="str">
        <f>IFERROR(IF(AND(ISNUMBER(B39),C39&lt;&gt;""),B39-VLOOKUP(C39,Inventory!$A$2:$AE$35,29,FALSE()),""),"")</f>
        <v/>
      </c>
      <c r="U39" t="str">
        <f>IFERROR(VLOOKUP(C39,Inventory!$A$2:$C$35,2,FALSE()),"")</f>
        <v/>
      </c>
      <c r="V39" t="str">
        <f>IFERROR(VLOOKUP(C39,Inventory!$A$2:$Y$35,22,FALSE()),"")</f>
        <v/>
      </c>
      <c r="W39" t="str">
        <f>IFERROR(VLOOKUP(C39,Inventory!$A$2:$AB$35,25,FALSE()),"")</f>
        <v/>
      </c>
    </row>
    <row r="40" spans="1:23" ht="15" customHeight="1" x14ac:dyDescent="0.25">
      <c r="A40" t="str">
        <f t="shared" si="0"/>
        <v/>
      </c>
      <c r="B40" s="29"/>
      <c r="F40" s="45"/>
      <c r="G40" s="45"/>
      <c r="H40" s="45"/>
      <c r="I40" s="30">
        <f t="shared" si="1"/>
        <v>0</v>
      </c>
      <c r="J40" s="45">
        <f t="shared" si="2"/>
        <v>0</v>
      </c>
      <c r="K40" s="45">
        <f t="shared" si="3"/>
        <v>0</v>
      </c>
      <c r="L40" s="45"/>
      <c r="M40" s="45"/>
      <c r="N40" s="45">
        <f t="shared" si="4"/>
        <v>0</v>
      </c>
      <c r="O40" s="45">
        <f>IFERROR(VLOOKUP(C40,Inventory!$A$2:$N$35,13,FALSE()),0)</f>
        <v>0</v>
      </c>
      <c r="P40" s="45">
        <f t="shared" si="5"/>
        <v>0</v>
      </c>
      <c r="Q40" s="30">
        <f t="shared" si="6"/>
        <v>0</v>
      </c>
      <c r="R40" t="str">
        <f>IFERROR(IF(AND(ISNUMBER(B40),C40&lt;&gt;""),B40-VLOOKUP(C40,Inventory!$A$2:$AE$35,29,FALSE()),""),"")</f>
        <v/>
      </c>
      <c r="U40" t="str">
        <f>IFERROR(VLOOKUP(C40,Inventory!$A$2:$C$35,2,FALSE()),"")</f>
        <v/>
      </c>
      <c r="V40" t="str">
        <f>IFERROR(VLOOKUP(C40,Inventory!$A$2:$Y$35,22,FALSE()),"")</f>
        <v/>
      </c>
      <c r="W40" t="str">
        <f>IFERROR(VLOOKUP(C40,Inventory!$A$2:$AB$35,25,FALSE()),"")</f>
        <v/>
      </c>
    </row>
    <row r="41" spans="1:23" ht="15" customHeight="1" x14ac:dyDescent="0.25">
      <c r="A41" t="str">
        <f t="shared" si="0"/>
        <v/>
      </c>
      <c r="B41" s="29"/>
      <c r="F41" s="45"/>
      <c r="G41" s="45"/>
      <c r="H41" s="45"/>
      <c r="I41" s="30">
        <f t="shared" si="1"/>
        <v>0</v>
      </c>
      <c r="J41" s="45">
        <f t="shared" si="2"/>
        <v>0</v>
      </c>
      <c r="K41" s="45">
        <f t="shared" si="3"/>
        <v>0</v>
      </c>
      <c r="L41" s="45"/>
      <c r="M41" s="45"/>
      <c r="N41" s="45">
        <f t="shared" si="4"/>
        <v>0</v>
      </c>
      <c r="O41" s="45">
        <f>IFERROR(VLOOKUP(C41,Inventory!$A$2:$N$35,13,FALSE()),0)</f>
        <v>0</v>
      </c>
      <c r="P41" s="45">
        <f t="shared" si="5"/>
        <v>0</v>
      </c>
      <c r="Q41" s="30">
        <f t="shared" si="6"/>
        <v>0</v>
      </c>
      <c r="R41" t="str">
        <f>IFERROR(IF(AND(ISNUMBER(B41),C41&lt;&gt;""),B41-VLOOKUP(C41,Inventory!$A$2:$AE$35,29,FALSE()),""),"")</f>
        <v/>
      </c>
      <c r="U41" t="str">
        <f>IFERROR(VLOOKUP(C41,Inventory!$A$2:$C$35,2,FALSE()),"")</f>
        <v/>
      </c>
      <c r="V41" t="str">
        <f>IFERROR(VLOOKUP(C41,Inventory!$A$2:$Y$35,22,FALSE()),"")</f>
        <v/>
      </c>
      <c r="W41" t="str">
        <f>IFERROR(VLOOKUP(C41,Inventory!$A$2:$AB$35,25,FALSE()),"")</f>
        <v/>
      </c>
    </row>
    <row r="42" spans="1:23" ht="15" customHeight="1" x14ac:dyDescent="0.25">
      <c r="A42" t="str">
        <f t="shared" si="0"/>
        <v/>
      </c>
      <c r="B42" s="29"/>
      <c r="F42" s="45"/>
      <c r="G42" s="45"/>
      <c r="H42" s="45"/>
      <c r="I42" s="30">
        <f t="shared" si="1"/>
        <v>0</v>
      </c>
      <c r="J42" s="45">
        <f t="shared" si="2"/>
        <v>0</v>
      </c>
      <c r="K42" s="45">
        <f t="shared" si="3"/>
        <v>0</v>
      </c>
      <c r="L42" s="45"/>
      <c r="M42" s="45"/>
      <c r="N42" s="45">
        <f t="shared" si="4"/>
        <v>0</v>
      </c>
      <c r="O42" s="45">
        <f>IFERROR(VLOOKUP(C42,Inventory!$A$2:$N$35,13,FALSE()),0)</f>
        <v>0</v>
      </c>
      <c r="P42" s="45">
        <f t="shared" si="5"/>
        <v>0</v>
      </c>
      <c r="Q42" s="30">
        <f t="shared" si="6"/>
        <v>0</v>
      </c>
      <c r="R42" t="str">
        <f>IFERROR(IF(AND(ISNUMBER(B42),C42&lt;&gt;""),B42-VLOOKUP(C42,Inventory!$A$2:$AE$35,29,FALSE()),""),"")</f>
        <v/>
      </c>
      <c r="U42" t="str">
        <f>IFERROR(VLOOKUP(C42,Inventory!$A$2:$C$35,2,FALSE()),"")</f>
        <v/>
      </c>
      <c r="V42" t="str">
        <f>IFERROR(VLOOKUP(C42,Inventory!$A$2:$Y$35,22,FALSE()),"")</f>
        <v/>
      </c>
      <c r="W42" t="str">
        <f>IFERROR(VLOOKUP(C42,Inventory!$A$2:$AB$35,25,FALSE()),"")</f>
        <v/>
      </c>
    </row>
    <row r="43" spans="1:23" ht="15" customHeight="1" x14ac:dyDescent="0.25">
      <c r="A43" t="str">
        <f t="shared" si="0"/>
        <v/>
      </c>
      <c r="B43" s="29"/>
      <c r="F43" s="45"/>
      <c r="G43" s="45"/>
      <c r="H43" s="45"/>
      <c r="I43" s="30">
        <f t="shared" si="1"/>
        <v>0</v>
      </c>
      <c r="J43" s="45">
        <f t="shared" si="2"/>
        <v>0</v>
      </c>
      <c r="K43" s="45">
        <f t="shared" si="3"/>
        <v>0</v>
      </c>
      <c r="L43" s="45"/>
      <c r="M43" s="45"/>
      <c r="N43" s="45">
        <f t="shared" si="4"/>
        <v>0</v>
      </c>
      <c r="O43" s="45">
        <f>IFERROR(VLOOKUP(C43,Inventory!$A$2:$N$35,13,FALSE()),0)</f>
        <v>0</v>
      </c>
      <c r="P43" s="45">
        <f t="shared" si="5"/>
        <v>0</v>
      </c>
      <c r="Q43" s="30">
        <f t="shared" si="6"/>
        <v>0</v>
      </c>
      <c r="R43" t="str">
        <f>IFERROR(IF(AND(ISNUMBER(B43),C43&lt;&gt;""),B43-VLOOKUP(C43,Inventory!$A$2:$AE$35,29,FALSE()),""),"")</f>
        <v/>
      </c>
      <c r="U43" t="str">
        <f>IFERROR(VLOOKUP(C43,Inventory!$A$2:$C$35,2,FALSE()),"")</f>
        <v/>
      </c>
      <c r="V43" t="str">
        <f>IFERROR(VLOOKUP(C43,Inventory!$A$2:$Y$35,22,FALSE()),"")</f>
        <v/>
      </c>
      <c r="W43" t="str">
        <f>IFERROR(VLOOKUP(C43,Inventory!$A$2:$AB$35,25,FALSE()),"")</f>
        <v/>
      </c>
    </row>
    <row r="44" spans="1:23" ht="15" customHeight="1" x14ac:dyDescent="0.25">
      <c r="A44" t="str">
        <f t="shared" si="0"/>
        <v/>
      </c>
      <c r="B44" s="29"/>
      <c r="F44" s="45"/>
      <c r="G44" s="45"/>
      <c r="H44" s="45"/>
      <c r="I44" s="30">
        <f t="shared" si="1"/>
        <v>0</v>
      </c>
      <c r="J44" s="45">
        <f t="shared" si="2"/>
        <v>0</v>
      </c>
      <c r="K44" s="45">
        <f t="shared" si="3"/>
        <v>0</v>
      </c>
      <c r="L44" s="45"/>
      <c r="M44" s="45"/>
      <c r="N44" s="45">
        <f t="shared" si="4"/>
        <v>0</v>
      </c>
      <c r="O44" s="45">
        <f>IFERROR(VLOOKUP(C44,Inventory!$A$2:$N$35,13,FALSE()),0)</f>
        <v>0</v>
      </c>
      <c r="P44" s="45">
        <f t="shared" si="5"/>
        <v>0</v>
      </c>
      <c r="Q44" s="30">
        <f t="shared" si="6"/>
        <v>0</v>
      </c>
      <c r="R44" t="str">
        <f>IFERROR(IF(AND(ISNUMBER(B44),C44&lt;&gt;""),B44-VLOOKUP(C44,Inventory!$A$2:$AE$35,29,FALSE()),""),"")</f>
        <v/>
      </c>
      <c r="U44" t="str">
        <f>IFERROR(VLOOKUP(C44,Inventory!$A$2:$C$35,2,FALSE()),"")</f>
        <v/>
      </c>
      <c r="V44" t="str">
        <f>IFERROR(VLOOKUP(C44,Inventory!$A$2:$Y$35,22,FALSE()),"")</f>
        <v/>
      </c>
      <c r="W44" t="str">
        <f>IFERROR(VLOOKUP(C44,Inventory!$A$2:$AB$35,25,FALSE()),"")</f>
        <v/>
      </c>
    </row>
    <row r="45" spans="1:23" ht="15" customHeight="1" x14ac:dyDescent="0.25">
      <c r="A45" t="str">
        <f t="shared" si="0"/>
        <v/>
      </c>
      <c r="B45" s="29"/>
      <c r="F45" s="45"/>
      <c r="G45" s="45"/>
      <c r="H45" s="45"/>
      <c r="I45" s="30">
        <f t="shared" si="1"/>
        <v>0</v>
      </c>
      <c r="J45" s="45">
        <f t="shared" si="2"/>
        <v>0</v>
      </c>
      <c r="K45" s="45">
        <f t="shared" si="3"/>
        <v>0</v>
      </c>
      <c r="L45" s="45"/>
      <c r="M45" s="45"/>
      <c r="N45" s="45">
        <f t="shared" si="4"/>
        <v>0</v>
      </c>
      <c r="O45" s="45">
        <f>IFERROR(VLOOKUP(C45,Inventory!$A$2:$N$35,13,FALSE()),0)</f>
        <v>0</v>
      </c>
      <c r="P45" s="45">
        <f t="shared" si="5"/>
        <v>0</v>
      </c>
      <c r="Q45" s="30">
        <f t="shared" si="6"/>
        <v>0</v>
      </c>
      <c r="R45" t="str">
        <f>IFERROR(IF(AND(ISNUMBER(B45),C45&lt;&gt;""),B45-VLOOKUP(C45,Inventory!$A$2:$AE$35,29,FALSE()),""),"")</f>
        <v/>
      </c>
      <c r="U45" t="str">
        <f>IFERROR(VLOOKUP(C45,Inventory!$A$2:$C$35,2,FALSE()),"")</f>
        <v/>
      </c>
      <c r="V45" t="str">
        <f>IFERROR(VLOOKUP(C45,Inventory!$A$2:$Y$35,22,FALSE()),"")</f>
        <v/>
      </c>
      <c r="W45" t="str">
        <f>IFERROR(VLOOKUP(C45,Inventory!$A$2:$AB$35,25,FALSE()),"")</f>
        <v/>
      </c>
    </row>
    <row r="46" spans="1:23" ht="15" customHeight="1" x14ac:dyDescent="0.25">
      <c r="A46" t="str">
        <f t="shared" si="0"/>
        <v/>
      </c>
      <c r="B46" s="29"/>
      <c r="F46" s="45"/>
      <c r="G46" s="45"/>
      <c r="H46" s="45"/>
      <c r="I46" s="30">
        <f t="shared" si="1"/>
        <v>0</v>
      </c>
      <c r="J46" s="45">
        <f t="shared" si="2"/>
        <v>0</v>
      </c>
      <c r="K46" s="45">
        <f t="shared" si="3"/>
        <v>0</v>
      </c>
      <c r="L46" s="45"/>
      <c r="M46" s="45"/>
      <c r="N46" s="45">
        <f t="shared" si="4"/>
        <v>0</v>
      </c>
      <c r="O46" s="45">
        <f>IFERROR(VLOOKUP(C46,Inventory!$A$2:$N$35,13,FALSE()),0)</f>
        <v>0</v>
      </c>
      <c r="P46" s="45">
        <f t="shared" si="5"/>
        <v>0</v>
      </c>
      <c r="Q46" s="30">
        <f t="shared" si="6"/>
        <v>0</v>
      </c>
      <c r="R46" t="str">
        <f>IFERROR(IF(AND(ISNUMBER(B46),C46&lt;&gt;""),B46-VLOOKUP(C46,Inventory!$A$2:$AE$35,29,FALSE()),""),"")</f>
        <v/>
      </c>
      <c r="U46" t="str">
        <f>IFERROR(VLOOKUP(C46,Inventory!$A$2:$C$35,2,FALSE()),"")</f>
        <v/>
      </c>
      <c r="V46" t="str">
        <f>IFERROR(VLOOKUP(C46,Inventory!$A$2:$Y$35,22,FALSE()),"")</f>
        <v/>
      </c>
      <c r="W46" t="str">
        <f>IFERROR(VLOOKUP(C46,Inventory!$A$2:$AB$35,25,FALSE()),"")</f>
        <v/>
      </c>
    </row>
    <row r="47" spans="1:23" ht="15" customHeight="1" x14ac:dyDescent="0.25">
      <c r="A47" t="str">
        <f t="shared" si="0"/>
        <v/>
      </c>
      <c r="B47" s="29"/>
      <c r="F47" s="45"/>
      <c r="G47" s="45"/>
      <c r="H47" s="45"/>
      <c r="I47" s="30">
        <f t="shared" si="1"/>
        <v>0</v>
      </c>
      <c r="J47" s="45">
        <f t="shared" si="2"/>
        <v>0</v>
      </c>
      <c r="K47" s="45">
        <f t="shared" si="3"/>
        <v>0</v>
      </c>
      <c r="L47" s="45"/>
      <c r="M47" s="45"/>
      <c r="N47" s="45">
        <f t="shared" si="4"/>
        <v>0</v>
      </c>
      <c r="O47" s="45">
        <f>IFERROR(VLOOKUP(C47,Inventory!$A$2:$N$35,13,FALSE()),0)</f>
        <v>0</v>
      </c>
      <c r="P47" s="45">
        <f t="shared" si="5"/>
        <v>0</v>
      </c>
      <c r="Q47" s="30">
        <f t="shared" si="6"/>
        <v>0</v>
      </c>
      <c r="R47" t="str">
        <f>IFERROR(IF(AND(ISNUMBER(B47),C47&lt;&gt;""),B47-VLOOKUP(C47,Inventory!$A$2:$AE$35,29,FALSE()),""),"")</f>
        <v/>
      </c>
      <c r="U47" t="str">
        <f>IFERROR(VLOOKUP(C47,Inventory!$A$2:$C$35,2,FALSE()),"")</f>
        <v/>
      </c>
      <c r="V47" t="str">
        <f>IFERROR(VLOOKUP(C47,Inventory!$A$2:$Y$35,22,FALSE()),"")</f>
        <v/>
      </c>
      <c r="W47" t="str">
        <f>IFERROR(VLOOKUP(C47,Inventory!$A$2:$AB$35,25,FALSE()),"")</f>
        <v/>
      </c>
    </row>
    <row r="48" spans="1:23" ht="15" customHeight="1" x14ac:dyDescent="0.25">
      <c r="A48" t="str">
        <f t="shared" si="0"/>
        <v/>
      </c>
      <c r="B48" s="29"/>
      <c r="F48" s="45"/>
      <c r="G48" s="45"/>
      <c r="H48" s="45"/>
      <c r="I48" s="30">
        <f t="shared" si="1"/>
        <v>0</v>
      </c>
      <c r="J48" s="45">
        <f t="shared" si="2"/>
        <v>0</v>
      </c>
      <c r="K48" s="45">
        <f t="shared" si="3"/>
        <v>0</v>
      </c>
      <c r="L48" s="45"/>
      <c r="M48" s="45"/>
      <c r="N48" s="45">
        <f t="shared" si="4"/>
        <v>0</v>
      </c>
      <c r="O48" s="45">
        <f>IFERROR(VLOOKUP(C48,Inventory!$A$2:$N$35,13,FALSE()),0)</f>
        <v>0</v>
      </c>
      <c r="P48" s="45">
        <f t="shared" si="5"/>
        <v>0</v>
      </c>
      <c r="Q48" s="30">
        <f t="shared" si="6"/>
        <v>0</v>
      </c>
      <c r="R48" t="str">
        <f>IFERROR(IF(AND(ISNUMBER(B48),C48&lt;&gt;""),B48-VLOOKUP(C48,Inventory!$A$2:$AE$35,29,FALSE()),""),"")</f>
        <v/>
      </c>
      <c r="U48" t="str">
        <f>IFERROR(VLOOKUP(C48,Inventory!$A$2:$C$35,2,FALSE()),"")</f>
        <v/>
      </c>
      <c r="V48" t="str">
        <f>IFERROR(VLOOKUP(C48,Inventory!$A$2:$Y$35,22,FALSE()),"")</f>
        <v/>
      </c>
      <c r="W48" t="str">
        <f>IFERROR(VLOOKUP(C48,Inventory!$A$2:$AB$35,25,FALSE()),"")</f>
        <v/>
      </c>
    </row>
    <row r="49" spans="1:23" ht="15" customHeight="1" x14ac:dyDescent="0.25">
      <c r="A49" t="str">
        <f t="shared" si="0"/>
        <v/>
      </c>
      <c r="B49" s="29"/>
      <c r="F49" s="45"/>
      <c r="G49" s="45"/>
      <c r="H49" s="45"/>
      <c r="I49" s="30">
        <f t="shared" si="1"/>
        <v>0</v>
      </c>
      <c r="J49" s="45">
        <f t="shared" si="2"/>
        <v>0</v>
      </c>
      <c r="K49" s="45">
        <f t="shared" si="3"/>
        <v>0</v>
      </c>
      <c r="L49" s="45"/>
      <c r="M49" s="45"/>
      <c r="N49" s="45">
        <f t="shared" si="4"/>
        <v>0</v>
      </c>
      <c r="O49" s="45">
        <f>IFERROR(VLOOKUP(C49,Inventory!$A$2:$N$35,13,FALSE()),0)</f>
        <v>0</v>
      </c>
      <c r="P49" s="45">
        <f t="shared" si="5"/>
        <v>0</v>
      </c>
      <c r="Q49" s="30">
        <f t="shared" si="6"/>
        <v>0</v>
      </c>
      <c r="R49" t="str">
        <f>IFERROR(IF(AND(ISNUMBER(B49),C49&lt;&gt;""),B49-VLOOKUP(C49,Inventory!$A$2:$AE$35,29,FALSE()),""),"")</f>
        <v/>
      </c>
      <c r="U49" t="str">
        <f>IFERROR(VLOOKUP(C49,Inventory!$A$2:$C$35,2,FALSE()),"")</f>
        <v/>
      </c>
      <c r="V49" t="str">
        <f>IFERROR(VLOOKUP(C49,Inventory!$A$2:$Y$35,22,FALSE()),"")</f>
        <v/>
      </c>
      <c r="W49" t="str">
        <f>IFERROR(VLOOKUP(C49,Inventory!$A$2:$AB$35,25,FALSE()),"")</f>
        <v/>
      </c>
    </row>
    <row r="50" spans="1:23" ht="15" customHeight="1" x14ac:dyDescent="0.25">
      <c r="A50" t="str">
        <f t="shared" si="0"/>
        <v/>
      </c>
      <c r="B50" s="29"/>
      <c r="F50" s="45"/>
      <c r="G50" s="45"/>
      <c r="H50" s="45"/>
      <c r="I50" s="30">
        <f t="shared" si="1"/>
        <v>0</v>
      </c>
      <c r="J50" s="45">
        <f t="shared" si="2"/>
        <v>0</v>
      </c>
      <c r="K50" s="45">
        <f t="shared" si="3"/>
        <v>0</v>
      </c>
      <c r="L50" s="45"/>
      <c r="M50" s="45"/>
      <c r="N50" s="45">
        <f t="shared" si="4"/>
        <v>0</v>
      </c>
      <c r="O50" s="45">
        <f>IFERROR(VLOOKUP(C50,Inventory!$A$2:$N$35,13,FALSE()),0)</f>
        <v>0</v>
      </c>
      <c r="P50" s="45">
        <f t="shared" si="5"/>
        <v>0</v>
      </c>
      <c r="Q50" s="30">
        <f t="shared" si="6"/>
        <v>0</v>
      </c>
      <c r="R50" t="str">
        <f>IFERROR(IF(AND(ISNUMBER(B50),C50&lt;&gt;""),B50-VLOOKUP(C50,Inventory!$A$2:$AE$35,29,FALSE()),""),"")</f>
        <v/>
      </c>
      <c r="U50" t="str">
        <f>IFERROR(VLOOKUP(C50,Inventory!$A$2:$C$35,2,FALSE()),"")</f>
        <v/>
      </c>
      <c r="V50" t="str">
        <f>IFERROR(VLOOKUP(C50,Inventory!$A$2:$Y$35,22,FALSE()),"")</f>
        <v/>
      </c>
      <c r="W50" t="str">
        <f>IFERROR(VLOOKUP(C50,Inventory!$A$2:$AB$35,25,FALSE()),"")</f>
        <v/>
      </c>
    </row>
    <row r="51" spans="1:23" ht="15" customHeight="1" x14ac:dyDescent="0.25">
      <c r="A51" t="str">
        <f t="shared" si="0"/>
        <v/>
      </c>
      <c r="B51" s="29"/>
      <c r="F51" s="45"/>
      <c r="G51" s="45"/>
      <c r="H51" s="45"/>
      <c r="I51" s="30">
        <f t="shared" si="1"/>
        <v>0</v>
      </c>
      <c r="J51" s="45">
        <f t="shared" si="2"/>
        <v>0</v>
      </c>
      <c r="K51" s="45">
        <f t="shared" si="3"/>
        <v>0</v>
      </c>
      <c r="L51" s="45"/>
      <c r="M51" s="45"/>
      <c r="N51" s="45">
        <f t="shared" si="4"/>
        <v>0</v>
      </c>
      <c r="O51" s="45">
        <f>IFERROR(VLOOKUP(C51,Inventory!$A$2:$N$35,13,FALSE()),0)</f>
        <v>0</v>
      </c>
      <c r="P51" s="45">
        <f t="shared" si="5"/>
        <v>0</v>
      </c>
      <c r="Q51" s="30">
        <f t="shared" si="6"/>
        <v>0</v>
      </c>
      <c r="R51" t="str">
        <f>IFERROR(IF(AND(ISNUMBER(B51),C51&lt;&gt;""),B51-VLOOKUP(C51,Inventory!$A$2:$AE$35,29,FALSE()),""),"")</f>
        <v/>
      </c>
      <c r="U51" t="str">
        <f>IFERROR(VLOOKUP(C51,Inventory!$A$2:$C$35,2,FALSE()),"")</f>
        <v/>
      </c>
      <c r="V51" t="str">
        <f>IFERROR(VLOOKUP(C51,Inventory!$A$2:$Y$35,22,FALSE()),"")</f>
        <v/>
      </c>
      <c r="W51" t="str">
        <f>IFERROR(VLOOKUP(C51,Inventory!$A$2:$AB$35,25,FALSE()),"")</f>
        <v/>
      </c>
    </row>
    <row r="52" spans="1:23" ht="15" customHeight="1" x14ac:dyDescent="0.25">
      <c r="A52" t="str">
        <f t="shared" si="0"/>
        <v/>
      </c>
      <c r="B52" s="29"/>
      <c r="F52" s="45"/>
      <c r="G52" s="45"/>
      <c r="H52" s="45"/>
      <c r="I52" s="30">
        <f t="shared" si="1"/>
        <v>0</v>
      </c>
      <c r="J52" s="45">
        <f t="shared" si="2"/>
        <v>0</v>
      </c>
      <c r="K52" s="45">
        <f t="shared" si="3"/>
        <v>0</v>
      </c>
      <c r="L52" s="45"/>
      <c r="M52" s="45"/>
      <c r="N52" s="45">
        <f t="shared" si="4"/>
        <v>0</v>
      </c>
      <c r="O52" s="45">
        <f>IFERROR(VLOOKUP(C52,Inventory!$A$2:$N$35,13,FALSE()),0)</f>
        <v>0</v>
      </c>
      <c r="P52" s="45">
        <f t="shared" si="5"/>
        <v>0</v>
      </c>
      <c r="Q52" s="30">
        <f t="shared" si="6"/>
        <v>0</v>
      </c>
      <c r="R52" t="str">
        <f>IFERROR(IF(AND(ISNUMBER(B52),C52&lt;&gt;""),B52-VLOOKUP(C52,Inventory!$A$2:$AE$35,29,FALSE()),""),"")</f>
        <v/>
      </c>
      <c r="U52" t="str">
        <f>IFERROR(VLOOKUP(C52,Inventory!$A$2:$C$35,2,FALSE()),"")</f>
        <v/>
      </c>
      <c r="V52" t="str">
        <f>IFERROR(VLOOKUP(C52,Inventory!$A$2:$Y$35,22,FALSE()),"")</f>
        <v/>
      </c>
      <c r="W52" t="str">
        <f>IFERROR(VLOOKUP(C52,Inventory!$A$2:$AB$35,25,FALSE()),"")</f>
        <v/>
      </c>
    </row>
    <row r="53" spans="1:23" ht="15" customHeight="1" x14ac:dyDescent="0.25">
      <c r="A53" t="str">
        <f t="shared" si="0"/>
        <v/>
      </c>
      <c r="B53" s="29"/>
      <c r="F53" s="45"/>
      <c r="G53" s="45"/>
      <c r="H53" s="45"/>
      <c r="I53" s="30">
        <f t="shared" si="1"/>
        <v>0</v>
      </c>
      <c r="J53" s="45">
        <f t="shared" si="2"/>
        <v>0</v>
      </c>
      <c r="K53" s="45">
        <f t="shared" si="3"/>
        <v>0</v>
      </c>
      <c r="L53" s="45"/>
      <c r="M53" s="45"/>
      <c r="N53" s="45">
        <f t="shared" si="4"/>
        <v>0</v>
      </c>
      <c r="O53" s="45">
        <f>IFERROR(VLOOKUP(C53,Inventory!$A$2:$N$35,13,FALSE()),0)</f>
        <v>0</v>
      </c>
      <c r="P53" s="45">
        <f t="shared" si="5"/>
        <v>0</v>
      </c>
      <c r="Q53" s="30">
        <f t="shared" si="6"/>
        <v>0</v>
      </c>
      <c r="R53" t="str">
        <f>IFERROR(IF(AND(ISNUMBER(B53),C53&lt;&gt;""),B53-VLOOKUP(C53,Inventory!$A$2:$AE$35,29,FALSE()),""),"")</f>
        <v/>
      </c>
      <c r="U53" t="str">
        <f>IFERROR(VLOOKUP(C53,Inventory!$A$2:$C$35,2,FALSE()),"")</f>
        <v/>
      </c>
      <c r="V53" t="str">
        <f>IFERROR(VLOOKUP(C53,Inventory!$A$2:$Y$35,22,FALSE()),"")</f>
        <v/>
      </c>
      <c r="W53" t="str">
        <f>IFERROR(VLOOKUP(C53,Inventory!$A$2:$AB$35,25,FALSE()),"")</f>
        <v/>
      </c>
    </row>
    <row r="54" spans="1:23" ht="15" customHeight="1" x14ac:dyDescent="0.25">
      <c r="A54" t="str">
        <f t="shared" si="0"/>
        <v/>
      </c>
      <c r="B54" s="29"/>
      <c r="F54" s="45"/>
      <c r="G54" s="45"/>
      <c r="H54" s="45"/>
      <c r="I54" s="30">
        <f t="shared" si="1"/>
        <v>0</v>
      </c>
      <c r="J54" s="45">
        <f t="shared" si="2"/>
        <v>0</v>
      </c>
      <c r="K54" s="45">
        <f t="shared" si="3"/>
        <v>0</v>
      </c>
      <c r="L54" s="45"/>
      <c r="M54" s="45"/>
      <c r="N54" s="45">
        <f t="shared" si="4"/>
        <v>0</v>
      </c>
      <c r="O54" s="45">
        <f>IFERROR(VLOOKUP(C54,Inventory!$A$2:$N$35,13,FALSE()),0)</f>
        <v>0</v>
      </c>
      <c r="P54" s="45">
        <f t="shared" si="5"/>
        <v>0</v>
      </c>
      <c r="Q54" s="30">
        <f t="shared" si="6"/>
        <v>0</v>
      </c>
      <c r="R54" t="str">
        <f>IFERROR(IF(AND(ISNUMBER(B54),C54&lt;&gt;""),B54-VLOOKUP(C54,Inventory!$A$2:$AE$35,29,FALSE()),""),"")</f>
        <v/>
      </c>
      <c r="U54" t="str">
        <f>IFERROR(VLOOKUP(C54,Inventory!$A$2:$C$35,2,FALSE()),"")</f>
        <v/>
      </c>
      <c r="V54" t="str">
        <f>IFERROR(VLOOKUP(C54,Inventory!$A$2:$Y$35,22,FALSE()),"")</f>
        <v/>
      </c>
      <c r="W54" t="str">
        <f>IFERROR(VLOOKUP(C54,Inventory!$A$2:$AB$35,25,FALSE()),"")</f>
        <v/>
      </c>
    </row>
    <row r="55" spans="1:23" ht="15" customHeight="1" x14ac:dyDescent="0.25">
      <c r="A55" t="str">
        <f t="shared" si="0"/>
        <v/>
      </c>
      <c r="B55" s="29"/>
      <c r="F55" s="45"/>
      <c r="G55" s="45"/>
      <c r="H55" s="45"/>
      <c r="I55" s="30">
        <f t="shared" si="1"/>
        <v>0</v>
      </c>
      <c r="J55" s="45">
        <f t="shared" si="2"/>
        <v>0</v>
      </c>
      <c r="K55" s="45">
        <f t="shared" si="3"/>
        <v>0</v>
      </c>
      <c r="L55" s="45"/>
      <c r="M55" s="45"/>
      <c r="N55" s="45">
        <f t="shared" si="4"/>
        <v>0</v>
      </c>
      <c r="O55" s="45">
        <f>IFERROR(VLOOKUP(C55,Inventory!$A$2:$N$35,13,FALSE()),0)</f>
        <v>0</v>
      </c>
      <c r="P55" s="45">
        <f t="shared" si="5"/>
        <v>0</v>
      </c>
      <c r="Q55" s="30">
        <f t="shared" si="6"/>
        <v>0</v>
      </c>
      <c r="R55" t="str">
        <f>IFERROR(IF(AND(ISNUMBER(B55),C55&lt;&gt;""),B55-VLOOKUP(C55,Inventory!$A$2:$AE$35,29,FALSE()),""),"")</f>
        <v/>
      </c>
      <c r="U55" t="str">
        <f>IFERROR(VLOOKUP(C55,Inventory!$A$2:$C$35,2,FALSE()),"")</f>
        <v/>
      </c>
      <c r="V55" t="str">
        <f>IFERROR(VLOOKUP(C55,Inventory!$A$2:$Y$35,22,FALSE()),"")</f>
        <v/>
      </c>
      <c r="W55" t="str">
        <f>IFERROR(VLOOKUP(C55,Inventory!$A$2:$AB$35,25,FALSE()),"")</f>
        <v/>
      </c>
    </row>
    <row r="56" spans="1:23" ht="15" customHeight="1" x14ac:dyDescent="0.25">
      <c r="A56" t="str">
        <f t="shared" si="0"/>
        <v/>
      </c>
      <c r="B56" s="29"/>
      <c r="F56" s="45"/>
      <c r="G56" s="45"/>
      <c r="H56" s="45"/>
      <c r="I56" s="30">
        <f t="shared" si="1"/>
        <v>0</v>
      </c>
      <c r="J56" s="45">
        <f t="shared" si="2"/>
        <v>0</v>
      </c>
      <c r="K56" s="45">
        <f t="shared" si="3"/>
        <v>0</v>
      </c>
      <c r="L56" s="45"/>
      <c r="M56" s="45"/>
      <c r="N56" s="45">
        <f t="shared" si="4"/>
        <v>0</v>
      </c>
      <c r="O56" s="45">
        <f>IFERROR(VLOOKUP(C56,Inventory!$A$2:$N$35,13,FALSE()),0)</f>
        <v>0</v>
      </c>
      <c r="P56" s="45">
        <f t="shared" si="5"/>
        <v>0</v>
      </c>
      <c r="Q56" s="30">
        <f t="shared" si="6"/>
        <v>0</v>
      </c>
      <c r="R56" t="str">
        <f>IFERROR(IF(AND(ISNUMBER(B56),C56&lt;&gt;""),B56-VLOOKUP(C56,Inventory!$A$2:$AE$35,29,FALSE()),""),"")</f>
        <v/>
      </c>
      <c r="U56" t="str">
        <f>IFERROR(VLOOKUP(C56,Inventory!$A$2:$C$35,2,FALSE()),"")</f>
        <v/>
      </c>
      <c r="V56" t="str">
        <f>IFERROR(VLOOKUP(C56,Inventory!$A$2:$Y$35,22,FALSE()),"")</f>
        <v/>
      </c>
      <c r="W56" t="str">
        <f>IFERROR(VLOOKUP(C56,Inventory!$A$2:$AB$35,25,FALSE()),"")</f>
        <v/>
      </c>
    </row>
    <row r="57" spans="1:23" ht="15" customHeight="1" x14ac:dyDescent="0.25">
      <c r="A57" t="str">
        <f t="shared" si="0"/>
        <v/>
      </c>
      <c r="B57" s="29"/>
      <c r="F57" s="45"/>
      <c r="G57" s="45"/>
      <c r="H57" s="45"/>
      <c r="I57" s="30">
        <f t="shared" si="1"/>
        <v>0</v>
      </c>
      <c r="J57" s="45">
        <f t="shared" si="2"/>
        <v>0</v>
      </c>
      <c r="K57" s="45">
        <f t="shared" si="3"/>
        <v>0</v>
      </c>
      <c r="L57" s="45"/>
      <c r="M57" s="45"/>
      <c r="N57" s="45">
        <f t="shared" si="4"/>
        <v>0</v>
      </c>
      <c r="O57" s="45">
        <f>IFERROR(VLOOKUP(C57,Inventory!$A$2:$N$35,13,FALSE()),0)</f>
        <v>0</v>
      </c>
      <c r="P57" s="45">
        <f t="shared" si="5"/>
        <v>0</v>
      </c>
      <c r="Q57" s="30">
        <f t="shared" si="6"/>
        <v>0</v>
      </c>
      <c r="R57" t="str">
        <f>IFERROR(IF(AND(ISNUMBER(B57),C57&lt;&gt;""),B57-VLOOKUP(C57,Inventory!$A$2:$AE$35,29,FALSE()),""),"")</f>
        <v/>
      </c>
      <c r="U57" t="str">
        <f>IFERROR(VLOOKUP(C57,Inventory!$A$2:$C$35,2,FALSE()),"")</f>
        <v/>
      </c>
      <c r="V57" t="str">
        <f>IFERROR(VLOOKUP(C57,Inventory!$A$2:$Y$35,22,FALSE()),"")</f>
        <v/>
      </c>
      <c r="W57" t="str">
        <f>IFERROR(VLOOKUP(C57,Inventory!$A$2:$AB$35,25,FALSE()),"")</f>
        <v/>
      </c>
    </row>
    <row r="58" spans="1:23" ht="15" customHeight="1" x14ac:dyDescent="0.25">
      <c r="A58" t="str">
        <f t="shared" si="0"/>
        <v/>
      </c>
      <c r="B58" s="29"/>
      <c r="F58" s="45"/>
      <c r="G58" s="45"/>
      <c r="H58" s="45"/>
      <c r="I58" s="30">
        <f t="shared" si="1"/>
        <v>0</v>
      </c>
      <c r="J58" s="45">
        <f t="shared" si="2"/>
        <v>0</v>
      </c>
      <c r="K58" s="45">
        <f t="shared" si="3"/>
        <v>0</v>
      </c>
      <c r="L58" s="45"/>
      <c r="M58" s="45"/>
      <c r="N58" s="45">
        <f t="shared" si="4"/>
        <v>0</v>
      </c>
      <c r="O58" s="45">
        <f>IFERROR(VLOOKUP(C58,Inventory!$A$2:$N$35,13,FALSE()),0)</f>
        <v>0</v>
      </c>
      <c r="P58" s="45">
        <f t="shared" si="5"/>
        <v>0</v>
      </c>
      <c r="Q58" s="30">
        <f t="shared" si="6"/>
        <v>0</v>
      </c>
      <c r="R58" t="str">
        <f>IFERROR(IF(AND(ISNUMBER(B58),C58&lt;&gt;""),B58-VLOOKUP(C58,Inventory!$A$2:$AE$35,29,FALSE()),""),"")</f>
        <v/>
      </c>
      <c r="U58" t="str">
        <f>IFERROR(VLOOKUP(C58,Inventory!$A$2:$C$35,2,FALSE()),"")</f>
        <v/>
      </c>
      <c r="V58" t="str">
        <f>IFERROR(VLOOKUP(C58,Inventory!$A$2:$Y$35,22,FALSE()),"")</f>
        <v/>
      </c>
      <c r="W58" t="str">
        <f>IFERROR(VLOOKUP(C58,Inventory!$A$2:$AB$35,25,FALSE()),"")</f>
        <v/>
      </c>
    </row>
    <row r="59" spans="1:23" ht="15" customHeight="1" x14ac:dyDescent="0.25">
      <c r="A59" t="str">
        <f t="shared" si="0"/>
        <v/>
      </c>
      <c r="B59" s="29"/>
      <c r="F59" s="45"/>
      <c r="G59" s="45"/>
      <c r="H59" s="45"/>
      <c r="I59" s="30">
        <f t="shared" si="1"/>
        <v>0</v>
      </c>
      <c r="J59" s="45">
        <f t="shared" si="2"/>
        <v>0</v>
      </c>
      <c r="K59" s="45">
        <f t="shared" si="3"/>
        <v>0</v>
      </c>
      <c r="L59" s="45"/>
      <c r="M59" s="45"/>
      <c r="N59" s="45">
        <f t="shared" si="4"/>
        <v>0</v>
      </c>
      <c r="O59" s="45">
        <f>IFERROR(VLOOKUP(C59,Inventory!$A$2:$N$35,13,FALSE()),0)</f>
        <v>0</v>
      </c>
      <c r="P59" s="45">
        <f t="shared" si="5"/>
        <v>0</v>
      </c>
      <c r="Q59" s="30">
        <f t="shared" si="6"/>
        <v>0</v>
      </c>
      <c r="R59" t="str">
        <f>IFERROR(IF(AND(ISNUMBER(B59),C59&lt;&gt;""),B59-VLOOKUP(C59,Inventory!$A$2:$AE$35,29,FALSE()),""),"")</f>
        <v/>
      </c>
      <c r="U59" t="str">
        <f>IFERROR(VLOOKUP(C59,Inventory!$A$2:$C$35,2,FALSE()),"")</f>
        <v/>
      </c>
      <c r="V59" t="str">
        <f>IFERROR(VLOOKUP(C59,Inventory!$A$2:$Y$35,22,FALSE()),"")</f>
        <v/>
      </c>
      <c r="W59" t="str">
        <f>IFERROR(VLOOKUP(C59,Inventory!$A$2:$AB$35,25,FALSE()),"")</f>
        <v/>
      </c>
    </row>
    <row r="60" spans="1:23" ht="15" customHeight="1" x14ac:dyDescent="0.25">
      <c r="A60" t="str">
        <f t="shared" si="0"/>
        <v/>
      </c>
      <c r="B60" s="29"/>
      <c r="F60" s="45"/>
      <c r="G60" s="45"/>
      <c r="H60" s="45"/>
      <c r="I60" s="30">
        <f t="shared" si="1"/>
        <v>0</v>
      </c>
      <c r="J60" s="45">
        <f t="shared" si="2"/>
        <v>0</v>
      </c>
      <c r="K60" s="45">
        <f t="shared" si="3"/>
        <v>0</v>
      </c>
      <c r="L60" s="45"/>
      <c r="M60" s="45"/>
      <c r="N60" s="45">
        <f t="shared" si="4"/>
        <v>0</v>
      </c>
      <c r="O60" s="45">
        <f>IFERROR(VLOOKUP(C60,Inventory!$A$2:$N$35,13,FALSE()),0)</f>
        <v>0</v>
      </c>
      <c r="P60" s="45">
        <f t="shared" si="5"/>
        <v>0</v>
      </c>
      <c r="Q60" s="30">
        <f t="shared" si="6"/>
        <v>0</v>
      </c>
      <c r="R60" t="str">
        <f>IFERROR(IF(AND(ISNUMBER(B60),C60&lt;&gt;""),B60-VLOOKUP(C60,Inventory!$A$2:$AE$35,29,FALSE()),""),"")</f>
        <v/>
      </c>
      <c r="U60" t="str">
        <f>IFERROR(VLOOKUP(C60,Inventory!$A$2:$C$35,2,FALSE()),"")</f>
        <v/>
      </c>
      <c r="V60" t="str">
        <f>IFERROR(VLOOKUP(C60,Inventory!$A$2:$Y$35,22,FALSE()),"")</f>
        <v/>
      </c>
      <c r="W60" t="str">
        <f>IFERROR(VLOOKUP(C60,Inventory!$A$2:$AB$35,25,FALSE()),"")</f>
        <v/>
      </c>
    </row>
    <row r="61" spans="1:23" ht="15" customHeight="1" x14ac:dyDescent="0.25">
      <c r="A61" t="str">
        <f t="shared" si="0"/>
        <v/>
      </c>
      <c r="B61" s="29"/>
      <c r="F61" s="45"/>
      <c r="G61" s="45"/>
      <c r="H61" s="45"/>
      <c r="I61" s="30">
        <f t="shared" si="1"/>
        <v>0</v>
      </c>
      <c r="J61" s="45">
        <f t="shared" si="2"/>
        <v>0</v>
      </c>
      <c r="K61" s="45">
        <f t="shared" si="3"/>
        <v>0</v>
      </c>
      <c r="L61" s="45"/>
      <c r="M61" s="45"/>
      <c r="N61" s="45">
        <f t="shared" si="4"/>
        <v>0</v>
      </c>
      <c r="O61" s="45">
        <f>IFERROR(VLOOKUP(C61,Inventory!$A$2:$N$35,13,FALSE()),0)</f>
        <v>0</v>
      </c>
      <c r="P61" s="45">
        <f t="shared" si="5"/>
        <v>0</v>
      </c>
      <c r="Q61" s="30">
        <f t="shared" si="6"/>
        <v>0</v>
      </c>
      <c r="R61" t="str">
        <f>IFERROR(IF(AND(ISNUMBER(B61),C61&lt;&gt;""),B61-VLOOKUP(C61,Inventory!$A$2:$AE$35,29,FALSE()),""),"")</f>
        <v/>
      </c>
      <c r="U61" t="str">
        <f>IFERROR(VLOOKUP(C61,Inventory!$A$2:$C$35,2,FALSE()),"")</f>
        <v/>
      </c>
      <c r="V61" t="str">
        <f>IFERROR(VLOOKUP(C61,Inventory!$A$2:$Y$35,22,FALSE()),"")</f>
        <v/>
      </c>
      <c r="W61" t="str">
        <f>IFERROR(VLOOKUP(C61,Inventory!$A$2:$AB$35,25,FALSE()),"")</f>
        <v/>
      </c>
    </row>
    <row r="62" spans="1:23" ht="15" customHeight="1" x14ac:dyDescent="0.25">
      <c r="A62" t="str">
        <f t="shared" si="0"/>
        <v/>
      </c>
      <c r="B62" s="29"/>
      <c r="F62" s="45"/>
      <c r="G62" s="45"/>
      <c r="H62" s="45"/>
      <c r="I62" s="30">
        <f t="shared" si="1"/>
        <v>0</v>
      </c>
      <c r="J62" s="45">
        <f t="shared" si="2"/>
        <v>0</v>
      </c>
      <c r="K62" s="45">
        <f t="shared" si="3"/>
        <v>0</v>
      </c>
      <c r="L62" s="45"/>
      <c r="M62" s="45"/>
      <c r="N62" s="45">
        <f t="shared" si="4"/>
        <v>0</v>
      </c>
      <c r="O62" s="45">
        <f>IFERROR(VLOOKUP(C62,Inventory!$A$2:$N$35,13,FALSE()),0)</f>
        <v>0</v>
      </c>
      <c r="P62" s="45">
        <f t="shared" si="5"/>
        <v>0</v>
      </c>
      <c r="Q62" s="30">
        <f t="shared" si="6"/>
        <v>0</v>
      </c>
      <c r="R62" t="str">
        <f>IFERROR(IF(AND(ISNUMBER(B62),C62&lt;&gt;""),B62-VLOOKUP(C62,Inventory!$A$2:$AE$35,29,FALSE()),""),"")</f>
        <v/>
      </c>
      <c r="U62" t="str">
        <f>IFERROR(VLOOKUP(C62,Inventory!$A$2:$C$35,2,FALSE()),"")</f>
        <v/>
      </c>
      <c r="V62" t="str">
        <f>IFERROR(VLOOKUP(C62,Inventory!$A$2:$Y$35,22,FALSE()),"")</f>
        <v/>
      </c>
      <c r="W62" t="str">
        <f>IFERROR(VLOOKUP(C62,Inventory!$A$2:$AB$35,25,FALSE()),"")</f>
        <v/>
      </c>
    </row>
    <row r="63" spans="1:23" ht="15" customHeight="1" x14ac:dyDescent="0.25">
      <c r="A63" t="str">
        <f t="shared" si="0"/>
        <v/>
      </c>
      <c r="B63" s="29"/>
      <c r="F63" s="45"/>
      <c r="G63" s="45"/>
      <c r="H63" s="45"/>
      <c r="I63" s="30">
        <f t="shared" si="1"/>
        <v>0</v>
      </c>
      <c r="J63" s="45">
        <f t="shared" si="2"/>
        <v>0</v>
      </c>
      <c r="K63" s="45">
        <f t="shared" si="3"/>
        <v>0</v>
      </c>
      <c r="L63" s="45"/>
      <c r="M63" s="45"/>
      <c r="N63" s="45">
        <f t="shared" si="4"/>
        <v>0</v>
      </c>
      <c r="O63" s="45">
        <f>IFERROR(VLOOKUP(C63,Inventory!$A$2:$N$35,13,FALSE()),0)</f>
        <v>0</v>
      </c>
      <c r="P63" s="45">
        <f t="shared" si="5"/>
        <v>0</v>
      </c>
      <c r="Q63" s="30">
        <f t="shared" si="6"/>
        <v>0</v>
      </c>
      <c r="R63" t="str">
        <f>IFERROR(IF(AND(ISNUMBER(B63),C63&lt;&gt;""),B63-VLOOKUP(C63,Inventory!$A$2:$AE$35,29,FALSE()),""),"")</f>
        <v/>
      </c>
      <c r="U63" t="str">
        <f>IFERROR(VLOOKUP(C63,Inventory!$A$2:$C$35,2,FALSE()),"")</f>
        <v/>
      </c>
      <c r="V63" t="str">
        <f>IFERROR(VLOOKUP(C63,Inventory!$A$2:$Y$35,22,FALSE()),"")</f>
        <v/>
      </c>
      <c r="W63" t="str">
        <f>IFERROR(VLOOKUP(C63,Inventory!$A$2:$AB$35,25,FALSE()),"")</f>
        <v/>
      </c>
    </row>
    <row r="64" spans="1:23" ht="15" customHeight="1" x14ac:dyDescent="0.25">
      <c r="A64" t="str">
        <f t="shared" si="0"/>
        <v/>
      </c>
      <c r="B64" s="29"/>
      <c r="F64" s="45"/>
      <c r="G64" s="45"/>
      <c r="H64" s="45"/>
      <c r="I64" s="30">
        <f t="shared" si="1"/>
        <v>0</v>
      </c>
      <c r="J64" s="45">
        <f t="shared" si="2"/>
        <v>0</v>
      </c>
      <c r="K64" s="45">
        <f t="shared" si="3"/>
        <v>0</v>
      </c>
      <c r="L64" s="45"/>
      <c r="M64" s="45"/>
      <c r="N64" s="45">
        <f t="shared" si="4"/>
        <v>0</v>
      </c>
      <c r="O64" s="45">
        <f>IFERROR(VLOOKUP(C64,Inventory!$A$2:$N$35,13,FALSE()),0)</f>
        <v>0</v>
      </c>
      <c r="P64" s="45">
        <f t="shared" si="5"/>
        <v>0</v>
      </c>
      <c r="Q64" s="30">
        <f t="shared" si="6"/>
        <v>0</v>
      </c>
      <c r="R64" t="str">
        <f>IFERROR(IF(AND(ISNUMBER(B64),C64&lt;&gt;""),B64-VLOOKUP(C64,Inventory!$A$2:$AE$35,29,FALSE()),""),"")</f>
        <v/>
      </c>
      <c r="U64" t="str">
        <f>IFERROR(VLOOKUP(C64,Inventory!$A$2:$C$35,2,FALSE()),"")</f>
        <v/>
      </c>
      <c r="V64" t="str">
        <f>IFERROR(VLOOKUP(C64,Inventory!$A$2:$Y$35,22,FALSE()),"")</f>
        <v/>
      </c>
      <c r="W64" t="str">
        <f>IFERROR(VLOOKUP(C64,Inventory!$A$2:$AB$35,25,FALSE()),"")</f>
        <v/>
      </c>
    </row>
    <row r="65" spans="1:23" ht="15" customHeight="1" x14ac:dyDescent="0.25">
      <c r="A65" t="str">
        <f t="shared" si="0"/>
        <v/>
      </c>
      <c r="B65" s="29"/>
      <c r="F65" s="45"/>
      <c r="G65" s="45"/>
      <c r="H65" s="45"/>
      <c r="I65" s="30">
        <f t="shared" si="1"/>
        <v>0</v>
      </c>
      <c r="J65" s="45">
        <f t="shared" si="2"/>
        <v>0</v>
      </c>
      <c r="K65" s="45">
        <f t="shared" si="3"/>
        <v>0</v>
      </c>
      <c r="L65" s="45"/>
      <c r="M65" s="45"/>
      <c r="N65" s="45">
        <f t="shared" si="4"/>
        <v>0</v>
      </c>
      <c r="O65" s="45">
        <f>IFERROR(VLOOKUP(C65,Inventory!$A$2:$N$35,13,FALSE()),0)</f>
        <v>0</v>
      </c>
      <c r="P65" s="45">
        <f t="shared" si="5"/>
        <v>0</v>
      </c>
      <c r="Q65" s="30">
        <f t="shared" si="6"/>
        <v>0</v>
      </c>
      <c r="R65" t="str">
        <f>IFERROR(IF(AND(ISNUMBER(B65),C65&lt;&gt;""),B65-VLOOKUP(C65,Inventory!$A$2:$AE$35,29,FALSE()),""),"")</f>
        <v/>
      </c>
      <c r="U65" t="str">
        <f>IFERROR(VLOOKUP(C65,Inventory!$A$2:$C$35,2,FALSE()),"")</f>
        <v/>
      </c>
      <c r="V65" t="str">
        <f>IFERROR(VLOOKUP(C65,Inventory!$A$2:$Y$35,22,FALSE()),"")</f>
        <v/>
      </c>
      <c r="W65" t="str">
        <f>IFERROR(VLOOKUP(C65,Inventory!$A$2:$AB$35,25,FALSE()),"")</f>
        <v/>
      </c>
    </row>
    <row r="66" spans="1:23" ht="15" customHeight="1" x14ac:dyDescent="0.25">
      <c r="A66" t="str">
        <f t="shared" si="0"/>
        <v/>
      </c>
      <c r="B66" s="29"/>
      <c r="F66" s="45"/>
      <c r="G66" s="45"/>
      <c r="H66" s="45"/>
      <c r="I66" s="30">
        <f t="shared" si="1"/>
        <v>0</v>
      </c>
      <c r="J66" s="45">
        <f t="shared" si="2"/>
        <v>0</v>
      </c>
      <c r="K66" s="45">
        <f t="shared" si="3"/>
        <v>0</v>
      </c>
      <c r="L66" s="45"/>
      <c r="M66" s="45"/>
      <c r="N66" s="45">
        <f t="shared" si="4"/>
        <v>0</v>
      </c>
      <c r="O66" s="45">
        <f>IFERROR(VLOOKUP(C66,Inventory!$A$2:$N$35,13,FALSE()),0)</f>
        <v>0</v>
      </c>
      <c r="P66" s="45">
        <f t="shared" si="5"/>
        <v>0</v>
      </c>
      <c r="Q66" s="30">
        <f t="shared" si="6"/>
        <v>0</v>
      </c>
      <c r="R66" t="str">
        <f>IFERROR(IF(AND(ISNUMBER(B66),C66&lt;&gt;""),B66-VLOOKUP(C66,Inventory!$A$2:$AE$35,29,FALSE()),""),"")</f>
        <v/>
      </c>
      <c r="U66" t="str">
        <f>IFERROR(VLOOKUP(C66,Inventory!$A$2:$C$35,2,FALSE()),"")</f>
        <v/>
      </c>
      <c r="V66" t="str">
        <f>IFERROR(VLOOKUP(C66,Inventory!$A$2:$Y$35,22,FALSE()),"")</f>
        <v/>
      </c>
      <c r="W66" t="str">
        <f>IFERROR(VLOOKUP(C66,Inventory!$A$2:$AB$35,25,FALSE()),"")</f>
        <v/>
      </c>
    </row>
    <row r="67" spans="1:23" ht="15" customHeight="1" x14ac:dyDescent="0.25">
      <c r="A67" t="str">
        <f t="shared" si="0"/>
        <v/>
      </c>
      <c r="B67" s="29"/>
      <c r="F67" s="45"/>
      <c r="G67" s="45"/>
      <c r="H67" s="45"/>
      <c r="I67" s="30">
        <f t="shared" si="1"/>
        <v>0</v>
      </c>
      <c r="J67" s="45">
        <f t="shared" si="2"/>
        <v>0</v>
      </c>
      <c r="K67" s="45">
        <f t="shared" si="3"/>
        <v>0</v>
      </c>
      <c r="L67" s="45"/>
      <c r="M67" s="45"/>
      <c r="N67" s="45">
        <f t="shared" si="4"/>
        <v>0</v>
      </c>
      <c r="O67" s="45">
        <f>IFERROR(VLOOKUP(C67,Inventory!$A$2:$N$35,13,FALSE()),0)</f>
        <v>0</v>
      </c>
      <c r="P67" s="45">
        <f t="shared" si="5"/>
        <v>0</v>
      </c>
      <c r="Q67" s="30">
        <f t="shared" si="6"/>
        <v>0</v>
      </c>
      <c r="R67" t="str">
        <f>IFERROR(IF(AND(ISNUMBER(B67),C67&lt;&gt;""),B67-VLOOKUP(C67,Inventory!$A$2:$AE$35,29,FALSE()),""),"")</f>
        <v/>
      </c>
      <c r="U67" t="str">
        <f>IFERROR(VLOOKUP(C67,Inventory!$A$2:$C$35,2,FALSE()),"")</f>
        <v/>
      </c>
      <c r="V67" t="str">
        <f>IFERROR(VLOOKUP(C67,Inventory!$A$2:$Y$35,22,FALSE()),"")</f>
        <v/>
      </c>
      <c r="W67" t="str">
        <f>IFERROR(VLOOKUP(C67,Inventory!$A$2:$AB$35,25,FALSE()),"")</f>
        <v/>
      </c>
    </row>
    <row r="68" spans="1:23" ht="15" customHeight="1" x14ac:dyDescent="0.25">
      <c r="A68" t="str">
        <f t="shared" ref="A68:A131" si="7">IF(C68="","",ROW()-3)</f>
        <v/>
      </c>
      <c r="B68" s="29"/>
      <c r="F68" s="45"/>
      <c r="G68" s="45"/>
      <c r="H68" s="45"/>
      <c r="I68" s="30">
        <f t="shared" ref="I68:I131" si="8">IFERROR(VLOOKUP(D68,PlatformFees,2,FALSE()),0)</f>
        <v>0</v>
      </c>
      <c r="J68" s="45">
        <f t="shared" ref="J68:J131" si="9">IFERROR(VLOOKUP(D68,PlatformFees,3,FALSE()),0)</f>
        <v>0</v>
      </c>
      <c r="K68" s="45">
        <f t="shared" ref="K68:K131" si="10">IF(ISNUMBER(F68),F68*I68+J68,0)</f>
        <v>0</v>
      </c>
      <c r="L68" s="45"/>
      <c r="M68" s="45"/>
      <c r="N68" s="45">
        <f t="shared" ref="N68:N131" si="11">IF(ISNUMBER(F68),F68+IFERROR(G68,0)-IFERROR(H68,0)-K68-IFERROR(L68,0)-IFERROR(M68,0),0)</f>
        <v>0</v>
      </c>
      <c r="O68" s="45">
        <f>IFERROR(VLOOKUP(C68,Inventory!$A$2:$N$35,13,FALSE()),0)</f>
        <v>0</v>
      </c>
      <c r="P68" s="45">
        <f t="shared" ref="P68:P131" si="12">IF(ISNUMBER(F68),N68-O68,0)</f>
        <v>0</v>
      </c>
      <c r="Q68" s="30">
        <f t="shared" ref="Q68:Q131" si="13">IFERROR(IF(O68=0,0,P68/O68),0)</f>
        <v>0</v>
      </c>
      <c r="R68" t="str">
        <f>IFERROR(IF(AND(ISNUMBER(B68),C68&lt;&gt;""),B68-VLOOKUP(C68,Inventory!$A$2:$AE$35,29,FALSE()),""),"")</f>
        <v/>
      </c>
      <c r="U68" t="str">
        <f>IFERROR(VLOOKUP(C68,Inventory!$A$2:$C$35,2,FALSE()),"")</f>
        <v/>
      </c>
      <c r="V68" t="str">
        <f>IFERROR(VLOOKUP(C68,Inventory!$A$2:$Y$35,22,FALSE()),"")</f>
        <v/>
      </c>
      <c r="W68" t="str">
        <f>IFERROR(VLOOKUP(C68,Inventory!$A$2:$AB$35,25,FALSE()),"")</f>
        <v/>
      </c>
    </row>
    <row r="69" spans="1:23" ht="15" customHeight="1" x14ac:dyDescent="0.25">
      <c r="A69" t="str">
        <f t="shared" si="7"/>
        <v/>
      </c>
      <c r="B69" s="29"/>
      <c r="F69" s="45"/>
      <c r="G69" s="45"/>
      <c r="H69" s="45"/>
      <c r="I69" s="30">
        <f t="shared" si="8"/>
        <v>0</v>
      </c>
      <c r="J69" s="45">
        <f t="shared" si="9"/>
        <v>0</v>
      </c>
      <c r="K69" s="45">
        <f t="shared" si="10"/>
        <v>0</v>
      </c>
      <c r="L69" s="45"/>
      <c r="M69" s="45"/>
      <c r="N69" s="45">
        <f t="shared" si="11"/>
        <v>0</v>
      </c>
      <c r="O69" s="45">
        <f>IFERROR(VLOOKUP(C69,Inventory!$A$2:$N$35,13,FALSE()),0)</f>
        <v>0</v>
      </c>
      <c r="P69" s="45">
        <f t="shared" si="12"/>
        <v>0</v>
      </c>
      <c r="Q69" s="30">
        <f t="shared" si="13"/>
        <v>0</v>
      </c>
      <c r="R69" t="str">
        <f>IFERROR(IF(AND(ISNUMBER(B69),C69&lt;&gt;""),B69-VLOOKUP(C69,Inventory!$A$2:$AE$35,29,FALSE()),""),"")</f>
        <v/>
      </c>
      <c r="U69" t="str">
        <f>IFERROR(VLOOKUP(C69,Inventory!$A$2:$C$35,2,FALSE()),"")</f>
        <v/>
      </c>
      <c r="V69" t="str">
        <f>IFERROR(VLOOKUP(C69,Inventory!$A$2:$Y$35,22,FALSE()),"")</f>
        <v/>
      </c>
      <c r="W69" t="str">
        <f>IFERROR(VLOOKUP(C69,Inventory!$A$2:$AB$35,25,FALSE()),"")</f>
        <v/>
      </c>
    </row>
    <row r="70" spans="1:23" ht="15" customHeight="1" x14ac:dyDescent="0.25">
      <c r="A70" t="str">
        <f t="shared" si="7"/>
        <v/>
      </c>
      <c r="B70" s="29"/>
      <c r="F70" s="45"/>
      <c r="G70" s="45"/>
      <c r="H70" s="45"/>
      <c r="I70" s="30">
        <f t="shared" si="8"/>
        <v>0</v>
      </c>
      <c r="J70" s="45">
        <f t="shared" si="9"/>
        <v>0</v>
      </c>
      <c r="K70" s="45">
        <f t="shared" si="10"/>
        <v>0</v>
      </c>
      <c r="L70" s="45"/>
      <c r="M70" s="45"/>
      <c r="N70" s="45">
        <f t="shared" si="11"/>
        <v>0</v>
      </c>
      <c r="O70" s="45">
        <f>IFERROR(VLOOKUP(C70,Inventory!$A$2:$N$35,13,FALSE()),0)</f>
        <v>0</v>
      </c>
      <c r="P70" s="45">
        <f t="shared" si="12"/>
        <v>0</v>
      </c>
      <c r="Q70" s="30">
        <f t="shared" si="13"/>
        <v>0</v>
      </c>
      <c r="R70" t="str">
        <f>IFERROR(IF(AND(ISNUMBER(B70),C70&lt;&gt;""),B70-VLOOKUP(C70,Inventory!$A$2:$AE$35,29,FALSE()),""),"")</f>
        <v/>
      </c>
      <c r="U70" t="str">
        <f>IFERROR(VLOOKUP(C70,Inventory!$A$2:$C$35,2,FALSE()),"")</f>
        <v/>
      </c>
      <c r="V70" t="str">
        <f>IFERROR(VLOOKUP(C70,Inventory!$A$2:$Y$35,22,FALSE()),"")</f>
        <v/>
      </c>
      <c r="W70" t="str">
        <f>IFERROR(VLOOKUP(C70,Inventory!$A$2:$AB$35,25,FALSE()),"")</f>
        <v/>
      </c>
    </row>
    <row r="71" spans="1:23" ht="15" customHeight="1" x14ac:dyDescent="0.25">
      <c r="A71" t="str">
        <f t="shared" si="7"/>
        <v/>
      </c>
      <c r="B71" s="29"/>
      <c r="F71" s="45"/>
      <c r="G71" s="45"/>
      <c r="H71" s="45"/>
      <c r="I71" s="30">
        <f t="shared" si="8"/>
        <v>0</v>
      </c>
      <c r="J71" s="45">
        <f t="shared" si="9"/>
        <v>0</v>
      </c>
      <c r="K71" s="45">
        <f t="shared" si="10"/>
        <v>0</v>
      </c>
      <c r="L71" s="45"/>
      <c r="M71" s="45"/>
      <c r="N71" s="45">
        <f t="shared" si="11"/>
        <v>0</v>
      </c>
      <c r="O71" s="45">
        <f>IFERROR(VLOOKUP(C71,Inventory!$A$2:$N$35,13,FALSE()),0)</f>
        <v>0</v>
      </c>
      <c r="P71" s="45">
        <f t="shared" si="12"/>
        <v>0</v>
      </c>
      <c r="Q71" s="30">
        <f t="shared" si="13"/>
        <v>0</v>
      </c>
      <c r="R71" t="str">
        <f>IFERROR(IF(AND(ISNUMBER(B71),C71&lt;&gt;""),B71-VLOOKUP(C71,Inventory!$A$2:$AE$35,29,FALSE()),""),"")</f>
        <v/>
      </c>
      <c r="U71" t="str">
        <f>IFERROR(VLOOKUP(C71,Inventory!$A$2:$C$35,2,FALSE()),"")</f>
        <v/>
      </c>
      <c r="V71" t="str">
        <f>IFERROR(VLOOKUP(C71,Inventory!$A$2:$Y$35,22,FALSE()),"")</f>
        <v/>
      </c>
      <c r="W71" t="str">
        <f>IFERROR(VLOOKUP(C71,Inventory!$A$2:$AB$35,25,FALSE()),"")</f>
        <v/>
      </c>
    </row>
    <row r="72" spans="1:23" ht="15" customHeight="1" x14ac:dyDescent="0.25">
      <c r="A72" t="str">
        <f t="shared" si="7"/>
        <v/>
      </c>
      <c r="B72" s="29"/>
      <c r="F72" s="45"/>
      <c r="G72" s="45"/>
      <c r="H72" s="45"/>
      <c r="I72" s="30">
        <f t="shared" si="8"/>
        <v>0</v>
      </c>
      <c r="J72" s="45">
        <f t="shared" si="9"/>
        <v>0</v>
      </c>
      <c r="K72" s="45">
        <f t="shared" si="10"/>
        <v>0</v>
      </c>
      <c r="L72" s="45"/>
      <c r="M72" s="45"/>
      <c r="N72" s="45">
        <f t="shared" si="11"/>
        <v>0</v>
      </c>
      <c r="O72" s="45">
        <f>IFERROR(VLOOKUP(C72,Inventory!$A$2:$N$35,13,FALSE()),0)</f>
        <v>0</v>
      </c>
      <c r="P72" s="45">
        <f t="shared" si="12"/>
        <v>0</v>
      </c>
      <c r="Q72" s="30">
        <f t="shared" si="13"/>
        <v>0</v>
      </c>
      <c r="R72" t="str">
        <f>IFERROR(IF(AND(ISNUMBER(B72),C72&lt;&gt;""),B72-VLOOKUP(C72,Inventory!$A$2:$AE$35,29,FALSE()),""),"")</f>
        <v/>
      </c>
      <c r="U72" t="str">
        <f>IFERROR(VLOOKUP(C72,Inventory!$A$2:$C$35,2,FALSE()),"")</f>
        <v/>
      </c>
      <c r="V72" t="str">
        <f>IFERROR(VLOOKUP(C72,Inventory!$A$2:$Y$35,22,FALSE()),"")</f>
        <v/>
      </c>
      <c r="W72" t="str">
        <f>IFERROR(VLOOKUP(C72,Inventory!$A$2:$AB$35,25,FALSE()),"")</f>
        <v/>
      </c>
    </row>
    <row r="73" spans="1:23" ht="15" customHeight="1" x14ac:dyDescent="0.25">
      <c r="A73" t="str">
        <f t="shared" si="7"/>
        <v/>
      </c>
      <c r="B73" s="29"/>
      <c r="F73" s="45"/>
      <c r="G73" s="45"/>
      <c r="H73" s="45"/>
      <c r="I73" s="30">
        <f t="shared" si="8"/>
        <v>0</v>
      </c>
      <c r="J73" s="45">
        <f t="shared" si="9"/>
        <v>0</v>
      </c>
      <c r="K73" s="45">
        <f t="shared" si="10"/>
        <v>0</v>
      </c>
      <c r="L73" s="45"/>
      <c r="M73" s="45"/>
      <c r="N73" s="45">
        <f t="shared" si="11"/>
        <v>0</v>
      </c>
      <c r="O73" s="45">
        <f>IFERROR(VLOOKUP(C73,Inventory!$A$2:$N$35,13,FALSE()),0)</f>
        <v>0</v>
      </c>
      <c r="P73" s="45">
        <f t="shared" si="12"/>
        <v>0</v>
      </c>
      <c r="Q73" s="30">
        <f t="shared" si="13"/>
        <v>0</v>
      </c>
      <c r="R73" t="str">
        <f>IFERROR(IF(AND(ISNUMBER(B73),C73&lt;&gt;""),B73-VLOOKUP(C73,Inventory!$A$2:$AE$35,29,FALSE()),""),"")</f>
        <v/>
      </c>
      <c r="U73" t="str">
        <f>IFERROR(VLOOKUP(C73,Inventory!$A$2:$C$35,2,FALSE()),"")</f>
        <v/>
      </c>
      <c r="V73" t="str">
        <f>IFERROR(VLOOKUP(C73,Inventory!$A$2:$Y$35,22,FALSE()),"")</f>
        <v/>
      </c>
      <c r="W73" t="str">
        <f>IFERROR(VLOOKUP(C73,Inventory!$A$2:$AB$35,25,FALSE()),"")</f>
        <v/>
      </c>
    </row>
    <row r="74" spans="1:23" ht="15" customHeight="1" x14ac:dyDescent="0.25">
      <c r="A74" t="str">
        <f t="shared" si="7"/>
        <v/>
      </c>
      <c r="B74" s="29"/>
      <c r="F74" s="45"/>
      <c r="G74" s="45"/>
      <c r="H74" s="45"/>
      <c r="I74" s="30">
        <f t="shared" si="8"/>
        <v>0</v>
      </c>
      <c r="J74" s="45">
        <f t="shared" si="9"/>
        <v>0</v>
      </c>
      <c r="K74" s="45">
        <f t="shared" si="10"/>
        <v>0</v>
      </c>
      <c r="L74" s="45"/>
      <c r="M74" s="45"/>
      <c r="N74" s="45">
        <f t="shared" si="11"/>
        <v>0</v>
      </c>
      <c r="O74" s="45">
        <f>IFERROR(VLOOKUP(C74,Inventory!$A$2:$N$35,13,FALSE()),0)</f>
        <v>0</v>
      </c>
      <c r="P74" s="45">
        <f t="shared" si="12"/>
        <v>0</v>
      </c>
      <c r="Q74" s="30">
        <f t="shared" si="13"/>
        <v>0</v>
      </c>
      <c r="R74" t="str">
        <f>IFERROR(IF(AND(ISNUMBER(B74),C74&lt;&gt;""),B74-VLOOKUP(C74,Inventory!$A$2:$AE$35,29,FALSE()),""),"")</f>
        <v/>
      </c>
      <c r="U74" t="str">
        <f>IFERROR(VLOOKUP(C74,Inventory!$A$2:$C$35,2,FALSE()),"")</f>
        <v/>
      </c>
      <c r="V74" t="str">
        <f>IFERROR(VLOOKUP(C74,Inventory!$A$2:$Y$35,22,FALSE()),"")</f>
        <v/>
      </c>
      <c r="W74" t="str">
        <f>IFERROR(VLOOKUP(C74,Inventory!$A$2:$AB$35,25,FALSE()),"")</f>
        <v/>
      </c>
    </row>
    <row r="75" spans="1:23" ht="15" customHeight="1" x14ac:dyDescent="0.25">
      <c r="A75" t="str">
        <f t="shared" si="7"/>
        <v/>
      </c>
      <c r="B75" s="29"/>
      <c r="F75" s="45"/>
      <c r="G75" s="45"/>
      <c r="H75" s="45"/>
      <c r="I75" s="30">
        <f t="shared" si="8"/>
        <v>0</v>
      </c>
      <c r="J75" s="45">
        <f t="shared" si="9"/>
        <v>0</v>
      </c>
      <c r="K75" s="45">
        <f t="shared" si="10"/>
        <v>0</v>
      </c>
      <c r="L75" s="45"/>
      <c r="M75" s="45"/>
      <c r="N75" s="45">
        <f t="shared" si="11"/>
        <v>0</v>
      </c>
      <c r="O75" s="45">
        <f>IFERROR(VLOOKUP(C75,Inventory!$A$2:$N$35,13,FALSE()),0)</f>
        <v>0</v>
      </c>
      <c r="P75" s="45">
        <f t="shared" si="12"/>
        <v>0</v>
      </c>
      <c r="Q75" s="30">
        <f t="shared" si="13"/>
        <v>0</v>
      </c>
      <c r="R75" t="str">
        <f>IFERROR(IF(AND(ISNUMBER(B75),C75&lt;&gt;""),B75-VLOOKUP(C75,Inventory!$A$2:$AE$35,29,FALSE()),""),"")</f>
        <v/>
      </c>
      <c r="U75" t="str">
        <f>IFERROR(VLOOKUP(C75,Inventory!$A$2:$C$35,2,FALSE()),"")</f>
        <v/>
      </c>
      <c r="V75" t="str">
        <f>IFERROR(VLOOKUP(C75,Inventory!$A$2:$Y$35,22,FALSE()),"")</f>
        <v/>
      </c>
      <c r="W75" t="str">
        <f>IFERROR(VLOOKUP(C75,Inventory!$A$2:$AB$35,25,FALSE()),"")</f>
        <v/>
      </c>
    </row>
    <row r="76" spans="1:23" ht="15" customHeight="1" x14ac:dyDescent="0.25">
      <c r="A76" t="str">
        <f t="shared" si="7"/>
        <v/>
      </c>
      <c r="B76" s="29"/>
      <c r="F76" s="45"/>
      <c r="G76" s="45"/>
      <c r="H76" s="45"/>
      <c r="I76" s="30">
        <f t="shared" si="8"/>
        <v>0</v>
      </c>
      <c r="J76" s="45">
        <f t="shared" si="9"/>
        <v>0</v>
      </c>
      <c r="K76" s="45">
        <f t="shared" si="10"/>
        <v>0</v>
      </c>
      <c r="L76" s="45"/>
      <c r="M76" s="45"/>
      <c r="N76" s="45">
        <f t="shared" si="11"/>
        <v>0</v>
      </c>
      <c r="O76" s="45">
        <f>IFERROR(VLOOKUP(C76,Inventory!$A$2:$N$35,13,FALSE()),0)</f>
        <v>0</v>
      </c>
      <c r="P76" s="45">
        <f t="shared" si="12"/>
        <v>0</v>
      </c>
      <c r="Q76" s="30">
        <f t="shared" si="13"/>
        <v>0</v>
      </c>
      <c r="R76" t="str">
        <f>IFERROR(IF(AND(ISNUMBER(B76),C76&lt;&gt;""),B76-VLOOKUP(C76,Inventory!$A$2:$AE$35,29,FALSE()),""),"")</f>
        <v/>
      </c>
      <c r="U76" t="str">
        <f>IFERROR(VLOOKUP(C76,Inventory!$A$2:$C$35,2,FALSE()),"")</f>
        <v/>
      </c>
      <c r="V76" t="str">
        <f>IFERROR(VLOOKUP(C76,Inventory!$A$2:$Y$35,22,FALSE()),"")</f>
        <v/>
      </c>
      <c r="W76" t="str">
        <f>IFERROR(VLOOKUP(C76,Inventory!$A$2:$AB$35,25,FALSE()),"")</f>
        <v/>
      </c>
    </row>
    <row r="77" spans="1:23" ht="15" customHeight="1" x14ac:dyDescent="0.25">
      <c r="A77" t="str">
        <f t="shared" si="7"/>
        <v/>
      </c>
      <c r="B77" s="29"/>
      <c r="F77" s="45"/>
      <c r="G77" s="45"/>
      <c r="H77" s="45"/>
      <c r="I77" s="30">
        <f t="shared" si="8"/>
        <v>0</v>
      </c>
      <c r="J77" s="45">
        <f t="shared" si="9"/>
        <v>0</v>
      </c>
      <c r="K77" s="45">
        <f t="shared" si="10"/>
        <v>0</v>
      </c>
      <c r="L77" s="45"/>
      <c r="M77" s="45"/>
      <c r="N77" s="45">
        <f t="shared" si="11"/>
        <v>0</v>
      </c>
      <c r="O77" s="45">
        <f>IFERROR(VLOOKUP(C77,Inventory!$A$2:$N$35,13,FALSE()),0)</f>
        <v>0</v>
      </c>
      <c r="P77" s="45">
        <f t="shared" si="12"/>
        <v>0</v>
      </c>
      <c r="Q77" s="30">
        <f t="shared" si="13"/>
        <v>0</v>
      </c>
      <c r="R77" t="str">
        <f>IFERROR(IF(AND(ISNUMBER(B77),C77&lt;&gt;""),B77-VLOOKUP(C77,Inventory!$A$2:$AE$35,29,FALSE()),""),"")</f>
        <v/>
      </c>
      <c r="U77" t="str">
        <f>IFERROR(VLOOKUP(C77,Inventory!$A$2:$C$35,2,FALSE()),"")</f>
        <v/>
      </c>
      <c r="V77" t="str">
        <f>IFERROR(VLOOKUP(C77,Inventory!$A$2:$Y$35,22,FALSE()),"")</f>
        <v/>
      </c>
      <c r="W77" t="str">
        <f>IFERROR(VLOOKUP(C77,Inventory!$A$2:$AB$35,25,FALSE()),"")</f>
        <v/>
      </c>
    </row>
    <row r="78" spans="1:23" ht="15" customHeight="1" x14ac:dyDescent="0.25">
      <c r="A78" t="str">
        <f t="shared" si="7"/>
        <v/>
      </c>
      <c r="B78" s="29"/>
      <c r="F78" s="45"/>
      <c r="G78" s="45"/>
      <c r="H78" s="45"/>
      <c r="I78" s="30">
        <f t="shared" si="8"/>
        <v>0</v>
      </c>
      <c r="J78" s="45">
        <f t="shared" si="9"/>
        <v>0</v>
      </c>
      <c r="K78" s="45">
        <f t="shared" si="10"/>
        <v>0</v>
      </c>
      <c r="L78" s="45"/>
      <c r="M78" s="45"/>
      <c r="N78" s="45">
        <f t="shared" si="11"/>
        <v>0</v>
      </c>
      <c r="O78" s="45">
        <f>IFERROR(VLOOKUP(C78,Inventory!$A$2:$N$35,13,FALSE()),0)</f>
        <v>0</v>
      </c>
      <c r="P78" s="45">
        <f t="shared" si="12"/>
        <v>0</v>
      </c>
      <c r="Q78" s="30">
        <f t="shared" si="13"/>
        <v>0</v>
      </c>
      <c r="R78" t="str">
        <f>IFERROR(IF(AND(ISNUMBER(B78),C78&lt;&gt;""),B78-VLOOKUP(C78,Inventory!$A$2:$AE$35,29,FALSE()),""),"")</f>
        <v/>
      </c>
      <c r="U78" t="str">
        <f>IFERROR(VLOOKUP(C78,Inventory!$A$2:$C$35,2,FALSE()),"")</f>
        <v/>
      </c>
      <c r="V78" t="str">
        <f>IFERROR(VLOOKUP(C78,Inventory!$A$2:$Y$35,22,FALSE()),"")</f>
        <v/>
      </c>
      <c r="W78" t="str">
        <f>IFERROR(VLOOKUP(C78,Inventory!$A$2:$AB$35,25,FALSE()),"")</f>
        <v/>
      </c>
    </row>
    <row r="79" spans="1:23" ht="15" customHeight="1" x14ac:dyDescent="0.25">
      <c r="A79" t="str">
        <f t="shared" si="7"/>
        <v/>
      </c>
      <c r="B79" s="29"/>
      <c r="F79" s="45"/>
      <c r="G79" s="45"/>
      <c r="H79" s="45"/>
      <c r="I79" s="30">
        <f t="shared" si="8"/>
        <v>0</v>
      </c>
      <c r="J79" s="45">
        <f t="shared" si="9"/>
        <v>0</v>
      </c>
      <c r="K79" s="45">
        <f t="shared" si="10"/>
        <v>0</v>
      </c>
      <c r="L79" s="45"/>
      <c r="M79" s="45"/>
      <c r="N79" s="45">
        <f t="shared" si="11"/>
        <v>0</v>
      </c>
      <c r="O79" s="45">
        <f>IFERROR(VLOOKUP(C79,Inventory!$A$2:$N$35,13,FALSE()),0)</f>
        <v>0</v>
      </c>
      <c r="P79" s="45">
        <f t="shared" si="12"/>
        <v>0</v>
      </c>
      <c r="Q79" s="30">
        <f t="shared" si="13"/>
        <v>0</v>
      </c>
      <c r="R79" t="str">
        <f>IFERROR(IF(AND(ISNUMBER(B79),C79&lt;&gt;""),B79-VLOOKUP(C79,Inventory!$A$2:$AE$35,29,FALSE()),""),"")</f>
        <v/>
      </c>
      <c r="U79" t="str">
        <f>IFERROR(VLOOKUP(C79,Inventory!$A$2:$C$35,2,FALSE()),"")</f>
        <v/>
      </c>
      <c r="V79" t="str">
        <f>IFERROR(VLOOKUP(C79,Inventory!$A$2:$Y$35,22,FALSE()),"")</f>
        <v/>
      </c>
      <c r="W79" t="str">
        <f>IFERROR(VLOOKUP(C79,Inventory!$A$2:$AB$35,25,FALSE()),"")</f>
        <v/>
      </c>
    </row>
    <row r="80" spans="1:23" ht="15" customHeight="1" x14ac:dyDescent="0.25">
      <c r="A80" t="str">
        <f t="shared" si="7"/>
        <v/>
      </c>
      <c r="B80" s="29"/>
      <c r="F80" s="45"/>
      <c r="G80" s="45"/>
      <c r="H80" s="45"/>
      <c r="I80" s="30">
        <f t="shared" si="8"/>
        <v>0</v>
      </c>
      <c r="J80" s="45">
        <f t="shared" si="9"/>
        <v>0</v>
      </c>
      <c r="K80" s="45">
        <f t="shared" si="10"/>
        <v>0</v>
      </c>
      <c r="L80" s="45"/>
      <c r="M80" s="45"/>
      <c r="N80" s="45">
        <f t="shared" si="11"/>
        <v>0</v>
      </c>
      <c r="O80" s="45">
        <f>IFERROR(VLOOKUP(C80,Inventory!$A$2:$N$35,13,FALSE()),0)</f>
        <v>0</v>
      </c>
      <c r="P80" s="45">
        <f t="shared" si="12"/>
        <v>0</v>
      </c>
      <c r="Q80" s="30">
        <f t="shared" si="13"/>
        <v>0</v>
      </c>
      <c r="R80" t="str">
        <f>IFERROR(IF(AND(ISNUMBER(B80),C80&lt;&gt;""),B80-VLOOKUP(C80,Inventory!$A$2:$AE$35,29,FALSE()),""),"")</f>
        <v/>
      </c>
      <c r="U80" t="str">
        <f>IFERROR(VLOOKUP(C80,Inventory!$A$2:$C$35,2,FALSE()),"")</f>
        <v/>
      </c>
      <c r="V80" t="str">
        <f>IFERROR(VLOOKUP(C80,Inventory!$A$2:$Y$35,22,FALSE()),"")</f>
        <v/>
      </c>
      <c r="W80" t="str">
        <f>IFERROR(VLOOKUP(C80,Inventory!$A$2:$AB$35,25,FALSE()),"")</f>
        <v/>
      </c>
    </row>
    <row r="81" spans="1:23" ht="15" customHeight="1" x14ac:dyDescent="0.25">
      <c r="A81" t="str">
        <f t="shared" si="7"/>
        <v/>
      </c>
      <c r="B81" s="29"/>
      <c r="F81" s="45"/>
      <c r="G81" s="45"/>
      <c r="H81" s="45"/>
      <c r="I81" s="30">
        <f t="shared" si="8"/>
        <v>0</v>
      </c>
      <c r="J81" s="45">
        <f t="shared" si="9"/>
        <v>0</v>
      </c>
      <c r="K81" s="45">
        <f t="shared" si="10"/>
        <v>0</v>
      </c>
      <c r="L81" s="45"/>
      <c r="M81" s="45"/>
      <c r="N81" s="45">
        <f t="shared" si="11"/>
        <v>0</v>
      </c>
      <c r="O81" s="45">
        <f>IFERROR(VLOOKUP(C81,Inventory!$A$2:$N$35,13,FALSE()),0)</f>
        <v>0</v>
      </c>
      <c r="P81" s="45">
        <f t="shared" si="12"/>
        <v>0</v>
      </c>
      <c r="Q81" s="30">
        <f t="shared" si="13"/>
        <v>0</v>
      </c>
      <c r="R81" t="str">
        <f>IFERROR(IF(AND(ISNUMBER(B81),C81&lt;&gt;""),B81-VLOOKUP(C81,Inventory!$A$2:$AE$35,29,FALSE()),""),"")</f>
        <v/>
      </c>
      <c r="U81" t="str">
        <f>IFERROR(VLOOKUP(C81,Inventory!$A$2:$C$35,2,FALSE()),"")</f>
        <v/>
      </c>
      <c r="V81" t="str">
        <f>IFERROR(VLOOKUP(C81,Inventory!$A$2:$Y$35,22,FALSE()),"")</f>
        <v/>
      </c>
      <c r="W81" t="str">
        <f>IFERROR(VLOOKUP(C81,Inventory!$A$2:$AB$35,25,FALSE()),"")</f>
        <v/>
      </c>
    </row>
    <row r="82" spans="1:23" ht="15" customHeight="1" x14ac:dyDescent="0.25">
      <c r="A82" t="str">
        <f t="shared" si="7"/>
        <v/>
      </c>
      <c r="B82" s="29"/>
      <c r="F82" s="45"/>
      <c r="G82" s="45"/>
      <c r="H82" s="45"/>
      <c r="I82" s="30">
        <f t="shared" si="8"/>
        <v>0</v>
      </c>
      <c r="J82" s="45">
        <f t="shared" si="9"/>
        <v>0</v>
      </c>
      <c r="K82" s="45">
        <f t="shared" si="10"/>
        <v>0</v>
      </c>
      <c r="L82" s="45"/>
      <c r="M82" s="45"/>
      <c r="N82" s="45">
        <f t="shared" si="11"/>
        <v>0</v>
      </c>
      <c r="O82" s="45">
        <f>IFERROR(VLOOKUP(C82,Inventory!$A$2:$N$35,13,FALSE()),0)</f>
        <v>0</v>
      </c>
      <c r="P82" s="45">
        <f t="shared" si="12"/>
        <v>0</v>
      </c>
      <c r="Q82" s="30">
        <f t="shared" si="13"/>
        <v>0</v>
      </c>
      <c r="R82" t="str">
        <f>IFERROR(IF(AND(ISNUMBER(B82),C82&lt;&gt;""),B82-VLOOKUP(C82,Inventory!$A$2:$AE$35,29,FALSE()),""),"")</f>
        <v/>
      </c>
      <c r="U82" t="str">
        <f>IFERROR(VLOOKUP(C82,Inventory!$A$2:$C$35,2,FALSE()),"")</f>
        <v/>
      </c>
      <c r="V82" t="str">
        <f>IFERROR(VLOOKUP(C82,Inventory!$A$2:$Y$35,22,FALSE()),"")</f>
        <v/>
      </c>
      <c r="W82" t="str">
        <f>IFERROR(VLOOKUP(C82,Inventory!$A$2:$AB$35,25,FALSE()),"")</f>
        <v/>
      </c>
    </row>
    <row r="83" spans="1:23" ht="15" customHeight="1" x14ac:dyDescent="0.25">
      <c r="A83" t="str">
        <f t="shared" si="7"/>
        <v/>
      </c>
      <c r="B83" s="29"/>
      <c r="F83" s="45"/>
      <c r="G83" s="45"/>
      <c r="H83" s="45"/>
      <c r="I83" s="30">
        <f t="shared" si="8"/>
        <v>0</v>
      </c>
      <c r="J83" s="45">
        <f t="shared" si="9"/>
        <v>0</v>
      </c>
      <c r="K83" s="45">
        <f t="shared" si="10"/>
        <v>0</v>
      </c>
      <c r="L83" s="45"/>
      <c r="M83" s="45"/>
      <c r="N83" s="45">
        <f t="shared" si="11"/>
        <v>0</v>
      </c>
      <c r="O83" s="45">
        <f>IFERROR(VLOOKUP(C83,Inventory!$A$2:$N$35,13,FALSE()),0)</f>
        <v>0</v>
      </c>
      <c r="P83" s="45">
        <f t="shared" si="12"/>
        <v>0</v>
      </c>
      <c r="Q83" s="30">
        <f t="shared" si="13"/>
        <v>0</v>
      </c>
      <c r="R83" t="str">
        <f>IFERROR(IF(AND(ISNUMBER(B83),C83&lt;&gt;""),B83-VLOOKUP(C83,Inventory!$A$2:$AE$35,29,FALSE()),""),"")</f>
        <v/>
      </c>
      <c r="U83" t="str">
        <f>IFERROR(VLOOKUP(C83,Inventory!$A$2:$C$35,2,FALSE()),"")</f>
        <v/>
      </c>
      <c r="V83" t="str">
        <f>IFERROR(VLOOKUP(C83,Inventory!$A$2:$Y$35,22,FALSE()),"")</f>
        <v/>
      </c>
      <c r="W83" t="str">
        <f>IFERROR(VLOOKUP(C83,Inventory!$A$2:$AB$35,25,FALSE()),"")</f>
        <v/>
      </c>
    </row>
    <row r="84" spans="1:23" ht="15" customHeight="1" x14ac:dyDescent="0.25">
      <c r="A84" t="str">
        <f t="shared" si="7"/>
        <v/>
      </c>
      <c r="B84" s="29"/>
      <c r="F84" s="45"/>
      <c r="G84" s="45"/>
      <c r="H84" s="45"/>
      <c r="I84" s="30">
        <f t="shared" si="8"/>
        <v>0</v>
      </c>
      <c r="J84" s="45">
        <f t="shared" si="9"/>
        <v>0</v>
      </c>
      <c r="K84" s="45">
        <f t="shared" si="10"/>
        <v>0</v>
      </c>
      <c r="L84" s="45"/>
      <c r="M84" s="45"/>
      <c r="N84" s="45">
        <f t="shared" si="11"/>
        <v>0</v>
      </c>
      <c r="O84" s="45">
        <f>IFERROR(VLOOKUP(C84,Inventory!$A$2:$N$35,13,FALSE()),0)</f>
        <v>0</v>
      </c>
      <c r="P84" s="45">
        <f t="shared" si="12"/>
        <v>0</v>
      </c>
      <c r="Q84" s="30">
        <f t="shared" si="13"/>
        <v>0</v>
      </c>
      <c r="R84" t="str">
        <f>IFERROR(IF(AND(ISNUMBER(B84),C84&lt;&gt;""),B84-VLOOKUP(C84,Inventory!$A$2:$AE$35,29,FALSE()),""),"")</f>
        <v/>
      </c>
      <c r="U84" t="str">
        <f>IFERROR(VLOOKUP(C84,Inventory!$A$2:$C$35,2,FALSE()),"")</f>
        <v/>
      </c>
      <c r="V84" t="str">
        <f>IFERROR(VLOOKUP(C84,Inventory!$A$2:$Y$35,22,FALSE()),"")</f>
        <v/>
      </c>
      <c r="W84" t="str">
        <f>IFERROR(VLOOKUP(C84,Inventory!$A$2:$AB$35,25,FALSE()),"")</f>
        <v/>
      </c>
    </row>
    <row r="85" spans="1:23" ht="15" customHeight="1" x14ac:dyDescent="0.25">
      <c r="A85" t="str">
        <f t="shared" si="7"/>
        <v/>
      </c>
      <c r="B85" s="29"/>
      <c r="F85" s="45"/>
      <c r="G85" s="45"/>
      <c r="H85" s="45"/>
      <c r="I85" s="30">
        <f t="shared" si="8"/>
        <v>0</v>
      </c>
      <c r="J85" s="45">
        <f t="shared" si="9"/>
        <v>0</v>
      </c>
      <c r="K85" s="45">
        <f t="shared" si="10"/>
        <v>0</v>
      </c>
      <c r="L85" s="45"/>
      <c r="M85" s="45"/>
      <c r="N85" s="45">
        <f t="shared" si="11"/>
        <v>0</v>
      </c>
      <c r="O85" s="45">
        <f>IFERROR(VLOOKUP(C85,Inventory!$A$2:$N$35,13,FALSE()),0)</f>
        <v>0</v>
      </c>
      <c r="P85" s="45">
        <f t="shared" si="12"/>
        <v>0</v>
      </c>
      <c r="Q85" s="30">
        <f t="shared" si="13"/>
        <v>0</v>
      </c>
      <c r="R85" t="str">
        <f>IFERROR(IF(AND(ISNUMBER(B85),C85&lt;&gt;""),B85-VLOOKUP(C85,Inventory!$A$2:$AE$35,29,FALSE()),""),"")</f>
        <v/>
      </c>
      <c r="U85" t="str">
        <f>IFERROR(VLOOKUP(C85,Inventory!$A$2:$C$35,2,FALSE()),"")</f>
        <v/>
      </c>
      <c r="V85" t="str">
        <f>IFERROR(VLOOKUP(C85,Inventory!$A$2:$Y$35,22,FALSE()),"")</f>
        <v/>
      </c>
      <c r="W85" t="str">
        <f>IFERROR(VLOOKUP(C85,Inventory!$A$2:$AB$35,25,FALSE()),"")</f>
        <v/>
      </c>
    </row>
    <row r="86" spans="1:23" ht="15" customHeight="1" x14ac:dyDescent="0.25">
      <c r="A86" t="str">
        <f t="shared" si="7"/>
        <v/>
      </c>
      <c r="B86" s="29"/>
      <c r="F86" s="45"/>
      <c r="G86" s="45"/>
      <c r="H86" s="45"/>
      <c r="I86" s="30">
        <f t="shared" si="8"/>
        <v>0</v>
      </c>
      <c r="J86" s="45">
        <f t="shared" si="9"/>
        <v>0</v>
      </c>
      <c r="K86" s="45">
        <f t="shared" si="10"/>
        <v>0</v>
      </c>
      <c r="L86" s="45"/>
      <c r="M86" s="45"/>
      <c r="N86" s="45">
        <f t="shared" si="11"/>
        <v>0</v>
      </c>
      <c r="O86" s="45">
        <f>IFERROR(VLOOKUP(C86,Inventory!$A$2:$N$35,13,FALSE()),0)</f>
        <v>0</v>
      </c>
      <c r="P86" s="45">
        <f t="shared" si="12"/>
        <v>0</v>
      </c>
      <c r="Q86" s="30">
        <f t="shared" si="13"/>
        <v>0</v>
      </c>
      <c r="R86" t="str">
        <f>IFERROR(IF(AND(ISNUMBER(B86),C86&lt;&gt;""),B86-VLOOKUP(C86,Inventory!$A$2:$AE$35,29,FALSE()),""),"")</f>
        <v/>
      </c>
      <c r="U86" t="str">
        <f>IFERROR(VLOOKUP(C86,Inventory!$A$2:$C$35,2,FALSE()),"")</f>
        <v/>
      </c>
      <c r="V86" t="str">
        <f>IFERROR(VLOOKUP(C86,Inventory!$A$2:$Y$35,22,FALSE()),"")</f>
        <v/>
      </c>
      <c r="W86" t="str">
        <f>IFERROR(VLOOKUP(C86,Inventory!$A$2:$AB$35,25,FALSE()),"")</f>
        <v/>
      </c>
    </row>
    <row r="87" spans="1:23" ht="15" customHeight="1" x14ac:dyDescent="0.25">
      <c r="A87" t="str">
        <f t="shared" si="7"/>
        <v/>
      </c>
      <c r="B87" s="29"/>
      <c r="F87" s="45"/>
      <c r="G87" s="45"/>
      <c r="H87" s="45"/>
      <c r="I87" s="30">
        <f t="shared" si="8"/>
        <v>0</v>
      </c>
      <c r="J87" s="45">
        <f t="shared" si="9"/>
        <v>0</v>
      </c>
      <c r="K87" s="45">
        <f t="shared" si="10"/>
        <v>0</v>
      </c>
      <c r="L87" s="45"/>
      <c r="M87" s="45"/>
      <c r="N87" s="45">
        <f t="shared" si="11"/>
        <v>0</v>
      </c>
      <c r="O87" s="45">
        <f>IFERROR(VLOOKUP(C87,Inventory!$A$2:$N$35,13,FALSE()),0)</f>
        <v>0</v>
      </c>
      <c r="P87" s="45">
        <f t="shared" si="12"/>
        <v>0</v>
      </c>
      <c r="Q87" s="30">
        <f t="shared" si="13"/>
        <v>0</v>
      </c>
      <c r="R87" t="str">
        <f>IFERROR(IF(AND(ISNUMBER(B87),C87&lt;&gt;""),B87-VLOOKUP(C87,Inventory!$A$2:$AE$35,29,FALSE()),""),"")</f>
        <v/>
      </c>
      <c r="U87" t="str">
        <f>IFERROR(VLOOKUP(C87,Inventory!$A$2:$C$35,2,FALSE()),"")</f>
        <v/>
      </c>
      <c r="V87" t="str">
        <f>IFERROR(VLOOKUP(C87,Inventory!$A$2:$Y$35,22,FALSE()),"")</f>
        <v/>
      </c>
      <c r="W87" t="str">
        <f>IFERROR(VLOOKUP(C87,Inventory!$A$2:$AB$35,25,FALSE()),"")</f>
        <v/>
      </c>
    </row>
    <row r="88" spans="1:23" ht="15" customHeight="1" x14ac:dyDescent="0.25">
      <c r="A88" t="str">
        <f t="shared" si="7"/>
        <v/>
      </c>
      <c r="B88" s="29"/>
      <c r="F88" s="45"/>
      <c r="G88" s="45"/>
      <c r="H88" s="45"/>
      <c r="I88" s="30">
        <f t="shared" si="8"/>
        <v>0</v>
      </c>
      <c r="J88" s="45">
        <f t="shared" si="9"/>
        <v>0</v>
      </c>
      <c r="K88" s="45">
        <f t="shared" si="10"/>
        <v>0</v>
      </c>
      <c r="L88" s="45"/>
      <c r="M88" s="45"/>
      <c r="N88" s="45">
        <f t="shared" si="11"/>
        <v>0</v>
      </c>
      <c r="O88" s="45">
        <f>IFERROR(VLOOKUP(C88,Inventory!$A$2:$N$35,13,FALSE()),0)</f>
        <v>0</v>
      </c>
      <c r="P88" s="45">
        <f t="shared" si="12"/>
        <v>0</v>
      </c>
      <c r="Q88" s="30">
        <f t="shared" si="13"/>
        <v>0</v>
      </c>
      <c r="R88" t="str">
        <f>IFERROR(IF(AND(ISNUMBER(B88),C88&lt;&gt;""),B88-VLOOKUP(C88,Inventory!$A$2:$AE$35,29,FALSE()),""),"")</f>
        <v/>
      </c>
      <c r="U88" t="str">
        <f>IFERROR(VLOOKUP(C88,Inventory!$A$2:$C$35,2,FALSE()),"")</f>
        <v/>
      </c>
      <c r="V88" t="str">
        <f>IFERROR(VLOOKUP(C88,Inventory!$A$2:$Y$35,22,FALSE()),"")</f>
        <v/>
      </c>
      <c r="W88" t="str">
        <f>IFERROR(VLOOKUP(C88,Inventory!$A$2:$AB$35,25,FALSE()),"")</f>
        <v/>
      </c>
    </row>
    <row r="89" spans="1:23" ht="15" customHeight="1" x14ac:dyDescent="0.25">
      <c r="A89" t="str">
        <f t="shared" si="7"/>
        <v/>
      </c>
      <c r="B89" s="29"/>
      <c r="F89" s="45"/>
      <c r="G89" s="45"/>
      <c r="H89" s="45"/>
      <c r="I89" s="30">
        <f t="shared" si="8"/>
        <v>0</v>
      </c>
      <c r="J89" s="45">
        <f t="shared" si="9"/>
        <v>0</v>
      </c>
      <c r="K89" s="45">
        <f t="shared" si="10"/>
        <v>0</v>
      </c>
      <c r="L89" s="45"/>
      <c r="M89" s="45"/>
      <c r="N89" s="45">
        <f t="shared" si="11"/>
        <v>0</v>
      </c>
      <c r="O89" s="45">
        <f>IFERROR(VLOOKUP(C89,Inventory!$A$2:$N$35,13,FALSE()),0)</f>
        <v>0</v>
      </c>
      <c r="P89" s="45">
        <f t="shared" si="12"/>
        <v>0</v>
      </c>
      <c r="Q89" s="30">
        <f t="shared" si="13"/>
        <v>0</v>
      </c>
      <c r="R89" t="str">
        <f>IFERROR(IF(AND(ISNUMBER(B89),C89&lt;&gt;""),B89-VLOOKUP(C89,Inventory!$A$2:$AE$35,29,FALSE()),""),"")</f>
        <v/>
      </c>
      <c r="U89" t="str">
        <f>IFERROR(VLOOKUP(C89,Inventory!$A$2:$C$35,2,FALSE()),"")</f>
        <v/>
      </c>
      <c r="V89" t="str">
        <f>IFERROR(VLOOKUP(C89,Inventory!$A$2:$Y$35,22,FALSE()),"")</f>
        <v/>
      </c>
      <c r="W89" t="str">
        <f>IFERROR(VLOOKUP(C89,Inventory!$A$2:$AB$35,25,FALSE()),"")</f>
        <v/>
      </c>
    </row>
    <row r="90" spans="1:23" ht="15" customHeight="1" x14ac:dyDescent="0.25">
      <c r="A90" t="str">
        <f t="shared" si="7"/>
        <v/>
      </c>
      <c r="B90" s="29"/>
      <c r="F90" s="45"/>
      <c r="G90" s="45"/>
      <c r="H90" s="45"/>
      <c r="I90" s="30">
        <f t="shared" si="8"/>
        <v>0</v>
      </c>
      <c r="J90" s="45">
        <f t="shared" si="9"/>
        <v>0</v>
      </c>
      <c r="K90" s="45">
        <f t="shared" si="10"/>
        <v>0</v>
      </c>
      <c r="L90" s="45"/>
      <c r="M90" s="45"/>
      <c r="N90" s="45">
        <f t="shared" si="11"/>
        <v>0</v>
      </c>
      <c r="O90" s="45">
        <f>IFERROR(VLOOKUP(C90,Inventory!$A$2:$N$35,13,FALSE()),0)</f>
        <v>0</v>
      </c>
      <c r="P90" s="45">
        <f t="shared" si="12"/>
        <v>0</v>
      </c>
      <c r="Q90" s="30">
        <f t="shared" si="13"/>
        <v>0</v>
      </c>
      <c r="R90" t="str">
        <f>IFERROR(IF(AND(ISNUMBER(B90),C90&lt;&gt;""),B90-VLOOKUP(C90,Inventory!$A$2:$AE$35,29,FALSE()),""),"")</f>
        <v/>
      </c>
      <c r="U90" t="str">
        <f>IFERROR(VLOOKUP(C90,Inventory!$A$2:$C$35,2,FALSE()),"")</f>
        <v/>
      </c>
      <c r="V90" t="str">
        <f>IFERROR(VLOOKUP(C90,Inventory!$A$2:$Y$35,22,FALSE()),"")</f>
        <v/>
      </c>
      <c r="W90" t="str">
        <f>IFERROR(VLOOKUP(C90,Inventory!$A$2:$AB$35,25,FALSE()),"")</f>
        <v/>
      </c>
    </row>
    <row r="91" spans="1:23" ht="15" customHeight="1" x14ac:dyDescent="0.25">
      <c r="A91" t="str">
        <f t="shared" si="7"/>
        <v/>
      </c>
      <c r="B91" s="29"/>
      <c r="F91" s="45"/>
      <c r="G91" s="45"/>
      <c r="H91" s="45"/>
      <c r="I91" s="30">
        <f t="shared" si="8"/>
        <v>0</v>
      </c>
      <c r="J91" s="45">
        <f t="shared" si="9"/>
        <v>0</v>
      </c>
      <c r="K91" s="45">
        <f t="shared" si="10"/>
        <v>0</v>
      </c>
      <c r="L91" s="45"/>
      <c r="M91" s="45"/>
      <c r="N91" s="45">
        <f t="shared" si="11"/>
        <v>0</v>
      </c>
      <c r="O91" s="45">
        <f>IFERROR(VLOOKUP(C91,Inventory!$A$2:$N$35,13,FALSE()),0)</f>
        <v>0</v>
      </c>
      <c r="P91" s="45">
        <f t="shared" si="12"/>
        <v>0</v>
      </c>
      <c r="Q91" s="30">
        <f t="shared" si="13"/>
        <v>0</v>
      </c>
      <c r="R91" t="str">
        <f>IFERROR(IF(AND(ISNUMBER(B91),C91&lt;&gt;""),B91-VLOOKUP(C91,Inventory!$A$2:$AE$35,29,FALSE()),""),"")</f>
        <v/>
      </c>
      <c r="U91" t="str">
        <f>IFERROR(VLOOKUP(C91,Inventory!$A$2:$C$35,2,FALSE()),"")</f>
        <v/>
      </c>
      <c r="V91" t="str">
        <f>IFERROR(VLOOKUP(C91,Inventory!$A$2:$Y$35,22,FALSE()),"")</f>
        <v/>
      </c>
      <c r="W91" t="str">
        <f>IFERROR(VLOOKUP(C91,Inventory!$A$2:$AB$35,25,FALSE()),"")</f>
        <v/>
      </c>
    </row>
    <row r="92" spans="1:23" ht="15" customHeight="1" x14ac:dyDescent="0.25">
      <c r="A92" t="str">
        <f t="shared" si="7"/>
        <v/>
      </c>
      <c r="B92" s="29"/>
      <c r="F92" s="45"/>
      <c r="G92" s="45"/>
      <c r="H92" s="45"/>
      <c r="I92" s="30">
        <f t="shared" si="8"/>
        <v>0</v>
      </c>
      <c r="J92" s="45">
        <f t="shared" si="9"/>
        <v>0</v>
      </c>
      <c r="K92" s="45">
        <f t="shared" si="10"/>
        <v>0</v>
      </c>
      <c r="L92" s="45"/>
      <c r="M92" s="45"/>
      <c r="N92" s="45">
        <f t="shared" si="11"/>
        <v>0</v>
      </c>
      <c r="O92" s="45">
        <f>IFERROR(VLOOKUP(C92,Inventory!$A$2:$N$35,13,FALSE()),0)</f>
        <v>0</v>
      </c>
      <c r="P92" s="45">
        <f t="shared" si="12"/>
        <v>0</v>
      </c>
      <c r="Q92" s="30">
        <f t="shared" si="13"/>
        <v>0</v>
      </c>
      <c r="R92" t="str">
        <f>IFERROR(IF(AND(ISNUMBER(B92),C92&lt;&gt;""),B92-VLOOKUP(C92,Inventory!$A$2:$AE$35,29,FALSE()),""),"")</f>
        <v/>
      </c>
      <c r="U92" t="str">
        <f>IFERROR(VLOOKUP(C92,Inventory!$A$2:$C$35,2,FALSE()),"")</f>
        <v/>
      </c>
      <c r="V92" t="str">
        <f>IFERROR(VLOOKUP(C92,Inventory!$A$2:$Y$35,22,FALSE()),"")</f>
        <v/>
      </c>
      <c r="W92" t="str">
        <f>IFERROR(VLOOKUP(C92,Inventory!$A$2:$AB$35,25,FALSE()),"")</f>
        <v/>
      </c>
    </row>
    <row r="93" spans="1:23" ht="15" customHeight="1" x14ac:dyDescent="0.25">
      <c r="A93" t="str">
        <f t="shared" si="7"/>
        <v/>
      </c>
      <c r="B93" s="29"/>
      <c r="F93" s="45"/>
      <c r="G93" s="45"/>
      <c r="H93" s="45"/>
      <c r="I93" s="30">
        <f t="shared" si="8"/>
        <v>0</v>
      </c>
      <c r="J93" s="45">
        <f t="shared" si="9"/>
        <v>0</v>
      </c>
      <c r="K93" s="45">
        <f t="shared" si="10"/>
        <v>0</v>
      </c>
      <c r="L93" s="45"/>
      <c r="M93" s="45"/>
      <c r="N93" s="45">
        <f t="shared" si="11"/>
        <v>0</v>
      </c>
      <c r="O93" s="45">
        <f>IFERROR(VLOOKUP(C93,Inventory!$A$2:$N$35,13,FALSE()),0)</f>
        <v>0</v>
      </c>
      <c r="P93" s="45">
        <f t="shared" si="12"/>
        <v>0</v>
      </c>
      <c r="Q93" s="30">
        <f t="shared" si="13"/>
        <v>0</v>
      </c>
      <c r="R93" t="str">
        <f>IFERROR(IF(AND(ISNUMBER(B93),C93&lt;&gt;""),B93-VLOOKUP(C93,Inventory!$A$2:$AE$35,29,FALSE()),""),"")</f>
        <v/>
      </c>
      <c r="U93" t="str">
        <f>IFERROR(VLOOKUP(C93,Inventory!$A$2:$C$35,2,FALSE()),"")</f>
        <v/>
      </c>
      <c r="V93" t="str">
        <f>IFERROR(VLOOKUP(C93,Inventory!$A$2:$Y$35,22,FALSE()),"")</f>
        <v/>
      </c>
      <c r="W93" t="str">
        <f>IFERROR(VLOOKUP(C93,Inventory!$A$2:$AB$35,25,FALSE()),"")</f>
        <v/>
      </c>
    </row>
    <row r="94" spans="1:23" ht="15" customHeight="1" x14ac:dyDescent="0.25">
      <c r="A94" t="str">
        <f t="shared" si="7"/>
        <v/>
      </c>
      <c r="B94" s="29"/>
      <c r="F94" s="45"/>
      <c r="G94" s="45"/>
      <c r="H94" s="45"/>
      <c r="I94" s="30">
        <f t="shared" si="8"/>
        <v>0</v>
      </c>
      <c r="J94" s="45">
        <f t="shared" si="9"/>
        <v>0</v>
      </c>
      <c r="K94" s="45">
        <f t="shared" si="10"/>
        <v>0</v>
      </c>
      <c r="L94" s="45"/>
      <c r="M94" s="45"/>
      <c r="N94" s="45">
        <f t="shared" si="11"/>
        <v>0</v>
      </c>
      <c r="O94" s="45">
        <f>IFERROR(VLOOKUP(C94,Inventory!$A$2:$N$35,13,FALSE()),0)</f>
        <v>0</v>
      </c>
      <c r="P94" s="45">
        <f t="shared" si="12"/>
        <v>0</v>
      </c>
      <c r="Q94" s="30">
        <f t="shared" si="13"/>
        <v>0</v>
      </c>
      <c r="R94" t="str">
        <f>IFERROR(IF(AND(ISNUMBER(B94),C94&lt;&gt;""),B94-VLOOKUP(C94,Inventory!$A$2:$AE$35,29,FALSE()),""),"")</f>
        <v/>
      </c>
      <c r="U94" t="str">
        <f>IFERROR(VLOOKUP(C94,Inventory!$A$2:$C$35,2,FALSE()),"")</f>
        <v/>
      </c>
      <c r="V94" t="str">
        <f>IFERROR(VLOOKUP(C94,Inventory!$A$2:$Y$35,22,FALSE()),"")</f>
        <v/>
      </c>
      <c r="W94" t="str">
        <f>IFERROR(VLOOKUP(C94,Inventory!$A$2:$AB$35,25,FALSE()),"")</f>
        <v/>
      </c>
    </row>
    <row r="95" spans="1:23" ht="15" customHeight="1" x14ac:dyDescent="0.25">
      <c r="A95" t="str">
        <f t="shared" si="7"/>
        <v/>
      </c>
      <c r="B95" s="29"/>
      <c r="F95" s="45"/>
      <c r="G95" s="45"/>
      <c r="H95" s="45"/>
      <c r="I95" s="30">
        <f t="shared" si="8"/>
        <v>0</v>
      </c>
      <c r="J95" s="45">
        <f t="shared" si="9"/>
        <v>0</v>
      </c>
      <c r="K95" s="45">
        <f t="shared" si="10"/>
        <v>0</v>
      </c>
      <c r="L95" s="45"/>
      <c r="M95" s="45"/>
      <c r="N95" s="45">
        <f t="shared" si="11"/>
        <v>0</v>
      </c>
      <c r="O95" s="45">
        <f>IFERROR(VLOOKUP(C95,Inventory!$A$2:$N$35,13,FALSE()),0)</f>
        <v>0</v>
      </c>
      <c r="P95" s="45">
        <f t="shared" si="12"/>
        <v>0</v>
      </c>
      <c r="Q95" s="30">
        <f t="shared" si="13"/>
        <v>0</v>
      </c>
      <c r="R95" t="str">
        <f>IFERROR(IF(AND(ISNUMBER(B95),C95&lt;&gt;""),B95-VLOOKUP(C95,Inventory!$A$2:$AE$35,29,FALSE()),""),"")</f>
        <v/>
      </c>
      <c r="U95" t="str">
        <f>IFERROR(VLOOKUP(C95,Inventory!$A$2:$C$35,2,FALSE()),"")</f>
        <v/>
      </c>
      <c r="V95" t="str">
        <f>IFERROR(VLOOKUP(C95,Inventory!$A$2:$Y$35,22,FALSE()),"")</f>
        <v/>
      </c>
      <c r="W95" t="str">
        <f>IFERROR(VLOOKUP(C95,Inventory!$A$2:$AB$35,25,FALSE()),"")</f>
        <v/>
      </c>
    </row>
    <row r="96" spans="1:23" ht="15" customHeight="1" x14ac:dyDescent="0.25">
      <c r="A96" t="str">
        <f t="shared" si="7"/>
        <v/>
      </c>
      <c r="B96" s="29"/>
      <c r="F96" s="45"/>
      <c r="G96" s="45"/>
      <c r="H96" s="45"/>
      <c r="I96" s="30">
        <f t="shared" si="8"/>
        <v>0</v>
      </c>
      <c r="J96" s="45">
        <f t="shared" si="9"/>
        <v>0</v>
      </c>
      <c r="K96" s="45">
        <f t="shared" si="10"/>
        <v>0</v>
      </c>
      <c r="L96" s="45"/>
      <c r="M96" s="45"/>
      <c r="N96" s="45">
        <f t="shared" si="11"/>
        <v>0</v>
      </c>
      <c r="O96" s="45">
        <f>IFERROR(VLOOKUP(C96,Inventory!$A$2:$N$35,13,FALSE()),0)</f>
        <v>0</v>
      </c>
      <c r="P96" s="45">
        <f t="shared" si="12"/>
        <v>0</v>
      </c>
      <c r="Q96" s="30">
        <f t="shared" si="13"/>
        <v>0</v>
      </c>
      <c r="R96" t="str">
        <f>IFERROR(IF(AND(ISNUMBER(B96),C96&lt;&gt;""),B96-VLOOKUP(C96,Inventory!$A$2:$AE$35,29,FALSE()),""),"")</f>
        <v/>
      </c>
      <c r="U96" t="str">
        <f>IFERROR(VLOOKUP(C96,Inventory!$A$2:$C$35,2,FALSE()),"")</f>
        <v/>
      </c>
      <c r="V96" t="str">
        <f>IFERROR(VLOOKUP(C96,Inventory!$A$2:$Y$35,22,FALSE()),"")</f>
        <v/>
      </c>
      <c r="W96" t="str">
        <f>IFERROR(VLOOKUP(C96,Inventory!$A$2:$AB$35,25,FALSE()),"")</f>
        <v/>
      </c>
    </row>
    <row r="97" spans="1:23" ht="15" customHeight="1" x14ac:dyDescent="0.25">
      <c r="A97" t="str">
        <f t="shared" si="7"/>
        <v/>
      </c>
      <c r="B97" s="29"/>
      <c r="F97" s="45"/>
      <c r="G97" s="45"/>
      <c r="H97" s="45"/>
      <c r="I97" s="30">
        <f t="shared" si="8"/>
        <v>0</v>
      </c>
      <c r="J97" s="45">
        <f t="shared" si="9"/>
        <v>0</v>
      </c>
      <c r="K97" s="45">
        <f t="shared" si="10"/>
        <v>0</v>
      </c>
      <c r="L97" s="45"/>
      <c r="M97" s="45"/>
      <c r="N97" s="45">
        <f t="shared" si="11"/>
        <v>0</v>
      </c>
      <c r="O97" s="45">
        <f>IFERROR(VLOOKUP(C97,Inventory!$A$2:$N$35,13,FALSE()),0)</f>
        <v>0</v>
      </c>
      <c r="P97" s="45">
        <f t="shared" si="12"/>
        <v>0</v>
      </c>
      <c r="Q97" s="30">
        <f t="shared" si="13"/>
        <v>0</v>
      </c>
      <c r="R97" t="str">
        <f>IFERROR(IF(AND(ISNUMBER(B97),C97&lt;&gt;""),B97-VLOOKUP(C97,Inventory!$A$2:$AE$35,29,FALSE()),""),"")</f>
        <v/>
      </c>
      <c r="U97" t="str">
        <f>IFERROR(VLOOKUP(C97,Inventory!$A$2:$C$35,2,FALSE()),"")</f>
        <v/>
      </c>
      <c r="V97" t="str">
        <f>IFERROR(VLOOKUP(C97,Inventory!$A$2:$Y$35,22,FALSE()),"")</f>
        <v/>
      </c>
      <c r="W97" t="str">
        <f>IFERROR(VLOOKUP(C97,Inventory!$A$2:$AB$35,25,FALSE()),"")</f>
        <v/>
      </c>
    </row>
    <row r="98" spans="1:23" ht="15" customHeight="1" x14ac:dyDescent="0.25">
      <c r="A98" t="str">
        <f t="shared" si="7"/>
        <v/>
      </c>
      <c r="B98" s="29"/>
      <c r="F98" s="45"/>
      <c r="G98" s="45"/>
      <c r="H98" s="45"/>
      <c r="I98" s="30">
        <f t="shared" si="8"/>
        <v>0</v>
      </c>
      <c r="J98" s="45">
        <f t="shared" si="9"/>
        <v>0</v>
      </c>
      <c r="K98" s="45">
        <f t="shared" si="10"/>
        <v>0</v>
      </c>
      <c r="L98" s="45"/>
      <c r="M98" s="45"/>
      <c r="N98" s="45">
        <f t="shared" si="11"/>
        <v>0</v>
      </c>
      <c r="O98" s="45">
        <f>IFERROR(VLOOKUP(C98,Inventory!$A$2:$N$35,13,FALSE()),0)</f>
        <v>0</v>
      </c>
      <c r="P98" s="45">
        <f t="shared" si="12"/>
        <v>0</v>
      </c>
      <c r="Q98" s="30">
        <f t="shared" si="13"/>
        <v>0</v>
      </c>
      <c r="R98" t="str">
        <f>IFERROR(IF(AND(ISNUMBER(B98),C98&lt;&gt;""),B98-VLOOKUP(C98,Inventory!$A$2:$AE$35,29,FALSE()),""),"")</f>
        <v/>
      </c>
      <c r="U98" t="str">
        <f>IFERROR(VLOOKUP(C98,Inventory!$A$2:$C$35,2,FALSE()),"")</f>
        <v/>
      </c>
      <c r="V98" t="str">
        <f>IFERROR(VLOOKUP(C98,Inventory!$A$2:$Y$35,22,FALSE()),"")</f>
        <v/>
      </c>
      <c r="W98" t="str">
        <f>IFERROR(VLOOKUP(C98,Inventory!$A$2:$AB$35,25,FALSE()),"")</f>
        <v/>
      </c>
    </row>
    <row r="99" spans="1:23" ht="15" customHeight="1" x14ac:dyDescent="0.25">
      <c r="A99" t="str">
        <f t="shared" si="7"/>
        <v/>
      </c>
      <c r="B99" s="29"/>
      <c r="F99" s="45"/>
      <c r="G99" s="45"/>
      <c r="H99" s="45"/>
      <c r="I99" s="30">
        <f t="shared" si="8"/>
        <v>0</v>
      </c>
      <c r="J99" s="45">
        <f t="shared" si="9"/>
        <v>0</v>
      </c>
      <c r="K99" s="45">
        <f t="shared" si="10"/>
        <v>0</v>
      </c>
      <c r="L99" s="45"/>
      <c r="M99" s="45"/>
      <c r="N99" s="45">
        <f t="shared" si="11"/>
        <v>0</v>
      </c>
      <c r="O99" s="45">
        <f>IFERROR(VLOOKUP(C99,Inventory!$A$2:$N$35,13,FALSE()),0)</f>
        <v>0</v>
      </c>
      <c r="P99" s="45">
        <f t="shared" si="12"/>
        <v>0</v>
      </c>
      <c r="Q99" s="30">
        <f t="shared" si="13"/>
        <v>0</v>
      </c>
      <c r="R99" t="str">
        <f>IFERROR(IF(AND(ISNUMBER(B99),C99&lt;&gt;""),B99-VLOOKUP(C99,Inventory!$A$2:$AE$35,29,FALSE()),""),"")</f>
        <v/>
      </c>
      <c r="U99" t="str">
        <f>IFERROR(VLOOKUP(C99,Inventory!$A$2:$C$35,2,FALSE()),"")</f>
        <v/>
      </c>
      <c r="V99" t="str">
        <f>IFERROR(VLOOKUP(C99,Inventory!$A$2:$Y$35,22,FALSE()),"")</f>
        <v/>
      </c>
      <c r="W99" t="str">
        <f>IFERROR(VLOOKUP(C99,Inventory!$A$2:$AB$35,25,FALSE()),"")</f>
        <v/>
      </c>
    </row>
    <row r="100" spans="1:23" ht="15" customHeight="1" x14ac:dyDescent="0.25">
      <c r="A100" t="str">
        <f t="shared" si="7"/>
        <v/>
      </c>
      <c r="B100" s="29"/>
      <c r="F100" s="45"/>
      <c r="G100" s="45"/>
      <c r="H100" s="45"/>
      <c r="I100" s="30">
        <f t="shared" si="8"/>
        <v>0</v>
      </c>
      <c r="J100" s="45">
        <f t="shared" si="9"/>
        <v>0</v>
      </c>
      <c r="K100" s="45">
        <f t="shared" si="10"/>
        <v>0</v>
      </c>
      <c r="L100" s="45"/>
      <c r="M100" s="45"/>
      <c r="N100" s="45">
        <f t="shared" si="11"/>
        <v>0</v>
      </c>
      <c r="O100" s="45">
        <f>IFERROR(VLOOKUP(C100,Inventory!$A$2:$N$35,13,FALSE()),0)</f>
        <v>0</v>
      </c>
      <c r="P100" s="45">
        <f t="shared" si="12"/>
        <v>0</v>
      </c>
      <c r="Q100" s="30">
        <f t="shared" si="13"/>
        <v>0</v>
      </c>
      <c r="R100" t="str">
        <f>IFERROR(IF(AND(ISNUMBER(B100),C100&lt;&gt;""),B100-VLOOKUP(C100,Inventory!$A$2:$AE$35,29,FALSE()),""),"")</f>
        <v/>
      </c>
      <c r="U100" t="str">
        <f>IFERROR(VLOOKUP(C100,Inventory!$A$2:$C$35,2,FALSE()),"")</f>
        <v/>
      </c>
      <c r="V100" t="str">
        <f>IFERROR(VLOOKUP(C100,Inventory!$A$2:$Y$35,22,FALSE()),"")</f>
        <v/>
      </c>
      <c r="W100" t="str">
        <f>IFERROR(VLOOKUP(C100,Inventory!$A$2:$AB$35,25,FALSE()),"")</f>
        <v/>
      </c>
    </row>
    <row r="101" spans="1:23" ht="15" customHeight="1" x14ac:dyDescent="0.25">
      <c r="A101" t="str">
        <f t="shared" si="7"/>
        <v/>
      </c>
      <c r="B101" s="29"/>
      <c r="F101" s="45"/>
      <c r="G101" s="45"/>
      <c r="H101" s="45"/>
      <c r="I101" s="30">
        <f t="shared" si="8"/>
        <v>0</v>
      </c>
      <c r="J101" s="45">
        <f t="shared" si="9"/>
        <v>0</v>
      </c>
      <c r="K101" s="45">
        <f t="shared" si="10"/>
        <v>0</v>
      </c>
      <c r="L101" s="45"/>
      <c r="M101" s="45"/>
      <c r="N101" s="45">
        <f t="shared" si="11"/>
        <v>0</v>
      </c>
      <c r="O101" s="45">
        <f>IFERROR(VLOOKUP(C101,Inventory!$A$2:$N$35,13,FALSE()),0)</f>
        <v>0</v>
      </c>
      <c r="P101" s="45">
        <f t="shared" si="12"/>
        <v>0</v>
      </c>
      <c r="Q101" s="30">
        <f t="shared" si="13"/>
        <v>0</v>
      </c>
      <c r="R101" t="str">
        <f>IFERROR(IF(AND(ISNUMBER(B101),C101&lt;&gt;""),B101-VLOOKUP(C101,Inventory!$A$2:$AE$35,29,FALSE()),""),"")</f>
        <v/>
      </c>
      <c r="U101" t="str">
        <f>IFERROR(VLOOKUP(C101,Inventory!$A$2:$C$35,2,FALSE()),"")</f>
        <v/>
      </c>
      <c r="V101" t="str">
        <f>IFERROR(VLOOKUP(C101,Inventory!$A$2:$Y$35,22,FALSE()),"")</f>
        <v/>
      </c>
      <c r="W101" t="str">
        <f>IFERROR(VLOOKUP(C101,Inventory!$A$2:$AB$35,25,FALSE()),"")</f>
        <v/>
      </c>
    </row>
    <row r="102" spans="1:23" ht="15" customHeight="1" x14ac:dyDescent="0.25">
      <c r="A102" t="str">
        <f t="shared" si="7"/>
        <v/>
      </c>
      <c r="B102" s="29"/>
      <c r="F102" s="45"/>
      <c r="G102" s="45"/>
      <c r="H102" s="45"/>
      <c r="I102" s="30">
        <f t="shared" si="8"/>
        <v>0</v>
      </c>
      <c r="J102" s="45">
        <f t="shared" si="9"/>
        <v>0</v>
      </c>
      <c r="K102" s="45">
        <f t="shared" si="10"/>
        <v>0</v>
      </c>
      <c r="L102" s="45"/>
      <c r="M102" s="45"/>
      <c r="N102" s="45">
        <f t="shared" si="11"/>
        <v>0</v>
      </c>
      <c r="O102" s="45">
        <f>IFERROR(VLOOKUP(C102,Inventory!$A$2:$N$35,13,FALSE()),0)</f>
        <v>0</v>
      </c>
      <c r="P102" s="45">
        <f t="shared" si="12"/>
        <v>0</v>
      </c>
      <c r="Q102" s="30">
        <f t="shared" si="13"/>
        <v>0</v>
      </c>
      <c r="R102" t="str">
        <f>IFERROR(IF(AND(ISNUMBER(B102),C102&lt;&gt;""),B102-VLOOKUP(C102,Inventory!$A$2:$AE$35,29,FALSE()),""),"")</f>
        <v/>
      </c>
      <c r="U102" t="str">
        <f>IFERROR(VLOOKUP(C102,Inventory!$A$2:$C$35,2,FALSE()),"")</f>
        <v/>
      </c>
      <c r="V102" t="str">
        <f>IFERROR(VLOOKUP(C102,Inventory!$A$2:$Y$35,22,FALSE()),"")</f>
        <v/>
      </c>
      <c r="W102" t="str">
        <f>IFERROR(VLOOKUP(C102,Inventory!$A$2:$AB$35,25,FALSE()),"")</f>
        <v/>
      </c>
    </row>
    <row r="103" spans="1:23" ht="15" customHeight="1" x14ac:dyDescent="0.25">
      <c r="A103" t="str">
        <f t="shared" si="7"/>
        <v/>
      </c>
      <c r="B103" s="29"/>
      <c r="F103" s="45"/>
      <c r="G103" s="45"/>
      <c r="H103" s="45"/>
      <c r="I103" s="30">
        <f t="shared" si="8"/>
        <v>0</v>
      </c>
      <c r="J103" s="45">
        <f t="shared" si="9"/>
        <v>0</v>
      </c>
      <c r="K103" s="45">
        <f t="shared" si="10"/>
        <v>0</v>
      </c>
      <c r="L103" s="45"/>
      <c r="M103" s="45"/>
      <c r="N103" s="45">
        <f t="shared" si="11"/>
        <v>0</v>
      </c>
      <c r="O103" s="45">
        <f>IFERROR(VLOOKUP(C103,Inventory!$A$2:$N$35,13,FALSE()),0)</f>
        <v>0</v>
      </c>
      <c r="P103" s="45">
        <f t="shared" si="12"/>
        <v>0</v>
      </c>
      <c r="Q103" s="30">
        <f t="shared" si="13"/>
        <v>0</v>
      </c>
      <c r="R103" t="str">
        <f>IFERROR(IF(AND(ISNUMBER(B103),C103&lt;&gt;""),B103-VLOOKUP(C103,Inventory!$A$2:$AE$35,29,FALSE()),""),"")</f>
        <v/>
      </c>
      <c r="U103" t="str">
        <f>IFERROR(VLOOKUP(C103,Inventory!$A$2:$C$35,2,FALSE()),"")</f>
        <v/>
      </c>
      <c r="V103" t="str">
        <f>IFERROR(VLOOKUP(C103,Inventory!$A$2:$Y$35,22,FALSE()),"")</f>
        <v/>
      </c>
      <c r="W103" t="str">
        <f>IFERROR(VLOOKUP(C103,Inventory!$A$2:$AB$35,25,FALSE()),"")</f>
        <v/>
      </c>
    </row>
    <row r="104" spans="1:23" ht="15" customHeight="1" x14ac:dyDescent="0.25">
      <c r="A104" t="str">
        <f t="shared" si="7"/>
        <v/>
      </c>
      <c r="B104" s="29"/>
      <c r="F104" s="45"/>
      <c r="G104" s="45"/>
      <c r="H104" s="45"/>
      <c r="I104" s="30">
        <f t="shared" si="8"/>
        <v>0</v>
      </c>
      <c r="J104" s="45">
        <f t="shared" si="9"/>
        <v>0</v>
      </c>
      <c r="K104" s="45">
        <f t="shared" si="10"/>
        <v>0</v>
      </c>
      <c r="L104" s="45"/>
      <c r="M104" s="45"/>
      <c r="N104" s="45">
        <f t="shared" si="11"/>
        <v>0</v>
      </c>
      <c r="O104" s="45">
        <f>IFERROR(VLOOKUP(C104,Inventory!$A$2:$N$35,13,FALSE()),0)</f>
        <v>0</v>
      </c>
      <c r="P104" s="45">
        <f t="shared" si="12"/>
        <v>0</v>
      </c>
      <c r="Q104" s="30">
        <f t="shared" si="13"/>
        <v>0</v>
      </c>
      <c r="R104" t="str">
        <f>IFERROR(IF(AND(ISNUMBER(B104),C104&lt;&gt;""),B104-VLOOKUP(C104,Inventory!$A$2:$AE$35,29,FALSE()),""),"")</f>
        <v/>
      </c>
      <c r="U104" t="str">
        <f>IFERROR(VLOOKUP(C104,Inventory!$A$2:$C$35,2,FALSE()),"")</f>
        <v/>
      </c>
      <c r="V104" t="str">
        <f>IFERROR(VLOOKUP(C104,Inventory!$A$2:$Y$35,22,FALSE()),"")</f>
        <v/>
      </c>
      <c r="W104" t="str">
        <f>IFERROR(VLOOKUP(C104,Inventory!$A$2:$AB$35,25,FALSE()),"")</f>
        <v/>
      </c>
    </row>
    <row r="105" spans="1:23" ht="15" customHeight="1" x14ac:dyDescent="0.25">
      <c r="A105" t="str">
        <f t="shared" si="7"/>
        <v/>
      </c>
      <c r="B105" s="29"/>
      <c r="F105" s="45"/>
      <c r="G105" s="45"/>
      <c r="H105" s="45"/>
      <c r="I105" s="30">
        <f t="shared" si="8"/>
        <v>0</v>
      </c>
      <c r="J105" s="45">
        <f t="shared" si="9"/>
        <v>0</v>
      </c>
      <c r="K105" s="45">
        <f t="shared" si="10"/>
        <v>0</v>
      </c>
      <c r="L105" s="45"/>
      <c r="M105" s="45"/>
      <c r="N105" s="45">
        <f t="shared" si="11"/>
        <v>0</v>
      </c>
      <c r="O105" s="45">
        <f>IFERROR(VLOOKUP(C105,Inventory!$A$2:$N$35,13,FALSE()),0)</f>
        <v>0</v>
      </c>
      <c r="P105" s="45">
        <f t="shared" si="12"/>
        <v>0</v>
      </c>
      <c r="Q105" s="30">
        <f t="shared" si="13"/>
        <v>0</v>
      </c>
      <c r="R105" t="str">
        <f>IFERROR(IF(AND(ISNUMBER(B105),C105&lt;&gt;""),B105-VLOOKUP(C105,Inventory!$A$2:$AE$35,29,FALSE()),""),"")</f>
        <v/>
      </c>
      <c r="U105" t="str">
        <f>IFERROR(VLOOKUP(C105,Inventory!$A$2:$C$35,2,FALSE()),"")</f>
        <v/>
      </c>
      <c r="V105" t="str">
        <f>IFERROR(VLOOKUP(C105,Inventory!$A$2:$Y$35,22,FALSE()),"")</f>
        <v/>
      </c>
      <c r="W105" t="str">
        <f>IFERROR(VLOOKUP(C105,Inventory!$A$2:$AB$35,25,FALSE()),"")</f>
        <v/>
      </c>
    </row>
    <row r="106" spans="1:23" ht="15" customHeight="1" x14ac:dyDescent="0.25">
      <c r="A106" t="str">
        <f t="shared" si="7"/>
        <v/>
      </c>
      <c r="B106" s="29"/>
      <c r="F106" s="45"/>
      <c r="G106" s="45"/>
      <c r="H106" s="45"/>
      <c r="I106" s="30">
        <f t="shared" si="8"/>
        <v>0</v>
      </c>
      <c r="J106" s="45">
        <f t="shared" si="9"/>
        <v>0</v>
      </c>
      <c r="K106" s="45">
        <f t="shared" si="10"/>
        <v>0</v>
      </c>
      <c r="L106" s="45"/>
      <c r="M106" s="45"/>
      <c r="N106" s="45">
        <f t="shared" si="11"/>
        <v>0</v>
      </c>
      <c r="O106" s="45">
        <f>IFERROR(VLOOKUP(C106,Inventory!$A$2:$N$35,13,FALSE()),0)</f>
        <v>0</v>
      </c>
      <c r="P106" s="45">
        <f t="shared" si="12"/>
        <v>0</v>
      </c>
      <c r="Q106" s="30">
        <f t="shared" si="13"/>
        <v>0</v>
      </c>
      <c r="R106" t="str">
        <f>IFERROR(IF(AND(ISNUMBER(B106),C106&lt;&gt;""),B106-VLOOKUP(C106,Inventory!$A$2:$AE$35,29,FALSE()),""),"")</f>
        <v/>
      </c>
      <c r="U106" t="str">
        <f>IFERROR(VLOOKUP(C106,Inventory!$A$2:$C$35,2,FALSE()),"")</f>
        <v/>
      </c>
      <c r="V106" t="str">
        <f>IFERROR(VLOOKUP(C106,Inventory!$A$2:$Y$35,22,FALSE()),"")</f>
        <v/>
      </c>
      <c r="W106" t="str">
        <f>IFERROR(VLOOKUP(C106,Inventory!$A$2:$AB$35,25,FALSE()),"")</f>
        <v/>
      </c>
    </row>
    <row r="107" spans="1:23" ht="15" customHeight="1" x14ac:dyDescent="0.25">
      <c r="A107" t="str">
        <f t="shared" si="7"/>
        <v/>
      </c>
      <c r="B107" s="29"/>
      <c r="F107" s="45"/>
      <c r="G107" s="45"/>
      <c r="H107" s="45"/>
      <c r="I107" s="30">
        <f t="shared" si="8"/>
        <v>0</v>
      </c>
      <c r="J107" s="45">
        <f t="shared" si="9"/>
        <v>0</v>
      </c>
      <c r="K107" s="45">
        <f t="shared" si="10"/>
        <v>0</v>
      </c>
      <c r="L107" s="45"/>
      <c r="M107" s="45"/>
      <c r="N107" s="45">
        <f t="shared" si="11"/>
        <v>0</v>
      </c>
      <c r="O107" s="45">
        <f>IFERROR(VLOOKUP(C107,Inventory!$A$2:$N$35,13,FALSE()),0)</f>
        <v>0</v>
      </c>
      <c r="P107" s="45">
        <f t="shared" si="12"/>
        <v>0</v>
      </c>
      <c r="Q107" s="30">
        <f t="shared" si="13"/>
        <v>0</v>
      </c>
      <c r="R107" t="str">
        <f>IFERROR(IF(AND(ISNUMBER(B107),C107&lt;&gt;""),B107-VLOOKUP(C107,Inventory!$A$2:$AE$35,29,FALSE()),""),"")</f>
        <v/>
      </c>
      <c r="U107" t="str">
        <f>IFERROR(VLOOKUP(C107,Inventory!$A$2:$C$35,2,FALSE()),"")</f>
        <v/>
      </c>
      <c r="V107" t="str">
        <f>IFERROR(VLOOKUP(C107,Inventory!$A$2:$Y$35,22,FALSE()),"")</f>
        <v/>
      </c>
      <c r="W107" t="str">
        <f>IFERROR(VLOOKUP(C107,Inventory!$A$2:$AB$35,25,FALSE()),"")</f>
        <v/>
      </c>
    </row>
    <row r="108" spans="1:23" ht="15" customHeight="1" x14ac:dyDescent="0.25">
      <c r="A108" t="str">
        <f t="shared" si="7"/>
        <v/>
      </c>
      <c r="B108" s="29"/>
      <c r="F108" s="45"/>
      <c r="G108" s="45"/>
      <c r="H108" s="45"/>
      <c r="I108" s="30">
        <f t="shared" si="8"/>
        <v>0</v>
      </c>
      <c r="J108" s="45">
        <f t="shared" si="9"/>
        <v>0</v>
      </c>
      <c r="K108" s="45">
        <f t="shared" si="10"/>
        <v>0</v>
      </c>
      <c r="L108" s="45"/>
      <c r="M108" s="45"/>
      <c r="N108" s="45">
        <f t="shared" si="11"/>
        <v>0</v>
      </c>
      <c r="O108" s="45">
        <f>IFERROR(VLOOKUP(C108,Inventory!$A$2:$N$35,13,FALSE()),0)</f>
        <v>0</v>
      </c>
      <c r="P108" s="45">
        <f t="shared" si="12"/>
        <v>0</v>
      </c>
      <c r="Q108" s="30">
        <f t="shared" si="13"/>
        <v>0</v>
      </c>
      <c r="R108" t="str">
        <f>IFERROR(IF(AND(ISNUMBER(B108),C108&lt;&gt;""),B108-VLOOKUP(C108,Inventory!$A$2:$AE$35,29,FALSE()),""),"")</f>
        <v/>
      </c>
      <c r="U108" t="str">
        <f>IFERROR(VLOOKUP(C108,Inventory!$A$2:$C$35,2,FALSE()),"")</f>
        <v/>
      </c>
      <c r="V108" t="str">
        <f>IFERROR(VLOOKUP(C108,Inventory!$A$2:$Y$35,22,FALSE()),"")</f>
        <v/>
      </c>
      <c r="W108" t="str">
        <f>IFERROR(VLOOKUP(C108,Inventory!$A$2:$AB$35,25,FALSE()),"")</f>
        <v/>
      </c>
    </row>
    <row r="109" spans="1:23" ht="15" customHeight="1" x14ac:dyDescent="0.25">
      <c r="A109" t="str">
        <f t="shared" si="7"/>
        <v/>
      </c>
      <c r="B109" s="29"/>
      <c r="F109" s="45"/>
      <c r="G109" s="45"/>
      <c r="H109" s="45"/>
      <c r="I109" s="30">
        <f t="shared" si="8"/>
        <v>0</v>
      </c>
      <c r="J109" s="45">
        <f t="shared" si="9"/>
        <v>0</v>
      </c>
      <c r="K109" s="45">
        <f t="shared" si="10"/>
        <v>0</v>
      </c>
      <c r="L109" s="45"/>
      <c r="M109" s="45"/>
      <c r="N109" s="45">
        <f t="shared" si="11"/>
        <v>0</v>
      </c>
      <c r="O109" s="45">
        <f>IFERROR(VLOOKUP(C109,Inventory!$A$2:$N$35,13,FALSE()),0)</f>
        <v>0</v>
      </c>
      <c r="P109" s="45">
        <f t="shared" si="12"/>
        <v>0</v>
      </c>
      <c r="Q109" s="30">
        <f t="shared" si="13"/>
        <v>0</v>
      </c>
      <c r="R109" t="str">
        <f>IFERROR(IF(AND(ISNUMBER(B109),C109&lt;&gt;""),B109-VLOOKUP(C109,Inventory!$A$2:$AE$35,29,FALSE()),""),"")</f>
        <v/>
      </c>
      <c r="U109" t="str">
        <f>IFERROR(VLOOKUP(C109,Inventory!$A$2:$C$35,2,FALSE()),"")</f>
        <v/>
      </c>
      <c r="V109" t="str">
        <f>IFERROR(VLOOKUP(C109,Inventory!$A$2:$Y$35,22,FALSE()),"")</f>
        <v/>
      </c>
      <c r="W109" t="str">
        <f>IFERROR(VLOOKUP(C109,Inventory!$A$2:$AB$35,25,FALSE()),"")</f>
        <v/>
      </c>
    </row>
    <row r="110" spans="1:23" ht="15" customHeight="1" x14ac:dyDescent="0.25">
      <c r="A110" t="str">
        <f t="shared" si="7"/>
        <v/>
      </c>
      <c r="B110" s="29"/>
      <c r="F110" s="45"/>
      <c r="G110" s="45"/>
      <c r="H110" s="45"/>
      <c r="I110" s="30">
        <f t="shared" si="8"/>
        <v>0</v>
      </c>
      <c r="J110" s="45">
        <f t="shared" si="9"/>
        <v>0</v>
      </c>
      <c r="K110" s="45">
        <f t="shared" si="10"/>
        <v>0</v>
      </c>
      <c r="L110" s="45"/>
      <c r="M110" s="45"/>
      <c r="N110" s="45">
        <f t="shared" si="11"/>
        <v>0</v>
      </c>
      <c r="O110" s="45">
        <f>IFERROR(VLOOKUP(C110,Inventory!$A$2:$N$35,13,FALSE()),0)</f>
        <v>0</v>
      </c>
      <c r="P110" s="45">
        <f t="shared" si="12"/>
        <v>0</v>
      </c>
      <c r="Q110" s="30">
        <f t="shared" si="13"/>
        <v>0</v>
      </c>
      <c r="R110" t="str">
        <f>IFERROR(IF(AND(ISNUMBER(B110),C110&lt;&gt;""),B110-VLOOKUP(C110,Inventory!$A$2:$AE$35,29,FALSE()),""),"")</f>
        <v/>
      </c>
      <c r="U110" t="str">
        <f>IFERROR(VLOOKUP(C110,Inventory!$A$2:$C$35,2,FALSE()),"")</f>
        <v/>
      </c>
      <c r="V110" t="str">
        <f>IFERROR(VLOOKUP(C110,Inventory!$A$2:$Y$35,22,FALSE()),"")</f>
        <v/>
      </c>
      <c r="W110" t="str">
        <f>IFERROR(VLOOKUP(C110,Inventory!$A$2:$AB$35,25,FALSE()),"")</f>
        <v/>
      </c>
    </row>
    <row r="111" spans="1:23" ht="15" customHeight="1" x14ac:dyDescent="0.25">
      <c r="A111" t="str">
        <f t="shared" si="7"/>
        <v/>
      </c>
      <c r="B111" s="29"/>
      <c r="F111" s="45"/>
      <c r="G111" s="45"/>
      <c r="H111" s="45"/>
      <c r="I111" s="30">
        <f t="shared" si="8"/>
        <v>0</v>
      </c>
      <c r="J111" s="45">
        <f t="shared" si="9"/>
        <v>0</v>
      </c>
      <c r="K111" s="45">
        <f t="shared" si="10"/>
        <v>0</v>
      </c>
      <c r="L111" s="45"/>
      <c r="M111" s="45"/>
      <c r="N111" s="45">
        <f t="shared" si="11"/>
        <v>0</v>
      </c>
      <c r="O111" s="45">
        <f>IFERROR(VLOOKUP(C111,Inventory!$A$2:$N$35,13,FALSE()),0)</f>
        <v>0</v>
      </c>
      <c r="P111" s="45">
        <f t="shared" si="12"/>
        <v>0</v>
      </c>
      <c r="Q111" s="30">
        <f t="shared" si="13"/>
        <v>0</v>
      </c>
      <c r="R111" t="str">
        <f>IFERROR(IF(AND(ISNUMBER(B111),C111&lt;&gt;""),B111-VLOOKUP(C111,Inventory!$A$2:$AE$35,29,FALSE()),""),"")</f>
        <v/>
      </c>
      <c r="U111" t="str">
        <f>IFERROR(VLOOKUP(C111,Inventory!$A$2:$C$35,2,FALSE()),"")</f>
        <v/>
      </c>
      <c r="V111" t="str">
        <f>IFERROR(VLOOKUP(C111,Inventory!$A$2:$Y$35,22,FALSE()),"")</f>
        <v/>
      </c>
      <c r="W111" t="str">
        <f>IFERROR(VLOOKUP(C111,Inventory!$A$2:$AB$35,25,FALSE()),"")</f>
        <v/>
      </c>
    </row>
    <row r="112" spans="1:23" ht="15" customHeight="1" x14ac:dyDescent="0.25">
      <c r="A112" t="str">
        <f t="shared" si="7"/>
        <v/>
      </c>
      <c r="B112" s="29"/>
      <c r="F112" s="45"/>
      <c r="G112" s="45"/>
      <c r="H112" s="45"/>
      <c r="I112" s="30">
        <f t="shared" si="8"/>
        <v>0</v>
      </c>
      <c r="J112" s="45">
        <f t="shared" si="9"/>
        <v>0</v>
      </c>
      <c r="K112" s="45">
        <f t="shared" si="10"/>
        <v>0</v>
      </c>
      <c r="L112" s="45"/>
      <c r="M112" s="45"/>
      <c r="N112" s="45">
        <f t="shared" si="11"/>
        <v>0</v>
      </c>
      <c r="O112" s="45">
        <f>IFERROR(VLOOKUP(C112,Inventory!$A$2:$N$35,13,FALSE()),0)</f>
        <v>0</v>
      </c>
      <c r="P112" s="45">
        <f t="shared" si="12"/>
        <v>0</v>
      </c>
      <c r="Q112" s="30">
        <f t="shared" si="13"/>
        <v>0</v>
      </c>
      <c r="R112" t="str">
        <f>IFERROR(IF(AND(ISNUMBER(B112),C112&lt;&gt;""),B112-VLOOKUP(C112,Inventory!$A$2:$AE$35,29,FALSE()),""),"")</f>
        <v/>
      </c>
      <c r="U112" t="str">
        <f>IFERROR(VLOOKUP(C112,Inventory!$A$2:$C$35,2,FALSE()),"")</f>
        <v/>
      </c>
      <c r="V112" t="str">
        <f>IFERROR(VLOOKUP(C112,Inventory!$A$2:$Y$35,22,FALSE()),"")</f>
        <v/>
      </c>
      <c r="W112" t="str">
        <f>IFERROR(VLOOKUP(C112,Inventory!$A$2:$AB$35,25,FALSE()),"")</f>
        <v/>
      </c>
    </row>
    <row r="113" spans="1:23" ht="15" customHeight="1" x14ac:dyDescent="0.25">
      <c r="A113" t="str">
        <f t="shared" si="7"/>
        <v/>
      </c>
      <c r="B113" s="29"/>
      <c r="F113" s="45"/>
      <c r="G113" s="45"/>
      <c r="H113" s="45"/>
      <c r="I113" s="30">
        <f t="shared" si="8"/>
        <v>0</v>
      </c>
      <c r="J113" s="45">
        <f t="shared" si="9"/>
        <v>0</v>
      </c>
      <c r="K113" s="45">
        <f t="shared" si="10"/>
        <v>0</v>
      </c>
      <c r="L113" s="45"/>
      <c r="M113" s="45"/>
      <c r="N113" s="45">
        <f t="shared" si="11"/>
        <v>0</v>
      </c>
      <c r="O113" s="45">
        <f>IFERROR(VLOOKUP(C113,Inventory!$A$2:$N$35,13,FALSE()),0)</f>
        <v>0</v>
      </c>
      <c r="P113" s="45">
        <f t="shared" si="12"/>
        <v>0</v>
      </c>
      <c r="Q113" s="30">
        <f t="shared" si="13"/>
        <v>0</v>
      </c>
      <c r="R113" t="str">
        <f>IFERROR(IF(AND(ISNUMBER(B113),C113&lt;&gt;""),B113-VLOOKUP(C113,Inventory!$A$2:$AE$35,29,FALSE()),""),"")</f>
        <v/>
      </c>
      <c r="U113" t="str">
        <f>IFERROR(VLOOKUP(C113,Inventory!$A$2:$C$35,2,FALSE()),"")</f>
        <v/>
      </c>
      <c r="V113" t="str">
        <f>IFERROR(VLOOKUP(C113,Inventory!$A$2:$Y$35,22,FALSE()),"")</f>
        <v/>
      </c>
      <c r="W113" t="str">
        <f>IFERROR(VLOOKUP(C113,Inventory!$A$2:$AB$35,25,FALSE()),"")</f>
        <v/>
      </c>
    </row>
    <row r="114" spans="1:23" ht="15" customHeight="1" x14ac:dyDescent="0.25">
      <c r="A114" t="str">
        <f t="shared" si="7"/>
        <v/>
      </c>
      <c r="B114" s="29"/>
      <c r="F114" s="45"/>
      <c r="G114" s="45"/>
      <c r="H114" s="45"/>
      <c r="I114" s="30">
        <f t="shared" si="8"/>
        <v>0</v>
      </c>
      <c r="J114" s="45">
        <f t="shared" si="9"/>
        <v>0</v>
      </c>
      <c r="K114" s="45">
        <f t="shared" si="10"/>
        <v>0</v>
      </c>
      <c r="L114" s="45"/>
      <c r="M114" s="45"/>
      <c r="N114" s="45">
        <f t="shared" si="11"/>
        <v>0</v>
      </c>
      <c r="O114" s="45">
        <f>IFERROR(VLOOKUP(C114,Inventory!$A$2:$N$35,13,FALSE()),0)</f>
        <v>0</v>
      </c>
      <c r="P114" s="45">
        <f t="shared" si="12"/>
        <v>0</v>
      </c>
      <c r="Q114" s="30">
        <f t="shared" si="13"/>
        <v>0</v>
      </c>
      <c r="R114" t="str">
        <f>IFERROR(IF(AND(ISNUMBER(B114),C114&lt;&gt;""),B114-VLOOKUP(C114,Inventory!$A$2:$AE$35,29,FALSE()),""),"")</f>
        <v/>
      </c>
      <c r="U114" t="str">
        <f>IFERROR(VLOOKUP(C114,Inventory!$A$2:$C$35,2,FALSE()),"")</f>
        <v/>
      </c>
      <c r="V114" t="str">
        <f>IFERROR(VLOOKUP(C114,Inventory!$A$2:$Y$35,22,FALSE()),"")</f>
        <v/>
      </c>
      <c r="W114" t="str">
        <f>IFERROR(VLOOKUP(C114,Inventory!$A$2:$AB$35,25,FALSE()),"")</f>
        <v/>
      </c>
    </row>
    <row r="115" spans="1:23" ht="15" customHeight="1" x14ac:dyDescent="0.25">
      <c r="A115" t="str">
        <f t="shared" si="7"/>
        <v/>
      </c>
      <c r="B115" s="29"/>
      <c r="F115" s="45"/>
      <c r="G115" s="45"/>
      <c r="H115" s="45"/>
      <c r="I115" s="30">
        <f t="shared" si="8"/>
        <v>0</v>
      </c>
      <c r="J115" s="45">
        <f t="shared" si="9"/>
        <v>0</v>
      </c>
      <c r="K115" s="45">
        <f t="shared" si="10"/>
        <v>0</v>
      </c>
      <c r="L115" s="45"/>
      <c r="M115" s="45"/>
      <c r="N115" s="45">
        <f t="shared" si="11"/>
        <v>0</v>
      </c>
      <c r="O115" s="45">
        <f>IFERROR(VLOOKUP(C115,Inventory!$A$2:$N$35,13,FALSE()),0)</f>
        <v>0</v>
      </c>
      <c r="P115" s="45">
        <f t="shared" si="12"/>
        <v>0</v>
      </c>
      <c r="Q115" s="30">
        <f t="shared" si="13"/>
        <v>0</v>
      </c>
      <c r="R115" t="str">
        <f>IFERROR(IF(AND(ISNUMBER(B115),C115&lt;&gt;""),B115-VLOOKUP(C115,Inventory!$A$2:$AE$35,29,FALSE()),""),"")</f>
        <v/>
      </c>
      <c r="U115" t="str">
        <f>IFERROR(VLOOKUP(C115,Inventory!$A$2:$C$35,2,FALSE()),"")</f>
        <v/>
      </c>
      <c r="V115" t="str">
        <f>IFERROR(VLOOKUP(C115,Inventory!$A$2:$Y$35,22,FALSE()),"")</f>
        <v/>
      </c>
      <c r="W115" t="str">
        <f>IFERROR(VLOOKUP(C115,Inventory!$A$2:$AB$35,25,FALSE()),"")</f>
        <v/>
      </c>
    </row>
    <row r="116" spans="1:23" ht="15" customHeight="1" x14ac:dyDescent="0.25">
      <c r="A116" t="str">
        <f t="shared" si="7"/>
        <v/>
      </c>
      <c r="B116" s="29"/>
      <c r="F116" s="45"/>
      <c r="G116" s="45"/>
      <c r="H116" s="45"/>
      <c r="I116" s="30">
        <f t="shared" si="8"/>
        <v>0</v>
      </c>
      <c r="J116" s="45">
        <f t="shared" si="9"/>
        <v>0</v>
      </c>
      <c r="K116" s="45">
        <f t="shared" si="10"/>
        <v>0</v>
      </c>
      <c r="L116" s="45"/>
      <c r="M116" s="45"/>
      <c r="N116" s="45">
        <f t="shared" si="11"/>
        <v>0</v>
      </c>
      <c r="O116" s="45">
        <f>IFERROR(VLOOKUP(C116,Inventory!$A$2:$N$35,13,FALSE()),0)</f>
        <v>0</v>
      </c>
      <c r="P116" s="45">
        <f t="shared" si="12"/>
        <v>0</v>
      </c>
      <c r="Q116" s="30">
        <f t="shared" si="13"/>
        <v>0</v>
      </c>
      <c r="R116" t="str">
        <f>IFERROR(IF(AND(ISNUMBER(B116),C116&lt;&gt;""),B116-VLOOKUP(C116,Inventory!$A$2:$AE$35,29,FALSE()),""),"")</f>
        <v/>
      </c>
      <c r="U116" t="str">
        <f>IFERROR(VLOOKUP(C116,Inventory!$A$2:$C$35,2,FALSE()),"")</f>
        <v/>
      </c>
      <c r="V116" t="str">
        <f>IFERROR(VLOOKUP(C116,Inventory!$A$2:$Y$35,22,FALSE()),"")</f>
        <v/>
      </c>
      <c r="W116" t="str">
        <f>IFERROR(VLOOKUP(C116,Inventory!$A$2:$AB$35,25,FALSE()),"")</f>
        <v/>
      </c>
    </row>
    <row r="117" spans="1:23" ht="15" customHeight="1" x14ac:dyDescent="0.25">
      <c r="A117" t="str">
        <f t="shared" si="7"/>
        <v/>
      </c>
      <c r="B117" s="29"/>
      <c r="F117" s="45"/>
      <c r="G117" s="45"/>
      <c r="H117" s="45"/>
      <c r="I117" s="30">
        <f t="shared" si="8"/>
        <v>0</v>
      </c>
      <c r="J117" s="45">
        <f t="shared" si="9"/>
        <v>0</v>
      </c>
      <c r="K117" s="45">
        <f t="shared" si="10"/>
        <v>0</v>
      </c>
      <c r="L117" s="45"/>
      <c r="M117" s="45"/>
      <c r="N117" s="45">
        <f t="shared" si="11"/>
        <v>0</v>
      </c>
      <c r="O117" s="45">
        <f>IFERROR(VLOOKUP(C117,Inventory!$A$2:$N$35,13,FALSE()),0)</f>
        <v>0</v>
      </c>
      <c r="P117" s="45">
        <f t="shared" si="12"/>
        <v>0</v>
      </c>
      <c r="Q117" s="30">
        <f t="shared" si="13"/>
        <v>0</v>
      </c>
      <c r="R117" t="str">
        <f>IFERROR(IF(AND(ISNUMBER(B117),C117&lt;&gt;""),B117-VLOOKUP(C117,Inventory!$A$2:$AE$35,29,FALSE()),""),"")</f>
        <v/>
      </c>
      <c r="U117" t="str">
        <f>IFERROR(VLOOKUP(C117,Inventory!$A$2:$C$35,2,FALSE()),"")</f>
        <v/>
      </c>
      <c r="V117" t="str">
        <f>IFERROR(VLOOKUP(C117,Inventory!$A$2:$Y$35,22,FALSE()),"")</f>
        <v/>
      </c>
      <c r="W117" t="str">
        <f>IFERROR(VLOOKUP(C117,Inventory!$A$2:$AB$35,25,FALSE()),"")</f>
        <v/>
      </c>
    </row>
    <row r="118" spans="1:23" ht="15" customHeight="1" x14ac:dyDescent="0.25">
      <c r="A118" t="str">
        <f t="shared" si="7"/>
        <v/>
      </c>
      <c r="B118" s="29"/>
      <c r="F118" s="45"/>
      <c r="G118" s="45"/>
      <c r="H118" s="45"/>
      <c r="I118" s="30">
        <f t="shared" si="8"/>
        <v>0</v>
      </c>
      <c r="J118" s="45">
        <f t="shared" si="9"/>
        <v>0</v>
      </c>
      <c r="K118" s="45">
        <f t="shared" si="10"/>
        <v>0</v>
      </c>
      <c r="L118" s="45"/>
      <c r="M118" s="45"/>
      <c r="N118" s="45">
        <f t="shared" si="11"/>
        <v>0</v>
      </c>
      <c r="O118" s="45">
        <f>IFERROR(VLOOKUP(C118,Inventory!$A$2:$N$35,13,FALSE()),0)</f>
        <v>0</v>
      </c>
      <c r="P118" s="45">
        <f t="shared" si="12"/>
        <v>0</v>
      </c>
      <c r="Q118" s="30">
        <f t="shared" si="13"/>
        <v>0</v>
      </c>
      <c r="R118" t="str">
        <f>IFERROR(IF(AND(ISNUMBER(B118),C118&lt;&gt;""),B118-VLOOKUP(C118,Inventory!$A$2:$AE$35,29,FALSE()),""),"")</f>
        <v/>
      </c>
      <c r="U118" t="str">
        <f>IFERROR(VLOOKUP(C118,Inventory!$A$2:$C$35,2,FALSE()),"")</f>
        <v/>
      </c>
      <c r="V118" t="str">
        <f>IFERROR(VLOOKUP(C118,Inventory!$A$2:$Y$35,22,FALSE()),"")</f>
        <v/>
      </c>
      <c r="W118" t="str">
        <f>IFERROR(VLOOKUP(C118,Inventory!$A$2:$AB$35,25,FALSE()),"")</f>
        <v/>
      </c>
    </row>
    <row r="119" spans="1:23" ht="15" customHeight="1" x14ac:dyDescent="0.25">
      <c r="A119" t="str">
        <f t="shared" si="7"/>
        <v/>
      </c>
      <c r="B119" s="29"/>
      <c r="F119" s="45"/>
      <c r="G119" s="45"/>
      <c r="H119" s="45"/>
      <c r="I119" s="30">
        <f t="shared" si="8"/>
        <v>0</v>
      </c>
      <c r="J119" s="45">
        <f t="shared" si="9"/>
        <v>0</v>
      </c>
      <c r="K119" s="45">
        <f t="shared" si="10"/>
        <v>0</v>
      </c>
      <c r="L119" s="45"/>
      <c r="M119" s="45"/>
      <c r="N119" s="45">
        <f t="shared" si="11"/>
        <v>0</v>
      </c>
      <c r="O119" s="45">
        <f>IFERROR(VLOOKUP(C119,Inventory!$A$2:$N$35,13,FALSE()),0)</f>
        <v>0</v>
      </c>
      <c r="P119" s="45">
        <f t="shared" si="12"/>
        <v>0</v>
      </c>
      <c r="Q119" s="30">
        <f t="shared" si="13"/>
        <v>0</v>
      </c>
      <c r="R119" t="str">
        <f>IFERROR(IF(AND(ISNUMBER(B119),C119&lt;&gt;""),B119-VLOOKUP(C119,Inventory!$A$2:$AE$35,29,FALSE()),""),"")</f>
        <v/>
      </c>
      <c r="U119" t="str">
        <f>IFERROR(VLOOKUP(C119,Inventory!$A$2:$C$35,2,FALSE()),"")</f>
        <v/>
      </c>
      <c r="V119" t="str">
        <f>IFERROR(VLOOKUP(C119,Inventory!$A$2:$Y$35,22,FALSE()),"")</f>
        <v/>
      </c>
      <c r="W119" t="str">
        <f>IFERROR(VLOOKUP(C119,Inventory!$A$2:$AB$35,25,FALSE()),"")</f>
        <v/>
      </c>
    </row>
    <row r="120" spans="1:23" ht="15" customHeight="1" x14ac:dyDescent="0.25">
      <c r="A120" t="str">
        <f t="shared" si="7"/>
        <v/>
      </c>
      <c r="B120" s="29"/>
      <c r="F120" s="45"/>
      <c r="G120" s="45"/>
      <c r="H120" s="45"/>
      <c r="I120" s="30">
        <f t="shared" si="8"/>
        <v>0</v>
      </c>
      <c r="J120" s="45">
        <f t="shared" si="9"/>
        <v>0</v>
      </c>
      <c r="K120" s="45">
        <f t="shared" si="10"/>
        <v>0</v>
      </c>
      <c r="L120" s="45"/>
      <c r="M120" s="45"/>
      <c r="N120" s="45">
        <f t="shared" si="11"/>
        <v>0</v>
      </c>
      <c r="O120" s="45">
        <f>IFERROR(VLOOKUP(C120,Inventory!$A$2:$N$35,13,FALSE()),0)</f>
        <v>0</v>
      </c>
      <c r="P120" s="45">
        <f t="shared" si="12"/>
        <v>0</v>
      </c>
      <c r="Q120" s="30">
        <f t="shared" si="13"/>
        <v>0</v>
      </c>
      <c r="R120" t="str">
        <f>IFERROR(IF(AND(ISNUMBER(B120),C120&lt;&gt;""),B120-VLOOKUP(C120,Inventory!$A$2:$AE$35,29,FALSE()),""),"")</f>
        <v/>
      </c>
      <c r="U120" t="str">
        <f>IFERROR(VLOOKUP(C120,Inventory!$A$2:$C$35,2,FALSE()),"")</f>
        <v/>
      </c>
      <c r="V120" t="str">
        <f>IFERROR(VLOOKUP(C120,Inventory!$A$2:$Y$35,22,FALSE()),"")</f>
        <v/>
      </c>
      <c r="W120" t="str">
        <f>IFERROR(VLOOKUP(C120,Inventory!$A$2:$AB$35,25,FALSE()),"")</f>
        <v/>
      </c>
    </row>
    <row r="121" spans="1:23" ht="15" customHeight="1" x14ac:dyDescent="0.25">
      <c r="A121" t="str">
        <f t="shared" si="7"/>
        <v/>
      </c>
      <c r="B121" s="29"/>
      <c r="F121" s="45"/>
      <c r="G121" s="45"/>
      <c r="H121" s="45"/>
      <c r="I121" s="30">
        <f t="shared" si="8"/>
        <v>0</v>
      </c>
      <c r="J121" s="45">
        <f t="shared" si="9"/>
        <v>0</v>
      </c>
      <c r="K121" s="45">
        <f t="shared" si="10"/>
        <v>0</v>
      </c>
      <c r="L121" s="45"/>
      <c r="M121" s="45"/>
      <c r="N121" s="45">
        <f t="shared" si="11"/>
        <v>0</v>
      </c>
      <c r="O121" s="45">
        <f>IFERROR(VLOOKUP(C121,Inventory!$A$2:$N$35,13,FALSE()),0)</f>
        <v>0</v>
      </c>
      <c r="P121" s="45">
        <f t="shared" si="12"/>
        <v>0</v>
      </c>
      <c r="Q121" s="30">
        <f t="shared" si="13"/>
        <v>0</v>
      </c>
      <c r="R121" t="str">
        <f>IFERROR(IF(AND(ISNUMBER(B121),C121&lt;&gt;""),B121-VLOOKUP(C121,Inventory!$A$2:$AE$35,29,FALSE()),""),"")</f>
        <v/>
      </c>
      <c r="U121" t="str">
        <f>IFERROR(VLOOKUP(C121,Inventory!$A$2:$C$35,2,FALSE()),"")</f>
        <v/>
      </c>
      <c r="V121" t="str">
        <f>IFERROR(VLOOKUP(C121,Inventory!$A$2:$Y$35,22,FALSE()),"")</f>
        <v/>
      </c>
      <c r="W121" t="str">
        <f>IFERROR(VLOOKUP(C121,Inventory!$A$2:$AB$35,25,FALSE()),"")</f>
        <v/>
      </c>
    </row>
    <row r="122" spans="1:23" ht="15" customHeight="1" x14ac:dyDescent="0.25">
      <c r="A122" t="str">
        <f t="shared" si="7"/>
        <v/>
      </c>
      <c r="B122" s="29"/>
      <c r="F122" s="45"/>
      <c r="G122" s="45"/>
      <c r="H122" s="45"/>
      <c r="I122" s="30">
        <f t="shared" si="8"/>
        <v>0</v>
      </c>
      <c r="J122" s="45">
        <f t="shared" si="9"/>
        <v>0</v>
      </c>
      <c r="K122" s="45">
        <f t="shared" si="10"/>
        <v>0</v>
      </c>
      <c r="L122" s="45"/>
      <c r="M122" s="45"/>
      <c r="N122" s="45">
        <f t="shared" si="11"/>
        <v>0</v>
      </c>
      <c r="O122" s="45">
        <f>IFERROR(VLOOKUP(C122,Inventory!$A$2:$N$35,13,FALSE()),0)</f>
        <v>0</v>
      </c>
      <c r="P122" s="45">
        <f t="shared" si="12"/>
        <v>0</v>
      </c>
      <c r="Q122" s="30">
        <f t="shared" si="13"/>
        <v>0</v>
      </c>
      <c r="R122" t="str">
        <f>IFERROR(IF(AND(ISNUMBER(B122),C122&lt;&gt;""),B122-VLOOKUP(C122,Inventory!$A$2:$AE$35,29,FALSE()),""),"")</f>
        <v/>
      </c>
      <c r="U122" t="str">
        <f>IFERROR(VLOOKUP(C122,Inventory!$A$2:$C$35,2,FALSE()),"")</f>
        <v/>
      </c>
      <c r="V122" t="str">
        <f>IFERROR(VLOOKUP(C122,Inventory!$A$2:$Y$35,22,FALSE()),"")</f>
        <v/>
      </c>
      <c r="W122" t="str">
        <f>IFERROR(VLOOKUP(C122,Inventory!$A$2:$AB$35,25,FALSE()),"")</f>
        <v/>
      </c>
    </row>
    <row r="123" spans="1:23" ht="15" customHeight="1" x14ac:dyDescent="0.25">
      <c r="A123" t="str">
        <f t="shared" si="7"/>
        <v/>
      </c>
      <c r="B123" s="29"/>
      <c r="F123" s="45"/>
      <c r="G123" s="45"/>
      <c r="H123" s="45"/>
      <c r="I123" s="30">
        <f t="shared" si="8"/>
        <v>0</v>
      </c>
      <c r="J123" s="45">
        <f t="shared" si="9"/>
        <v>0</v>
      </c>
      <c r="K123" s="45">
        <f t="shared" si="10"/>
        <v>0</v>
      </c>
      <c r="L123" s="45"/>
      <c r="M123" s="45"/>
      <c r="N123" s="45">
        <f t="shared" si="11"/>
        <v>0</v>
      </c>
      <c r="O123" s="45">
        <f>IFERROR(VLOOKUP(C123,Inventory!$A$2:$N$35,13,FALSE()),0)</f>
        <v>0</v>
      </c>
      <c r="P123" s="45">
        <f t="shared" si="12"/>
        <v>0</v>
      </c>
      <c r="Q123" s="30">
        <f t="shared" si="13"/>
        <v>0</v>
      </c>
      <c r="R123" t="str">
        <f>IFERROR(IF(AND(ISNUMBER(B123),C123&lt;&gt;""),B123-VLOOKUP(C123,Inventory!$A$2:$AE$35,29,FALSE()),""),"")</f>
        <v/>
      </c>
      <c r="U123" t="str">
        <f>IFERROR(VLOOKUP(C123,Inventory!$A$2:$C$35,2,FALSE()),"")</f>
        <v/>
      </c>
      <c r="V123" t="str">
        <f>IFERROR(VLOOKUP(C123,Inventory!$A$2:$Y$35,22,FALSE()),"")</f>
        <v/>
      </c>
      <c r="W123" t="str">
        <f>IFERROR(VLOOKUP(C123,Inventory!$A$2:$AB$35,25,FALSE()),"")</f>
        <v/>
      </c>
    </row>
    <row r="124" spans="1:23" ht="15" customHeight="1" x14ac:dyDescent="0.25">
      <c r="A124" t="str">
        <f t="shared" si="7"/>
        <v/>
      </c>
      <c r="B124" s="29"/>
      <c r="F124" s="45"/>
      <c r="G124" s="45"/>
      <c r="H124" s="45"/>
      <c r="I124" s="30">
        <f t="shared" si="8"/>
        <v>0</v>
      </c>
      <c r="J124" s="45">
        <f t="shared" si="9"/>
        <v>0</v>
      </c>
      <c r="K124" s="45">
        <f t="shared" si="10"/>
        <v>0</v>
      </c>
      <c r="L124" s="45"/>
      <c r="M124" s="45"/>
      <c r="N124" s="45">
        <f t="shared" si="11"/>
        <v>0</v>
      </c>
      <c r="O124" s="45">
        <f>IFERROR(VLOOKUP(C124,Inventory!$A$2:$N$35,13,FALSE()),0)</f>
        <v>0</v>
      </c>
      <c r="P124" s="45">
        <f t="shared" si="12"/>
        <v>0</v>
      </c>
      <c r="Q124" s="30">
        <f t="shared" si="13"/>
        <v>0</v>
      </c>
      <c r="R124" t="str">
        <f>IFERROR(IF(AND(ISNUMBER(B124),C124&lt;&gt;""),B124-VLOOKUP(C124,Inventory!$A$2:$AE$35,29,FALSE()),""),"")</f>
        <v/>
      </c>
      <c r="U124" t="str">
        <f>IFERROR(VLOOKUP(C124,Inventory!$A$2:$C$35,2,FALSE()),"")</f>
        <v/>
      </c>
      <c r="V124" t="str">
        <f>IFERROR(VLOOKUP(C124,Inventory!$A$2:$Y$35,22,FALSE()),"")</f>
        <v/>
      </c>
      <c r="W124" t="str">
        <f>IFERROR(VLOOKUP(C124,Inventory!$A$2:$AB$35,25,FALSE()),"")</f>
        <v/>
      </c>
    </row>
    <row r="125" spans="1:23" ht="15" customHeight="1" x14ac:dyDescent="0.25">
      <c r="A125" t="str">
        <f t="shared" si="7"/>
        <v/>
      </c>
      <c r="B125" s="29"/>
      <c r="F125" s="45"/>
      <c r="G125" s="45"/>
      <c r="H125" s="45"/>
      <c r="I125" s="30">
        <f t="shared" si="8"/>
        <v>0</v>
      </c>
      <c r="J125" s="45">
        <f t="shared" si="9"/>
        <v>0</v>
      </c>
      <c r="K125" s="45">
        <f t="shared" si="10"/>
        <v>0</v>
      </c>
      <c r="L125" s="45"/>
      <c r="M125" s="45"/>
      <c r="N125" s="45">
        <f t="shared" si="11"/>
        <v>0</v>
      </c>
      <c r="O125" s="45">
        <f>IFERROR(VLOOKUP(C125,Inventory!$A$2:$N$35,13,FALSE()),0)</f>
        <v>0</v>
      </c>
      <c r="P125" s="45">
        <f t="shared" si="12"/>
        <v>0</v>
      </c>
      <c r="Q125" s="30">
        <f t="shared" si="13"/>
        <v>0</v>
      </c>
      <c r="R125" t="str">
        <f>IFERROR(IF(AND(ISNUMBER(B125),C125&lt;&gt;""),B125-VLOOKUP(C125,Inventory!$A$2:$AE$35,29,FALSE()),""),"")</f>
        <v/>
      </c>
      <c r="U125" t="str">
        <f>IFERROR(VLOOKUP(C125,Inventory!$A$2:$C$35,2,FALSE()),"")</f>
        <v/>
      </c>
      <c r="V125" t="str">
        <f>IFERROR(VLOOKUP(C125,Inventory!$A$2:$Y$35,22,FALSE()),"")</f>
        <v/>
      </c>
      <c r="W125" t="str">
        <f>IFERROR(VLOOKUP(C125,Inventory!$A$2:$AB$35,25,FALSE()),"")</f>
        <v/>
      </c>
    </row>
    <row r="126" spans="1:23" ht="15" customHeight="1" x14ac:dyDescent="0.25">
      <c r="A126" t="str">
        <f t="shared" si="7"/>
        <v/>
      </c>
      <c r="B126" s="29"/>
      <c r="F126" s="45"/>
      <c r="G126" s="45"/>
      <c r="H126" s="45"/>
      <c r="I126" s="30">
        <f t="shared" si="8"/>
        <v>0</v>
      </c>
      <c r="J126" s="45">
        <f t="shared" si="9"/>
        <v>0</v>
      </c>
      <c r="K126" s="45">
        <f t="shared" si="10"/>
        <v>0</v>
      </c>
      <c r="L126" s="45"/>
      <c r="M126" s="45"/>
      <c r="N126" s="45">
        <f t="shared" si="11"/>
        <v>0</v>
      </c>
      <c r="O126" s="45">
        <f>IFERROR(VLOOKUP(C126,Inventory!$A$2:$N$35,13,FALSE()),0)</f>
        <v>0</v>
      </c>
      <c r="P126" s="45">
        <f t="shared" si="12"/>
        <v>0</v>
      </c>
      <c r="Q126" s="30">
        <f t="shared" si="13"/>
        <v>0</v>
      </c>
      <c r="R126" t="str">
        <f>IFERROR(IF(AND(ISNUMBER(B126),C126&lt;&gt;""),B126-VLOOKUP(C126,Inventory!$A$2:$AE$35,29,FALSE()),""),"")</f>
        <v/>
      </c>
      <c r="U126" t="str">
        <f>IFERROR(VLOOKUP(C126,Inventory!$A$2:$C$35,2,FALSE()),"")</f>
        <v/>
      </c>
      <c r="V126" t="str">
        <f>IFERROR(VLOOKUP(C126,Inventory!$A$2:$Y$35,22,FALSE()),"")</f>
        <v/>
      </c>
      <c r="W126" t="str">
        <f>IFERROR(VLOOKUP(C126,Inventory!$A$2:$AB$35,25,FALSE()),"")</f>
        <v/>
      </c>
    </row>
    <row r="127" spans="1:23" ht="15" customHeight="1" x14ac:dyDescent="0.25">
      <c r="A127" t="str">
        <f t="shared" si="7"/>
        <v/>
      </c>
      <c r="B127" s="29"/>
      <c r="F127" s="45"/>
      <c r="G127" s="45"/>
      <c r="H127" s="45"/>
      <c r="I127" s="30">
        <f t="shared" si="8"/>
        <v>0</v>
      </c>
      <c r="J127" s="45">
        <f t="shared" si="9"/>
        <v>0</v>
      </c>
      <c r="K127" s="45">
        <f t="shared" si="10"/>
        <v>0</v>
      </c>
      <c r="L127" s="45"/>
      <c r="M127" s="45"/>
      <c r="N127" s="45">
        <f t="shared" si="11"/>
        <v>0</v>
      </c>
      <c r="O127" s="45">
        <f>IFERROR(VLOOKUP(C127,Inventory!$A$2:$N$35,13,FALSE()),0)</f>
        <v>0</v>
      </c>
      <c r="P127" s="45">
        <f t="shared" si="12"/>
        <v>0</v>
      </c>
      <c r="Q127" s="30">
        <f t="shared" si="13"/>
        <v>0</v>
      </c>
      <c r="R127" t="str">
        <f>IFERROR(IF(AND(ISNUMBER(B127),C127&lt;&gt;""),B127-VLOOKUP(C127,Inventory!$A$2:$AE$35,29,FALSE()),""),"")</f>
        <v/>
      </c>
      <c r="U127" t="str">
        <f>IFERROR(VLOOKUP(C127,Inventory!$A$2:$C$35,2,FALSE()),"")</f>
        <v/>
      </c>
      <c r="V127" t="str">
        <f>IFERROR(VLOOKUP(C127,Inventory!$A$2:$Y$35,22,FALSE()),"")</f>
        <v/>
      </c>
      <c r="W127" t="str">
        <f>IFERROR(VLOOKUP(C127,Inventory!$A$2:$AB$35,25,FALSE()),"")</f>
        <v/>
      </c>
    </row>
    <row r="128" spans="1:23" ht="15" customHeight="1" x14ac:dyDescent="0.25">
      <c r="A128" t="str">
        <f t="shared" si="7"/>
        <v/>
      </c>
      <c r="B128" s="29"/>
      <c r="F128" s="45"/>
      <c r="G128" s="45"/>
      <c r="H128" s="45"/>
      <c r="I128" s="30">
        <f t="shared" si="8"/>
        <v>0</v>
      </c>
      <c r="J128" s="45">
        <f t="shared" si="9"/>
        <v>0</v>
      </c>
      <c r="K128" s="45">
        <f t="shared" si="10"/>
        <v>0</v>
      </c>
      <c r="L128" s="45"/>
      <c r="M128" s="45"/>
      <c r="N128" s="45">
        <f t="shared" si="11"/>
        <v>0</v>
      </c>
      <c r="O128" s="45">
        <f>IFERROR(VLOOKUP(C128,Inventory!$A$2:$N$35,13,FALSE()),0)</f>
        <v>0</v>
      </c>
      <c r="P128" s="45">
        <f t="shared" si="12"/>
        <v>0</v>
      </c>
      <c r="Q128" s="30">
        <f t="shared" si="13"/>
        <v>0</v>
      </c>
      <c r="R128" t="str">
        <f>IFERROR(IF(AND(ISNUMBER(B128),C128&lt;&gt;""),B128-VLOOKUP(C128,Inventory!$A$2:$AE$35,29,FALSE()),""),"")</f>
        <v/>
      </c>
      <c r="U128" t="str">
        <f>IFERROR(VLOOKUP(C128,Inventory!$A$2:$C$35,2,FALSE()),"")</f>
        <v/>
      </c>
      <c r="V128" t="str">
        <f>IFERROR(VLOOKUP(C128,Inventory!$A$2:$Y$35,22,FALSE()),"")</f>
        <v/>
      </c>
      <c r="W128" t="str">
        <f>IFERROR(VLOOKUP(C128,Inventory!$A$2:$AB$35,25,FALSE()),"")</f>
        <v/>
      </c>
    </row>
    <row r="129" spans="1:23" ht="15" customHeight="1" x14ac:dyDescent="0.25">
      <c r="A129" t="str">
        <f t="shared" si="7"/>
        <v/>
      </c>
      <c r="B129" s="29"/>
      <c r="F129" s="45"/>
      <c r="G129" s="45"/>
      <c r="H129" s="45"/>
      <c r="I129" s="30">
        <f t="shared" si="8"/>
        <v>0</v>
      </c>
      <c r="J129" s="45">
        <f t="shared" si="9"/>
        <v>0</v>
      </c>
      <c r="K129" s="45">
        <f t="shared" si="10"/>
        <v>0</v>
      </c>
      <c r="L129" s="45"/>
      <c r="M129" s="45"/>
      <c r="N129" s="45">
        <f t="shared" si="11"/>
        <v>0</v>
      </c>
      <c r="O129" s="45">
        <f>IFERROR(VLOOKUP(C129,Inventory!$A$2:$N$35,13,FALSE()),0)</f>
        <v>0</v>
      </c>
      <c r="P129" s="45">
        <f t="shared" si="12"/>
        <v>0</v>
      </c>
      <c r="Q129" s="30">
        <f t="shared" si="13"/>
        <v>0</v>
      </c>
      <c r="R129" t="str">
        <f>IFERROR(IF(AND(ISNUMBER(B129),C129&lt;&gt;""),B129-VLOOKUP(C129,Inventory!$A$2:$AE$35,29,FALSE()),""),"")</f>
        <v/>
      </c>
      <c r="U129" t="str">
        <f>IFERROR(VLOOKUP(C129,Inventory!$A$2:$C$35,2,FALSE()),"")</f>
        <v/>
      </c>
      <c r="V129" t="str">
        <f>IFERROR(VLOOKUP(C129,Inventory!$A$2:$Y$35,22,FALSE()),"")</f>
        <v/>
      </c>
      <c r="W129" t="str">
        <f>IFERROR(VLOOKUP(C129,Inventory!$A$2:$AB$35,25,FALSE()),"")</f>
        <v/>
      </c>
    </row>
    <row r="130" spans="1:23" ht="15" customHeight="1" x14ac:dyDescent="0.25">
      <c r="A130" t="str">
        <f t="shared" si="7"/>
        <v/>
      </c>
      <c r="B130" s="29"/>
      <c r="F130" s="45"/>
      <c r="G130" s="45"/>
      <c r="H130" s="45"/>
      <c r="I130" s="30">
        <f t="shared" si="8"/>
        <v>0</v>
      </c>
      <c r="J130" s="45">
        <f t="shared" si="9"/>
        <v>0</v>
      </c>
      <c r="K130" s="45">
        <f t="shared" si="10"/>
        <v>0</v>
      </c>
      <c r="L130" s="45"/>
      <c r="M130" s="45"/>
      <c r="N130" s="45">
        <f t="shared" si="11"/>
        <v>0</v>
      </c>
      <c r="O130" s="45">
        <f>IFERROR(VLOOKUP(C130,Inventory!$A$2:$N$35,13,FALSE()),0)</f>
        <v>0</v>
      </c>
      <c r="P130" s="45">
        <f t="shared" si="12"/>
        <v>0</v>
      </c>
      <c r="Q130" s="30">
        <f t="shared" si="13"/>
        <v>0</v>
      </c>
      <c r="R130" t="str">
        <f>IFERROR(IF(AND(ISNUMBER(B130),C130&lt;&gt;""),B130-VLOOKUP(C130,Inventory!$A$2:$AE$35,29,FALSE()),""),"")</f>
        <v/>
      </c>
      <c r="U130" t="str">
        <f>IFERROR(VLOOKUP(C130,Inventory!$A$2:$C$35,2,FALSE()),"")</f>
        <v/>
      </c>
      <c r="V130" t="str">
        <f>IFERROR(VLOOKUP(C130,Inventory!$A$2:$Y$35,22,FALSE()),"")</f>
        <v/>
      </c>
      <c r="W130" t="str">
        <f>IFERROR(VLOOKUP(C130,Inventory!$A$2:$AB$35,25,FALSE()),"")</f>
        <v/>
      </c>
    </row>
    <row r="131" spans="1:23" ht="15" customHeight="1" x14ac:dyDescent="0.25">
      <c r="A131" t="str">
        <f t="shared" si="7"/>
        <v/>
      </c>
      <c r="B131" s="29"/>
      <c r="F131" s="45"/>
      <c r="G131" s="45"/>
      <c r="H131" s="45"/>
      <c r="I131" s="30">
        <f t="shared" si="8"/>
        <v>0</v>
      </c>
      <c r="J131" s="45">
        <f t="shared" si="9"/>
        <v>0</v>
      </c>
      <c r="K131" s="45">
        <f t="shared" si="10"/>
        <v>0</v>
      </c>
      <c r="L131" s="45"/>
      <c r="M131" s="45"/>
      <c r="N131" s="45">
        <f t="shared" si="11"/>
        <v>0</v>
      </c>
      <c r="O131" s="45">
        <f>IFERROR(VLOOKUP(C131,Inventory!$A$2:$N$35,13,FALSE()),0)</f>
        <v>0</v>
      </c>
      <c r="P131" s="45">
        <f t="shared" si="12"/>
        <v>0</v>
      </c>
      <c r="Q131" s="30">
        <f t="shared" si="13"/>
        <v>0</v>
      </c>
      <c r="R131" t="str">
        <f>IFERROR(IF(AND(ISNUMBER(B131),C131&lt;&gt;""),B131-VLOOKUP(C131,Inventory!$A$2:$AE$35,29,FALSE()),""),"")</f>
        <v/>
      </c>
      <c r="U131" t="str">
        <f>IFERROR(VLOOKUP(C131,Inventory!$A$2:$C$35,2,FALSE()),"")</f>
        <v/>
      </c>
      <c r="V131" t="str">
        <f>IFERROR(VLOOKUP(C131,Inventory!$A$2:$Y$35,22,FALSE()),"")</f>
        <v/>
      </c>
      <c r="W131" t="str">
        <f>IFERROR(VLOOKUP(C131,Inventory!$A$2:$AB$35,25,FALSE()),"")</f>
        <v/>
      </c>
    </row>
    <row r="132" spans="1:23" ht="15" customHeight="1" x14ac:dyDescent="0.25">
      <c r="A132" t="str">
        <f t="shared" ref="A132:A195" si="14">IF(C132="","",ROW()-3)</f>
        <v/>
      </c>
      <c r="B132" s="29"/>
      <c r="F132" s="45"/>
      <c r="G132" s="45"/>
      <c r="H132" s="45"/>
      <c r="I132" s="30">
        <f t="shared" ref="I132:I195" si="15">IFERROR(VLOOKUP(D132,PlatformFees,2,FALSE()),0)</f>
        <v>0</v>
      </c>
      <c r="J132" s="45">
        <f t="shared" ref="J132:J195" si="16">IFERROR(VLOOKUP(D132,PlatformFees,3,FALSE()),0)</f>
        <v>0</v>
      </c>
      <c r="K132" s="45">
        <f t="shared" ref="K132:K195" si="17">IF(ISNUMBER(F132),F132*I132+J132,0)</f>
        <v>0</v>
      </c>
      <c r="L132" s="45"/>
      <c r="M132" s="45"/>
      <c r="N132" s="45">
        <f t="shared" ref="N132:N195" si="18">IF(ISNUMBER(F132),F132+IFERROR(G132,0)-IFERROR(H132,0)-K132-IFERROR(L132,0)-IFERROR(M132,0),0)</f>
        <v>0</v>
      </c>
      <c r="O132" s="45">
        <f>IFERROR(VLOOKUP(C132,Inventory!$A$2:$N$35,13,FALSE()),0)</f>
        <v>0</v>
      </c>
      <c r="P132" s="45">
        <f t="shared" ref="P132:P195" si="19">IF(ISNUMBER(F132),N132-O132,0)</f>
        <v>0</v>
      </c>
      <c r="Q132" s="30">
        <f t="shared" ref="Q132:Q195" si="20">IFERROR(IF(O132=0,0,P132/O132),0)</f>
        <v>0</v>
      </c>
      <c r="R132" t="str">
        <f>IFERROR(IF(AND(ISNUMBER(B132),C132&lt;&gt;""),B132-VLOOKUP(C132,Inventory!$A$2:$AE$35,29,FALSE()),""),"")</f>
        <v/>
      </c>
      <c r="U132" t="str">
        <f>IFERROR(VLOOKUP(C132,Inventory!$A$2:$C$35,2,FALSE()),"")</f>
        <v/>
      </c>
      <c r="V132" t="str">
        <f>IFERROR(VLOOKUP(C132,Inventory!$A$2:$Y$35,22,FALSE()),"")</f>
        <v/>
      </c>
      <c r="W132" t="str">
        <f>IFERROR(VLOOKUP(C132,Inventory!$A$2:$AB$35,25,FALSE()),"")</f>
        <v/>
      </c>
    </row>
    <row r="133" spans="1:23" ht="15" customHeight="1" x14ac:dyDescent="0.25">
      <c r="A133" t="str">
        <f t="shared" si="14"/>
        <v/>
      </c>
      <c r="B133" s="29"/>
      <c r="F133" s="45"/>
      <c r="G133" s="45"/>
      <c r="H133" s="45"/>
      <c r="I133" s="30">
        <f t="shared" si="15"/>
        <v>0</v>
      </c>
      <c r="J133" s="45">
        <f t="shared" si="16"/>
        <v>0</v>
      </c>
      <c r="K133" s="45">
        <f t="shared" si="17"/>
        <v>0</v>
      </c>
      <c r="L133" s="45"/>
      <c r="M133" s="45"/>
      <c r="N133" s="45">
        <f t="shared" si="18"/>
        <v>0</v>
      </c>
      <c r="O133" s="45">
        <f>IFERROR(VLOOKUP(C133,Inventory!$A$2:$N$35,13,FALSE()),0)</f>
        <v>0</v>
      </c>
      <c r="P133" s="45">
        <f t="shared" si="19"/>
        <v>0</v>
      </c>
      <c r="Q133" s="30">
        <f t="shared" si="20"/>
        <v>0</v>
      </c>
      <c r="R133" t="str">
        <f>IFERROR(IF(AND(ISNUMBER(B133),C133&lt;&gt;""),B133-VLOOKUP(C133,Inventory!$A$2:$AE$35,29,FALSE()),""),"")</f>
        <v/>
      </c>
      <c r="U133" t="str">
        <f>IFERROR(VLOOKUP(C133,Inventory!$A$2:$C$35,2,FALSE()),"")</f>
        <v/>
      </c>
      <c r="V133" t="str">
        <f>IFERROR(VLOOKUP(C133,Inventory!$A$2:$Y$35,22,FALSE()),"")</f>
        <v/>
      </c>
      <c r="W133" t="str">
        <f>IFERROR(VLOOKUP(C133,Inventory!$A$2:$AB$35,25,FALSE()),"")</f>
        <v/>
      </c>
    </row>
    <row r="134" spans="1:23" ht="15" customHeight="1" x14ac:dyDescent="0.25">
      <c r="A134" t="str">
        <f t="shared" si="14"/>
        <v/>
      </c>
      <c r="B134" s="29"/>
      <c r="F134" s="45"/>
      <c r="G134" s="45"/>
      <c r="H134" s="45"/>
      <c r="I134" s="30">
        <f t="shared" si="15"/>
        <v>0</v>
      </c>
      <c r="J134" s="45">
        <f t="shared" si="16"/>
        <v>0</v>
      </c>
      <c r="K134" s="45">
        <f t="shared" si="17"/>
        <v>0</v>
      </c>
      <c r="L134" s="45"/>
      <c r="M134" s="45"/>
      <c r="N134" s="45">
        <f t="shared" si="18"/>
        <v>0</v>
      </c>
      <c r="O134" s="45">
        <f>IFERROR(VLOOKUP(C134,Inventory!$A$2:$N$35,13,FALSE()),0)</f>
        <v>0</v>
      </c>
      <c r="P134" s="45">
        <f t="shared" si="19"/>
        <v>0</v>
      </c>
      <c r="Q134" s="30">
        <f t="shared" si="20"/>
        <v>0</v>
      </c>
      <c r="R134" t="str">
        <f>IFERROR(IF(AND(ISNUMBER(B134),C134&lt;&gt;""),B134-VLOOKUP(C134,Inventory!$A$2:$AE$35,29,FALSE()),""),"")</f>
        <v/>
      </c>
      <c r="U134" t="str">
        <f>IFERROR(VLOOKUP(C134,Inventory!$A$2:$C$35,2,FALSE()),"")</f>
        <v/>
      </c>
      <c r="V134" t="str">
        <f>IFERROR(VLOOKUP(C134,Inventory!$A$2:$Y$35,22,FALSE()),"")</f>
        <v/>
      </c>
      <c r="W134" t="str">
        <f>IFERROR(VLOOKUP(C134,Inventory!$A$2:$AB$35,25,FALSE()),"")</f>
        <v/>
      </c>
    </row>
    <row r="135" spans="1:23" ht="15" customHeight="1" x14ac:dyDescent="0.25">
      <c r="A135" t="str">
        <f t="shared" si="14"/>
        <v/>
      </c>
      <c r="B135" s="29"/>
      <c r="F135" s="45"/>
      <c r="G135" s="45"/>
      <c r="H135" s="45"/>
      <c r="I135" s="30">
        <f t="shared" si="15"/>
        <v>0</v>
      </c>
      <c r="J135" s="45">
        <f t="shared" si="16"/>
        <v>0</v>
      </c>
      <c r="K135" s="45">
        <f t="shared" si="17"/>
        <v>0</v>
      </c>
      <c r="L135" s="45"/>
      <c r="M135" s="45"/>
      <c r="N135" s="45">
        <f t="shared" si="18"/>
        <v>0</v>
      </c>
      <c r="O135" s="45">
        <f>IFERROR(VLOOKUP(C135,Inventory!$A$2:$N$35,13,FALSE()),0)</f>
        <v>0</v>
      </c>
      <c r="P135" s="45">
        <f t="shared" si="19"/>
        <v>0</v>
      </c>
      <c r="Q135" s="30">
        <f t="shared" si="20"/>
        <v>0</v>
      </c>
      <c r="R135" t="str">
        <f>IFERROR(IF(AND(ISNUMBER(B135),C135&lt;&gt;""),B135-VLOOKUP(C135,Inventory!$A$2:$AE$35,29,FALSE()),""),"")</f>
        <v/>
      </c>
      <c r="U135" t="str">
        <f>IFERROR(VLOOKUP(C135,Inventory!$A$2:$C$35,2,FALSE()),"")</f>
        <v/>
      </c>
      <c r="V135" t="str">
        <f>IFERROR(VLOOKUP(C135,Inventory!$A$2:$Y$35,22,FALSE()),"")</f>
        <v/>
      </c>
      <c r="W135" t="str">
        <f>IFERROR(VLOOKUP(C135,Inventory!$A$2:$AB$35,25,FALSE()),"")</f>
        <v/>
      </c>
    </row>
    <row r="136" spans="1:23" ht="15" customHeight="1" x14ac:dyDescent="0.25">
      <c r="A136" t="str">
        <f t="shared" si="14"/>
        <v/>
      </c>
      <c r="B136" s="29"/>
      <c r="F136" s="45"/>
      <c r="G136" s="45"/>
      <c r="H136" s="45"/>
      <c r="I136" s="30">
        <f t="shared" si="15"/>
        <v>0</v>
      </c>
      <c r="J136" s="45">
        <f t="shared" si="16"/>
        <v>0</v>
      </c>
      <c r="K136" s="45">
        <f t="shared" si="17"/>
        <v>0</v>
      </c>
      <c r="L136" s="45"/>
      <c r="M136" s="45"/>
      <c r="N136" s="45">
        <f t="shared" si="18"/>
        <v>0</v>
      </c>
      <c r="O136" s="45">
        <f>IFERROR(VLOOKUP(C136,Inventory!$A$2:$N$35,13,FALSE()),0)</f>
        <v>0</v>
      </c>
      <c r="P136" s="45">
        <f t="shared" si="19"/>
        <v>0</v>
      </c>
      <c r="Q136" s="30">
        <f t="shared" si="20"/>
        <v>0</v>
      </c>
      <c r="R136" t="str">
        <f>IFERROR(IF(AND(ISNUMBER(B136),C136&lt;&gt;""),B136-VLOOKUP(C136,Inventory!$A$2:$AE$35,29,FALSE()),""),"")</f>
        <v/>
      </c>
      <c r="U136" t="str">
        <f>IFERROR(VLOOKUP(C136,Inventory!$A$2:$C$35,2,FALSE()),"")</f>
        <v/>
      </c>
      <c r="V136" t="str">
        <f>IFERROR(VLOOKUP(C136,Inventory!$A$2:$Y$35,22,FALSE()),"")</f>
        <v/>
      </c>
      <c r="W136" t="str">
        <f>IFERROR(VLOOKUP(C136,Inventory!$A$2:$AB$35,25,FALSE()),"")</f>
        <v/>
      </c>
    </row>
    <row r="137" spans="1:23" ht="15" customHeight="1" x14ac:dyDescent="0.25">
      <c r="A137" t="str">
        <f t="shared" si="14"/>
        <v/>
      </c>
      <c r="B137" s="29"/>
      <c r="F137" s="45"/>
      <c r="G137" s="45"/>
      <c r="H137" s="45"/>
      <c r="I137" s="30">
        <f t="shared" si="15"/>
        <v>0</v>
      </c>
      <c r="J137" s="45">
        <f t="shared" si="16"/>
        <v>0</v>
      </c>
      <c r="K137" s="45">
        <f t="shared" si="17"/>
        <v>0</v>
      </c>
      <c r="L137" s="45"/>
      <c r="M137" s="45"/>
      <c r="N137" s="45">
        <f t="shared" si="18"/>
        <v>0</v>
      </c>
      <c r="O137" s="45">
        <f>IFERROR(VLOOKUP(C137,Inventory!$A$2:$N$35,13,FALSE()),0)</f>
        <v>0</v>
      </c>
      <c r="P137" s="45">
        <f t="shared" si="19"/>
        <v>0</v>
      </c>
      <c r="Q137" s="30">
        <f t="shared" si="20"/>
        <v>0</v>
      </c>
      <c r="R137" t="str">
        <f>IFERROR(IF(AND(ISNUMBER(B137),C137&lt;&gt;""),B137-VLOOKUP(C137,Inventory!$A$2:$AE$35,29,FALSE()),""),"")</f>
        <v/>
      </c>
      <c r="U137" t="str">
        <f>IFERROR(VLOOKUP(C137,Inventory!$A$2:$C$35,2,FALSE()),"")</f>
        <v/>
      </c>
      <c r="V137" t="str">
        <f>IFERROR(VLOOKUP(C137,Inventory!$A$2:$Y$35,22,FALSE()),"")</f>
        <v/>
      </c>
      <c r="W137" t="str">
        <f>IFERROR(VLOOKUP(C137,Inventory!$A$2:$AB$35,25,FALSE()),"")</f>
        <v/>
      </c>
    </row>
    <row r="138" spans="1:23" ht="15" customHeight="1" x14ac:dyDescent="0.25">
      <c r="A138" t="str">
        <f t="shared" si="14"/>
        <v/>
      </c>
      <c r="B138" s="29"/>
      <c r="F138" s="45"/>
      <c r="G138" s="45"/>
      <c r="H138" s="45"/>
      <c r="I138" s="30">
        <f t="shared" si="15"/>
        <v>0</v>
      </c>
      <c r="J138" s="45">
        <f t="shared" si="16"/>
        <v>0</v>
      </c>
      <c r="K138" s="45">
        <f t="shared" si="17"/>
        <v>0</v>
      </c>
      <c r="L138" s="45"/>
      <c r="M138" s="45"/>
      <c r="N138" s="45">
        <f t="shared" si="18"/>
        <v>0</v>
      </c>
      <c r="O138" s="45">
        <f>IFERROR(VLOOKUP(C138,Inventory!$A$2:$N$35,13,FALSE()),0)</f>
        <v>0</v>
      </c>
      <c r="P138" s="45">
        <f t="shared" si="19"/>
        <v>0</v>
      </c>
      <c r="Q138" s="30">
        <f t="shared" si="20"/>
        <v>0</v>
      </c>
      <c r="R138" t="str">
        <f>IFERROR(IF(AND(ISNUMBER(B138),C138&lt;&gt;""),B138-VLOOKUP(C138,Inventory!$A$2:$AE$35,29,FALSE()),""),"")</f>
        <v/>
      </c>
      <c r="U138" t="str">
        <f>IFERROR(VLOOKUP(C138,Inventory!$A$2:$C$35,2,FALSE()),"")</f>
        <v/>
      </c>
      <c r="V138" t="str">
        <f>IFERROR(VLOOKUP(C138,Inventory!$A$2:$Y$35,22,FALSE()),"")</f>
        <v/>
      </c>
      <c r="W138" t="str">
        <f>IFERROR(VLOOKUP(C138,Inventory!$A$2:$AB$35,25,FALSE()),"")</f>
        <v/>
      </c>
    </row>
    <row r="139" spans="1:23" ht="15" customHeight="1" x14ac:dyDescent="0.25">
      <c r="A139" t="str">
        <f t="shared" si="14"/>
        <v/>
      </c>
      <c r="B139" s="29"/>
      <c r="F139" s="45"/>
      <c r="G139" s="45"/>
      <c r="H139" s="45"/>
      <c r="I139" s="30">
        <f t="shared" si="15"/>
        <v>0</v>
      </c>
      <c r="J139" s="45">
        <f t="shared" si="16"/>
        <v>0</v>
      </c>
      <c r="K139" s="45">
        <f t="shared" si="17"/>
        <v>0</v>
      </c>
      <c r="L139" s="45"/>
      <c r="M139" s="45"/>
      <c r="N139" s="45">
        <f t="shared" si="18"/>
        <v>0</v>
      </c>
      <c r="O139" s="45">
        <f>IFERROR(VLOOKUP(C139,Inventory!$A$2:$N$35,13,FALSE()),0)</f>
        <v>0</v>
      </c>
      <c r="P139" s="45">
        <f t="shared" si="19"/>
        <v>0</v>
      </c>
      <c r="Q139" s="30">
        <f t="shared" si="20"/>
        <v>0</v>
      </c>
      <c r="R139" t="str">
        <f>IFERROR(IF(AND(ISNUMBER(B139),C139&lt;&gt;""),B139-VLOOKUP(C139,Inventory!$A$2:$AE$35,29,FALSE()),""),"")</f>
        <v/>
      </c>
      <c r="U139" t="str">
        <f>IFERROR(VLOOKUP(C139,Inventory!$A$2:$C$35,2,FALSE()),"")</f>
        <v/>
      </c>
      <c r="V139" t="str">
        <f>IFERROR(VLOOKUP(C139,Inventory!$A$2:$Y$35,22,FALSE()),"")</f>
        <v/>
      </c>
      <c r="W139" t="str">
        <f>IFERROR(VLOOKUP(C139,Inventory!$A$2:$AB$35,25,FALSE()),"")</f>
        <v/>
      </c>
    </row>
    <row r="140" spans="1:23" ht="15" customHeight="1" x14ac:dyDescent="0.25">
      <c r="A140" t="str">
        <f t="shared" si="14"/>
        <v/>
      </c>
      <c r="B140" s="29"/>
      <c r="F140" s="45"/>
      <c r="G140" s="45"/>
      <c r="H140" s="45"/>
      <c r="I140" s="30">
        <f t="shared" si="15"/>
        <v>0</v>
      </c>
      <c r="J140" s="45">
        <f t="shared" si="16"/>
        <v>0</v>
      </c>
      <c r="K140" s="45">
        <f t="shared" si="17"/>
        <v>0</v>
      </c>
      <c r="L140" s="45"/>
      <c r="M140" s="45"/>
      <c r="N140" s="45">
        <f t="shared" si="18"/>
        <v>0</v>
      </c>
      <c r="O140" s="45">
        <f>IFERROR(VLOOKUP(C140,Inventory!$A$2:$N$35,13,FALSE()),0)</f>
        <v>0</v>
      </c>
      <c r="P140" s="45">
        <f t="shared" si="19"/>
        <v>0</v>
      </c>
      <c r="Q140" s="30">
        <f t="shared" si="20"/>
        <v>0</v>
      </c>
      <c r="R140" t="str">
        <f>IFERROR(IF(AND(ISNUMBER(B140),C140&lt;&gt;""),B140-VLOOKUP(C140,Inventory!$A$2:$AE$35,29,FALSE()),""),"")</f>
        <v/>
      </c>
      <c r="U140" t="str">
        <f>IFERROR(VLOOKUP(C140,Inventory!$A$2:$C$35,2,FALSE()),"")</f>
        <v/>
      </c>
      <c r="V140" t="str">
        <f>IFERROR(VLOOKUP(C140,Inventory!$A$2:$Y$35,22,FALSE()),"")</f>
        <v/>
      </c>
      <c r="W140" t="str">
        <f>IFERROR(VLOOKUP(C140,Inventory!$A$2:$AB$35,25,FALSE()),"")</f>
        <v/>
      </c>
    </row>
    <row r="141" spans="1:23" ht="15" customHeight="1" x14ac:dyDescent="0.25">
      <c r="A141" t="str">
        <f t="shared" si="14"/>
        <v/>
      </c>
      <c r="B141" s="29"/>
      <c r="F141" s="45"/>
      <c r="G141" s="45"/>
      <c r="H141" s="45"/>
      <c r="I141" s="30">
        <f t="shared" si="15"/>
        <v>0</v>
      </c>
      <c r="J141" s="45">
        <f t="shared" si="16"/>
        <v>0</v>
      </c>
      <c r="K141" s="45">
        <f t="shared" si="17"/>
        <v>0</v>
      </c>
      <c r="L141" s="45"/>
      <c r="M141" s="45"/>
      <c r="N141" s="45">
        <f t="shared" si="18"/>
        <v>0</v>
      </c>
      <c r="O141" s="45">
        <f>IFERROR(VLOOKUP(C141,Inventory!$A$2:$N$35,13,FALSE()),0)</f>
        <v>0</v>
      </c>
      <c r="P141" s="45">
        <f t="shared" si="19"/>
        <v>0</v>
      </c>
      <c r="Q141" s="30">
        <f t="shared" si="20"/>
        <v>0</v>
      </c>
      <c r="R141" t="str">
        <f>IFERROR(IF(AND(ISNUMBER(B141),C141&lt;&gt;""),B141-VLOOKUP(C141,Inventory!$A$2:$AE$35,29,FALSE()),""),"")</f>
        <v/>
      </c>
      <c r="U141" t="str">
        <f>IFERROR(VLOOKUP(C141,Inventory!$A$2:$C$35,2,FALSE()),"")</f>
        <v/>
      </c>
      <c r="V141" t="str">
        <f>IFERROR(VLOOKUP(C141,Inventory!$A$2:$Y$35,22,FALSE()),"")</f>
        <v/>
      </c>
      <c r="W141" t="str">
        <f>IFERROR(VLOOKUP(C141,Inventory!$A$2:$AB$35,25,FALSE()),"")</f>
        <v/>
      </c>
    </row>
    <row r="142" spans="1:23" ht="15" customHeight="1" x14ac:dyDescent="0.25">
      <c r="A142" t="str">
        <f t="shared" si="14"/>
        <v/>
      </c>
      <c r="B142" s="29"/>
      <c r="F142" s="45"/>
      <c r="G142" s="45"/>
      <c r="H142" s="45"/>
      <c r="I142" s="30">
        <f t="shared" si="15"/>
        <v>0</v>
      </c>
      <c r="J142" s="45">
        <f t="shared" si="16"/>
        <v>0</v>
      </c>
      <c r="K142" s="45">
        <f t="shared" si="17"/>
        <v>0</v>
      </c>
      <c r="L142" s="45"/>
      <c r="M142" s="45"/>
      <c r="N142" s="45">
        <f t="shared" si="18"/>
        <v>0</v>
      </c>
      <c r="O142" s="45">
        <f>IFERROR(VLOOKUP(C142,Inventory!$A$2:$N$35,13,FALSE()),0)</f>
        <v>0</v>
      </c>
      <c r="P142" s="45">
        <f t="shared" si="19"/>
        <v>0</v>
      </c>
      <c r="Q142" s="30">
        <f t="shared" si="20"/>
        <v>0</v>
      </c>
      <c r="R142" t="str">
        <f>IFERROR(IF(AND(ISNUMBER(B142),C142&lt;&gt;""),B142-VLOOKUP(C142,Inventory!$A$2:$AE$35,29,FALSE()),""),"")</f>
        <v/>
      </c>
      <c r="U142" t="str">
        <f>IFERROR(VLOOKUP(C142,Inventory!$A$2:$C$35,2,FALSE()),"")</f>
        <v/>
      </c>
      <c r="V142" t="str">
        <f>IFERROR(VLOOKUP(C142,Inventory!$A$2:$Y$35,22,FALSE()),"")</f>
        <v/>
      </c>
      <c r="W142" t="str">
        <f>IFERROR(VLOOKUP(C142,Inventory!$A$2:$AB$35,25,FALSE()),"")</f>
        <v/>
      </c>
    </row>
    <row r="143" spans="1:23" ht="15" customHeight="1" x14ac:dyDescent="0.25">
      <c r="A143" t="str">
        <f t="shared" si="14"/>
        <v/>
      </c>
      <c r="B143" s="29"/>
      <c r="F143" s="45"/>
      <c r="G143" s="45"/>
      <c r="H143" s="45"/>
      <c r="I143" s="30">
        <f t="shared" si="15"/>
        <v>0</v>
      </c>
      <c r="J143" s="45">
        <f t="shared" si="16"/>
        <v>0</v>
      </c>
      <c r="K143" s="45">
        <f t="shared" si="17"/>
        <v>0</v>
      </c>
      <c r="L143" s="45"/>
      <c r="M143" s="45"/>
      <c r="N143" s="45">
        <f t="shared" si="18"/>
        <v>0</v>
      </c>
      <c r="O143" s="45">
        <f>IFERROR(VLOOKUP(C143,Inventory!$A$2:$N$35,13,FALSE()),0)</f>
        <v>0</v>
      </c>
      <c r="P143" s="45">
        <f t="shared" si="19"/>
        <v>0</v>
      </c>
      <c r="Q143" s="30">
        <f t="shared" si="20"/>
        <v>0</v>
      </c>
      <c r="R143" t="str">
        <f>IFERROR(IF(AND(ISNUMBER(B143),C143&lt;&gt;""),B143-VLOOKUP(C143,Inventory!$A$2:$AE$35,29,FALSE()),""),"")</f>
        <v/>
      </c>
      <c r="U143" t="str">
        <f>IFERROR(VLOOKUP(C143,Inventory!$A$2:$C$35,2,FALSE()),"")</f>
        <v/>
      </c>
      <c r="V143" t="str">
        <f>IFERROR(VLOOKUP(C143,Inventory!$A$2:$Y$35,22,FALSE()),"")</f>
        <v/>
      </c>
      <c r="W143" t="str">
        <f>IFERROR(VLOOKUP(C143,Inventory!$A$2:$AB$35,25,FALSE()),"")</f>
        <v/>
      </c>
    </row>
    <row r="144" spans="1:23" ht="15" customHeight="1" x14ac:dyDescent="0.25">
      <c r="A144" t="str">
        <f t="shared" si="14"/>
        <v/>
      </c>
      <c r="B144" s="29"/>
      <c r="F144" s="45"/>
      <c r="G144" s="45"/>
      <c r="H144" s="45"/>
      <c r="I144" s="30">
        <f t="shared" si="15"/>
        <v>0</v>
      </c>
      <c r="J144" s="45">
        <f t="shared" si="16"/>
        <v>0</v>
      </c>
      <c r="K144" s="45">
        <f t="shared" si="17"/>
        <v>0</v>
      </c>
      <c r="L144" s="45"/>
      <c r="M144" s="45"/>
      <c r="N144" s="45">
        <f t="shared" si="18"/>
        <v>0</v>
      </c>
      <c r="O144" s="45">
        <f>IFERROR(VLOOKUP(C144,Inventory!$A$2:$N$35,13,FALSE()),0)</f>
        <v>0</v>
      </c>
      <c r="P144" s="45">
        <f t="shared" si="19"/>
        <v>0</v>
      </c>
      <c r="Q144" s="30">
        <f t="shared" si="20"/>
        <v>0</v>
      </c>
      <c r="R144" t="str">
        <f>IFERROR(IF(AND(ISNUMBER(B144),C144&lt;&gt;""),B144-VLOOKUP(C144,Inventory!$A$2:$AE$35,29,FALSE()),""),"")</f>
        <v/>
      </c>
      <c r="U144" t="str">
        <f>IFERROR(VLOOKUP(C144,Inventory!$A$2:$C$35,2,FALSE()),"")</f>
        <v/>
      </c>
      <c r="V144" t="str">
        <f>IFERROR(VLOOKUP(C144,Inventory!$A$2:$Y$35,22,FALSE()),"")</f>
        <v/>
      </c>
      <c r="W144" t="str">
        <f>IFERROR(VLOOKUP(C144,Inventory!$A$2:$AB$35,25,FALSE()),"")</f>
        <v/>
      </c>
    </row>
    <row r="145" spans="1:23" ht="15" customHeight="1" x14ac:dyDescent="0.25">
      <c r="A145" t="str">
        <f t="shared" si="14"/>
        <v/>
      </c>
      <c r="B145" s="29"/>
      <c r="F145" s="45"/>
      <c r="G145" s="45"/>
      <c r="H145" s="45"/>
      <c r="I145" s="30">
        <f t="shared" si="15"/>
        <v>0</v>
      </c>
      <c r="J145" s="45">
        <f t="shared" si="16"/>
        <v>0</v>
      </c>
      <c r="K145" s="45">
        <f t="shared" si="17"/>
        <v>0</v>
      </c>
      <c r="L145" s="45"/>
      <c r="M145" s="45"/>
      <c r="N145" s="45">
        <f t="shared" si="18"/>
        <v>0</v>
      </c>
      <c r="O145" s="45">
        <f>IFERROR(VLOOKUP(C145,Inventory!$A$2:$N$35,13,FALSE()),0)</f>
        <v>0</v>
      </c>
      <c r="P145" s="45">
        <f t="shared" si="19"/>
        <v>0</v>
      </c>
      <c r="Q145" s="30">
        <f t="shared" si="20"/>
        <v>0</v>
      </c>
      <c r="R145" t="str">
        <f>IFERROR(IF(AND(ISNUMBER(B145),C145&lt;&gt;""),B145-VLOOKUP(C145,Inventory!$A$2:$AE$35,29,FALSE()),""),"")</f>
        <v/>
      </c>
      <c r="U145" t="str">
        <f>IFERROR(VLOOKUP(C145,Inventory!$A$2:$C$35,2,FALSE()),"")</f>
        <v/>
      </c>
      <c r="V145" t="str">
        <f>IFERROR(VLOOKUP(C145,Inventory!$A$2:$Y$35,22,FALSE()),"")</f>
        <v/>
      </c>
      <c r="W145" t="str">
        <f>IFERROR(VLOOKUP(C145,Inventory!$A$2:$AB$35,25,FALSE()),"")</f>
        <v/>
      </c>
    </row>
    <row r="146" spans="1:23" ht="15" customHeight="1" x14ac:dyDescent="0.25">
      <c r="A146" t="str">
        <f t="shared" si="14"/>
        <v/>
      </c>
      <c r="B146" s="29"/>
      <c r="F146" s="45"/>
      <c r="G146" s="45"/>
      <c r="H146" s="45"/>
      <c r="I146" s="30">
        <f t="shared" si="15"/>
        <v>0</v>
      </c>
      <c r="J146" s="45">
        <f t="shared" si="16"/>
        <v>0</v>
      </c>
      <c r="K146" s="45">
        <f t="shared" si="17"/>
        <v>0</v>
      </c>
      <c r="L146" s="45"/>
      <c r="M146" s="45"/>
      <c r="N146" s="45">
        <f t="shared" si="18"/>
        <v>0</v>
      </c>
      <c r="O146" s="45">
        <f>IFERROR(VLOOKUP(C146,Inventory!$A$2:$N$35,13,FALSE()),0)</f>
        <v>0</v>
      </c>
      <c r="P146" s="45">
        <f t="shared" si="19"/>
        <v>0</v>
      </c>
      <c r="Q146" s="30">
        <f t="shared" si="20"/>
        <v>0</v>
      </c>
      <c r="R146" t="str">
        <f>IFERROR(IF(AND(ISNUMBER(B146),C146&lt;&gt;""),B146-VLOOKUP(C146,Inventory!$A$2:$AE$35,29,FALSE()),""),"")</f>
        <v/>
      </c>
      <c r="U146" t="str">
        <f>IFERROR(VLOOKUP(C146,Inventory!$A$2:$C$35,2,FALSE()),"")</f>
        <v/>
      </c>
      <c r="V146" t="str">
        <f>IFERROR(VLOOKUP(C146,Inventory!$A$2:$Y$35,22,FALSE()),"")</f>
        <v/>
      </c>
      <c r="W146" t="str">
        <f>IFERROR(VLOOKUP(C146,Inventory!$A$2:$AB$35,25,FALSE()),"")</f>
        <v/>
      </c>
    </row>
    <row r="147" spans="1:23" ht="15" customHeight="1" x14ac:dyDescent="0.25">
      <c r="A147" t="str">
        <f t="shared" si="14"/>
        <v/>
      </c>
      <c r="B147" s="29"/>
      <c r="F147" s="45"/>
      <c r="G147" s="45"/>
      <c r="H147" s="45"/>
      <c r="I147" s="30">
        <f t="shared" si="15"/>
        <v>0</v>
      </c>
      <c r="J147" s="45">
        <f t="shared" si="16"/>
        <v>0</v>
      </c>
      <c r="K147" s="45">
        <f t="shared" si="17"/>
        <v>0</v>
      </c>
      <c r="L147" s="45"/>
      <c r="M147" s="45"/>
      <c r="N147" s="45">
        <f t="shared" si="18"/>
        <v>0</v>
      </c>
      <c r="O147" s="45">
        <f>IFERROR(VLOOKUP(C147,Inventory!$A$2:$N$35,13,FALSE()),0)</f>
        <v>0</v>
      </c>
      <c r="P147" s="45">
        <f t="shared" si="19"/>
        <v>0</v>
      </c>
      <c r="Q147" s="30">
        <f t="shared" si="20"/>
        <v>0</v>
      </c>
      <c r="R147" t="str">
        <f>IFERROR(IF(AND(ISNUMBER(B147),C147&lt;&gt;""),B147-VLOOKUP(C147,Inventory!$A$2:$AE$35,29,FALSE()),""),"")</f>
        <v/>
      </c>
      <c r="U147" t="str">
        <f>IFERROR(VLOOKUP(C147,Inventory!$A$2:$C$35,2,FALSE()),"")</f>
        <v/>
      </c>
      <c r="V147" t="str">
        <f>IFERROR(VLOOKUP(C147,Inventory!$A$2:$Y$35,22,FALSE()),"")</f>
        <v/>
      </c>
      <c r="W147" t="str">
        <f>IFERROR(VLOOKUP(C147,Inventory!$A$2:$AB$35,25,FALSE()),"")</f>
        <v/>
      </c>
    </row>
    <row r="148" spans="1:23" ht="15" customHeight="1" x14ac:dyDescent="0.25">
      <c r="A148" t="str">
        <f t="shared" si="14"/>
        <v/>
      </c>
      <c r="B148" s="29"/>
      <c r="F148" s="45"/>
      <c r="G148" s="45"/>
      <c r="H148" s="45"/>
      <c r="I148" s="30">
        <f t="shared" si="15"/>
        <v>0</v>
      </c>
      <c r="J148" s="45">
        <f t="shared" si="16"/>
        <v>0</v>
      </c>
      <c r="K148" s="45">
        <f t="shared" si="17"/>
        <v>0</v>
      </c>
      <c r="L148" s="45"/>
      <c r="M148" s="45"/>
      <c r="N148" s="45">
        <f t="shared" si="18"/>
        <v>0</v>
      </c>
      <c r="O148" s="45">
        <f>IFERROR(VLOOKUP(C148,Inventory!$A$2:$N$35,13,FALSE()),0)</f>
        <v>0</v>
      </c>
      <c r="P148" s="45">
        <f t="shared" si="19"/>
        <v>0</v>
      </c>
      <c r="Q148" s="30">
        <f t="shared" si="20"/>
        <v>0</v>
      </c>
      <c r="R148" t="str">
        <f>IFERROR(IF(AND(ISNUMBER(B148),C148&lt;&gt;""),B148-VLOOKUP(C148,Inventory!$A$2:$AE$35,29,FALSE()),""),"")</f>
        <v/>
      </c>
      <c r="U148" t="str">
        <f>IFERROR(VLOOKUP(C148,Inventory!$A$2:$C$35,2,FALSE()),"")</f>
        <v/>
      </c>
      <c r="V148" t="str">
        <f>IFERROR(VLOOKUP(C148,Inventory!$A$2:$Y$35,22,FALSE()),"")</f>
        <v/>
      </c>
      <c r="W148" t="str">
        <f>IFERROR(VLOOKUP(C148,Inventory!$A$2:$AB$35,25,FALSE()),"")</f>
        <v/>
      </c>
    </row>
    <row r="149" spans="1:23" ht="15" customHeight="1" x14ac:dyDescent="0.25">
      <c r="A149" t="str">
        <f t="shared" si="14"/>
        <v/>
      </c>
      <c r="B149" s="29"/>
      <c r="F149" s="45"/>
      <c r="G149" s="45"/>
      <c r="H149" s="45"/>
      <c r="I149" s="30">
        <f t="shared" si="15"/>
        <v>0</v>
      </c>
      <c r="J149" s="45">
        <f t="shared" si="16"/>
        <v>0</v>
      </c>
      <c r="K149" s="45">
        <f t="shared" si="17"/>
        <v>0</v>
      </c>
      <c r="L149" s="45"/>
      <c r="M149" s="45"/>
      <c r="N149" s="45">
        <f t="shared" si="18"/>
        <v>0</v>
      </c>
      <c r="O149" s="45">
        <f>IFERROR(VLOOKUP(C149,Inventory!$A$2:$N$35,13,FALSE()),0)</f>
        <v>0</v>
      </c>
      <c r="P149" s="45">
        <f t="shared" si="19"/>
        <v>0</v>
      </c>
      <c r="Q149" s="30">
        <f t="shared" si="20"/>
        <v>0</v>
      </c>
      <c r="R149" t="str">
        <f>IFERROR(IF(AND(ISNUMBER(B149),C149&lt;&gt;""),B149-VLOOKUP(C149,Inventory!$A$2:$AE$35,29,FALSE()),""),"")</f>
        <v/>
      </c>
      <c r="U149" t="str">
        <f>IFERROR(VLOOKUP(C149,Inventory!$A$2:$C$35,2,FALSE()),"")</f>
        <v/>
      </c>
      <c r="V149" t="str">
        <f>IFERROR(VLOOKUP(C149,Inventory!$A$2:$Y$35,22,FALSE()),"")</f>
        <v/>
      </c>
      <c r="W149" t="str">
        <f>IFERROR(VLOOKUP(C149,Inventory!$A$2:$AB$35,25,FALSE()),"")</f>
        <v/>
      </c>
    </row>
    <row r="150" spans="1:23" ht="15" customHeight="1" x14ac:dyDescent="0.25">
      <c r="A150" t="str">
        <f t="shared" si="14"/>
        <v/>
      </c>
      <c r="B150" s="29"/>
      <c r="F150" s="45"/>
      <c r="G150" s="45"/>
      <c r="H150" s="45"/>
      <c r="I150" s="30">
        <f t="shared" si="15"/>
        <v>0</v>
      </c>
      <c r="J150" s="45">
        <f t="shared" si="16"/>
        <v>0</v>
      </c>
      <c r="K150" s="45">
        <f t="shared" si="17"/>
        <v>0</v>
      </c>
      <c r="L150" s="45"/>
      <c r="M150" s="45"/>
      <c r="N150" s="45">
        <f t="shared" si="18"/>
        <v>0</v>
      </c>
      <c r="O150" s="45">
        <f>IFERROR(VLOOKUP(C150,Inventory!$A$2:$N$35,13,FALSE()),0)</f>
        <v>0</v>
      </c>
      <c r="P150" s="45">
        <f t="shared" si="19"/>
        <v>0</v>
      </c>
      <c r="Q150" s="30">
        <f t="shared" si="20"/>
        <v>0</v>
      </c>
      <c r="R150" t="str">
        <f>IFERROR(IF(AND(ISNUMBER(B150),C150&lt;&gt;""),B150-VLOOKUP(C150,Inventory!$A$2:$AE$35,29,FALSE()),""),"")</f>
        <v/>
      </c>
      <c r="U150" t="str">
        <f>IFERROR(VLOOKUP(C150,Inventory!$A$2:$C$35,2,FALSE()),"")</f>
        <v/>
      </c>
      <c r="V150" t="str">
        <f>IFERROR(VLOOKUP(C150,Inventory!$A$2:$Y$35,22,FALSE()),"")</f>
        <v/>
      </c>
      <c r="W150" t="str">
        <f>IFERROR(VLOOKUP(C150,Inventory!$A$2:$AB$35,25,FALSE()),"")</f>
        <v/>
      </c>
    </row>
    <row r="151" spans="1:23" ht="15" customHeight="1" x14ac:dyDescent="0.25">
      <c r="A151" t="str">
        <f t="shared" si="14"/>
        <v/>
      </c>
      <c r="B151" s="29"/>
      <c r="F151" s="45"/>
      <c r="G151" s="45"/>
      <c r="H151" s="45"/>
      <c r="I151" s="30">
        <f t="shared" si="15"/>
        <v>0</v>
      </c>
      <c r="J151" s="45">
        <f t="shared" si="16"/>
        <v>0</v>
      </c>
      <c r="K151" s="45">
        <f t="shared" si="17"/>
        <v>0</v>
      </c>
      <c r="L151" s="45"/>
      <c r="M151" s="45"/>
      <c r="N151" s="45">
        <f t="shared" si="18"/>
        <v>0</v>
      </c>
      <c r="O151" s="45">
        <f>IFERROR(VLOOKUP(C151,Inventory!$A$2:$N$35,13,FALSE()),0)</f>
        <v>0</v>
      </c>
      <c r="P151" s="45">
        <f t="shared" si="19"/>
        <v>0</v>
      </c>
      <c r="Q151" s="30">
        <f t="shared" si="20"/>
        <v>0</v>
      </c>
      <c r="R151" t="str">
        <f>IFERROR(IF(AND(ISNUMBER(B151),C151&lt;&gt;""),B151-VLOOKUP(C151,Inventory!$A$2:$AE$35,29,FALSE()),""),"")</f>
        <v/>
      </c>
      <c r="U151" t="str">
        <f>IFERROR(VLOOKUP(C151,Inventory!$A$2:$C$35,2,FALSE()),"")</f>
        <v/>
      </c>
      <c r="V151" t="str">
        <f>IFERROR(VLOOKUP(C151,Inventory!$A$2:$Y$35,22,FALSE()),"")</f>
        <v/>
      </c>
      <c r="W151" t="str">
        <f>IFERROR(VLOOKUP(C151,Inventory!$A$2:$AB$35,25,FALSE()),"")</f>
        <v/>
      </c>
    </row>
    <row r="152" spans="1:23" ht="15" customHeight="1" x14ac:dyDescent="0.25">
      <c r="A152" t="str">
        <f t="shared" si="14"/>
        <v/>
      </c>
      <c r="B152" s="29"/>
      <c r="F152" s="45"/>
      <c r="G152" s="45"/>
      <c r="H152" s="45"/>
      <c r="I152" s="30">
        <f t="shared" si="15"/>
        <v>0</v>
      </c>
      <c r="J152" s="45">
        <f t="shared" si="16"/>
        <v>0</v>
      </c>
      <c r="K152" s="45">
        <f t="shared" si="17"/>
        <v>0</v>
      </c>
      <c r="L152" s="45"/>
      <c r="M152" s="45"/>
      <c r="N152" s="45">
        <f t="shared" si="18"/>
        <v>0</v>
      </c>
      <c r="O152" s="45">
        <f>IFERROR(VLOOKUP(C152,Inventory!$A$2:$N$35,13,FALSE()),0)</f>
        <v>0</v>
      </c>
      <c r="P152" s="45">
        <f t="shared" si="19"/>
        <v>0</v>
      </c>
      <c r="Q152" s="30">
        <f t="shared" si="20"/>
        <v>0</v>
      </c>
      <c r="R152" t="str">
        <f>IFERROR(IF(AND(ISNUMBER(B152),C152&lt;&gt;""),B152-VLOOKUP(C152,Inventory!$A$2:$AE$35,29,FALSE()),""),"")</f>
        <v/>
      </c>
      <c r="U152" t="str">
        <f>IFERROR(VLOOKUP(C152,Inventory!$A$2:$C$35,2,FALSE()),"")</f>
        <v/>
      </c>
      <c r="V152" t="str">
        <f>IFERROR(VLOOKUP(C152,Inventory!$A$2:$Y$35,22,FALSE()),"")</f>
        <v/>
      </c>
      <c r="W152" t="str">
        <f>IFERROR(VLOOKUP(C152,Inventory!$A$2:$AB$35,25,FALSE()),"")</f>
        <v/>
      </c>
    </row>
    <row r="153" spans="1:23" ht="15" customHeight="1" x14ac:dyDescent="0.25">
      <c r="A153" t="str">
        <f t="shared" si="14"/>
        <v/>
      </c>
      <c r="B153" s="29"/>
      <c r="F153" s="45"/>
      <c r="G153" s="45"/>
      <c r="H153" s="45"/>
      <c r="I153" s="30">
        <f t="shared" si="15"/>
        <v>0</v>
      </c>
      <c r="J153" s="45">
        <f t="shared" si="16"/>
        <v>0</v>
      </c>
      <c r="K153" s="45">
        <f t="shared" si="17"/>
        <v>0</v>
      </c>
      <c r="L153" s="45"/>
      <c r="M153" s="45"/>
      <c r="N153" s="45">
        <f t="shared" si="18"/>
        <v>0</v>
      </c>
      <c r="O153" s="45">
        <f>IFERROR(VLOOKUP(C153,Inventory!$A$2:$N$35,13,FALSE()),0)</f>
        <v>0</v>
      </c>
      <c r="P153" s="45">
        <f t="shared" si="19"/>
        <v>0</v>
      </c>
      <c r="Q153" s="30">
        <f t="shared" si="20"/>
        <v>0</v>
      </c>
      <c r="R153" t="str">
        <f>IFERROR(IF(AND(ISNUMBER(B153),C153&lt;&gt;""),B153-VLOOKUP(C153,Inventory!$A$2:$AE$35,29,FALSE()),""),"")</f>
        <v/>
      </c>
      <c r="U153" t="str">
        <f>IFERROR(VLOOKUP(C153,Inventory!$A$2:$C$35,2,FALSE()),"")</f>
        <v/>
      </c>
      <c r="V153" t="str">
        <f>IFERROR(VLOOKUP(C153,Inventory!$A$2:$Y$35,22,FALSE()),"")</f>
        <v/>
      </c>
      <c r="W153" t="str">
        <f>IFERROR(VLOOKUP(C153,Inventory!$A$2:$AB$35,25,FALSE()),"")</f>
        <v/>
      </c>
    </row>
    <row r="154" spans="1:23" ht="15" customHeight="1" x14ac:dyDescent="0.25">
      <c r="A154" t="str">
        <f t="shared" si="14"/>
        <v/>
      </c>
      <c r="B154" s="29"/>
      <c r="F154" s="45"/>
      <c r="G154" s="45"/>
      <c r="H154" s="45"/>
      <c r="I154" s="30">
        <f t="shared" si="15"/>
        <v>0</v>
      </c>
      <c r="J154" s="45">
        <f t="shared" si="16"/>
        <v>0</v>
      </c>
      <c r="K154" s="45">
        <f t="shared" si="17"/>
        <v>0</v>
      </c>
      <c r="L154" s="45"/>
      <c r="M154" s="45"/>
      <c r="N154" s="45">
        <f t="shared" si="18"/>
        <v>0</v>
      </c>
      <c r="O154" s="45">
        <f>IFERROR(VLOOKUP(C154,Inventory!$A$2:$N$35,13,FALSE()),0)</f>
        <v>0</v>
      </c>
      <c r="P154" s="45">
        <f t="shared" si="19"/>
        <v>0</v>
      </c>
      <c r="Q154" s="30">
        <f t="shared" si="20"/>
        <v>0</v>
      </c>
      <c r="R154" t="str">
        <f>IFERROR(IF(AND(ISNUMBER(B154),C154&lt;&gt;""),B154-VLOOKUP(C154,Inventory!$A$2:$AE$35,29,FALSE()),""),"")</f>
        <v/>
      </c>
      <c r="U154" t="str">
        <f>IFERROR(VLOOKUP(C154,Inventory!$A$2:$C$35,2,FALSE()),"")</f>
        <v/>
      </c>
      <c r="V154" t="str">
        <f>IFERROR(VLOOKUP(C154,Inventory!$A$2:$Y$35,22,FALSE()),"")</f>
        <v/>
      </c>
      <c r="W154" t="str">
        <f>IFERROR(VLOOKUP(C154,Inventory!$A$2:$AB$35,25,FALSE()),"")</f>
        <v/>
      </c>
    </row>
    <row r="155" spans="1:23" ht="15" customHeight="1" x14ac:dyDescent="0.25">
      <c r="A155" t="str">
        <f t="shared" si="14"/>
        <v/>
      </c>
      <c r="B155" s="29"/>
      <c r="F155" s="45"/>
      <c r="G155" s="45"/>
      <c r="H155" s="45"/>
      <c r="I155" s="30">
        <f t="shared" si="15"/>
        <v>0</v>
      </c>
      <c r="J155" s="45">
        <f t="shared" si="16"/>
        <v>0</v>
      </c>
      <c r="K155" s="45">
        <f t="shared" si="17"/>
        <v>0</v>
      </c>
      <c r="L155" s="45"/>
      <c r="M155" s="45"/>
      <c r="N155" s="45">
        <f t="shared" si="18"/>
        <v>0</v>
      </c>
      <c r="O155" s="45">
        <f>IFERROR(VLOOKUP(C155,Inventory!$A$2:$N$35,13,FALSE()),0)</f>
        <v>0</v>
      </c>
      <c r="P155" s="45">
        <f t="shared" si="19"/>
        <v>0</v>
      </c>
      <c r="Q155" s="30">
        <f t="shared" si="20"/>
        <v>0</v>
      </c>
      <c r="R155" t="str">
        <f>IFERROR(IF(AND(ISNUMBER(B155),C155&lt;&gt;""),B155-VLOOKUP(C155,Inventory!$A$2:$AE$35,29,FALSE()),""),"")</f>
        <v/>
      </c>
      <c r="U155" t="str">
        <f>IFERROR(VLOOKUP(C155,Inventory!$A$2:$C$35,2,FALSE()),"")</f>
        <v/>
      </c>
      <c r="V155" t="str">
        <f>IFERROR(VLOOKUP(C155,Inventory!$A$2:$Y$35,22,FALSE()),"")</f>
        <v/>
      </c>
      <c r="W155" t="str">
        <f>IFERROR(VLOOKUP(C155,Inventory!$A$2:$AB$35,25,FALSE()),"")</f>
        <v/>
      </c>
    </row>
    <row r="156" spans="1:23" ht="15" customHeight="1" x14ac:dyDescent="0.25">
      <c r="A156" t="str">
        <f t="shared" si="14"/>
        <v/>
      </c>
      <c r="B156" s="29"/>
      <c r="F156" s="45"/>
      <c r="G156" s="45"/>
      <c r="H156" s="45"/>
      <c r="I156" s="30">
        <f t="shared" si="15"/>
        <v>0</v>
      </c>
      <c r="J156" s="45">
        <f t="shared" si="16"/>
        <v>0</v>
      </c>
      <c r="K156" s="45">
        <f t="shared" si="17"/>
        <v>0</v>
      </c>
      <c r="L156" s="45"/>
      <c r="M156" s="45"/>
      <c r="N156" s="45">
        <f t="shared" si="18"/>
        <v>0</v>
      </c>
      <c r="O156" s="45">
        <f>IFERROR(VLOOKUP(C156,Inventory!$A$2:$N$35,13,FALSE()),0)</f>
        <v>0</v>
      </c>
      <c r="P156" s="45">
        <f t="shared" si="19"/>
        <v>0</v>
      </c>
      <c r="Q156" s="30">
        <f t="shared" si="20"/>
        <v>0</v>
      </c>
      <c r="R156" t="str">
        <f>IFERROR(IF(AND(ISNUMBER(B156),C156&lt;&gt;""),B156-VLOOKUP(C156,Inventory!$A$2:$AE$35,29,FALSE()),""),"")</f>
        <v/>
      </c>
      <c r="U156" t="str">
        <f>IFERROR(VLOOKUP(C156,Inventory!$A$2:$C$35,2,FALSE()),"")</f>
        <v/>
      </c>
      <c r="V156" t="str">
        <f>IFERROR(VLOOKUP(C156,Inventory!$A$2:$Y$35,22,FALSE()),"")</f>
        <v/>
      </c>
      <c r="W156" t="str">
        <f>IFERROR(VLOOKUP(C156,Inventory!$A$2:$AB$35,25,FALSE()),"")</f>
        <v/>
      </c>
    </row>
    <row r="157" spans="1:23" ht="15" customHeight="1" x14ac:dyDescent="0.25">
      <c r="A157" t="str">
        <f t="shared" si="14"/>
        <v/>
      </c>
      <c r="B157" s="29"/>
      <c r="F157" s="45"/>
      <c r="G157" s="45"/>
      <c r="H157" s="45"/>
      <c r="I157" s="30">
        <f t="shared" si="15"/>
        <v>0</v>
      </c>
      <c r="J157" s="45">
        <f t="shared" si="16"/>
        <v>0</v>
      </c>
      <c r="K157" s="45">
        <f t="shared" si="17"/>
        <v>0</v>
      </c>
      <c r="L157" s="45"/>
      <c r="M157" s="45"/>
      <c r="N157" s="45">
        <f t="shared" si="18"/>
        <v>0</v>
      </c>
      <c r="O157" s="45">
        <f>IFERROR(VLOOKUP(C157,Inventory!$A$2:$N$35,13,FALSE()),0)</f>
        <v>0</v>
      </c>
      <c r="P157" s="45">
        <f t="shared" si="19"/>
        <v>0</v>
      </c>
      <c r="Q157" s="30">
        <f t="shared" si="20"/>
        <v>0</v>
      </c>
      <c r="R157" t="str">
        <f>IFERROR(IF(AND(ISNUMBER(B157),C157&lt;&gt;""),B157-VLOOKUP(C157,Inventory!$A$2:$AE$35,29,FALSE()),""),"")</f>
        <v/>
      </c>
      <c r="U157" t="str">
        <f>IFERROR(VLOOKUP(C157,Inventory!$A$2:$C$35,2,FALSE()),"")</f>
        <v/>
      </c>
      <c r="V157" t="str">
        <f>IFERROR(VLOOKUP(C157,Inventory!$A$2:$Y$35,22,FALSE()),"")</f>
        <v/>
      </c>
      <c r="W157" t="str">
        <f>IFERROR(VLOOKUP(C157,Inventory!$A$2:$AB$35,25,FALSE()),"")</f>
        <v/>
      </c>
    </row>
    <row r="158" spans="1:23" ht="15" customHeight="1" x14ac:dyDescent="0.25">
      <c r="A158" t="str">
        <f t="shared" si="14"/>
        <v/>
      </c>
      <c r="B158" s="29"/>
      <c r="F158" s="45"/>
      <c r="G158" s="45"/>
      <c r="H158" s="45"/>
      <c r="I158" s="30">
        <f t="shared" si="15"/>
        <v>0</v>
      </c>
      <c r="J158" s="45">
        <f t="shared" si="16"/>
        <v>0</v>
      </c>
      <c r="K158" s="45">
        <f t="shared" si="17"/>
        <v>0</v>
      </c>
      <c r="L158" s="45"/>
      <c r="M158" s="45"/>
      <c r="N158" s="45">
        <f t="shared" si="18"/>
        <v>0</v>
      </c>
      <c r="O158" s="45">
        <f>IFERROR(VLOOKUP(C158,Inventory!$A$2:$N$35,13,FALSE()),0)</f>
        <v>0</v>
      </c>
      <c r="P158" s="45">
        <f t="shared" si="19"/>
        <v>0</v>
      </c>
      <c r="Q158" s="30">
        <f t="shared" si="20"/>
        <v>0</v>
      </c>
      <c r="R158" t="str">
        <f>IFERROR(IF(AND(ISNUMBER(B158),C158&lt;&gt;""),B158-VLOOKUP(C158,Inventory!$A$2:$AE$35,29,FALSE()),""),"")</f>
        <v/>
      </c>
      <c r="U158" t="str">
        <f>IFERROR(VLOOKUP(C158,Inventory!$A$2:$C$35,2,FALSE()),"")</f>
        <v/>
      </c>
      <c r="V158" t="str">
        <f>IFERROR(VLOOKUP(C158,Inventory!$A$2:$Y$35,22,FALSE()),"")</f>
        <v/>
      </c>
      <c r="W158" t="str">
        <f>IFERROR(VLOOKUP(C158,Inventory!$A$2:$AB$35,25,FALSE()),"")</f>
        <v/>
      </c>
    </row>
    <row r="159" spans="1:23" ht="15" customHeight="1" x14ac:dyDescent="0.25">
      <c r="A159" t="str">
        <f t="shared" si="14"/>
        <v/>
      </c>
      <c r="B159" s="29"/>
      <c r="F159" s="45"/>
      <c r="G159" s="45"/>
      <c r="H159" s="45"/>
      <c r="I159" s="30">
        <f t="shared" si="15"/>
        <v>0</v>
      </c>
      <c r="J159" s="45">
        <f t="shared" si="16"/>
        <v>0</v>
      </c>
      <c r="K159" s="45">
        <f t="shared" si="17"/>
        <v>0</v>
      </c>
      <c r="L159" s="45"/>
      <c r="M159" s="45"/>
      <c r="N159" s="45">
        <f t="shared" si="18"/>
        <v>0</v>
      </c>
      <c r="O159" s="45">
        <f>IFERROR(VLOOKUP(C159,Inventory!$A$2:$N$35,13,FALSE()),0)</f>
        <v>0</v>
      </c>
      <c r="P159" s="45">
        <f t="shared" si="19"/>
        <v>0</v>
      </c>
      <c r="Q159" s="30">
        <f t="shared" si="20"/>
        <v>0</v>
      </c>
      <c r="R159" t="str">
        <f>IFERROR(IF(AND(ISNUMBER(B159),C159&lt;&gt;""),B159-VLOOKUP(C159,Inventory!$A$2:$AE$35,29,FALSE()),""),"")</f>
        <v/>
      </c>
      <c r="U159" t="str">
        <f>IFERROR(VLOOKUP(C159,Inventory!$A$2:$C$35,2,FALSE()),"")</f>
        <v/>
      </c>
      <c r="V159" t="str">
        <f>IFERROR(VLOOKUP(C159,Inventory!$A$2:$Y$35,22,FALSE()),"")</f>
        <v/>
      </c>
      <c r="W159" t="str">
        <f>IFERROR(VLOOKUP(C159,Inventory!$A$2:$AB$35,25,FALSE()),"")</f>
        <v/>
      </c>
    </row>
    <row r="160" spans="1:23" ht="15" customHeight="1" x14ac:dyDescent="0.25">
      <c r="A160" t="str">
        <f t="shared" si="14"/>
        <v/>
      </c>
      <c r="B160" s="29"/>
      <c r="F160" s="45"/>
      <c r="G160" s="45"/>
      <c r="H160" s="45"/>
      <c r="I160" s="30">
        <f t="shared" si="15"/>
        <v>0</v>
      </c>
      <c r="J160" s="45">
        <f t="shared" si="16"/>
        <v>0</v>
      </c>
      <c r="K160" s="45">
        <f t="shared" si="17"/>
        <v>0</v>
      </c>
      <c r="L160" s="45"/>
      <c r="M160" s="45"/>
      <c r="N160" s="45">
        <f t="shared" si="18"/>
        <v>0</v>
      </c>
      <c r="O160" s="45">
        <f>IFERROR(VLOOKUP(C160,Inventory!$A$2:$N$35,13,FALSE()),0)</f>
        <v>0</v>
      </c>
      <c r="P160" s="45">
        <f t="shared" si="19"/>
        <v>0</v>
      </c>
      <c r="Q160" s="30">
        <f t="shared" si="20"/>
        <v>0</v>
      </c>
      <c r="R160" t="str">
        <f>IFERROR(IF(AND(ISNUMBER(B160),C160&lt;&gt;""),B160-VLOOKUP(C160,Inventory!$A$2:$AE$35,29,FALSE()),""),"")</f>
        <v/>
      </c>
      <c r="U160" t="str">
        <f>IFERROR(VLOOKUP(C160,Inventory!$A$2:$C$35,2,FALSE()),"")</f>
        <v/>
      </c>
      <c r="V160" t="str">
        <f>IFERROR(VLOOKUP(C160,Inventory!$A$2:$Y$35,22,FALSE()),"")</f>
        <v/>
      </c>
      <c r="W160" t="str">
        <f>IFERROR(VLOOKUP(C160,Inventory!$A$2:$AB$35,25,FALSE()),"")</f>
        <v/>
      </c>
    </row>
    <row r="161" spans="1:23" ht="15" customHeight="1" x14ac:dyDescent="0.25">
      <c r="A161" t="str">
        <f t="shared" si="14"/>
        <v/>
      </c>
      <c r="B161" s="29"/>
      <c r="F161" s="45"/>
      <c r="G161" s="45"/>
      <c r="H161" s="45"/>
      <c r="I161" s="30">
        <f t="shared" si="15"/>
        <v>0</v>
      </c>
      <c r="J161" s="45">
        <f t="shared" si="16"/>
        <v>0</v>
      </c>
      <c r="K161" s="45">
        <f t="shared" si="17"/>
        <v>0</v>
      </c>
      <c r="L161" s="45"/>
      <c r="M161" s="45"/>
      <c r="N161" s="45">
        <f t="shared" si="18"/>
        <v>0</v>
      </c>
      <c r="O161" s="45">
        <f>IFERROR(VLOOKUP(C161,Inventory!$A$2:$N$35,13,FALSE()),0)</f>
        <v>0</v>
      </c>
      <c r="P161" s="45">
        <f t="shared" si="19"/>
        <v>0</v>
      </c>
      <c r="Q161" s="30">
        <f t="shared" si="20"/>
        <v>0</v>
      </c>
      <c r="R161" t="str">
        <f>IFERROR(IF(AND(ISNUMBER(B161),C161&lt;&gt;""),B161-VLOOKUP(C161,Inventory!$A$2:$AE$35,29,FALSE()),""),"")</f>
        <v/>
      </c>
      <c r="U161" t="str">
        <f>IFERROR(VLOOKUP(C161,Inventory!$A$2:$C$35,2,FALSE()),"")</f>
        <v/>
      </c>
      <c r="V161" t="str">
        <f>IFERROR(VLOOKUP(C161,Inventory!$A$2:$Y$35,22,FALSE()),"")</f>
        <v/>
      </c>
      <c r="W161" t="str">
        <f>IFERROR(VLOOKUP(C161,Inventory!$A$2:$AB$35,25,FALSE()),"")</f>
        <v/>
      </c>
    </row>
    <row r="162" spans="1:23" ht="15" customHeight="1" x14ac:dyDescent="0.25">
      <c r="A162" t="str">
        <f t="shared" si="14"/>
        <v/>
      </c>
      <c r="B162" s="29"/>
      <c r="F162" s="45"/>
      <c r="G162" s="45"/>
      <c r="H162" s="45"/>
      <c r="I162" s="30">
        <f t="shared" si="15"/>
        <v>0</v>
      </c>
      <c r="J162" s="45">
        <f t="shared" si="16"/>
        <v>0</v>
      </c>
      <c r="K162" s="45">
        <f t="shared" si="17"/>
        <v>0</v>
      </c>
      <c r="L162" s="45"/>
      <c r="M162" s="45"/>
      <c r="N162" s="45">
        <f t="shared" si="18"/>
        <v>0</v>
      </c>
      <c r="O162" s="45">
        <f>IFERROR(VLOOKUP(C162,Inventory!$A$2:$N$35,13,FALSE()),0)</f>
        <v>0</v>
      </c>
      <c r="P162" s="45">
        <f t="shared" si="19"/>
        <v>0</v>
      </c>
      <c r="Q162" s="30">
        <f t="shared" si="20"/>
        <v>0</v>
      </c>
      <c r="R162" t="str">
        <f>IFERROR(IF(AND(ISNUMBER(B162),C162&lt;&gt;""),B162-VLOOKUP(C162,Inventory!$A$2:$AE$35,29,FALSE()),""),"")</f>
        <v/>
      </c>
      <c r="U162" t="str">
        <f>IFERROR(VLOOKUP(C162,Inventory!$A$2:$C$35,2,FALSE()),"")</f>
        <v/>
      </c>
      <c r="V162" t="str">
        <f>IFERROR(VLOOKUP(C162,Inventory!$A$2:$Y$35,22,FALSE()),"")</f>
        <v/>
      </c>
      <c r="W162" t="str">
        <f>IFERROR(VLOOKUP(C162,Inventory!$A$2:$AB$35,25,FALSE()),"")</f>
        <v/>
      </c>
    </row>
    <row r="163" spans="1:23" ht="15" customHeight="1" x14ac:dyDescent="0.25">
      <c r="A163" t="str">
        <f t="shared" si="14"/>
        <v/>
      </c>
      <c r="B163" s="29"/>
      <c r="F163" s="45"/>
      <c r="G163" s="45"/>
      <c r="H163" s="45"/>
      <c r="I163" s="30">
        <f t="shared" si="15"/>
        <v>0</v>
      </c>
      <c r="J163" s="45">
        <f t="shared" si="16"/>
        <v>0</v>
      </c>
      <c r="K163" s="45">
        <f t="shared" si="17"/>
        <v>0</v>
      </c>
      <c r="L163" s="45"/>
      <c r="M163" s="45"/>
      <c r="N163" s="45">
        <f t="shared" si="18"/>
        <v>0</v>
      </c>
      <c r="O163" s="45">
        <f>IFERROR(VLOOKUP(C163,Inventory!$A$2:$N$35,13,FALSE()),0)</f>
        <v>0</v>
      </c>
      <c r="P163" s="45">
        <f t="shared" si="19"/>
        <v>0</v>
      </c>
      <c r="Q163" s="30">
        <f t="shared" si="20"/>
        <v>0</v>
      </c>
      <c r="R163" t="str">
        <f>IFERROR(IF(AND(ISNUMBER(B163),C163&lt;&gt;""),B163-VLOOKUP(C163,Inventory!$A$2:$AE$35,29,FALSE()),""),"")</f>
        <v/>
      </c>
      <c r="U163" t="str">
        <f>IFERROR(VLOOKUP(C163,Inventory!$A$2:$C$35,2,FALSE()),"")</f>
        <v/>
      </c>
      <c r="V163" t="str">
        <f>IFERROR(VLOOKUP(C163,Inventory!$A$2:$Y$35,22,FALSE()),"")</f>
        <v/>
      </c>
      <c r="W163" t="str">
        <f>IFERROR(VLOOKUP(C163,Inventory!$A$2:$AB$35,25,FALSE()),"")</f>
        <v/>
      </c>
    </row>
    <row r="164" spans="1:23" ht="15" customHeight="1" x14ac:dyDescent="0.25">
      <c r="A164" t="str">
        <f t="shared" si="14"/>
        <v/>
      </c>
      <c r="B164" s="29"/>
      <c r="F164" s="45"/>
      <c r="G164" s="45"/>
      <c r="H164" s="45"/>
      <c r="I164" s="30">
        <f t="shared" si="15"/>
        <v>0</v>
      </c>
      <c r="J164" s="45">
        <f t="shared" si="16"/>
        <v>0</v>
      </c>
      <c r="K164" s="45">
        <f t="shared" si="17"/>
        <v>0</v>
      </c>
      <c r="L164" s="45"/>
      <c r="M164" s="45"/>
      <c r="N164" s="45">
        <f t="shared" si="18"/>
        <v>0</v>
      </c>
      <c r="O164" s="45">
        <f>IFERROR(VLOOKUP(C164,Inventory!$A$2:$N$35,13,FALSE()),0)</f>
        <v>0</v>
      </c>
      <c r="P164" s="45">
        <f t="shared" si="19"/>
        <v>0</v>
      </c>
      <c r="Q164" s="30">
        <f t="shared" si="20"/>
        <v>0</v>
      </c>
      <c r="R164" t="str">
        <f>IFERROR(IF(AND(ISNUMBER(B164),C164&lt;&gt;""),B164-VLOOKUP(C164,Inventory!$A$2:$AE$35,29,FALSE()),""),"")</f>
        <v/>
      </c>
      <c r="U164" t="str">
        <f>IFERROR(VLOOKUP(C164,Inventory!$A$2:$C$35,2,FALSE()),"")</f>
        <v/>
      </c>
      <c r="V164" t="str">
        <f>IFERROR(VLOOKUP(C164,Inventory!$A$2:$Y$35,22,FALSE()),"")</f>
        <v/>
      </c>
      <c r="W164" t="str">
        <f>IFERROR(VLOOKUP(C164,Inventory!$A$2:$AB$35,25,FALSE()),"")</f>
        <v/>
      </c>
    </row>
    <row r="165" spans="1:23" ht="15" customHeight="1" x14ac:dyDescent="0.25">
      <c r="A165" t="str">
        <f t="shared" si="14"/>
        <v/>
      </c>
      <c r="B165" s="29"/>
      <c r="F165" s="45"/>
      <c r="G165" s="45"/>
      <c r="H165" s="45"/>
      <c r="I165" s="30">
        <f t="shared" si="15"/>
        <v>0</v>
      </c>
      <c r="J165" s="45">
        <f t="shared" si="16"/>
        <v>0</v>
      </c>
      <c r="K165" s="45">
        <f t="shared" si="17"/>
        <v>0</v>
      </c>
      <c r="L165" s="45"/>
      <c r="M165" s="45"/>
      <c r="N165" s="45">
        <f t="shared" si="18"/>
        <v>0</v>
      </c>
      <c r="O165" s="45">
        <f>IFERROR(VLOOKUP(C165,Inventory!$A$2:$N$35,13,FALSE()),0)</f>
        <v>0</v>
      </c>
      <c r="P165" s="45">
        <f t="shared" si="19"/>
        <v>0</v>
      </c>
      <c r="Q165" s="30">
        <f t="shared" si="20"/>
        <v>0</v>
      </c>
      <c r="R165" t="str">
        <f>IFERROR(IF(AND(ISNUMBER(B165),C165&lt;&gt;""),B165-VLOOKUP(C165,Inventory!$A$2:$AE$35,29,FALSE()),""),"")</f>
        <v/>
      </c>
      <c r="U165" t="str">
        <f>IFERROR(VLOOKUP(C165,Inventory!$A$2:$C$35,2,FALSE()),"")</f>
        <v/>
      </c>
      <c r="V165" t="str">
        <f>IFERROR(VLOOKUP(C165,Inventory!$A$2:$Y$35,22,FALSE()),"")</f>
        <v/>
      </c>
      <c r="W165" t="str">
        <f>IFERROR(VLOOKUP(C165,Inventory!$A$2:$AB$35,25,FALSE()),"")</f>
        <v/>
      </c>
    </row>
    <row r="166" spans="1:23" ht="15" customHeight="1" x14ac:dyDescent="0.25">
      <c r="A166" t="str">
        <f t="shared" si="14"/>
        <v/>
      </c>
      <c r="B166" s="29"/>
      <c r="F166" s="45"/>
      <c r="G166" s="45"/>
      <c r="H166" s="45"/>
      <c r="I166" s="30">
        <f t="shared" si="15"/>
        <v>0</v>
      </c>
      <c r="J166" s="45">
        <f t="shared" si="16"/>
        <v>0</v>
      </c>
      <c r="K166" s="45">
        <f t="shared" si="17"/>
        <v>0</v>
      </c>
      <c r="L166" s="45"/>
      <c r="M166" s="45"/>
      <c r="N166" s="45">
        <f t="shared" si="18"/>
        <v>0</v>
      </c>
      <c r="O166" s="45">
        <f>IFERROR(VLOOKUP(C166,Inventory!$A$2:$N$35,13,FALSE()),0)</f>
        <v>0</v>
      </c>
      <c r="P166" s="45">
        <f t="shared" si="19"/>
        <v>0</v>
      </c>
      <c r="Q166" s="30">
        <f t="shared" si="20"/>
        <v>0</v>
      </c>
      <c r="R166" t="str">
        <f>IFERROR(IF(AND(ISNUMBER(B166),C166&lt;&gt;""),B166-VLOOKUP(C166,Inventory!$A$2:$AE$35,29,FALSE()),""),"")</f>
        <v/>
      </c>
      <c r="U166" t="str">
        <f>IFERROR(VLOOKUP(C166,Inventory!$A$2:$C$35,2,FALSE()),"")</f>
        <v/>
      </c>
      <c r="V166" t="str">
        <f>IFERROR(VLOOKUP(C166,Inventory!$A$2:$Y$35,22,FALSE()),"")</f>
        <v/>
      </c>
      <c r="W166" t="str">
        <f>IFERROR(VLOOKUP(C166,Inventory!$A$2:$AB$35,25,FALSE()),"")</f>
        <v/>
      </c>
    </row>
    <row r="167" spans="1:23" ht="15" customHeight="1" x14ac:dyDescent="0.25">
      <c r="A167" t="str">
        <f t="shared" si="14"/>
        <v/>
      </c>
      <c r="B167" s="29"/>
      <c r="F167" s="45"/>
      <c r="G167" s="45"/>
      <c r="H167" s="45"/>
      <c r="I167" s="30">
        <f t="shared" si="15"/>
        <v>0</v>
      </c>
      <c r="J167" s="45">
        <f t="shared" si="16"/>
        <v>0</v>
      </c>
      <c r="K167" s="45">
        <f t="shared" si="17"/>
        <v>0</v>
      </c>
      <c r="L167" s="45"/>
      <c r="M167" s="45"/>
      <c r="N167" s="45">
        <f t="shared" si="18"/>
        <v>0</v>
      </c>
      <c r="O167" s="45">
        <f>IFERROR(VLOOKUP(C167,Inventory!$A$2:$N$35,13,FALSE()),0)</f>
        <v>0</v>
      </c>
      <c r="P167" s="45">
        <f t="shared" si="19"/>
        <v>0</v>
      </c>
      <c r="Q167" s="30">
        <f t="shared" si="20"/>
        <v>0</v>
      </c>
      <c r="R167" t="str">
        <f>IFERROR(IF(AND(ISNUMBER(B167),C167&lt;&gt;""),B167-VLOOKUP(C167,Inventory!$A$2:$AE$35,29,FALSE()),""),"")</f>
        <v/>
      </c>
      <c r="U167" t="str">
        <f>IFERROR(VLOOKUP(C167,Inventory!$A$2:$C$35,2,FALSE()),"")</f>
        <v/>
      </c>
      <c r="V167" t="str">
        <f>IFERROR(VLOOKUP(C167,Inventory!$A$2:$Y$35,22,FALSE()),"")</f>
        <v/>
      </c>
      <c r="W167" t="str">
        <f>IFERROR(VLOOKUP(C167,Inventory!$A$2:$AB$35,25,FALSE()),"")</f>
        <v/>
      </c>
    </row>
    <row r="168" spans="1:23" ht="15" customHeight="1" x14ac:dyDescent="0.25">
      <c r="A168" t="str">
        <f t="shared" si="14"/>
        <v/>
      </c>
      <c r="B168" s="29"/>
      <c r="F168" s="45"/>
      <c r="G168" s="45"/>
      <c r="H168" s="45"/>
      <c r="I168" s="30">
        <f t="shared" si="15"/>
        <v>0</v>
      </c>
      <c r="J168" s="45">
        <f t="shared" si="16"/>
        <v>0</v>
      </c>
      <c r="K168" s="45">
        <f t="shared" si="17"/>
        <v>0</v>
      </c>
      <c r="L168" s="45"/>
      <c r="M168" s="45"/>
      <c r="N168" s="45">
        <f t="shared" si="18"/>
        <v>0</v>
      </c>
      <c r="O168" s="45">
        <f>IFERROR(VLOOKUP(C168,Inventory!$A$2:$N$35,13,FALSE()),0)</f>
        <v>0</v>
      </c>
      <c r="P168" s="45">
        <f t="shared" si="19"/>
        <v>0</v>
      </c>
      <c r="Q168" s="30">
        <f t="shared" si="20"/>
        <v>0</v>
      </c>
      <c r="R168" t="str">
        <f>IFERROR(IF(AND(ISNUMBER(B168),C168&lt;&gt;""),B168-VLOOKUP(C168,Inventory!$A$2:$AE$35,29,FALSE()),""),"")</f>
        <v/>
      </c>
      <c r="U168" t="str">
        <f>IFERROR(VLOOKUP(C168,Inventory!$A$2:$C$35,2,FALSE()),"")</f>
        <v/>
      </c>
      <c r="V168" t="str">
        <f>IFERROR(VLOOKUP(C168,Inventory!$A$2:$Y$35,22,FALSE()),"")</f>
        <v/>
      </c>
      <c r="W168" t="str">
        <f>IFERROR(VLOOKUP(C168,Inventory!$A$2:$AB$35,25,FALSE()),"")</f>
        <v/>
      </c>
    </row>
    <row r="169" spans="1:23" ht="15" customHeight="1" x14ac:dyDescent="0.25">
      <c r="A169" t="str">
        <f t="shared" si="14"/>
        <v/>
      </c>
      <c r="B169" s="29"/>
      <c r="F169" s="45"/>
      <c r="G169" s="45"/>
      <c r="H169" s="45"/>
      <c r="I169" s="30">
        <f t="shared" si="15"/>
        <v>0</v>
      </c>
      <c r="J169" s="45">
        <f t="shared" si="16"/>
        <v>0</v>
      </c>
      <c r="K169" s="45">
        <f t="shared" si="17"/>
        <v>0</v>
      </c>
      <c r="L169" s="45"/>
      <c r="M169" s="45"/>
      <c r="N169" s="45">
        <f t="shared" si="18"/>
        <v>0</v>
      </c>
      <c r="O169" s="45">
        <f>IFERROR(VLOOKUP(C169,Inventory!$A$2:$N$35,13,FALSE()),0)</f>
        <v>0</v>
      </c>
      <c r="P169" s="45">
        <f t="shared" si="19"/>
        <v>0</v>
      </c>
      <c r="Q169" s="30">
        <f t="shared" si="20"/>
        <v>0</v>
      </c>
      <c r="R169" t="str">
        <f>IFERROR(IF(AND(ISNUMBER(B169),C169&lt;&gt;""),B169-VLOOKUP(C169,Inventory!$A$2:$AE$35,29,FALSE()),""),"")</f>
        <v/>
      </c>
      <c r="U169" t="str">
        <f>IFERROR(VLOOKUP(C169,Inventory!$A$2:$C$35,2,FALSE()),"")</f>
        <v/>
      </c>
      <c r="V169" t="str">
        <f>IFERROR(VLOOKUP(C169,Inventory!$A$2:$Y$35,22,FALSE()),"")</f>
        <v/>
      </c>
      <c r="W169" t="str">
        <f>IFERROR(VLOOKUP(C169,Inventory!$A$2:$AB$35,25,FALSE()),"")</f>
        <v/>
      </c>
    </row>
    <row r="170" spans="1:23" ht="15" customHeight="1" x14ac:dyDescent="0.25">
      <c r="A170" t="str">
        <f t="shared" si="14"/>
        <v/>
      </c>
      <c r="B170" s="29"/>
      <c r="F170" s="45"/>
      <c r="G170" s="45"/>
      <c r="H170" s="45"/>
      <c r="I170" s="30">
        <f t="shared" si="15"/>
        <v>0</v>
      </c>
      <c r="J170" s="45">
        <f t="shared" si="16"/>
        <v>0</v>
      </c>
      <c r="K170" s="45">
        <f t="shared" si="17"/>
        <v>0</v>
      </c>
      <c r="L170" s="45"/>
      <c r="M170" s="45"/>
      <c r="N170" s="45">
        <f t="shared" si="18"/>
        <v>0</v>
      </c>
      <c r="O170" s="45">
        <f>IFERROR(VLOOKUP(C170,Inventory!$A$2:$N$35,13,FALSE()),0)</f>
        <v>0</v>
      </c>
      <c r="P170" s="45">
        <f t="shared" si="19"/>
        <v>0</v>
      </c>
      <c r="Q170" s="30">
        <f t="shared" si="20"/>
        <v>0</v>
      </c>
      <c r="R170" t="str">
        <f>IFERROR(IF(AND(ISNUMBER(B170),C170&lt;&gt;""),B170-VLOOKUP(C170,Inventory!$A$2:$AE$35,29,FALSE()),""),"")</f>
        <v/>
      </c>
      <c r="U170" t="str">
        <f>IFERROR(VLOOKUP(C170,Inventory!$A$2:$C$35,2,FALSE()),"")</f>
        <v/>
      </c>
      <c r="V170" t="str">
        <f>IFERROR(VLOOKUP(C170,Inventory!$A$2:$Y$35,22,FALSE()),"")</f>
        <v/>
      </c>
      <c r="W170" t="str">
        <f>IFERROR(VLOOKUP(C170,Inventory!$A$2:$AB$35,25,FALSE()),"")</f>
        <v/>
      </c>
    </row>
    <row r="171" spans="1:23" ht="15" customHeight="1" x14ac:dyDescent="0.25">
      <c r="A171" t="str">
        <f t="shared" si="14"/>
        <v/>
      </c>
      <c r="B171" s="29"/>
      <c r="F171" s="45"/>
      <c r="G171" s="45"/>
      <c r="H171" s="45"/>
      <c r="I171" s="30">
        <f t="shared" si="15"/>
        <v>0</v>
      </c>
      <c r="J171" s="45">
        <f t="shared" si="16"/>
        <v>0</v>
      </c>
      <c r="K171" s="45">
        <f t="shared" si="17"/>
        <v>0</v>
      </c>
      <c r="L171" s="45"/>
      <c r="M171" s="45"/>
      <c r="N171" s="45">
        <f t="shared" si="18"/>
        <v>0</v>
      </c>
      <c r="O171" s="45">
        <f>IFERROR(VLOOKUP(C171,Inventory!$A$2:$N$35,13,FALSE()),0)</f>
        <v>0</v>
      </c>
      <c r="P171" s="45">
        <f t="shared" si="19"/>
        <v>0</v>
      </c>
      <c r="Q171" s="30">
        <f t="shared" si="20"/>
        <v>0</v>
      </c>
      <c r="R171" t="str">
        <f>IFERROR(IF(AND(ISNUMBER(B171),C171&lt;&gt;""),B171-VLOOKUP(C171,Inventory!$A$2:$AE$35,29,FALSE()),""),"")</f>
        <v/>
      </c>
      <c r="U171" t="str">
        <f>IFERROR(VLOOKUP(C171,Inventory!$A$2:$C$35,2,FALSE()),"")</f>
        <v/>
      </c>
      <c r="V171" t="str">
        <f>IFERROR(VLOOKUP(C171,Inventory!$A$2:$Y$35,22,FALSE()),"")</f>
        <v/>
      </c>
      <c r="W171" t="str">
        <f>IFERROR(VLOOKUP(C171,Inventory!$A$2:$AB$35,25,FALSE()),"")</f>
        <v/>
      </c>
    </row>
    <row r="172" spans="1:23" ht="15" customHeight="1" x14ac:dyDescent="0.25">
      <c r="A172" t="str">
        <f t="shared" si="14"/>
        <v/>
      </c>
      <c r="B172" s="29"/>
      <c r="F172" s="45"/>
      <c r="G172" s="45"/>
      <c r="H172" s="45"/>
      <c r="I172" s="30">
        <f t="shared" si="15"/>
        <v>0</v>
      </c>
      <c r="J172" s="45">
        <f t="shared" si="16"/>
        <v>0</v>
      </c>
      <c r="K172" s="45">
        <f t="shared" si="17"/>
        <v>0</v>
      </c>
      <c r="L172" s="45"/>
      <c r="M172" s="45"/>
      <c r="N172" s="45">
        <f t="shared" si="18"/>
        <v>0</v>
      </c>
      <c r="O172" s="45">
        <f>IFERROR(VLOOKUP(C172,Inventory!$A$2:$N$35,13,FALSE()),0)</f>
        <v>0</v>
      </c>
      <c r="P172" s="45">
        <f t="shared" si="19"/>
        <v>0</v>
      </c>
      <c r="Q172" s="30">
        <f t="shared" si="20"/>
        <v>0</v>
      </c>
      <c r="R172" t="str">
        <f>IFERROR(IF(AND(ISNUMBER(B172),C172&lt;&gt;""),B172-VLOOKUP(C172,Inventory!$A$2:$AE$35,29,FALSE()),""),"")</f>
        <v/>
      </c>
      <c r="U172" t="str">
        <f>IFERROR(VLOOKUP(C172,Inventory!$A$2:$C$35,2,FALSE()),"")</f>
        <v/>
      </c>
      <c r="V172" t="str">
        <f>IFERROR(VLOOKUP(C172,Inventory!$A$2:$Y$35,22,FALSE()),"")</f>
        <v/>
      </c>
      <c r="W172" t="str">
        <f>IFERROR(VLOOKUP(C172,Inventory!$A$2:$AB$35,25,FALSE()),"")</f>
        <v/>
      </c>
    </row>
    <row r="173" spans="1:23" ht="15" customHeight="1" x14ac:dyDescent="0.25">
      <c r="A173" t="str">
        <f t="shared" si="14"/>
        <v/>
      </c>
      <c r="B173" s="29"/>
      <c r="F173" s="45"/>
      <c r="G173" s="45"/>
      <c r="H173" s="45"/>
      <c r="I173" s="30">
        <f t="shared" si="15"/>
        <v>0</v>
      </c>
      <c r="J173" s="45">
        <f t="shared" si="16"/>
        <v>0</v>
      </c>
      <c r="K173" s="45">
        <f t="shared" si="17"/>
        <v>0</v>
      </c>
      <c r="L173" s="45"/>
      <c r="M173" s="45"/>
      <c r="N173" s="45">
        <f t="shared" si="18"/>
        <v>0</v>
      </c>
      <c r="O173" s="45">
        <f>IFERROR(VLOOKUP(C173,Inventory!$A$2:$N$35,13,FALSE()),0)</f>
        <v>0</v>
      </c>
      <c r="P173" s="45">
        <f t="shared" si="19"/>
        <v>0</v>
      </c>
      <c r="Q173" s="30">
        <f t="shared" si="20"/>
        <v>0</v>
      </c>
      <c r="R173" t="str">
        <f>IFERROR(IF(AND(ISNUMBER(B173),C173&lt;&gt;""),B173-VLOOKUP(C173,Inventory!$A$2:$AE$35,29,FALSE()),""),"")</f>
        <v/>
      </c>
      <c r="U173" t="str">
        <f>IFERROR(VLOOKUP(C173,Inventory!$A$2:$C$35,2,FALSE()),"")</f>
        <v/>
      </c>
      <c r="V173" t="str">
        <f>IFERROR(VLOOKUP(C173,Inventory!$A$2:$Y$35,22,FALSE()),"")</f>
        <v/>
      </c>
      <c r="W173" t="str">
        <f>IFERROR(VLOOKUP(C173,Inventory!$A$2:$AB$35,25,FALSE()),"")</f>
        <v/>
      </c>
    </row>
    <row r="174" spans="1:23" ht="15" customHeight="1" x14ac:dyDescent="0.25">
      <c r="A174" t="str">
        <f t="shared" si="14"/>
        <v/>
      </c>
      <c r="B174" s="29"/>
      <c r="F174" s="45"/>
      <c r="G174" s="45"/>
      <c r="H174" s="45"/>
      <c r="I174" s="30">
        <f t="shared" si="15"/>
        <v>0</v>
      </c>
      <c r="J174" s="45">
        <f t="shared" si="16"/>
        <v>0</v>
      </c>
      <c r="K174" s="45">
        <f t="shared" si="17"/>
        <v>0</v>
      </c>
      <c r="L174" s="45"/>
      <c r="M174" s="45"/>
      <c r="N174" s="45">
        <f t="shared" si="18"/>
        <v>0</v>
      </c>
      <c r="O174" s="45">
        <f>IFERROR(VLOOKUP(C174,Inventory!$A$2:$N$35,13,FALSE()),0)</f>
        <v>0</v>
      </c>
      <c r="P174" s="45">
        <f t="shared" si="19"/>
        <v>0</v>
      </c>
      <c r="Q174" s="30">
        <f t="shared" si="20"/>
        <v>0</v>
      </c>
      <c r="R174" t="str">
        <f>IFERROR(IF(AND(ISNUMBER(B174),C174&lt;&gt;""),B174-VLOOKUP(C174,Inventory!$A$2:$AE$35,29,FALSE()),""),"")</f>
        <v/>
      </c>
      <c r="U174" t="str">
        <f>IFERROR(VLOOKUP(C174,Inventory!$A$2:$C$35,2,FALSE()),"")</f>
        <v/>
      </c>
      <c r="V174" t="str">
        <f>IFERROR(VLOOKUP(C174,Inventory!$A$2:$Y$35,22,FALSE()),"")</f>
        <v/>
      </c>
      <c r="W174" t="str">
        <f>IFERROR(VLOOKUP(C174,Inventory!$A$2:$AB$35,25,FALSE()),"")</f>
        <v/>
      </c>
    </row>
    <row r="175" spans="1:23" ht="15" customHeight="1" x14ac:dyDescent="0.25">
      <c r="A175" t="str">
        <f t="shared" si="14"/>
        <v/>
      </c>
      <c r="B175" s="29"/>
      <c r="F175" s="45"/>
      <c r="G175" s="45"/>
      <c r="H175" s="45"/>
      <c r="I175" s="30">
        <f t="shared" si="15"/>
        <v>0</v>
      </c>
      <c r="J175" s="45">
        <f t="shared" si="16"/>
        <v>0</v>
      </c>
      <c r="K175" s="45">
        <f t="shared" si="17"/>
        <v>0</v>
      </c>
      <c r="L175" s="45"/>
      <c r="M175" s="45"/>
      <c r="N175" s="45">
        <f t="shared" si="18"/>
        <v>0</v>
      </c>
      <c r="O175" s="45">
        <f>IFERROR(VLOOKUP(C175,Inventory!$A$2:$N$35,13,FALSE()),0)</f>
        <v>0</v>
      </c>
      <c r="P175" s="45">
        <f t="shared" si="19"/>
        <v>0</v>
      </c>
      <c r="Q175" s="30">
        <f t="shared" si="20"/>
        <v>0</v>
      </c>
      <c r="R175" t="str">
        <f>IFERROR(IF(AND(ISNUMBER(B175),C175&lt;&gt;""),B175-VLOOKUP(C175,Inventory!$A$2:$AE$35,29,FALSE()),""),"")</f>
        <v/>
      </c>
      <c r="U175" t="str">
        <f>IFERROR(VLOOKUP(C175,Inventory!$A$2:$C$35,2,FALSE()),"")</f>
        <v/>
      </c>
      <c r="V175" t="str">
        <f>IFERROR(VLOOKUP(C175,Inventory!$A$2:$Y$35,22,FALSE()),"")</f>
        <v/>
      </c>
      <c r="W175" t="str">
        <f>IFERROR(VLOOKUP(C175,Inventory!$A$2:$AB$35,25,FALSE()),"")</f>
        <v/>
      </c>
    </row>
    <row r="176" spans="1:23" ht="15" customHeight="1" x14ac:dyDescent="0.25">
      <c r="A176" t="str">
        <f t="shared" si="14"/>
        <v/>
      </c>
      <c r="B176" s="29"/>
      <c r="F176" s="45"/>
      <c r="G176" s="45"/>
      <c r="H176" s="45"/>
      <c r="I176" s="30">
        <f t="shared" si="15"/>
        <v>0</v>
      </c>
      <c r="J176" s="45">
        <f t="shared" si="16"/>
        <v>0</v>
      </c>
      <c r="K176" s="45">
        <f t="shared" si="17"/>
        <v>0</v>
      </c>
      <c r="L176" s="45"/>
      <c r="M176" s="45"/>
      <c r="N176" s="45">
        <f t="shared" si="18"/>
        <v>0</v>
      </c>
      <c r="O176" s="45">
        <f>IFERROR(VLOOKUP(C176,Inventory!$A$2:$N$35,13,FALSE()),0)</f>
        <v>0</v>
      </c>
      <c r="P176" s="45">
        <f t="shared" si="19"/>
        <v>0</v>
      </c>
      <c r="Q176" s="30">
        <f t="shared" si="20"/>
        <v>0</v>
      </c>
      <c r="R176" t="str">
        <f>IFERROR(IF(AND(ISNUMBER(B176),C176&lt;&gt;""),B176-VLOOKUP(C176,Inventory!$A$2:$AE$35,29,FALSE()),""),"")</f>
        <v/>
      </c>
      <c r="U176" t="str">
        <f>IFERROR(VLOOKUP(C176,Inventory!$A$2:$C$35,2,FALSE()),"")</f>
        <v/>
      </c>
      <c r="V176" t="str">
        <f>IFERROR(VLOOKUP(C176,Inventory!$A$2:$Y$35,22,FALSE()),"")</f>
        <v/>
      </c>
      <c r="W176" t="str">
        <f>IFERROR(VLOOKUP(C176,Inventory!$A$2:$AB$35,25,FALSE()),"")</f>
        <v/>
      </c>
    </row>
    <row r="177" spans="1:23" ht="15" customHeight="1" x14ac:dyDescent="0.25">
      <c r="A177" t="str">
        <f t="shared" si="14"/>
        <v/>
      </c>
      <c r="B177" s="29"/>
      <c r="F177" s="45"/>
      <c r="G177" s="45"/>
      <c r="H177" s="45"/>
      <c r="I177" s="30">
        <f t="shared" si="15"/>
        <v>0</v>
      </c>
      <c r="J177" s="45">
        <f t="shared" si="16"/>
        <v>0</v>
      </c>
      <c r="K177" s="45">
        <f t="shared" si="17"/>
        <v>0</v>
      </c>
      <c r="L177" s="45"/>
      <c r="M177" s="45"/>
      <c r="N177" s="45">
        <f t="shared" si="18"/>
        <v>0</v>
      </c>
      <c r="O177" s="45">
        <f>IFERROR(VLOOKUP(C177,Inventory!$A$2:$N$35,13,FALSE()),0)</f>
        <v>0</v>
      </c>
      <c r="P177" s="45">
        <f t="shared" si="19"/>
        <v>0</v>
      </c>
      <c r="Q177" s="30">
        <f t="shared" si="20"/>
        <v>0</v>
      </c>
      <c r="R177" t="str">
        <f>IFERROR(IF(AND(ISNUMBER(B177),C177&lt;&gt;""),B177-VLOOKUP(C177,Inventory!$A$2:$AE$35,29,FALSE()),""),"")</f>
        <v/>
      </c>
      <c r="U177" t="str">
        <f>IFERROR(VLOOKUP(C177,Inventory!$A$2:$C$35,2,FALSE()),"")</f>
        <v/>
      </c>
      <c r="V177" t="str">
        <f>IFERROR(VLOOKUP(C177,Inventory!$A$2:$Y$35,22,FALSE()),"")</f>
        <v/>
      </c>
      <c r="W177" t="str">
        <f>IFERROR(VLOOKUP(C177,Inventory!$A$2:$AB$35,25,FALSE()),"")</f>
        <v/>
      </c>
    </row>
    <row r="178" spans="1:23" ht="15" customHeight="1" x14ac:dyDescent="0.25">
      <c r="A178" t="str">
        <f t="shared" si="14"/>
        <v/>
      </c>
      <c r="B178" s="29"/>
      <c r="F178" s="45"/>
      <c r="G178" s="45"/>
      <c r="H178" s="45"/>
      <c r="I178" s="30">
        <f t="shared" si="15"/>
        <v>0</v>
      </c>
      <c r="J178" s="45">
        <f t="shared" si="16"/>
        <v>0</v>
      </c>
      <c r="K178" s="45">
        <f t="shared" si="17"/>
        <v>0</v>
      </c>
      <c r="L178" s="45"/>
      <c r="M178" s="45"/>
      <c r="N178" s="45">
        <f t="shared" si="18"/>
        <v>0</v>
      </c>
      <c r="O178" s="45">
        <f>IFERROR(VLOOKUP(C178,Inventory!$A$2:$N$35,13,FALSE()),0)</f>
        <v>0</v>
      </c>
      <c r="P178" s="45">
        <f t="shared" si="19"/>
        <v>0</v>
      </c>
      <c r="Q178" s="30">
        <f t="shared" si="20"/>
        <v>0</v>
      </c>
      <c r="R178" t="str">
        <f>IFERROR(IF(AND(ISNUMBER(B178),C178&lt;&gt;""),B178-VLOOKUP(C178,Inventory!$A$2:$AE$35,29,FALSE()),""),"")</f>
        <v/>
      </c>
      <c r="U178" t="str">
        <f>IFERROR(VLOOKUP(C178,Inventory!$A$2:$C$35,2,FALSE()),"")</f>
        <v/>
      </c>
      <c r="V178" t="str">
        <f>IFERROR(VLOOKUP(C178,Inventory!$A$2:$Y$35,22,FALSE()),"")</f>
        <v/>
      </c>
      <c r="W178" t="str">
        <f>IFERROR(VLOOKUP(C178,Inventory!$A$2:$AB$35,25,FALSE()),"")</f>
        <v/>
      </c>
    </row>
    <row r="179" spans="1:23" ht="15" customHeight="1" x14ac:dyDescent="0.25">
      <c r="A179" t="str">
        <f t="shared" si="14"/>
        <v/>
      </c>
      <c r="B179" s="29"/>
      <c r="F179" s="45"/>
      <c r="G179" s="45"/>
      <c r="H179" s="45"/>
      <c r="I179" s="30">
        <f t="shared" si="15"/>
        <v>0</v>
      </c>
      <c r="J179" s="45">
        <f t="shared" si="16"/>
        <v>0</v>
      </c>
      <c r="K179" s="45">
        <f t="shared" si="17"/>
        <v>0</v>
      </c>
      <c r="L179" s="45"/>
      <c r="M179" s="45"/>
      <c r="N179" s="45">
        <f t="shared" si="18"/>
        <v>0</v>
      </c>
      <c r="O179" s="45">
        <f>IFERROR(VLOOKUP(C179,Inventory!$A$2:$N$35,13,FALSE()),0)</f>
        <v>0</v>
      </c>
      <c r="P179" s="45">
        <f t="shared" si="19"/>
        <v>0</v>
      </c>
      <c r="Q179" s="30">
        <f t="shared" si="20"/>
        <v>0</v>
      </c>
      <c r="R179" t="str">
        <f>IFERROR(IF(AND(ISNUMBER(B179),C179&lt;&gt;""),B179-VLOOKUP(C179,Inventory!$A$2:$AE$35,29,FALSE()),""),"")</f>
        <v/>
      </c>
      <c r="U179" t="str">
        <f>IFERROR(VLOOKUP(C179,Inventory!$A$2:$C$35,2,FALSE()),"")</f>
        <v/>
      </c>
      <c r="V179" t="str">
        <f>IFERROR(VLOOKUP(C179,Inventory!$A$2:$Y$35,22,FALSE()),"")</f>
        <v/>
      </c>
      <c r="W179" t="str">
        <f>IFERROR(VLOOKUP(C179,Inventory!$A$2:$AB$35,25,FALSE()),"")</f>
        <v/>
      </c>
    </row>
    <row r="180" spans="1:23" ht="15" customHeight="1" x14ac:dyDescent="0.25">
      <c r="A180" t="str">
        <f t="shared" si="14"/>
        <v/>
      </c>
      <c r="B180" s="29"/>
      <c r="F180" s="45"/>
      <c r="G180" s="45"/>
      <c r="H180" s="45"/>
      <c r="I180" s="30">
        <f t="shared" si="15"/>
        <v>0</v>
      </c>
      <c r="J180" s="45">
        <f t="shared" si="16"/>
        <v>0</v>
      </c>
      <c r="K180" s="45">
        <f t="shared" si="17"/>
        <v>0</v>
      </c>
      <c r="L180" s="45"/>
      <c r="M180" s="45"/>
      <c r="N180" s="45">
        <f t="shared" si="18"/>
        <v>0</v>
      </c>
      <c r="O180" s="45">
        <f>IFERROR(VLOOKUP(C180,Inventory!$A$2:$N$35,13,FALSE()),0)</f>
        <v>0</v>
      </c>
      <c r="P180" s="45">
        <f t="shared" si="19"/>
        <v>0</v>
      </c>
      <c r="Q180" s="30">
        <f t="shared" si="20"/>
        <v>0</v>
      </c>
      <c r="R180" t="str">
        <f>IFERROR(IF(AND(ISNUMBER(B180),C180&lt;&gt;""),B180-VLOOKUP(C180,Inventory!$A$2:$AE$35,29,FALSE()),""),"")</f>
        <v/>
      </c>
      <c r="U180" t="str">
        <f>IFERROR(VLOOKUP(C180,Inventory!$A$2:$C$35,2,FALSE()),"")</f>
        <v/>
      </c>
      <c r="V180" t="str">
        <f>IFERROR(VLOOKUP(C180,Inventory!$A$2:$Y$35,22,FALSE()),"")</f>
        <v/>
      </c>
      <c r="W180" t="str">
        <f>IFERROR(VLOOKUP(C180,Inventory!$A$2:$AB$35,25,FALSE()),"")</f>
        <v/>
      </c>
    </row>
    <row r="181" spans="1:23" ht="15" customHeight="1" x14ac:dyDescent="0.25">
      <c r="A181" t="str">
        <f t="shared" si="14"/>
        <v/>
      </c>
      <c r="B181" s="29"/>
      <c r="F181" s="45"/>
      <c r="G181" s="45"/>
      <c r="H181" s="45"/>
      <c r="I181" s="30">
        <f t="shared" si="15"/>
        <v>0</v>
      </c>
      <c r="J181" s="45">
        <f t="shared" si="16"/>
        <v>0</v>
      </c>
      <c r="K181" s="45">
        <f t="shared" si="17"/>
        <v>0</v>
      </c>
      <c r="L181" s="45"/>
      <c r="M181" s="45"/>
      <c r="N181" s="45">
        <f t="shared" si="18"/>
        <v>0</v>
      </c>
      <c r="O181" s="45">
        <f>IFERROR(VLOOKUP(C181,Inventory!$A$2:$N$35,13,FALSE()),0)</f>
        <v>0</v>
      </c>
      <c r="P181" s="45">
        <f t="shared" si="19"/>
        <v>0</v>
      </c>
      <c r="Q181" s="30">
        <f t="shared" si="20"/>
        <v>0</v>
      </c>
      <c r="R181" t="str">
        <f>IFERROR(IF(AND(ISNUMBER(B181),C181&lt;&gt;""),B181-VLOOKUP(C181,Inventory!$A$2:$AE$35,29,FALSE()),""),"")</f>
        <v/>
      </c>
      <c r="U181" t="str">
        <f>IFERROR(VLOOKUP(C181,Inventory!$A$2:$C$35,2,FALSE()),"")</f>
        <v/>
      </c>
      <c r="V181" t="str">
        <f>IFERROR(VLOOKUP(C181,Inventory!$A$2:$Y$35,22,FALSE()),"")</f>
        <v/>
      </c>
      <c r="W181" t="str">
        <f>IFERROR(VLOOKUP(C181,Inventory!$A$2:$AB$35,25,FALSE()),"")</f>
        <v/>
      </c>
    </row>
    <row r="182" spans="1:23" ht="15" customHeight="1" x14ac:dyDescent="0.25">
      <c r="A182" t="str">
        <f t="shared" si="14"/>
        <v/>
      </c>
      <c r="B182" s="29"/>
      <c r="F182" s="45"/>
      <c r="G182" s="45"/>
      <c r="H182" s="45"/>
      <c r="I182" s="30">
        <f t="shared" si="15"/>
        <v>0</v>
      </c>
      <c r="J182" s="45">
        <f t="shared" si="16"/>
        <v>0</v>
      </c>
      <c r="K182" s="45">
        <f t="shared" si="17"/>
        <v>0</v>
      </c>
      <c r="L182" s="45"/>
      <c r="M182" s="45"/>
      <c r="N182" s="45">
        <f t="shared" si="18"/>
        <v>0</v>
      </c>
      <c r="O182" s="45">
        <f>IFERROR(VLOOKUP(C182,Inventory!$A$2:$N$35,13,FALSE()),0)</f>
        <v>0</v>
      </c>
      <c r="P182" s="45">
        <f t="shared" si="19"/>
        <v>0</v>
      </c>
      <c r="Q182" s="30">
        <f t="shared" si="20"/>
        <v>0</v>
      </c>
      <c r="R182" t="str">
        <f>IFERROR(IF(AND(ISNUMBER(B182),C182&lt;&gt;""),B182-VLOOKUP(C182,Inventory!$A$2:$AE$35,29,FALSE()),""),"")</f>
        <v/>
      </c>
      <c r="U182" t="str">
        <f>IFERROR(VLOOKUP(C182,Inventory!$A$2:$C$35,2,FALSE()),"")</f>
        <v/>
      </c>
      <c r="V182" t="str">
        <f>IFERROR(VLOOKUP(C182,Inventory!$A$2:$Y$35,22,FALSE()),"")</f>
        <v/>
      </c>
      <c r="W182" t="str">
        <f>IFERROR(VLOOKUP(C182,Inventory!$A$2:$AB$35,25,FALSE()),"")</f>
        <v/>
      </c>
    </row>
    <row r="183" spans="1:23" ht="15" customHeight="1" x14ac:dyDescent="0.25">
      <c r="A183" t="str">
        <f t="shared" si="14"/>
        <v/>
      </c>
      <c r="B183" s="29"/>
      <c r="F183" s="45"/>
      <c r="G183" s="45"/>
      <c r="H183" s="45"/>
      <c r="I183" s="30">
        <f t="shared" si="15"/>
        <v>0</v>
      </c>
      <c r="J183" s="45">
        <f t="shared" si="16"/>
        <v>0</v>
      </c>
      <c r="K183" s="45">
        <f t="shared" si="17"/>
        <v>0</v>
      </c>
      <c r="L183" s="45"/>
      <c r="M183" s="45"/>
      <c r="N183" s="45">
        <f t="shared" si="18"/>
        <v>0</v>
      </c>
      <c r="O183" s="45">
        <f>IFERROR(VLOOKUP(C183,Inventory!$A$2:$N$35,13,FALSE()),0)</f>
        <v>0</v>
      </c>
      <c r="P183" s="45">
        <f t="shared" si="19"/>
        <v>0</v>
      </c>
      <c r="Q183" s="30">
        <f t="shared" si="20"/>
        <v>0</v>
      </c>
      <c r="R183" t="str">
        <f>IFERROR(IF(AND(ISNUMBER(B183),C183&lt;&gt;""),B183-VLOOKUP(C183,Inventory!$A$2:$AE$35,29,FALSE()),""),"")</f>
        <v/>
      </c>
      <c r="U183" t="str">
        <f>IFERROR(VLOOKUP(C183,Inventory!$A$2:$C$35,2,FALSE()),"")</f>
        <v/>
      </c>
      <c r="V183" t="str">
        <f>IFERROR(VLOOKUP(C183,Inventory!$A$2:$Y$35,22,FALSE()),"")</f>
        <v/>
      </c>
      <c r="W183" t="str">
        <f>IFERROR(VLOOKUP(C183,Inventory!$A$2:$AB$35,25,FALSE()),"")</f>
        <v/>
      </c>
    </row>
    <row r="184" spans="1:23" ht="15" customHeight="1" x14ac:dyDescent="0.25">
      <c r="A184" t="str">
        <f t="shared" si="14"/>
        <v/>
      </c>
      <c r="B184" s="29"/>
      <c r="F184" s="45"/>
      <c r="G184" s="45"/>
      <c r="H184" s="45"/>
      <c r="I184" s="30">
        <f t="shared" si="15"/>
        <v>0</v>
      </c>
      <c r="J184" s="45">
        <f t="shared" si="16"/>
        <v>0</v>
      </c>
      <c r="K184" s="45">
        <f t="shared" si="17"/>
        <v>0</v>
      </c>
      <c r="L184" s="45"/>
      <c r="M184" s="45"/>
      <c r="N184" s="45">
        <f t="shared" si="18"/>
        <v>0</v>
      </c>
      <c r="O184" s="45">
        <f>IFERROR(VLOOKUP(C184,Inventory!$A$2:$N$35,13,FALSE()),0)</f>
        <v>0</v>
      </c>
      <c r="P184" s="45">
        <f t="shared" si="19"/>
        <v>0</v>
      </c>
      <c r="Q184" s="30">
        <f t="shared" si="20"/>
        <v>0</v>
      </c>
      <c r="R184" t="str">
        <f>IFERROR(IF(AND(ISNUMBER(B184),C184&lt;&gt;""),B184-VLOOKUP(C184,Inventory!$A$2:$AE$35,29,FALSE()),""),"")</f>
        <v/>
      </c>
      <c r="U184" t="str">
        <f>IFERROR(VLOOKUP(C184,Inventory!$A$2:$C$35,2,FALSE()),"")</f>
        <v/>
      </c>
      <c r="V184" t="str">
        <f>IFERROR(VLOOKUP(C184,Inventory!$A$2:$Y$35,22,FALSE()),"")</f>
        <v/>
      </c>
      <c r="W184" t="str">
        <f>IFERROR(VLOOKUP(C184,Inventory!$A$2:$AB$35,25,FALSE()),"")</f>
        <v/>
      </c>
    </row>
    <row r="185" spans="1:23" ht="15" customHeight="1" x14ac:dyDescent="0.25">
      <c r="A185" t="str">
        <f t="shared" si="14"/>
        <v/>
      </c>
      <c r="B185" s="29"/>
      <c r="F185" s="45"/>
      <c r="G185" s="45"/>
      <c r="H185" s="45"/>
      <c r="I185" s="30">
        <f t="shared" si="15"/>
        <v>0</v>
      </c>
      <c r="J185" s="45">
        <f t="shared" si="16"/>
        <v>0</v>
      </c>
      <c r="K185" s="45">
        <f t="shared" si="17"/>
        <v>0</v>
      </c>
      <c r="L185" s="45"/>
      <c r="M185" s="45"/>
      <c r="N185" s="45">
        <f t="shared" si="18"/>
        <v>0</v>
      </c>
      <c r="O185" s="45">
        <f>IFERROR(VLOOKUP(C185,Inventory!$A$2:$N$35,13,FALSE()),0)</f>
        <v>0</v>
      </c>
      <c r="P185" s="45">
        <f t="shared" si="19"/>
        <v>0</v>
      </c>
      <c r="Q185" s="30">
        <f t="shared" si="20"/>
        <v>0</v>
      </c>
      <c r="R185" t="str">
        <f>IFERROR(IF(AND(ISNUMBER(B185),C185&lt;&gt;""),B185-VLOOKUP(C185,Inventory!$A$2:$AE$35,29,FALSE()),""),"")</f>
        <v/>
      </c>
      <c r="U185" t="str">
        <f>IFERROR(VLOOKUP(C185,Inventory!$A$2:$C$35,2,FALSE()),"")</f>
        <v/>
      </c>
      <c r="V185" t="str">
        <f>IFERROR(VLOOKUP(C185,Inventory!$A$2:$Y$35,22,FALSE()),"")</f>
        <v/>
      </c>
      <c r="W185" t="str">
        <f>IFERROR(VLOOKUP(C185,Inventory!$A$2:$AB$35,25,FALSE()),"")</f>
        <v/>
      </c>
    </row>
    <row r="186" spans="1:23" ht="15" customHeight="1" x14ac:dyDescent="0.25">
      <c r="A186" t="str">
        <f t="shared" si="14"/>
        <v/>
      </c>
      <c r="B186" s="29"/>
      <c r="F186" s="45"/>
      <c r="G186" s="45"/>
      <c r="H186" s="45"/>
      <c r="I186" s="30">
        <f t="shared" si="15"/>
        <v>0</v>
      </c>
      <c r="J186" s="45">
        <f t="shared" si="16"/>
        <v>0</v>
      </c>
      <c r="K186" s="45">
        <f t="shared" si="17"/>
        <v>0</v>
      </c>
      <c r="L186" s="45"/>
      <c r="M186" s="45"/>
      <c r="N186" s="45">
        <f t="shared" si="18"/>
        <v>0</v>
      </c>
      <c r="O186" s="45">
        <f>IFERROR(VLOOKUP(C186,Inventory!$A$2:$N$35,13,FALSE()),0)</f>
        <v>0</v>
      </c>
      <c r="P186" s="45">
        <f t="shared" si="19"/>
        <v>0</v>
      </c>
      <c r="Q186" s="30">
        <f t="shared" si="20"/>
        <v>0</v>
      </c>
      <c r="R186" t="str">
        <f>IFERROR(IF(AND(ISNUMBER(B186),C186&lt;&gt;""),B186-VLOOKUP(C186,Inventory!$A$2:$AE$35,29,FALSE()),""),"")</f>
        <v/>
      </c>
      <c r="U186" t="str">
        <f>IFERROR(VLOOKUP(C186,Inventory!$A$2:$C$35,2,FALSE()),"")</f>
        <v/>
      </c>
      <c r="V186" t="str">
        <f>IFERROR(VLOOKUP(C186,Inventory!$A$2:$Y$35,22,FALSE()),"")</f>
        <v/>
      </c>
      <c r="W186" t="str">
        <f>IFERROR(VLOOKUP(C186,Inventory!$A$2:$AB$35,25,FALSE()),"")</f>
        <v/>
      </c>
    </row>
    <row r="187" spans="1:23" ht="15" customHeight="1" x14ac:dyDescent="0.25">
      <c r="A187" t="str">
        <f t="shared" si="14"/>
        <v/>
      </c>
      <c r="B187" s="29"/>
      <c r="F187" s="45"/>
      <c r="G187" s="45"/>
      <c r="H187" s="45"/>
      <c r="I187" s="30">
        <f t="shared" si="15"/>
        <v>0</v>
      </c>
      <c r="J187" s="45">
        <f t="shared" si="16"/>
        <v>0</v>
      </c>
      <c r="K187" s="45">
        <f t="shared" si="17"/>
        <v>0</v>
      </c>
      <c r="L187" s="45"/>
      <c r="M187" s="45"/>
      <c r="N187" s="45">
        <f t="shared" si="18"/>
        <v>0</v>
      </c>
      <c r="O187" s="45">
        <f>IFERROR(VLOOKUP(C187,Inventory!$A$2:$N$35,13,FALSE()),0)</f>
        <v>0</v>
      </c>
      <c r="P187" s="45">
        <f t="shared" si="19"/>
        <v>0</v>
      </c>
      <c r="Q187" s="30">
        <f t="shared" si="20"/>
        <v>0</v>
      </c>
      <c r="R187" t="str">
        <f>IFERROR(IF(AND(ISNUMBER(B187),C187&lt;&gt;""),B187-VLOOKUP(C187,Inventory!$A$2:$AE$35,29,FALSE()),""),"")</f>
        <v/>
      </c>
      <c r="U187" t="str">
        <f>IFERROR(VLOOKUP(C187,Inventory!$A$2:$C$35,2,FALSE()),"")</f>
        <v/>
      </c>
      <c r="V187" t="str">
        <f>IFERROR(VLOOKUP(C187,Inventory!$A$2:$Y$35,22,FALSE()),"")</f>
        <v/>
      </c>
      <c r="W187" t="str">
        <f>IFERROR(VLOOKUP(C187,Inventory!$A$2:$AB$35,25,FALSE()),"")</f>
        <v/>
      </c>
    </row>
    <row r="188" spans="1:23" ht="15" customHeight="1" x14ac:dyDescent="0.25">
      <c r="A188" t="str">
        <f t="shared" si="14"/>
        <v/>
      </c>
      <c r="B188" s="29"/>
      <c r="F188" s="45"/>
      <c r="G188" s="45"/>
      <c r="H188" s="45"/>
      <c r="I188" s="30">
        <f t="shared" si="15"/>
        <v>0</v>
      </c>
      <c r="J188" s="45">
        <f t="shared" si="16"/>
        <v>0</v>
      </c>
      <c r="K188" s="45">
        <f t="shared" si="17"/>
        <v>0</v>
      </c>
      <c r="L188" s="45"/>
      <c r="M188" s="45"/>
      <c r="N188" s="45">
        <f t="shared" si="18"/>
        <v>0</v>
      </c>
      <c r="O188" s="45">
        <f>IFERROR(VLOOKUP(C188,Inventory!$A$2:$N$35,13,FALSE()),0)</f>
        <v>0</v>
      </c>
      <c r="P188" s="45">
        <f t="shared" si="19"/>
        <v>0</v>
      </c>
      <c r="Q188" s="30">
        <f t="shared" si="20"/>
        <v>0</v>
      </c>
      <c r="R188" t="str">
        <f>IFERROR(IF(AND(ISNUMBER(B188),C188&lt;&gt;""),B188-VLOOKUP(C188,Inventory!$A$2:$AE$35,29,FALSE()),""),"")</f>
        <v/>
      </c>
      <c r="U188" t="str">
        <f>IFERROR(VLOOKUP(C188,Inventory!$A$2:$C$35,2,FALSE()),"")</f>
        <v/>
      </c>
      <c r="V188" t="str">
        <f>IFERROR(VLOOKUP(C188,Inventory!$A$2:$Y$35,22,FALSE()),"")</f>
        <v/>
      </c>
      <c r="W188" t="str">
        <f>IFERROR(VLOOKUP(C188,Inventory!$A$2:$AB$35,25,FALSE()),"")</f>
        <v/>
      </c>
    </row>
    <row r="189" spans="1:23" ht="15" customHeight="1" x14ac:dyDescent="0.25">
      <c r="A189" t="str">
        <f t="shared" si="14"/>
        <v/>
      </c>
      <c r="B189" s="29"/>
      <c r="F189" s="45"/>
      <c r="G189" s="45"/>
      <c r="H189" s="45"/>
      <c r="I189" s="30">
        <f t="shared" si="15"/>
        <v>0</v>
      </c>
      <c r="J189" s="45">
        <f t="shared" si="16"/>
        <v>0</v>
      </c>
      <c r="K189" s="45">
        <f t="shared" si="17"/>
        <v>0</v>
      </c>
      <c r="L189" s="45"/>
      <c r="M189" s="45"/>
      <c r="N189" s="45">
        <f t="shared" si="18"/>
        <v>0</v>
      </c>
      <c r="O189" s="45">
        <f>IFERROR(VLOOKUP(C189,Inventory!$A$2:$N$35,13,FALSE()),0)</f>
        <v>0</v>
      </c>
      <c r="P189" s="45">
        <f t="shared" si="19"/>
        <v>0</v>
      </c>
      <c r="Q189" s="30">
        <f t="shared" si="20"/>
        <v>0</v>
      </c>
      <c r="R189" t="str">
        <f>IFERROR(IF(AND(ISNUMBER(B189),C189&lt;&gt;""),B189-VLOOKUP(C189,Inventory!$A$2:$AE$35,29,FALSE()),""),"")</f>
        <v/>
      </c>
      <c r="U189" t="str">
        <f>IFERROR(VLOOKUP(C189,Inventory!$A$2:$C$35,2,FALSE()),"")</f>
        <v/>
      </c>
      <c r="V189" t="str">
        <f>IFERROR(VLOOKUP(C189,Inventory!$A$2:$Y$35,22,FALSE()),"")</f>
        <v/>
      </c>
      <c r="W189" t="str">
        <f>IFERROR(VLOOKUP(C189,Inventory!$A$2:$AB$35,25,FALSE()),"")</f>
        <v/>
      </c>
    </row>
    <row r="190" spans="1:23" ht="15" customHeight="1" x14ac:dyDescent="0.25">
      <c r="A190" t="str">
        <f t="shared" si="14"/>
        <v/>
      </c>
      <c r="B190" s="29"/>
      <c r="F190" s="45"/>
      <c r="G190" s="45"/>
      <c r="H190" s="45"/>
      <c r="I190" s="30">
        <f t="shared" si="15"/>
        <v>0</v>
      </c>
      <c r="J190" s="45">
        <f t="shared" si="16"/>
        <v>0</v>
      </c>
      <c r="K190" s="45">
        <f t="shared" si="17"/>
        <v>0</v>
      </c>
      <c r="L190" s="45"/>
      <c r="M190" s="45"/>
      <c r="N190" s="45">
        <f t="shared" si="18"/>
        <v>0</v>
      </c>
      <c r="O190" s="45">
        <f>IFERROR(VLOOKUP(C190,Inventory!$A$2:$N$35,13,FALSE()),0)</f>
        <v>0</v>
      </c>
      <c r="P190" s="45">
        <f t="shared" si="19"/>
        <v>0</v>
      </c>
      <c r="Q190" s="30">
        <f t="shared" si="20"/>
        <v>0</v>
      </c>
      <c r="R190" t="str">
        <f>IFERROR(IF(AND(ISNUMBER(B190),C190&lt;&gt;""),B190-VLOOKUP(C190,Inventory!$A$2:$AE$35,29,FALSE()),""),"")</f>
        <v/>
      </c>
      <c r="U190" t="str">
        <f>IFERROR(VLOOKUP(C190,Inventory!$A$2:$C$35,2,FALSE()),"")</f>
        <v/>
      </c>
      <c r="V190" t="str">
        <f>IFERROR(VLOOKUP(C190,Inventory!$A$2:$Y$35,22,FALSE()),"")</f>
        <v/>
      </c>
      <c r="W190" t="str">
        <f>IFERROR(VLOOKUP(C190,Inventory!$A$2:$AB$35,25,FALSE()),"")</f>
        <v/>
      </c>
    </row>
    <row r="191" spans="1:23" ht="15" customHeight="1" x14ac:dyDescent="0.25">
      <c r="A191" t="str">
        <f t="shared" si="14"/>
        <v/>
      </c>
      <c r="B191" s="29"/>
      <c r="F191" s="45"/>
      <c r="G191" s="45"/>
      <c r="H191" s="45"/>
      <c r="I191" s="30">
        <f t="shared" si="15"/>
        <v>0</v>
      </c>
      <c r="J191" s="45">
        <f t="shared" si="16"/>
        <v>0</v>
      </c>
      <c r="K191" s="45">
        <f t="shared" si="17"/>
        <v>0</v>
      </c>
      <c r="L191" s="45"/>
      <c r="M191" s="45"/>
      <c r="N191" s="45">
        <f t="shared" si="18"/>
        <v>0</v>
      </c>
      <c r="O191" s="45">
        <f>IFERROR(VLOOKUP(C191,Inventory!$A$2:$N$35,13,FALSE()),0)</f>
        <v>0</v>
      </c>
      <c r="P191" s="45">
        <f t="shared" si="19"/>
        <v>0</v>
      </c>
      <c r="Q191" s="30">
        <f t="shared" si="20"/>
        <v>0</v>
      </c>
      <c r="R191" t="str">
        <f>IFERROR(IF(AND(ISNUMBER(B191),C191&lt;&gt;""),B191-VLOOKUP(C191,Inventory!$A$2:$AE$35,29,FALSE()),""),"")</f>
        <v/>
      </c>
      <c r="U191" t="str">
        <f>IFERROR(VLOOKUP(C191,Inventory!$A$2:$C$35,2,FALSE()),"")</f>
        <v/>
      </c>
      <c r="V191" t="str">
        <f>IFERROR(VLOOKUP(C191,Inventory!$A$2:$Y$35,22,FALSE()),"")</f>
        <v/>
      </c>
      <c r="W191" t="str">
        <f>IFERROR(VLOOKUP(C191,Inventory!$A$2:$AB$35,25,FALSE()),"")</f>
        <v/>
      </c>
    </row>
    <row r="192" spans="1:23" ht="15" customHeight="1" x14ac:dyDescent="0.25">
      <c r="A192" t="str">
        <f t="shared" si="14"/>
        <v/>
      </c>
      <c r="B192" s="29"/>
      <c r="F192" s="45"/>
      <c r="G192" s="45"/>
      <c r="H192" s="45"/>
      <c r="I192" s="30">
        <f t="shared" si="15"/>
        <v>0</v>
      </c>
      <c r="J192" s="45">
        <f t="shared" si="16"/>
        <v>0</v>
      </c>
      <c r="K192" s="45">
        <f t="shared" si="17"/>
        <v>0</v>
      </c>
      <c r="L192" s="45"/>
      <c r="M192" s="45"/>
      <c r="N192" s="45">
        <f t="shared" si="18"/>
        <v>0</v>
      </c>
      <c r="O192" s="45">
        <f>IFERROR(VLOOKUP(C192,Inventory!$A$2:$N$35,13,FALSE()),0)</f>
        <v>0</v>
      </c>
      <c r="P192" s="45">
        <f t="shared" si="19"/>
        <v>0</v>
      </c>
      <c r="Q192" s="30">
        <f t="shared" si="20"/>
        <v>0</v>
      </c>
      <c r="R192" t="str">
        <f>IFERROR(IF(AND(ISNUMBER(B192),C192&lt;&gt;""),B192-VLOOKUP(C192,Inventory!$A$2:$AE$35,29,FALSE()),""),"")</f>
        <v/>
      </c>
      <c r="U192" t="str">
        <f>IFERROR(VLOOKUP(C192,Inventory!$A$2:$C$35,2,FALSE()),"")</f>
        <v/>
      </c>
      <c r="V192" t="str">
        <f>IFERROR(VLOOKUP(C192,Inventory!$A$2:$Y$35,22,FALSE()),"")</f>
        <v/>
      </c>
      <c r="W192" t="str">
        <f>IFERROR(VLOOKUP(C192,Inventory!$A$2:$AB$35,25,FALSE()),"")</f>
        <v/>
      </c>
    </row>
    <row r="193" spans="1:23" ht="15" customHeight="1" x14ac:dyDescent="0.25">
      <c r="A193" t="str">
        <f t="shared" si="14"/>
        <v/>
      </c>
      <c r="B193" s="29"/>
      <c r="F193" s="45"/>
      <c r="G193" s="45"/>
      <c r="H193" s="45"/>
      <c r="I193" s="30">
        <f t="shared" si="15"/>
        <v>0</v>
      </c>
      <c r="J193" s="45">
        <f t="shared" si="16"/>
        <v>0</v>
      </c>
      <c r="K193" s="45">
        <f t="shared" si="17"/>
        <v>0</v>
      </c>
      <c r="L193" s="45"/>
      <c r="M193" s="45"/>
      <c r="N193" s="45">
        <f t="shared" si="18"/>
        <v>0</v>
      </c>
      <c r="O193" s="45">
        <f>IFERROR(VLOOKUP(C193,Inventory!$A$2:$N$35,13,FALSE()),0)</f>
        <v>0</v>
      </c>
      <c r="P193" s="45">
        <f t="shared" si="19"/>
        <v>0</v>
      </c>
      <c r="Q193" s="30">
        <f t="shared" si="20"/>
        <v>0</v>
      </c>
      <c r="R193" t="str">
        <f>IFERROR(IF(AND(ISNUMBER(B193),C193&lt;&gt;""),B193-VLOOKUP(C193,Inventory!$A$2:$AE$35,29,FALSE()),""),"")</f>
        <v/>
      </c>
      <c r="U193" t="str">
        <f>IFERROR(VLOOKUP(C193,Inventory!$A$2:$C$35,2,FALSE()),"")</f>
        <v/>
      </c>
      <c r="V193" t="str">
        <f>IFERROR(VLOOKUP(C193,Inventory!$A$2:$Y$35,22,FALSE()),"")</f>
        <v/>
      </c>
      <c r="W193" t="str">
        <f>IFERROR(VLOOKUP(C193,Inventory!$A$2:$AB$35,25,FALSE()),"")</f>
        <v/>
      </c>
    </row>
    <row r="194" spans="1:23" ht="15" customHeight="1" x14ac:dyDescent="0.25">
      <c r="A194" t="str">
        <f t="shared" si="14"/>
        <v/>
      </c>
      <c r="B194" s="29"/>
      <c r="F194" s="45"/>
      <c r="G194" s="45"/>
      <c r="H194" s="45"/>
      <c r="I194" s="30">
        <f t="shared" si="15"/>
        <v>0</v>
      </c>
      <c r="J194" s="45">
        <f t="shared" si="16"/>
        <v>0</v>
      </c>
      <c r="K194" s="45">
        <f t="shared" si="17"/>
        <v>0</v>
      </c>
      <c r="L194" s="45"/>
      <c r="M194" s="45"/>
      <c r="N194" s="45">
        <f t="shared" si="18"/>
        <v>0</v>
      </c>
      <c r="O194" s="45">
        <f>IFERROR(VLOOKUP(C194,Inventory!$A$2:$N$35,13,FALSE()),0)</f>
        <v>0</v>
      </c>
      <c r="P194" s="45">
        <f t="shared" si="19"/>
        <v>0</v>
      </c>
      <c r="Q194" s="30">
        <f t="shared" si="20"/>
        <v>0</v>
      </c>
      <c r="R194" t="str">
        <f>IFERROR(IF(AND(ISNUMBER(B194),C194&lt;&gt;""),B194-VLOOKUP(C194,Inventory!$A$2:$AE$35,29,FALSE()),""),"")</f>
        <v/>
      </c>
      <c r="U194" t="str">
        <f>IFERROR(VLOOKUP(C194,Inventory!$A$2:$C$35,2,FALSE()),"")</f>
        <v/>
      </c>
      <c r="V194" t="str">
        <f>IFERROR(VLOOKUP(C194,Inventory!$A$2:$Y$35,22,FALSE()),"")</f>
        <v/>
      </c>
      <c r="W194" t="str">
        <f>IFERROR(VLOOKUP(C194,Inventory!$A$2:$AB$35,25,FALSE()),"")</f>
        <v/>
      </c>
    </row>
    <row r="195" spans="1:23" ht="15" customHeight="1" x14ac:dyDescent="0.25">
      <c r="A195" t="str">
        <f t="shared" si="14"/>
        <v/>
      </c>
      <c r="B195" s="29"/>
      <c r="F195" s="45"/>
      <c r="G195" s="45"/>
      <c r="H195" s="45"/>
      <c r="I195" s="30">
        <f t="shared" si="15"/>
        <v>0</v>
      </c>
      <c r="J195" s="45">
        <f t="shared" si="16"/>
        <v>0</v>
      </c>
      <c r="K195" s="45">
        <f t="shared" si="17"/>
        <v>0</v>
      </c>
      <c r="L195" s="45"/>
      <c r="M195" s="45"/>
      <c r="N195" s="45">
        <f t="shared" si="18"/>
        <v>0</v>
      </c>
      <c r="O195" s="45">
        <f>IFERROR(VLOOKUP(C195,Inventory!$A$2:$N$35,13,FALSE()),0)</f>
        <v>0</v>
      </c>
      <c r="P195" s="45">
        <f t="shared" si="19"/>
        <v>0</v>
      </c>
      <c r="Q195" s="30">
        <f t="shared" si="20"/>
        <v>0</v>
      </c>
      <c r="R195" t="str">
        <f>IFERROR(IF(AND(ISNUMBER(B195),C195&lt;&gt;""),B195-VLOOKUP(C195,Inventory!$A$2:$AE$35,29,FALSE()),""),"")</f>
        <v/>
      </c>
      <c r="U195" t="str">
        <f>IFERROR(VLOOKUP(C195,Inventory!$A$2:$C$35,2,FALSE()),"")</f>
        <v/>
      </c>
      <c r="V195" t="str">
        <f>IFERROR(VLOOKUP(C195,Inventory!$A$2:$Y$35,22,FALSE()),"")</f>
        <v/>
      </c>
      <c r="W195" t="str">
        <f>IFERROR(VLOOKUP(C195,Inventory!$A$2:$AB$35,25,FALSE()),"")</f>
        <v/>
      </c>
    </row>
    <row r="196" spans="1:23" ht="15" customHeight="1" x14ac:dyDescent="0.25">
      <c r="A196" t="str">
        <f t="shared" ref="A196:A259" si="21">IF(C196="","",ROW()-3)</f>
        <v/>
      </c>
      <c r="B196" s="29"/>
      <c r="F196" s="45"/>
      <c r="G196" s="45"/>
      <c r="H196" s="45"/>
      <c r="I196" s="30">
        <f t="shared" ref="I196:I259" si="22">IFERROR(VLOOKUP(D196,PlatformFees,2,FALSE()),0)</f>
        <v>0</v>
      </c>
      <c r="J196" s="45">
        <f t="shared" ref="J196:J259" si="23">IFERROR(VLOOKUP(D196,PlatformFees,3,FALSE()),0)</f>
        <v>0</v>
      </c>
      <c r="K196" s="45">
        <f t="shared" ref="K196:K259" si="24">IF(ISNUMBER(F196),F196*I196+J196,0)</f>
        <v>0</v>
      </c>
      <c r="L196" s="45"/>
      <c r="M196" s="45"/>
      <c r="N196" s="45">
        <f t="shared" ref="N196:N259" si="25">IF(ISNUMBER(F196),F196+IFERROR(G196,0)-IFERROR(H196,0)-K196-IFERROR(L196,0)-IFERROR(M196,0),0)</f>
        <v>0</v>
      </c>
      <c r="O196" s="45">
        <f>IFERROR(VLOOKUP(C196,Inventory!$A$2:$N$35,13,FALSE()),0)</f>
        <v>0</v>
      </c>
      <c r="P196" s="45">
        <f t="shared" ref="P196:P259" si="26">IF(ISNUMBER(F196),N196-O196,0)</f>
        <v>0</v>
      </c>
      <c r="Q196" s="30">
        <f t="shared" ref="Q196:Q259" si="27">IFERROR(IF(O196=0,0,P196/O196),0)</f>
        <v>0</v>
      </c>
      <c r="R196" t="str">
        <f>IFERROR(IF(AND(ISNUMBER(B196),C196&lt;&gt;""),B196-VLOOKUP(C196,Inventory!$A$2:$AE$35,29,FALSE()),""),"")</f>
        <v/>
      </c>
      <c r="U196" t="str">
        <f>IFERROR(VLOOKUP(C196,Inventory!$A$2:$C$35,2,FALSE()),"")</f>
        <v/>
      </c>
      <c r="V196" t="str">
        <f>IFERROR(VLOOKUP(C196,Inventory!$A$2:$Y$35,22,FALSE()),"")</f>
        <v/>
      </c>
      <c r="W196" t="str">
        <f>IFERROR(VLOOKUP(C196,Inventory!$A$2:$AB$35,25,FALSE()),"")</f>
        <v/>
      </c>
    </row>
    <row r="197" spans="1:23" ht="15" customHeight="1" x14ac:dyDescent="0.25">
      <c r="A197" t="str">
        <f t="shared" si="21"/>
        <v/>
      </c>
      <c r="B197" s="29"/>
      <c r="F197" s="45"/>
      <c r="G197" s="45"/>
      <c r="H197" s="45"/>
      <c r="I197" s="30">
        <f t="shared" si="22"/>
        <v>0</v>
      </c>
      <c r="J197" s="45">
        <f t="shared" si="23"/>
        <v>0</v>
      </c>
      <c r="K197" s="45">
        <f t="shared" si="24"/>
        <v>0</v>
      </c>
      <c r="L197" s="45"/>
      <c r="M197" s="45"/>
      <c r="N197" s="45">
        <f t="shared" si="25"/>
        <v>0</v>
      </c>
      <c r="O197" s="45">
        <f>IFERROR(VLOOKUP(C197,Inventory!$A$2:$N$35,13,FALSE()),0)</f>
        <v>0</v>
      </c>
      <c r="P197" s="45">
        <f t="shared" si="26"/>
        <v>0</v>
      </c>
      <c r="Q197" s="30">
        <f t="shared" si="27"/>
        <v>0</v>
      </c>
      <c r="R197" t="str">
        <f>IFERROR(IF(AND(ISNUMBER(B197),C197&lt;&gt;""),B197-VLOOKUP(C197,Inventory!$A$2:$AE$35,29,FALSE()),""),"")</f>
        <v/>
      </c>
      <c r="U197" t="str">
        <f>IFERROR(VLOOKUP(C197,Inventory!$A$2:$C$35,2,FALSE()),"")</f>
        <v/>
      </c>
      <c r="V197" t="str">
        <f>IFERROR(VLOOKUP(C197,Inventory!$A$2:$Y$35,22,FALSE()),"")</f>
        <v/>
      </c>
      <c r="W197" t="str">
        <f>IFERROR(VLOOKUP(C197,Inventory!$A$2:$AB$35,25,FALSE()),"")</f>
        <v/>
      </c>
    </row>
    <row r="198" spans="1:23" ht="15" customHeight="1" x14ac:dyDescent="0.25">
      <c r="A198" t="str">
        <f t="shared" si="21"/>
        <v/>
      </c>
      <c r="B198" s="29"/>
      <c r="F198" s="45"/>
      <c r="G198" s="45"/>
      <c r="H198" s="45"/>
      <c r="I198" s="30">
        <f t="shared" si="22"/>
        <v>0</v>
      </c>
      <c r="J198" s="45">
        <f t="shared" si="23"/>
        <v>0</v>
      </c>
      <c r="K198" s="45">
        <f t="shared" si="24"/>
        <v>0</v>
      </c>
      <c r="L198" s="45"/>
      <c r="M198" s="45"/>
      <c r="N198" s="45">
        <f t="shared" si="25"/>
        <v>0</v>
      </c>
      <c r="O198" s="45">
        <f>IFERROR(VLOOKUP(C198,Inventory!$A$2:$N$35,13,FALSE()),0)</f>
        <v>0</v>
      </c>
      <c r="P198" s="45">
        <f t="shared" si="26"/>
        <v>0</v>
      </c>
      <c r="Q198" s="30">
        <f t="shared" si="27"/>
        <v>0</v>
      </c>
      <c r="R198" t="str">
        <f>IFERROR(IF(AND(ISNUMBER(B198),C198&lt;&gt;""),B198-VLOOKUP(C198,Inventory!$A$2:$AE$35,29,FALSE()),""),"")</f>
        <v/>
      </c>
      <c r="U198" t="str">
        <f>IFERROR(VLOOKUP(C198,Inventory!$A$2:$C$35,2,FALSE()),"")</f>
        <v/>
      </c>
      <c r="V198" t="str">
        <f>IFERROR(VLOOKUP(C198,Inventory!$A$2:$Y$35,22,FALSE()),"")</f>
        <v/>
      </c>
      <c r="W198" t="str">
        <f>IFERROR(VLOOKUP(C198,Inventory!$A$2:$AB$35,25,FALSE()),"")</f>
        <v/>
      </c>
    </row>
    <row r="199" spans="1:23" ht="15" customHeight="1" x14ac:dyDescent="0.25">
      <c r="A199" t="str">
        <f t="shared" si="21"/>
        <v/>
      </c>
      <c r="B199" s="29"/>
      <c r="F199" s="45"/>
      <c r="G199" s="45"/>
      <c r="H199" s="45"/>
      <c r="I199" s="30">
        <f t="shared" si="22"/>
        <v>0</v>
      </c>
      <c r="J199" s="45">
        <f t="shared" si="23"/>
        <v>0</v>
      </c>
      <c r="K199" s="45">
        <f t="shared" si="24"/>
        <v>0</v>
      </c>
      <c r="L199" s="45"/>
      <c r="M199" s="45"/>
      <c r="N199" s="45">
        <f t="shared" si="25"/>
        <v>0</v>
      </c>
      <c r="O199" s="45">
        <f>IFERROR(VLOOKUP(C199,Inventory!$A$2:$N$35,13,FALSE()),0)</f>
        <v>0</v>
      </c>
      <c r="P199" s="45">
        <f t="shared" si="26"/>
        <v>0</v>
      </c>
      <c r="Q199" s="30">
        <f t="shared" si="27"/>
        <v>0</v>
      </c>
      <c r="R199" t="str">
        <f>IFERROR(IF(AND(ISNUMBER(B199),C199&lt;&gt;""),B199-VLOOKUP(C199,Inventory!$A$2:$AE$35,29,FALSE()),""),"")</f>
        <v/>
      </c>
      <c r="U199" t="str">
        <f>IFERROR(VLOOKUP(C199,Inventory!$A$2:$C$35,2,FALSE()),"")</f>
        <v/>
      </c>
      <c r="V199" t="str">
        <f>IFERROR(VLOOKUP(C199,Inventory!$A$2:$Y$35,22,FALSE()),"")</f>
        <v/>
      </c>
      <c r="W199" t="str">
        <f>IFERROR(VLOOKUP(C199,Inventory!$A$2:$AB$35,25,FALSE()),"")</f>
        <v/>
      </c>
    </row>
    <row r="200" spans="1:23" ht="15" customHeight="1" x14ac:dyDescent="0.25">
      <c r="A200" t="str">
        <f t="shared" si="21"/>
        <v/>
      </c>
      <c r="B200" s="29"/>
      <c r="F200" s="45"/>
      <c r="G200" s="45"/>
      <c r="H200" s="45"/>
      <c r="I200" s="30">
        <f t="shared" si="22"/>
        <v>0</v>
      </c>
      <c r="J200" s="45">
        <f t="shared" si="23"/>
        <v>0</v>
      </c>
      <c r="K200" s="45">
        <f t="shared" si="24"/>
        <v>0</v>
      </c>
      <c r="L200" s="45"/>
      <c r="M200" s="45"/>
      <c r="N200" s="45">
        <f t="shared" si="25"/>
        <v>0</v>
      </c>
      <c r="O200" s="45">
        <f>IFERROR(VLOOKUP(C200,Inventory!$A$2:$N$35,13,FALSE()),0)</f>
        <v>0</v>
      </c>
      <c r="P200" s="45">
        <f t="shared" si="26"/>
        <v>0</v>
      </c>
      <c r="Q200" s="30">
        <f t="shared" si="27"/>
        <v>0</v>
      </c>
      <c r="R200" t="str">
        <f>IFERROR(IF(AND(ISNUMBER(B200),C200&lt;&gt;""),B200-VLOOKUP(C200,Inventory!$A$2:$AE$35,29,FALSE()),""),"")</f>
        <v/>
      </c>
      <c r="U200" t="str">
        <f>IFERROR(VLOOKUP(C200,Inventory!$A$2:$C$35,2,FALSE()),"")</f>
        <v/>
      </c>
      <c r="V200" t="str">
        <f>IFERROR(VLOOKUP(C200,Inventory!$A$2:$Y$35,22,FALSE()),"")</f>
        <v/>
      </c>
      <c r="W200" t="str">
        <f>IFERROR(VLOOKUP(C200,Inventory!$A$2:$AB$35,25,FALSE()),"")</f>
        <v/>
      </c>
    </row>
    <row r="201" spans="1:23" ht="15" customHeight="1" x14ac:dyDescent="0.25">
      <c r="A201" t="str">
        <f t="shared" si="21"/>
        <v/>
      </c>
      <c r="B201" s="29"/>
      <c r="F201" s="45"/>
      <c r="G201" s="45"/>
      <c r="H201" s="45"/>
      <c r="I201" s="30">
        <f t="shared" si="22"/>
        <v>0</v>
      </c>
      <c r="J201" s="45">
        <f t="shared" si="23"/>
        <v>0</v>
      </c>
      <c r="K201" s="45">
        <f t="shared" si="24"/>
        <v>0</v>
      </c>
      <c r="L201" s="45"/>
      <c r="M201" s="45"/>
      <c r="N201" s="45">
        <f t="shared" si="25"/>
        <v>0</v>
      </c>
      <c r="O201" s="45">
        <f>IFERROR(VLOOKUP(C201,Inventory!$A$2:$N$35,13,FALSE()),0)</f>
        <v>0</v>
      </c>
      <c r="P201" s="45">
        <f t="shared" si="26"/>
        <v>0</v>
      </c>
      <c r="Q201" s="30">
        <f t="shared" si="27"/>
        <v>0</v>
      </c>
      <c r="R201" t="str">
        <f>IFERROR(IF(AND(ISNUMBER(B201),C201&lt;&gt;""),B201-VLOOKUP(C201,Inventory!$A$2:$AE$35,29,FALSE()),""),"")</f>
        <v/>
      </c>
      <c r="U201" t="str">
        <f>IFERROR(VLOOKUP(C201,Inventory!$A$2:$C$35,2,FALSE()),"")</f>
        <v/>
      </c>
      <c r="V201" t="str">
        <f>IFERROR(VLOOKUP(C201,Inventory!$A$2:$Y$35,22,FALSE()),"")</f>
        <v/>
      </c>
      <c r="W201" t="str">
        <f>IFERROR(VLOOKUP(C201,Inventory!$A$2:$AB$35,25,FALSE()),"")</f>
        <v/>
      </c>
    </row>
    <row r="202" spans="1:23" ht="15" customHeight="1" x14ac:dyDescent="0.25">
      <c r="A202" t="str">
        <f t="shared" si="21"/>
        <v/>
      </c>
      <c r="B202" s="29"/>
      <c r="F202" s="45"/>
      <c r="G202" s="45"/>
      <c r="H202" s="45"/>
      <c r="I202" s="30">
        <f t="shared" si="22"/>
        <v>0</v>
      </c>
      <c r="J202" s="45">
        <f t="shared" si="23"/>
        <v>0</v>
      </c>
      <c r="K202" s="45">
        <f t="shared" si="24"/>
        <v>0</v>
      </c>
      <c r="L202" s="45"/>
      <c r="M202" s="45"/>
      <c r="N202" s="45">
        <f t="shared" si="25"/>
        <v>0</v>
      </c>
      <c r="O202" s="45">
        <f>IFERROR(VLOOKUP(C202,Inventory!$A$2:$N$35,13,FALSE()),0)</f>
        <v>0</v>
      </c>
      <c r="P202" s="45">
        <f t="shared" si="26"/>
        <v>0</v>
      </c>
      <c r="Q202" s="30">
        <f t="shared" si="27"/>
        <v>0</v>
      </c>
      <c r="R202" t="str">
        <f>IFERROR(IF(AND(ISNUMBER(B202),C202&lt;&gt;""),B202-VLOOKUP(C202,Inventory!$A$2:$AE$35,29,FALSE()),""),"")</f>
        <v/>
      </c>
      <c r="U202" t="str">
        <f>IFERROR(VLOOKUP(C202,Inventory!$A$2:$C$35,2,FALSE()),"")</f>
        <v/>
      </c>
      <c r="V202" t="str">
        <f>IFERROR(VLOOKUP(C202,Inventory!$A$2:$Y$35,22,FALSE()),"")</f>
        <v/>
      </c>
      <c r="W202" t="str">
        <f>IFERROR(VLOOKUP(C202,Inventory!$A$2:$AB$35,25,FALSE()),"")</f>
        <v/>
      </c>
    </row>
    <row r="203" spans="1:23" ht="15" customHeight="1" x14ac:dyDescent="0.25">
      <c r="A203" t="str">
        <f t="shared" si="21"/>
        <v/>
      </c>
      <c r="B203" s="29"/>
      <c r="F203" s="45"/>
      <c r="G203" s="45"/>
      <c r="H203" s="45"/>
      <c r="I203" s="30">
        <f t="shared" si="22"/>
        <v>0</v>
      </c>
      <c r="J203" s="45">
        <f t="shared" si="23"/>
        <v>0</v>
      </c>
      <c r="K203" s="45">
        <f t="shared" si="24"/>
        <v>0</v>
      </c>
      <c r="L203" s="45"/>
      <c r="M203" s="45"/>
      <c r="N203" s="45">
        <f t="shared" si="25"/>
        <v>0</v>
      </c>
      <c r="O203" s="45">
        <f>IFERROR(VLOOKUP(C203,Inventory!$A$2:$N$35,13,FALSE()),0)</f>
        <v>0</v>
      </c>
      <c r="P203" s="45">
        <f t="shared" si="26"/>
        <v>0</v>
      </c>
      <c r="Q203" s="30">
        <f t="shared" si="27"/>
        <v>0</v>
      </c>
      <c r="R203" t="str">
        <f>IFERROR(IF(AND(ISNUMBER(B203),C203&lt;&gt;""),B203-VLOOKUP(C203,Inventory!$A$2:$AE$35,29,FALSE()),""),"")</f>
        <v/>
      </c>
      <c r="U203" t="str">
        <f>IFERROR(VLOOKUP(C203,Inventory!$A$2:$C$35,2,FALSE()),"")</f>
        <v/>
      </c>
      <c r="V203" t="str">
        <f>IFERROR(VLOOKUP(C203,Inventory!$A$2:$Y$35,22,FALSE()),"")</f>
        <v/>
      </c>
      <c r="W203" t="str">
        <f>IFERROR(VLOOKUP(C203,Inventory!$A$2:$AB$35,25,FALSE()),"")</f>
        <v/>
      </c>
    </row>
    <row r="204" spans="1:23" ht="15" customHeight="1" x14ac:dyDescent="0.25">
      <c r="A204" t="str">
        <f t="shared" si="21"/>
        <v/>
      </c>
      <c r="B204" s="29"/>
      <c r="F204" s="45"/>
      <c r="G204" s="45"/>
      <c r="H204" s="45"/>
      <c r="I204" s="30">
        <f t="shared" si="22"/>
        <v>0</v>
      </c>
      <c r="J204" s="45">
        <f t="shared" si="23"/>
        <v>0</v>
      </c>
      <c r="K204" s="45">
        <f t="shared" si="24"/>
        <v>0</v>
      </c>
      <c r="L204" s="45"/>
      <c r="M204" s="45"/>
      <c r="N204" s="45">
        <f t="shared" si="25"/>
        <v>0</v>
      </c>
      <c r="O204" s="45">
        <f>IFERROR(VLOOKUP(C204,Inventory!$A$2:$N$35,13,FALSE()),0)</f>
        <v>0</v>
      </c>
      <c r="P204" s="45">
        <f t="shared" si="26"/>
        <v>0</v>
      </c>
      <c r="Q204" s="30">
        <f t="shared" si="27"/>
        <v>0</v>
      </c>
      <c r="R204" t="str">
        <f>IFERROR(IF(AND(ISNUMBER(B204),C204&lt;&gt;""),B204-VLOOKUP(C204,Inventory!$A$2:$AE$35,29,FALSE()),""),"")</f>
        <v/>
      </c>
      <c r="U204" t="str">
        <f>IFERROR(VLOOKUP(C204,Inventory!$A$2:$C$35,2,FALSE()),"")</f>
        <v/>
      </c>
      <c r="V204" t="str">
        <f>IFERROR(VLOOKUP(C204,Inventory!$A$2:$Y$35,22,FALSE()),"")</f>
        <v/>
      </c>
      <c r="W204" t="str">
        <f>IFERROR(VLOOKUP(C204,Inventory!$A$2:$AB$35,25,FALSE()),"")</f>
        <v/>
      </c>
    </row>
    <row r="205" spans="1:23" ht="15" customHeight="1" x14ac:dyDescent="0.25">
      <c r="A205" t="str">
        <f t="shared" si="21"/>
        <v/>
      </c>
      <c r="B205" s="29"/>
      <c r="F205" s="45"/>
      <c r="G205" s="45"/>
      <c r="H205" s="45"/>
      <c r="I205" s="30">
        <f t="shared" si="22"/>
        <v>0</v>
      </c>
      <c r="J205" s="45">
        <f t="shared" si="23"/>
        <v>0</v>
      </c>
      <c r="K205" s="45">
        <f t="shared" si="24"/>
        <v>0</v>
      </c>
      <c r="L205" s="45"/>
      <c r="M205" s="45"/>
      <c r="N205" s="45">
        <f t="shared" si="25"/>
        <v>0</v>
      </c>
      <c r="O205" s="45">
        <f>IFERROR(VLOOKUP(C205,Inventory!$A$2:$N$35,13,FALSE()),0)</f>
        <v>0</v>
      </c>
      <c r="P205" s="45">
        <f t="shared" si="26"/>
        <v>0</v>
      </c>
      <c r="Q205" s="30">
        <f t="shared" si="27"/>
        <v>0</v>
      </c>
      <c r="R205" t="str">
        <f>IFERROR(IF(AND(ISNUMBER(B205),C205&lt;&gt;""),B205-VLOOKUP(C205,Inventory!$A$2:$AE$35,29,FALSE()),""),"")</f>
        <v/>
      </c>
      <c r="U205" t="str">
        <f>IFERROR(VLOOKUP(C205,Inventory!$A$2:$C$35,2,FALSE()),"")</f>
        <v/>
      </c>
      <c r="V205" t="str">
        <f>IFERROR(VLOOKUP(C205,Inventory!$A$2:$Y$35,22,FALSE()),"")</f>
        <v/>
      </c>
      <c r="W205" t="str">
        <f>IFERROR(VLOOKUP(C205,Inventory!$A$2:$AB$35,25,FALSE()),"")</f>
        <v/>
      </c>
    </row>
    <row r="206" spans="1:23" ht="15" customHeight="1" x14ac:dyDescent="0.25">
      <c r="A206" t="str">
        <f t="shared" si="21"/>
        <v/>
      </c>
      <c r="B206" s="29"/>
      <c r="F206" s="45"/>
      <c r="G206" s="45"/>
      <c r="H206" s="45"/>
      <c r="I206" s="30">
        <f t="shared" si="22"/>
        <v>0</v>
      </c>
      <c r="J206" s="45">
        <f t="shared" si="23"/>
        <v>0</v>
      </c>
      <c r="K206" s="45">
        <f t="shared" si="24"/>
        <v>0</v>
      </c>
      <c r="L206" s="45"/>
      <c r="M206" s="45"/>
      <c r="N206" s="45">
        <f t="shared" si="25"/>
        <v>0</v>
      </c>
      <c r="O206" s="45">
        <f>IFERROR(VLOOKUP(C206,Inventory!$A$2:$N$35,13,FALSE()),0)</f>
        <v>0</v>
      </c>
      <c r="P206" s="45">
        <f t="shared" si="26"/>
        <v>0</v>
      </c>
      <c r="Q206" s="30">
        <f t="shared" si="27"/>
        <v>0</v>
      </c>
      <c r="R206" t="str">
        <f>IFERROR(IF(AND(ISNUMBER(B206),C206&lt;&gt;""),B206-VLOOKUP(C206,Inventory!$A$2:$AE$35,29,FALSE()),""),"")</f>
        <v/>
      </c>
      <c r="U206" t="str">
        <f>IFERROR(VLOOKUP(C206,Inventory!$A$2:$C$35,2,FALSE()),"")</f>
        <v/>
      </c>
      <c r="V206" t="str">
        <f>IFERROR(VLOOKUP(C206,Inventory!$A$2:$Y$35,22,FALSE()),"")</f>
        <v/>
      </c>
      <c r="W206" t="str">
        <f>IFERROR(VLOOKUP(C206,Inventory!$A$2:$AB$35,25,FALSE()),"")</f>
        <v/>
      </c>
    </row>
    <row r="207" spans="1:23" ht="15" customHeight="1" x14ac:dyDescent="0.25">
      <c r="A207" t="str">
        <f t="shared" si="21"/>
        <v/>
      </c>
      <c r="B207" s="29"/>
      <c r="F207" s="45"/>
      <c r="G207" s="45"/>
      <c r="H207" s="45"/>
      <c r="I207" s="30">
        <f t="shared" si="22"/>
        <v>0</v>
      </c>
      <c r="J207" s="45">
        <f t="shared" si="23"/>
        <v>0</v>
      </c>
      <c r="K207" s="45">
        <f t="shared" si="24"/>
        <v>0</v>
      </c>
      <c r="L207" s="45"/>
      <c r="M207" s="45"/>
      <c r="N207" s="45">
        <f t="shared" si="25"/>
        <v>0</v>
      </c>
      <c r="O207" s="45">
        <f>IFERROR(VLOOKUP(C207,Inventory!$A$2:$N$35,13,FALSE()),0)</f>
        <v>0</v>
      </c>
      <c r="P207" s="45">
        <f t="shared" si="26"/>
        <v>0</v>
      </c>
      <c r="Q207" s="30">
        <f t="shared" si="27"/>
        <v>0</v>
      </c>
      <c r="R207" t="str">
        <f>IFERROR(IF(AND(ISNUMBER(B207),C207&lt;&gt;""),B207-VLOOKUP(C207,Inventory!$A$2:$AE$35,29,FALSE()),""),"")</f>
        <v/>
      </c>
      <c r="U207" t="str">
        <f>IFERROR(VLOOKUP(C207,Inventory!$A$2:$C$35,2,FALSE()),"")</f>
        <v/>
      </c>
      <c r="V207" t="str">
        <f>IFERROR(VLOOKUP(C207,Inventory!$A$2:$Y$35,22,FALSE()),"")</f>
        <v/>
      </c>
      <c r="W207" t="str">
        <f>IFERROR(VLOOKUP(C207,Inventory!$A$2:$AB$35,25,FALSE()),"")</f>
        <v/>
      </c>
    </row>
    <row r="208" spans="1:23" ht="15" customHeight="1" x14ac:dyDescent="0.25">
      <c r="A208" t="str">
        <f t="shared" si="21"/>
        <v/>
      </c>
      <c r="B208" s="29"/>
      <c r="F208" s="45"/>
      <c r="G208" s="45"/>
      <c r="H208" s="45"/>
      <c r="I208" s="30">
        <f t="shared" si="22"/>
        <v>0</v>
      </c>
      <c r="J208" s="45">
        <f t="shared" si="23"/>
        <v>0</v>
      </c>
      <c r="K208" s="45">
        <f t="shared" si="24"/>
        <v>0</v>
      </c>
      <c r="L208" s="45"/>
      <c r="M208" s="45"/>
      <c r="N208" s="45">
        <f t="shared" si="25"/>
        <v>0</v>
      </c>
      <c r="O208" s="45">
        <f>IFERROR(VLOOKUP(C208,Inventory!$A$2:$N$35,13,FALSE()),0)</f>
        <v>0</v>
      </c>
      <c r="P208" s="45">
        <f t="shared" si="26"/>
        <v>0</v>
      </c>
      <c r="Q208" s="30">
        <f t="shared" si="27"/>
        <v>0</v>
      </c>
      <c r="R208" t="str">
        <f>IFERROR(IF(AND(ISNUMBER(B208),C208&lt;&gt;""),B208-VLOOKUP(C208,Inventory!$A$2:$AE$35,29,FALSE()),""),"")</f>
        <v/>
      </c>
      <c r="U208" t="str">
        <f>IFERROR(VLOOKUP(C208,Inventory!$A$2:$C$35,2,FALSE()),"")</f>
        <v/>
      </c>
      <c r="V208" t="str">
        <f>IFERROR(VLOOKUP(C208,Inventory!$A$2:$Y$35,22,FALSE()),"")</f>
        <v/>
      </c>
      <c r="W208" t="str">
        <f>IFERROR(VLOOKUP(C208,Inventory!$A$2:$AB$35,25,FALSE()),"")</f>
        <v/>
      </c>
    </row>
    <row r="209" spans="1:23" ht="15" customHeight="1" x14ac:dyDescent="0.25">
      <c r="A209" t="str">
        <f t="shared" si="21"/>
        <v/>
      </c>
      <c r="B209" s="29"/>
      <c r="F209" s="45"/>
      <c r="G209" s="45"/>
      <c r="H209" s="45"/>
      <c r="I209" s="30">
        <f t="shared" si="22"/>
        <v>0</v>
      </c>
      <c r="J209" s="45">
        <f t="shared" si="23"/>
        <v>0</v>
      </c>
      <c r="K209" s="45">
        <f t="shared" si="24"/>
        <v>0</v>
      </c>
      <c r="L209" s="45"/>
      <c r="M209" s="45"/>
      <c r="N209" s="45">
        <f t="shared" si="25"/>
        <v>0</v>
      </c>
      <c r="O209" s="45">
        <f>IFERROR(VLOOKUP(C209,Inventory!$A$2:$N$35,13,FALSE()),0)</f>
        <v>0</v>
      </c>
      <c r="P209" s="45">
        <f t="shared" si="26"/>
        <v>0</v>
      </c>
      <c r="Q209" s="30">
        <f t="shared" si="27"/>
        <v>0</v>
      </c>
      <c r="R209" t="str">
        <f>IFERROR(IF(AND(ISNUMBER(B209),C209&lt;&gt;""),B209-VLOOKUP(C209,Inventory!$A$2:$AE$35,29,FALSE()),""),"")</f>
        <v/>
      </c>
      <c r="U209" t="str">
        <f>IFERROR(VLOOKUP(C209,Inventory!$A$2:$C$35,2,FALSE()),"")</f>
        <v/>
      </c>
      <c r="V209" t="str">
        <f>IFERROR(VLOOKUP(C209,Inventory!$A$2:$Y$35,22,FALSE()),"")</f>
        <v/>
      </c>
      <c r="W209" t="str">
        <f>IFERROR(VLOOKUP(C209,Inventory!$A$2:$AB$35,25,FALSE()),"")</f>
        <v/>
      </c>
    </row>
    <row r="210" spans="1:23" ht="15" customHeight="1" x14ac:dyDescent="0.25">
      <c r="A210" t="str">
        <f t="shared" si="21"/>
        <v/>
      </c>
      <c r="B210" s="29"/>
      <c r="F210" s="45"/>
      <c r="G210" s="45"/>
      <c r="H210" s="45"/>
      <c r="I210" s="30">
        <f t="shared" si="22"/>
        <v>0</v>
      </c>
      <c r="J210" s="45">
        <f t="shared" si="23"/>
        <v>0</v>
      </c>
      <c r="K210" s="45">
        <f t="shared" si="24"/>
        <v>0</v>
      </c>
      <c r="L210" s="45"/>
      <c r="M210" s="45"/>
      <c r="N210" s="45">
        <f t="shared" si="25"/>
        <v>0</v>
      </c>
      <c r="O210" s="45">
        <f>IFERROR(VLOOKUP(C210,Inventory!$A$2:$N$35,13,FALSE()),0)</f>
        <v>0</v>
      </c>
      <c r="P210" s="45">
        <f t="shared" si="26"/>
        <v>0</v>
      </c>
      <c r="Q210" s="30">
        <f t="shared" si="27"/>
        <v>0</v>
      </c>
      <c r="R210" t="str">
        <f>IFERROR(IF(AND(ISNUMBER(B210),C210&lt;&gt;""),B210-VLOOKUP(C210,Inventory!$A$2:$AE$35,29,FALSE()),""),"")</f>
        <v/>
      </c>
      <c r="U210" t="str">
        <f>IFERROR(VLOOKUP(C210,Inventory!$A$2:$C$35,2,FALSE()),"")</f>
        <v/>
      </c>
      <c r="V210" t="str">
        <f>IFERROR(VLOOKUP(C210,Inventory!$A$2:$Y$35,22,FALSE()),"")</f>
        <v/>
      </c>
      <c r="W210" t="str">
        <f>IFERROR(VLOOKUP(C210,Inventory!$A$2:$AB$35,25,FALSE()),"")</f>
        <v/>
      </c>
    </row>
    <row r="211" spans="1:23" ht="15" customHeight="1" x14ac:dyDescent="0.25">
      <c r="A211" t="str">
        <f t="shared" si="21"/>
        <v/>
      </c>
      <c r="B211" s="29"/>
      <c r="F211" s="45"/>
      <c r="G211" s="45"/>
      <c r="H211" s="45"/>
      <c r="I211" s="30">
        <f t="shared" si="22"/>
        <v>0</v>
      </c>
      <c r="J211" s="45">
        <f t="shared" si="23"/>
        <v>0</v>
      </c>
      <c r="K211" s="45">
        <f t="shared" si="24"/>
        <v>0</v>
      </c>
      <c r="L211" s="45"/>
      <c r="M211" s="45"/>
      <c r="N211" s="45">
        <f t="shared" si="25"/>
        <v>0</v>
      </c>
      <c r="O211" s="45">
        <f>IFERROR(VLOOKUP(C211,Inventory!$A$2:$N$35,13,FALSE()),0)</f>
        <v>0</v>
      </c>
      <c r="P211" s="45">
        <f t="shared" si="26"/>
        <v>0</v>
      </c>
      <c r="Q211" s="30">
        <f t="shared" si="27"/>
        <v>0</v>
      </c>
      <c r="R211" t="str">
        <f>IFERROR(IF(AND(ISNUMBER(B211),C211&lt;&gt;""),B211-VLOOKUP(C211,Inventory!$A$2:$AE$35,29,FALSE()),""),"")</f>
        <v/>
      </c>
      <c r="U211" t="str">
        <f>IFERROR(VLOOKUP(C211,Inventory!$A$2:$C$35,2,FALSE()),"")</f>
        <v/>
      </c>
      <c r="V211" t="str">
        <f>IFERROR(VLOOKUP(C211,Inventory!$A$2:$Y$35,22,FALSE()),"")</f>
        <v/>
      </c>
      <c r="W211" t="str">
        <f>IFERROR(VLOOKUP(C211,Inventory!$A$2:$AB$35,25,FALSE()),"")</f>
        <v/>
      </c>
    </row>
    <row r="212" spans="1:23" ht="15" customHeight="1" x14ac:dyDescent="0.25">
      <c r="A212" t="str">
        <f t="shared" si="21"/>
        <v/>
      </c>
      <c r="B212" s="29"/>
      <c r="F212" s="45"/>
      <c r="G212" s="45"/>
      <c r="H212" s="45"/>
      <c r="I212" s="30">
        <f t="shared" si="22"/>
        <v>0</v>
      </c>
      <c r="J212" s="45">
        <f t="shared" si="23"/>
        <v>0</v>
      </c>
      <c r="K212" s="45">
        <f t="shared" si="24"/>
        <v>0</v>
      </c>
      <c r="L212" s="45"/>
      <c r="M212" s="45"/>
      <c r="N212" s="45">
        <f t="shared" si="25"/>
        <v>0</v>
      </c>
      <c r="O212" s="45">
        <f>IFERROR(VLOOKUP(C212,Inventory!$A$2:$N$35,13,FALSE()),0)</f>
        <v>0</v>
      </c>
      <c r="P212" s="45">
        <f t="shared" si="26"/>
        <v>0</v>
      </c>
      <c r="Q212" s="30">
        <f t="shared" si="27"/>
        <v>0</v>
      </c>
      <c r="R212" t="str">
        <f>IFERROR(IF(AND(ISNUMBER(B212),C212&lt;&gt;""),B212-VLOOKUP(C212,Inventory!$A$2:$AE$35,29,FALSE()),""),"")</f>
        <v/>
      </c>
      <c r="U212" t="str">
        <f>IFERROR(VLOOKUP(C212,Inventory!$A$2:$C$35,2,FALSE()),"")</f>
        <v/>
      </c>
      <c r="V212" t="str">
        <f>IFERROR(VLOOKUP(C212,Inventory!$A$2:$Y$35,22,FALSE()),"")</f>
        <v/>
      </c>
      <c r="W212" t="str">
        <f>IFERROR(VLOOKUP(C212,Inventory!$A$2:$AB$35,25,FALSE()),"")</f>
        <v/>
      </c>
    </row>
    <row r="213" spans="1:23" ht="15" customHeight="1" x14ac:dyDescent="0.25">
      <c r="A213" t="str">
        <f t="shared" si="21"/>
        <v/>
      </c>
      <c r="B213" s="29"/>
      <c r="F213" s="45"/>
      <c r="G213" s="45"/>
      <c r="H213" s="45"/>
      <c r="I213" s="30">
        <f t="shared" si="22"/>
        <v>0</v>
      </c>
      <c r="J213" s="45">
        <f t="shared" si="23"/>
        <v>0</v>
      </c>
      <c r="K213" s="45">
        <f t="shared" si="24"/>
        <v>0</v>
      </c>
      <c r="L213" s="45"/>
      <c r="M213" s="45"/>
      <c r="N213" s="45">
        <f t="shared" si="25"/>
        <v>0</v>
      </c>
      <c r="O213" s="45">
        <f>IFERROR(VLOOKUP(C213,Inventory!$A$2:$N$35,13,FALSE()),0)</f>
        <v>0</v>
      </c>
      <c r="P213" s="45">
        <f t="shared" si="26"/>
        <v>0</v>
      </c>
      <c r="Q213" s="30">
        <f t="shared" si="27"/>
        <v>0</v>
      </c>
      <c r="R213" t="str">
        <f>IFERROR(IF(AND(ISNUMBER(B213),C213&lt;&gt;""),B213-VLOOKUP(C213,Inventory!$A$2:$AE$35,29,FALSE()),""),"")</f>
        <v/>
      </c>
      <c r="U213" t="str">
        <f>IFERROR(VLOOKUP(C213,Inventory!$A$2:$C$35,2,FALSE()),"")</f>
        <v/>
      </c>
      <c r="V213" t="str">
        <f>IFERROR(VLOOKUP(C213,Inventory!$A$2:$Y$35,22,FALSE()),"")</f>
        <v/>
      </c>
      <c r="W213" t="str">
        <f>IFERROR(VLOOKUP(C213,Inventory!$A$2:$AB$35,25,FALSE()),"")</f>
        <v/>
      </c>
    </row>
    <row r="214" spans="1:23" ht="15" customHeight="1" x14ac:dyDescent="0.25">
      <c r="A214" t="str">
        <f t="shared" si="21"/>
        <v/>
      </c>
      <c r="B214" s="29"/>
      <c r="F214" s="45"/>
      <c r="G214" s="45"/>
      <c r="H214" s="45"/>
      <c r="I214" s="30">
        <f t="shared" si="22"/>
        <v>0</v>
      </c>
      <c r="J214" s="45">
        <f t="shared" si="23"/>
        <v>0</v>
      </c>
      <c r="K214" s="45">
        <f t="shared" si="24"/>
        <v>0</v>
      </c>
      <c r="L214" s="45"/>
      <c r="M214" s="45"/>
      <c r="N214" s="45">
        <f t="shared" si="25"/>
        <v>0</v>
      </c>
      <c r="O214" s="45">
        <f>IFERROR(VLOOKUP(C214,Inventory!$A$2:$N$35,13,FALSE()),0)</f>
        <v>0</v>
      </c>
      <c r="P214" s="45">
        <f t="shared" si="26"/>
        <v>0</v>
      </c>
      <c r="Q214" s="30">
        <f t="shared" si="27"/>
        <v>0</v>
      </c>
      <c r="R214" t="str">
        <f>IFERROR(IF(AND(ISNUMBER(B214),C214&lt;&gt;""),B214-VLOOKUP(C214,Inventory!$A$2:$AE$35,29,FALSE()),""),"")</f>
        <v/>
      </c>
      <c r="U214" t="str">
        <f>IFERROR(VLOOKUP(C214,Inventory!$A$2:$C$35,2,FALSE()),"")</f>
        <v/>
      </c>
      <c r="V214" t="str">
        <f>IFERROR(VLOOKUP(C214,Inventory!$A$2:$Y$35,22,FALSE()),"")</f>
        <v/>
      </c>
      <c r="W214" t="str">
        <f>IFERROR(VLOOKUP(C214,Inventory!$A$2:$AB$35,25,FALSE()),"")</f>
        <v/>
      </c>
    </row>
    <row r="215" spans="1:23" ht="15" customHeight="1" x14ac:dyDescent="0.25">
      <c r="A215" t="str">
        <f t="shared" si="21"/>
        <v/>
      </c>
      <c r="B215" s="29"/>
      <c r="F215" s="45"/>
      <c r="G215" s="45"/>
      <c r="H215" s="45"/>
      <c r="I215" s="30">
        <f t="shared" si="22"/>
        <v>0</v>
      </c>
      <c r="J215" s="45">
        <f t="shared" si="23"/>
        <v>0</v>
      </c>
      <c r="K215" s="45">
        <f t="shared" si="24"/>
        <v>0</v>
      </c>
      <c r="L215" s="45"/>
      <c r="M215" s="45"/>
      <c r="N215" s="45">
        <f t="shared" si="25"/>
        <v>0</v>
      </c>
      <c r="O215" s="45">
        <f>IFERROR(VLOOKUP(C215,Inventory!$A$2:$N$35,13,FALSE()),0)</f>
        <v>0</v>
      </c>
      <c r="P215" s="45">
        <f t="shared" si="26"/>
        <v>0</v>
      </c>
      <c r="Q215" s="30">
        <f t="shared" si="27"/>
        <v>0</v>
      </c>
      <c r="R215" t="str">
        <f>IFERROR(IF(AND(ISNUMBER(B215),C215&lt;&gt;""),B215-VLOOKUP(C215,Inventory!$A$2:$AE$35,29,FALSE()),""),"")</f>
        <v/>
      </c>
      <c r="U215" t="str">
        <f>IFERROR(VLOOKUP(C215,Inventory!$A$2:$C$35,2,FALSE()),"")</f>
        <v/>
      </c>
      <c r="V215" t="str">
        <f>IFERROR(VLOOKUP(C215,Inventory!$A$2:$Y$35,22,FALSE()),"")</f>
        <v/>
      </c>
      <c r="W215" t="str">
        <f>IFERROR(VLOOKUP(C215,Inventory!$A$2:$AB$35,25,FALSE()),"")</f>
        <v/>
      </c>
    </row>
    <row r="216" spans="1:23" ht="15" customHeight="1" x14ac:dyDescent="0.25">
      <c r="A216" t="str">
        <f t="shared" si="21"/>
        <v/>
      </c>
      <c r="B216" s="29"/>
      <c r="F216" s="45"/>
      <c r="G216" s="45"/>
      <c r="H216" s="45"/>
      <c r="I216" s="30">
        <f t="shared" si="22"/>
        <v>0</v>
      </c>
      <c r="J216" s="45">
        <f t="shared" si="23"/>
        <v>0</v>
      </c>
      <c r="K216" s="45">
        <f t="shared" si="24"/>
        <v>0</v>
      </c>
      <c r="L216" s="45"/>
      <c r="M216" s="45"/>
      <c r="N216" s="45">
        <f t="shared" si="25"/>
        <v>0</v>
      </c>
      <c r="O216" s="45">
        <f>IFERROR(VLOOKUP(C216,Inventory!$A$2:$N$35,13,FALSE()),0)</f>
        <v>0</v>
      </c>
      <c r="P216" s="45">
        <f t="shared" si="26"/>
        <v>0</v>
      </c>
      <c r="Q216" s="30">
        <f t="shared" si="27"/>
        <v>0</v>
      </c>
      <c r="R216" t="str">
        <f>IFERROR(IF(AND(ISNUMBER(B216),C216&lt;&gt;""),B216-VLOOKUP(C216,Inventory!$A$2:$AE$35,29,FALSE()),""),"")</f>
        <v/>
      </c>
      <c r="U216" t="str">
        <f>IFERROR(VLOOKUP(C216,Inventory!$A$2:$C$35,2,FALSE()),"")</f>
        <v/>
      </c>
      <c r="V216" t="str">
        <f>IFERROR(VLOOKUP(C216,Inventory!$A$2:$Y$35,22,FALSE()),"")</f>
        <v/>
      </c>
      <c r="W216" t="str">
        <f>IFERROR(VLOOKUP(C216,Inventory!$A$2:$AB$35,25,FALSE()),"")</f>
        <v/>
      </c>
    </row>
    <row r="217" spans="1:23" ht="15" customHeight="1" x14ac:dyDescent="0.25">
      <c r="A217" t="str">
        <f t="shared" si="21"/>
        <v/>
      </c>
      <c r="B217" s="29"/>
      <c r="F217" s="45"/>
      <c r="G217" s="45"/>
      <c r="H217" s="45"/>
      <c r="I217" s="30">
        <f t="shared" si="22"/>
        <v>0</v>
      </c>
      <c r="J217" s="45">
        <f t="shared" si="23"/>
        <v>0</v>
      </c>
      <c r="K217" s="45">
        <f t="shared" si="24"/>
        <v>0</v>
      </c>
      <c r="L217" s="45"/>
      <c r="M217" s="45"/>
      <c r="N217" s="45">
        <f t="shared" si="25"/>
        <v>0</v>
      </c>
      <c r="O217" s="45">
        <f>IFERROR(VLOOKUP(C217,Inventory!$A$2:$N$35,13,FALSE()),0)</f>
        <v>0</v>
      </c>
      <c r="P217" s="45">
        <f t="shared" si="26"/>
        <v>0</v>
      </c>
      <c r="Q217" s="30">
        <f t="shared" si="27"/>
        <v>0</v>
      </c>
      <c r="R217" t="str">
        <f>IFERROR(IF(AND(ISNUMBER(B217),C217&lt;&gt;""),B217-VLOOKUP(C217,Inventory!$A$2:$AE$35,29,FALSE()),""),"")</f>
        <v/>
      </c>
      <c r="U217" t="str">
        <f>IFERROR(VLOOKUP(C217,Inventory!$A$2:$C$35,2,FALSE()),"")</f>
        <v/>
      </c>
      <c r="V217" t="str">
        <f>IFERROR(VLOOKUP(C217,Inventory!$A$2:$Y$35,22,FALSE()),"")</f>
        <v/>
      </c>
      <c r="W217" t="str">
        <f>IFERROR(VLOOKUP(C217,Inventory!$A$2:$AB$35,25,FALSE()),"")</f>
        <v/>
      </c>
    </row>
    <row r="218" spans="1:23" ht="15" customHeight="1" x14ac:dyDescent="0.25">
      <c r="A218" t="str">
        <f t="shared" si="21"/>
        <v/>
      </c>
      <c r="B218" s="29"/>
      <c r="F218" s="45"/>
      <c r="G218" s="45"/>
      <c r="H218" s="45"/>
      <c r="I218" s="30">
        <f t="shared" si="22"/>
        <v>0</v>
      </c>
      <c r="J218" s="45">
        <f t="shared" si="23"/>
        <v>0</v>
      </c>
      <c r="K218" s="45">
        <f t="shared" si="24"/>
        <v>0</v>
      </c>
      <c r="L218" s="45"/>
      <c r="M218" s="45"/>
      <c r="N218" s="45">
        <f t="shared" si="25"/>
        <v>0</v>
      </c>
      <c r="O218" s="45">
        <f>IFERROR(VLOOKUP(C218,Inventory!$A$2:$N$35,13,FALSE()),0)</f>
        <v>0</v>
      </c>
      <c r="P218" s="45">
        <f t="shared" si="26"/>
        <v>0</v>
      </c>
      <c r="Q218" s="30">
        <f t="shared" si="27"/>
        <v>0</v>
      </c>
      <c r="R218" t="str">
        <f>IFERROR(IF(AND(ISNUMBER(B218),C218&lt;&gt;""),B218-VLOOKUP(C218,Inventory!$A$2:$AE$35,29,FALSE()),""),"")</f>
        <v/>
      </c>
      <c r="U218" t="str">
        <f>IFERROR(VLOOKUP(C218,Inventory!$A$2:$C$35,2,FALSE()),"")</f>
        <v/>
      </c>
      <c r="V218" t="str">
        <f>IFERROR(VLOOKUP(C218,Inventory!$A$2:$Y$35,22,FALSE()),"")</f>
        <v/>
      </c>
      <c r="W218" t="str">
        <f>IFERROR(VLOOKUP(C218,Inventory!$A$2:$AB$35,25,FALSE()),"")</f>
        <v/>
      </c>
    </row>
    <row r="219" spans="1:23" ht="15" customHeight="1" x14ac:dyDescent="0.25">
      <c r="A219" t="str">
        <f t="shared" si="21"/>
        <v/>
      </c>
      <c r="B219" s="29"/>
      <c r="F219" s="45"/>
      <c r="G219" s="45"/>
      <c r="H219" s="45"/>
      <c r="I219" s="30">
        <f t="shared" si="22"/>
        <v>0</v>
      </c>
      <c r="J219" s="45">
        <f t="shared" si="23"/>
        <v>0</v>
      </c>
      <c r="K219" s="45">
        <f t="shared" si="24"/>
        <v>0</v>
      </c>
      <c r="L219" s="45"/>
      <c r="M219" s="45"/>
      <c r="N219" s="45">
        <f t="shared" si="25"/>
        <v>0</v>
      </c>
      <c r="O219" s="45">
        <f>IFERROR(VLOOKUP(C219,Inventory!$A$2:$N$35,13,FALSE()),0)</f>
        <v>0</v>
      </c>
      <c r="P219" s="45">
        <f t="shared" si="26"/>
        <v>0</v>
      </c>
      <c r="Q219" s="30">
        <f t="shared" si="27"/>
        <v>0</v>
      </c>
      <c r="R219" t="str">
        <f>IFERROR(IF(AND(ISNUMBER(B219),C219&lt;&gt;""),B219-VLOOKUP(C219,Inventory!$A$2:$AE$35,29,FALSE()),""),"")</f>
        <v/>
      </c>
      <c r="U219" t="str">
        <f>IFERROR(VLOOKUP(C219,Inventory!$A$2:$C$35,2,FALSE()),"")</f>
        <v/>
      </c>
      <c r="V219" t="str">
        <f>IFERROR(VLOOKUP(C219,Inventory!$A$2:$Y$35,22,FALSE()),"")</f>
        <v/>
      </c>
      <c r="W219" t="str">
        <f>IFERROR(VLOOKUP(C219,Inventory!$A$2:$AB$35,25,FALSE()),"")</f>
        <v/>
      </c>
    </row>
    <row r="220" spans="1:23" ht="15" customHeight="1" x14ac:dyDescent="0.25">
      <c r="A220" t="str">
        <f t="shared" si="21"/>
        <v/>
      </c>
      <c r="B220" s="29"/>
      <c r="F220" s="45"/>
      <c r="G220" s="45"/>
      <c r="H220" s="45"/>
      <c r="I220" s="30">
        <f t="shared" si="22"/>
        <v>0</v>
      </c>
      <c r="J220" s="45">
        <f t="shared" si="23"/>
        <v>0</v>
      </c>
      <c r="K220" s="45">
        <f t="shared" si="24"/>
        <v>0</v>
      </c>
      <c r="L220" s="45"/>
      <c r="M220" s="45"/>
      <c r="N220" s="45">
        <f t="shared" si="25"/>
        <v>0</v>
      </c>
      <c r="O220" s="45">
        <f>IFERROR(VLOOKUP(C220,Inventory!$A$2:$N$35,13,FALSE()),0)</f>
        <v>0</v>
      </c>
      <c r="P220" s="45">
        <f t="shared" si="26"/>
        <v>0</v>
      </c>
      <c r="Q220" s="30">
        <f t="shared" si="27"/>
        <v>0</v>
      </c>
      <c r="R220" t="str">
        <f>IFERROR(IF(AND(ISNUMBER(B220),C220&lt;&gt;""),B220-VLOOKUP(C220,Inventory!$A$2:$AE$35,29,FALSE()),""),"")</f>
        <v/>
      </c>
      <c r="U220" t="str">
        <f>IFERROR(VLOOKUP(C220,Inventory!$A$2:$C$35,2,FALSE()),"")</f>
        <v/>
      </c>
      <c r="V220" t="str">
        <f>IFERROR(VLOOKUP(C220,Inventory!$A$2:$Y$35,22,FALSE()),"")</f>
        <v/>
      </c>
      <c r="W220" t="str">
        <f>IFERROR(VLOOKUP(C220,Inventory!$A$2:$AB$35,25,FALSE()),"")</f>
        <v/>
      </c>
    </row>
    <row r="221" spans="1:23" ht="15" customHeight="1" x14ac:dyDescent="0.25">
      <c r="A221" t="str">
        <f t="shared" si="21"/>
        <v/>
      </c>
      <c r="B221" s="29"/>
      <c r="F221" s="45"/>
      <c r="G221" s="45"/>
      <c r="H221" s="45"/>
      <c r="I221" s="30">
        <f t="shared" si="22"/>
        <v>0</v>
      </c>
      <c r="J221" s="45">
        <f t="shared" si="23"/>
        <v>0</v>
      </c>
      <c r="K221" s="45">
        <f t="shared" si="24"/>
        <v>0</v>
      </c>
      <c r="L221" s="45"/>
      <c r="M221" s="45"/>
      <c r="N221" s="45">
        <f t="shared" si="25"/>
        <v>0</v>
      </c>
      <c r="O221" s="45">
        <f>IFERROR(VLOOKUP(C221,Inventory!$A$2:$N$35,13,FALSE()),0)</f>
        <v>0</v>
      </c>
      <c r="P221" s="45">
        <f t="shared" si="26"/>
        <v>0</v>
      </c>
      <c r="Q221" s="30">
        <f t="shared" si="27"/>
        <v>0</v>
      </c>
      <c r="R221" t="str">
        <f>IFERROR(IF(AND(ISNUMBER(B221),C221&lt;&gt;""),B221-VLOOKUP(C221,Inventory!$A$2:$AE$35,29,FALSE()),""),"")</f>
        <v/>
      </c>
      <c r="U221" t="str">
        <f>IFERROR(VLOOKUP(C221,Inventory!$A$2:$C$35,2,FALSE()),"")</f>
        <v/>
      </c>
      <c r="V221" t="str">
        <f>IFERROR(VLOOKUP(C221,Inventory!$A$2:$Y$35,22,FALSE()),"")</f>
        <v/>
      </c>
      <c r="W221" t="str">
        <f>IFERROR(VLOOKUP(C221,Inventory!$A$2:$AB$35,25,FALSE()),"")</f>
        <v/>
      </c>
    </row>
    <row r="222" spans="1:23" ht="15" customHeight="1" x14ac:dyDescent="0.25">
      <c r="A222" t="str">
        <f t="shared" si="21"/>
        <v/>
      </c>
      <c r="B222" s="29"/>
      <c r="F222" s="45"/>
      <c r="G222" s="45"/>
      <c r="H222" s="45"/>
      <c r="I222" s="30">
        <f t="shared" si="22"/>
        <v>0</v>
      </c>
      <c r="J222" s="45">
        <f t="shared" si="23"/>
        <v>0</v>
      </c>
      <c r="K222" s="45">
        <f t="shared" si="24"/>
        <v>0</v>
      </c>
      <c r="L222" s="45"/>
      <c r="M222" s="45"/>
      <c r="N222" s="45">
        <f t="shared" si="25"/>
        <v>0</v>
      </c>
      <c r="O222" s="45">
        <f>IFERROR(VLOOKUP(C222,Inventory!$A$2:$N$35,13,FALSE()),0)</f>
        <v>0</v>
      </c>
      <c r="P222" s="45">
        <f t="shared" si="26"/>
        <v>0</v>
      </c>
      <c r="Q222" s="30">
        <f t="shared" si="27"/>
        <v>0</v>
      </c>
      <c r="R222" t="str">
        <f>IFERROR(IF(AND(ISNUMBER(B222),C222&lt;&gt;""),B222-VLOOKUP(C222,Inventory!$A$2:$AE$35,29,FALSE()),""),"")</f>
        <v/>
      </c>
      <c r="U222" t="str">
        <f>IFERROR(VLOOKUP(C222,Inventory!$A$2:$C$35,2,FALSE()),"")</f>
        <v/>
      </c>
      <c r="V222" t="str">
        <f>IFERROR(VLOOKUP(C222,Inventory!$A$2:$Y$35,22,FALSE()),"")</f>
        <v/>
      </c>
      <c r="W222" t="str">
        <f>IFERROR(VLOOKUP(C222,Inventory!$A$2:$AB$35,25,FALSE()),"")</f>
        <v/>
      </c>
    </row>
    <row r="223" spans="1:23" ht="15" customHeight="1" x14ac:dyDescent="0.25">
      <c r="A223" t="str">
        <f t="shared" si="21"/>
        <v/>
      </c>
      <c r="B223" s="29"/>
      <c r="F223" s="45"/>
      <c r="G223" s="45"/>
      <c r="H223" s="45"/>
      <c r="I223" s="30">
        <f t="shared" si="22"/>
        <v>0</v>
      </c>
      <c r="J223" s="45">
        <f t="shared" si="23"/>
        <v>0</v>
      </c>
      <c r="K223" s="45">
        <f t="shared" si="24"/>
        <v>0</v>
      </c>
      <c r="L223" s="45"/>
      <c r="M223" s="45"/>
      <c r="N223" s="45">
        <f t="shared" si="25"/>
        <v>0</v>
      </c>
      <c r="O223" s="45">
        <f>IFERROR(VLOOKUP(C223,Inventory!$A$2:$N$35,13,FALSE()),0)</f>
        <v>0</v>
      </c>
      <c r="P223" s="45">
        <f t="shared" si="26"/>
        <v>0</v>
      </c>
      <c r="Q223" s="30">
        <f t="shared" si="27"/>
        <v>0</v>
      </c>
      <c r="R223" t="str">
        <f>IFERROR(IF(AND(ISNUMBER(B223),C223&lt;&gt;""),B223-VLOOKUP(C223,Inventory!$A$2:$AE$35,29,FALSE()),""),"")</f>
        <v/>
      </c>
      <c r="U223" t="str">
        <f>IFERROR(VLOOKUP(C223,Inventory!$A$2:$C$35,2,FALSE()),"")</f>
        <v/>
      </c>
      <c r="V223" t="str">
        <f>IFERROR(VLOOKUP(C223,Inventory!$A$2:$Y$35,22,FALSE()),"")</f>
        <v/>
      </c>
      <c r="W223" t="str">
        <f>IFERROR(VLOOKUP(C223,Inventory!$A$2:$AB$35,25,FALSE()),"")</f>
        <v/>
      </c>
    </row>
    <row r="224" spans="1:23" ht="15" customHeight="1" x14ac:dyDescent="0.25">
      <c r="A224" t="str">
        <f t="shared" si="21"/>
        <v/>
      </c>
      <c r="B224" s="29"/>
      <c r="F224" s="45"/>
      <c r="G224" s="45"/>
      <c r="H224" s="45"/>
      <c r="I224" s="30">
        <f t="shared" si="22"/>
        <v>0</v>
      </c>
      <c r="J224" s="45">
        <f t="shared" si="23"/>
        <v>0</v>
      </c>
      <c r="K224" s="45">
        <f t="shared" si="24"/>
        <v>0</v>
      </c>
      <c r="L224" s="45"/>
      <c r="M224" s="45"/>
      <c r="N224" s="45">
        <f t="shared" si="25"/>
        <v>0</v>
      </c>
      <c r="O224" s="45">
        <f>IFERROR(VLOOKUP(C224,Inventory!$A$2:$N$35,13,FALSE()),0)</f>
        <v>0</v>
      </c>
      <c r="P224" s="45">
        <f t="shared" si="26"/>
        <v>0</v>
      </c>
      <c r="Q224" s="30">
        <f t="shared" si="27"/>
        <v>0</v>
      </c>
      <c r="R224" t="str">
        <f>IFERROR(IF(AND(ISNUMBER(B224),C224&lt;&gt;""),B224-VLOOKUP(C224,Inventory!$A$2:$AE$35,29,FALSE()),""),"")</f>
        <v/>
      </c>
      <c r="U224" t="str">
        <f>IFERROR(VLOOKUP(C224,Inventory!$A$2:$C$35,2,FALSE()),"")</f>
        <v/>
      </c>
      <c r="V224" t="str">
        <f>IFERROR(VLOOKUP(C224,Inventory!$A$2:$Y$35,22,FALSE()),"")</f>
        <v/>
      </c>
      <c r="W224" t="str">
        <f>IFERROR(VLOOKUP(C224,Inventory!$A$2:$AB$35,25,FALSE()),"")</f>
        <v/>
      </c>
    </row>
    <row r="225" spans="1:23" ht="15" customHeight="1" x14ac:dyDescent="0.25">
      <c r="A225" t="str">
        <f t="shared" si="21"/>
        <v/>
      </c>
      <c r="B225" s="29"/>
      <c r="F225" s="45"/>
      <c r="G225" s="45"/>
      <c r="H225" s="45"/>
      <c r="I225" s="30">
        <f t="shared" si="22"/>
        <v>0</v>
      </c>
      <c r="J225" s="45">
        <f t="shared" si="23"/>
        <v>0</v>
      </c>
      <c r="K225" s="45">
        <f t="shared" si="24"/>
        <v>0</v>
      </c>
      <c r="L225" s="45"/>
      <c r="M225" s="45"/>
      <c r="N225" s="45">
        <f t="shared" si="25"/>
        <v>0</v>
      </c>
      <c r="O225" s="45">
        <f>IFERROR(VLOOKUP(C225,Inventory!$A$2:$N$35,13,FALSE()),0)</f>
        <v>0</v>
      </c>
      <c r="P225" s="45">
        <f t="shared" si="26"/>
        <v>0</v>
      </c>
      <c r="Q225" s="30">
        <f t="shared" si="27"/>
        <v>0</v>
      </c>
      <c r="R225" t="str">
        <f>IFERROR(IF(AND(ISNUMBER(B225),C225&lt;&gt;""),B225-VLOOKUP(C225,Inventory!$A$2:$AE$35,29,FALSE()),""),"")</f>
        <v/>
      </c>
      <c r="U225" t="str">
        <f>IFERROR(VLOOKUP(C225,Inventory!$A$2:$C$35,2,FALSE()),"")</f>
        <v/>
      </c>
      <c r="V225" t="str">
        <f>IFERROR(VLOOKUP(C225,Inventory!$A$2:$Y$35,22,FALSE()),"")</f>
        <v/>
      </c>
      <c r="W225" t="str">
        <f>IFERROR(VLOOKUP(C225,Inventory!$A$2:$AB$35,25,FALSE()),"")</f>
        <v/>
      </c>
    </row>
    <row r="226" spans="1:23" ht="15" customHeight="1" x14ac:dyDescent="0.25">
      <c r="A226" t="str">
        <f t="shared" si="21"/>
        <v/>
      </c>
      <c r="B226" s="29"/>
      <c r="F226" s="45"/>
      <c r="G226" s="45"/>
      <c r="H226" s="45"/>
      <c r="I226" s="30">
        <f t="shared" si="22"/>
        <v>0</v>
      </c>
      <c r="J226" s="45">
        <f t="shared" si="23"/>
        <v>0</v>
      </c>
      <c r="K226" s="45">
        <f t="shared" si="24"/>
        <v>0</v>
      </c>
      <c r="L226" s="45"/>
      <c r="M226" s="45"/>
      <c r="N226" s="45">
        <f t="shared" si="25"/>
        <v>0</v>
      </c>
      <c r="O226" s="45">
        <f>IFERROR(VLOOKUP(C226,Inventory!$A$2:$N$35,13,FALSE()),0)</f>
        <v>0</v>
      </c>
      <c r="P226" s="45">
        <f t="shared" si="26"/>
        <v>0</v>
      </c>
      <c r="Q226" s="30">
        <f t="shared" si="27"/>
        <v>0</v>
      </c>
      <c r="R226" t="str">
        <f>IFERROR(IF(AND(ISNUMBER(B226),C226&lt;&gt;""),B226-VLOOKUP(C226,Inventory!$A$2:$AE$35,29,FALSE()),""),"")</f>
        <v/>
      </c>
      <c r="U226" t="str">
        <f>IFERROR(VLOOKUP(C226,Inventory!$A$2:$C$35,2,FALSE()),"")</f>
        <v/>
      </c>
      <c r="V226" t="str">
        <f>IFERROR(VLOOKUP(C226,Inventory!$A$2:$Y$35,22,FALSE()),"")</f>
        <v/>
      </c>
      <c r="W226" t="str">
        <f>IFERROR(VLOOKUP(C226,Inventory!$A$2:$AB$35,25,FALSE()),"")</f>
        <v/>
      </c>
    </row>
    <row r="227" spans="1:23" ht="15" customHeight="1" x14ac:dyDescent="0.25">
      <c r="A227" t="str">
        <f t="shared" si="21"/>
        <v/>
      </c>
      <c r="B227" s="29"/>
      <c r="F227" s="45"/>
      <c r="G227" s="45"/>
      <c r="H227" s="45"/>
      <c r="I227" s="30">
        <f t="shared" si="22"/>
        <v>0</v>
      </c>
      <c r="J227" s="45">
        <f t="shared" si="23"/>
        <v>0</v>
      </c>
      <c r="K227" s="45">
        <f t="shared" si="24"/>
        <v>0</v>
      </c>
      <c r="L227" s="45"/>
      <c r="M227" s="45"/>
      <c r="N227" s="45">
        <f t="shared" si="25"/>
        <v>0</v>
      </c>
      <c r="O227" s="45">
        <f>IFERROR(VLOOKUP(C227,Inventory!$A$2:$N$35,13,FALSE()),0)</f>
        <v>0</v>
      </c>
      <c r="P227" s="45">
        <f t="shared" si="26"/>
        <v>0</v>
      </c>
      <c r="Q227" s="30">
        <f t="shared" si="27"/>
        <v>0</v>
      </c>
      <c r="R227" t="str">
        <f>IFERROR(IF(AND(ISNUMBER(B227),C227&lt;&gt;""),B227-VLOOKUP(C227,Inventory!$A$2:$AE$35,29,FALSE()),""),"")</f>
        <v/>
      </c>
      <c r="U227" t="str">
        <f>IFERROR(VLOOKUP(C227,Inventory!$A$2:$C$35,2,FALSE()),"")</f>
        <v/>
      </c>
      <c r="V227" t="str">
        <f>IFERROR(VLOOKUP(C227,Inventory!$A$2:$Y$35,22,FALSE()),"")</f>
        <v/>
      </c>
      <c r="W227" t="str">
        <f>IFERROR(VLOOKUP(C227,Inventory!$A$2:$AB$35,25,FALSE()),"")</f>
        <v/>
      </c>
    </row>
    <row r="228" spans="1:23" ht="15" customHeight="1" x14ac:dyDescent="0.25">
      <c r="A228" t="str">
        <f t="shared" si="21"/>
        <v/>
      </c>
      <c r="B228" s="29"/>
      <c r="F228" s="45"/>
      <c r="G228" s="45"/>
      <c r="H228" s="45"/>
      <c r="I228" s="30">
        <f t="shared" si="22"/>
        <v>0</v>
      </c>
      <c r="J228" s="45">
        <f t="shared" si="23"/>
        <v>0</v>
      </c>
      <c r="K228" s="45">
        <f t="shared" si="24"/>
        <v>0</v>
      </c>
      <c r="L228" s="45"/>
      <c r="M228" s="45"/>
      <c r="N228" s="45">
        <f t="shared" si="25"/>
        <v>0</v>
      </c>
      <c r="O228" s="45">
        <f>IFERROR(VLOOKUP(C228,Inventory!$A$2:$N$35,13,FALSE()),0)</f>
        <v>0</v>
      </c>
      <c r="P228" s="45">
        <f t="shared" si="26"/>
        <v>0</v>
      </c>
      <c r="Q228" s="30">
        <f t="shared" si="27"/>
        <v>0</v>
      </c>
      <c r="R228" t="str">
        <f>IFERROR(IF(AND(ISNUMBER(B228),C228&lt;&gt;""),B228-VLOOKUP(C228,Inventory!$A$2:$AE$35,29,FALSE()),""),"")</f>
        <v/>
      </c>
      <c r="U228" t="str">
        <f>IFERROR(VLOOKUP(C228,Inventory!$A$2:$C$35,2,FALSE()),"")</f>
        <v/>
      </c>
      <c r="V228" t="str">
        <f>IFERROR(VLOOKUP(C228,Inventory!$A$2:$Y$35,22,FALSE()),"")</f>
        <v/>
      </c>
      <c r="W228" t="str">
        <f>IFERROR(VLOOKUP(C228,Inventory!$A$2:$AB$35,25,FALSE()),"")</f>
        <v/>
      </c>
    </row>
    <row r="229" spans="1:23" ht="15" customHeight="1" x14ac:dyDescent="0.25">
      <c r="A229" t="str">
        <f t="shared" si="21"/>
        <v/>
      </c>
      <c r="B229" s="29"/>
      <c r="F229" s="45"/>
      <c r="G229" s="45"/>
      <c r="H229" s="45"/>
      <c r="I229" s="30">
        <f t="shared" si="22"/>
        <v>0</v>
      </c>
      <c r="J229" s="45">
        <f t="shared" si="23"/>
        <v>0</v>
      </c>
      <c r="K229" s="45">
        <f t="shared" si="24"/>
        <v>0</v>
      </c>
      <c r="L229" s="45"/>
      <c r="M229" s="45"/>
      <c r="N229" s="45">
        <f t="shared" si="25"/>
        <v>0</v>
      </c>
      <c r="O229" s="45">
        <f>IFERROR(VLOOKUP(C229,Inventory!$A$2:$N$35,13,FALSE()),0)</f>
        <v>0</v>
      </c>
      <c r="P229" s="45">
        <f t="shared" si="26"/>
        <v>0</v>
      </c>
      <c r="Q229" s="30">
        <f t="shared" si="27"/>
        <v>0</v>
      </c>
      <c r="R229" t="str">
        <f>IFERROR(IF(AND(ISNUMBER(B229),C229&lt;&gt;""),B229-VLOOKUP(C229,Inventory!$A$2:$AE$35,29,FALSE()),""),"")</f>
        <v/>
      </c>
      <c r="U229" t="str">
        <f>IFERROR(VLOOKUP(C229,Inventory!$A$2:$C$35,2,FALSE()),"")</f>
        <v/>
      </c>
      <c r="V229" t="str">
        <f>IFERROR(VLOOKUP(C229,Inventory!$A$2:$Y$35,22,FALSE()),"")</f>
        <v/>
      </c>
      <c r="W229" t="str">
        <f>IFERROR(VLOOKUP(C229,Inventory!$A$2:$AB$35,25,FALSE()),"")</f>
        <v/>
      </c>
    </row>
    <row r="230" spans="1:23" ht="15" customHeight="1" x14ac:dyDescent="0.25">
      <c r="A230" t="str">
        <f t="shared" si="21"/>
        <v/>
      </c>
      <c r="B230" s="29"/>
      <c r="F230" s="45"/>
      <c r="G230" s="45"/>
      <c r="H230" s="45"/>
      <c r="I230" s="30">
        <f t="shared" si="22"/>
        <v>0</v>
      </c>
      <c r="J230" s="45">
        <f t="shared" si="23"/>
        <v>0</v>
      </c>
      <c r="K230" s="45">
        <f t="shared" si="24"/>
        <v>0</v>
      </c>
      <c r="L230" s="45"/>
      <c r="M230" s="45"/>
      <c r="N230" s="45">
        <f t="shared" si="25"/>
        <v>0</v>
      </c>
      <c r="O230" s="45">
        <f>IFERROR(VLOOKUP(C230,Inventory!$A$2:$N$35,13,FALSE()),0)</f>
        <v>0</v>
      </c>
      <c r="P230" s="45">
        <f t="shared" si="26"/>
        <v>0</v>
      </c>
      <c r="Q230" s="30">
        <f t="shared" si="27"/>
        <v>0</v>
      </c>
      <c r="R230" t="str">
        <f>IFERROR(IF(AND(ISNUMBER(B230),C230&lt;&gt;""),B230-VLOOKUP(C230,Inventory!$A$2:$AE$35,29,FALSE()),""),"")</f>
        <v/>
      </c>
      <c r="U230" t="str">
        <f>IFERROR(VLOOKUP(C230,Inventory!$A$2:$C$35,2,FALSE()),"")</f>
        <v/>
      </c>
      <c r="V230" t="str">
        <f>IFERROR(VLOOKUP(C230,Inventory!$A$2:$Y$35,22,FALSE()),"")</f>
        <v/>
      </c>
      <c r="W230" t="str">
        <f>IFERROR(VLOOKUP(C230,Inventory!$A$2:$AB$35,25,FALSE()),"")</f>
        <v/>
      </c>
    </row>
    <row r="231" spans="1:23" ht="15" customHeight="1" x14ac:dyDescent="0.25">
      <c r="A231" t="str">
        <f t="shared" si="21"/>
        <v/>
      </c>
      <c r="B231" s="29"/>
      <c r="F231" s="45"/>
      <c r="G231" s="45"/>
      <c r="H231" s="45"/>
      <c r="I231" s="30">
        <f t="shared" si="22"/>
        <v>0</v>
      </c>
      <c r="J231" s="45">
        <f t="shared" si="23"/>
        <v>0</v>
      </c>
      <c r="K231" s="45">
        <f t="shared" si="24"/>
        <v>0</v>
      </c>
      <c r="L231" s="45"/>
      <c r="M231" s="45"/>
      <c r="N231" s="45">
        <f t="shared" si="25"/>
        <v>0</v>
      </c>
      <c r="O231" s="45">
        <f>IFERROR(VLOOKUP(C231,Inventory!$A$2:$N$35,13,FALSE()),0)</f>
        <v>0</v>
      </c>
      <c r="P231" s="45">
        <f t="shared" si="26"/>
        <v>0</v>
      </c>
      <c r="Q231" s="30">
        <f t="shared" si="27"/>
        <v>0</v>
      </c>
      <c r="R231" t="str">
        <f>IFERROR(IF(AND(ISNUMBER(B231),C231&lt;&gt;""),B231-VLOOKUP(C231,Inventory!$A$2:$AE$35,29,FALSE()),""),"")</f>
        <v/>
      </c>
      <c r="U231" t="str">
        <f>IFERROR(VLOOKUP(C231,Inventory!$A$2:$C$35,2,FALSE()),"")</f>
        <v/>
      </c>
      <c r="V231" t="str">
        <f>IFERROR(VLOOKUP(C231,Inventory!$A$2:$Y$35,22,FALSE()),"")</f>
        <v/>
      </c>
      <c r="W231" t="str">
        <f>IFERROR(VLOOKUP(C231,Inventory!$A$2:$AB$35,25,FALSE()),"")</f>
        <v/>
      </c>
    </row>
    <row r="232" spans="1:23" ht="15" customHeight="1" x14ac:dyDescent="0.25">
      <c r="A232" t="str">
        <f t="shared" si="21"/>
        <v/>
      </c>
      <c r="B232" s="29"/>
      <c r="F232" s="45"/>
      <c r="G232" s="45"/>
      <c r="H232" s="45"/>
      <c r="I232" s="30">
        <f t="shared" si="22"/>
        <v>0</v>
      </c>
      <c r="J232" s="45">
        <f t="shared" si="23"/>
        <v>0</v>
      </c>
      <c r="K232" s="45">
        <f t="shared" si="24"/>
        <v>0</v>
      </c>
      <c r="L232" s="45"/>
      <c r="M232" s="45"/>
      <c r="N232" s="45">
        <f t="shared" si="25"/>
        <v>0</v>
      </c>
      <c r="O232" s="45">
        <f>IFERROR(VLOOKUP(C232,Inventory!$A$2:$N$35,13,FALSE()),0)</f>
        <v>0</v>
      </c>
      <c r="P232" s="45">
        <f t="shared" si="26"/>
        <v>0</v>
      </c>
      <c r="Q232" s="30">
        <f t="shared" si="27"/>
        <v>0</v>
      </c>
      <c r="R232" t="str">
        <f>IFERROR(IF(AND(ISNUMBER(B232),C232&lt;&gt;""),B232-VLOOKUP(C232,Inventory!$A$2:$AE$35,29,FALSE()),""),"")</f>
        <v/>
      </c>
      <c r="U232" t="str">
        <f>IFERROR(VLOOKUP(C232,Inventory!$A$2:$C$35,2,FALSE()),"")</f>
        <v/>
      </c>
      <c r="V232" t="str">
        <f>IFERROR(VLOOKUP(C232,Inventory!$A$2:$Y$35,22,FALSE()),"")</f>
        <v/>
      </c>
      <c r="W232" t="str">
        <f>IFERROR(VLOOKUP(C232,Inventory!$A$2:$AB$35,25,FALSE()),"")</f>
        <v/>
      </c>
    </row>
    <row r="233" spans="1:23" ht="15" customHeight="1" x14ac:dyDescent="0.25">
      <c r="A233" t="str">
        <f t="shared" si="21"/>
        <v/>
      </c>
      <c r="B233" s="29"/>
      <c r="F233" s="45"/>
      <c r="G233" s="45"/>
      <c r="H233" s="45"/>
      <c r="I233" s="30">
        <f t="shared" si="22"/>
        <v>0</v>
      </c>
      <c r="J233" s="45">
        <f t="shared" si="23"/>
        <v>0</v>
      </c>
      <c r="K233" s="45">
        <f t="shared" si="24"/>
        <v>0</v>
      </c>
      <c r="L233" s="45"/>
      <c r="M233" s="45"/>
      <c r="N233" s="45">
        <f t="shared" si="25"/>
        <v>0</v>
      </c>
      <c r="O233" s="45">
        <f>IFERROR(VLOOKUP(C233,Inventory!$A$2:$N$35,13,FALSE()),0)</f>
        <v>0</v>
      </c>
      <c r="P233" s="45">
        <f t="shared" si="26"/>
        <v>0</v>
      </c>
      <c r="Q233" s="30">
        <f t="shared" si="27"/>
        <v>0</v>
      </c>
      <c r="R233" t="str">
        <f>IFERROR(IF(AND(ISNUMBER(B233),C233&lt;&gt;""),B233-VLOOKUP(C233,Inventory!$A$2:$AE$35,29,FALSE()),""),"")</f>
        <v/>
      </c>
      <c r="U233" t="str">
        <f>IFERROR(VLOOKUP(C233,Inventory!$A$2:$C$35,2,FALSE()),"")</f>
        <v/>
      </c>
      <c r="V233" t="str">
        <f>IFERROR(VLOOKUP(C233,Inventory!$A$2:$Y$35,22,FALSE()),"")</f>
        <v/>
      </c>
      <c r="W233" t="str">
        <f>IFERROR(VLOOKUP(C233,Inventory!$A$2:$AB$35,25,FALSE()),"")</f>
        <v/>
      </c>
    </row>
    <row r="234" spans="1:23" ht="15" customHeight="1" x14ac:dyDescent="0.25">
      <c r="A234" t="str">
        <f t="shared" si="21"/>
        <v/>
      </c>
      <c r="B234" s="29"/>
      <c r="F234" s="45"/>
      <c r="G234" s="45"/>
      <c r="H234" s="45"/>
      <c r="I234" s="30">
        <f t="shared" si="22"/>
        <v>0</v>
      </c>
      <c r="J234" s="45">
        <f t="shared" si="23"/>
        <v>0</v>
      </c>
      <c r="K234" s="45">
        <f t="shared" si="24"/>
        <v>0</v>
      </c>
      <c r="L234" s="45"/>
      <c r="M234" s="45"/>
      <c r="N234" s="45">
        <f t="shared" si="25"/>
        <v>0</v>
      </c>
      <c r="O234" s="45">
        <f>IFERROR(VLOOKUP(C234,Inventory!$A$2:$N$35,13,FALSE()),0)</f>
        <v>0</v>
      </c>
      <c r="P234" s="45">
        <f t="shared" si="26"/>
        <v>0</v>
      </c>
      <c r="Q234" s="30">
        <f t="shared" si="27"/>
        <v>0</v>
      </c>
      <c r="R234" t="str">
        <f>IFERROR(IF(AND(ISNUMBER(B234),C234&lt;&gt;""),B234-VLOOKUP(C234,Inventory!$A$2:$AE$35,29,FALSE()),""),"")</f>
        <v/>
      </c>
      <c r="U234" t="str">
        <f>IFERROR(VLOOKUP(C234,Inventory!$A$2:$C$35,2,FALSE()),"")</f>
        <v/>
      </c>
      <c r="V234" t="str">
        <f>IFERROR(VLOOKUP(C234,Inventory!$A$2:$Y$35,22,FALSE()),"")</f>
        <v/>
      </c>
      <c r="W234" t="str">
        <f>IFERROR(VLOOKUP(C234,Inventory!$A$2:$AB$35,25,FALSE()),"")</f>
        <v/>
      </c>
    </row>
    <row r="235" spans="1:23" ht="15" customHeight="1" x14ac:dyDescent="0.25">
      <c r="A235" t="str">
        <f t="shared" si="21"/>
        <v/>
      </c>
      <c r="B235" s="29"/>
      <c r="F235" s="45"/>
      <c r="G235" s="45"/>
      <c r="H235" s="45"/>
      <c r="I235" s="30">
        <f t="shared" si="22"/>
        <v>0</v>
      </c>
      <c r="J235" s="45">
        <f t="shared" si="23"/>
        <v>0</v>
      </c>
      <c r="K235" s="45">
        <f t="shared" si="24"/>
        <v>0</v>
      </c>
      <c r="L235" s="45"/>
      <c r="M235" s="45"/>
      <c r="N235" s="45">
        <f t="shared" si="25"/>
        <v>0</v>
      </c>
      <c r="O235" s="45">
        <f>IFERROR(VLOOKUP(C235,Inventory!$A$2:$N$35,13,FALSE()),0)</f>
        <v>0</v>
      </c>
      <c r="P235" s="45">
        <f t="shared" si="26"/>
        <v>0</v>
      </c>
      <c r="Q235" s="30">
        <f t="shared" si="27"/>
        <v>0</v>
      </c>
      <c r="R235" t="str">
        <f>IFERROR(IF(AND(ISNUMBER(B235),C235&lt;&gt;""),B235-VLOOKUP(C235,Inventory!$A$2:$AE$35,29,FALSE()),""),"")</f>
        <v/>
      </c>
      <c r="U235" t="str">
        <f>IFERROR(VLOOKUP(C235,Inventory!$A$2:$C$35,2,FALSE()),"")</f>
        <v/>
      </c>
      <c r="V235" t="str">
        <f>IFERROR(VLOOKUP(C235,Inventory!$A$2:$Y$35,22,FALSE()),"")</f>
        <v/>
      </c>
      <c r="W235" t="str">
        <f>IFERROR(VLOOKUP(C235,Inventory!$A$2:$AB$35,25,FALSE()),"")</f>
        <v/>
      </c>
    </row>
    <row r="236" spans="1:23" ht="15" customHeight="1" x14ac:dyDescent="0.25">
      <c r="A236" t="str">
        <f t="shared" si="21"/>
        <v/>
      </c>
      <c r="B236" s="29"/>
      <c r="F236" s="45"/>
      <c r="G236" s="45"/>
      <c r="H236" s="45"/>
      <c r="I236" s="30">
        <f t="shared" si="22"/>
        <v>0</v>
      </c>
      <c r="J236" s="45">
        <f t="shared" si="23"/>
        <v>0</v>
      </c>
      <c r="K236" s="45">
        <f t="shared" si="24"/>
        <v>0</v>
      </c>
      <c r="L236" s="45"/>
      <c r="M236" s="45"/>
      <c r="N236" s="45">
        <f t="shared" si="25"/>
        <v>0</v>
      </c>
      <c r="O236" s="45">
        <f>IFERROR(VLOOKUP(C236,Inventory!$A$2:$N$35,13,FALSE()),0)</f>
        <v>0</v>
      </c>
      <c r="P236" s="45">
        <f t="shared" si="26"/>
        <v>0</v>
      </c>
      <c r="Q236" s="30">
        <f t="shared" si="27"/>
        <v>0</v>
      </c>
      <c r="R236" t="str">
        <f>IFERROR(IF(AND(ISNUMBER(B236),C236&lt;&gt;""),B236-VLOOKUP(C236,Inventory!$A$2:$AE$35,29,FALSE()),""),"")</f>
        <v/>
      </c>
      <c r="U236" t="str">
        <f>IFERROR(VLOOKUP(C236,Inventory!$A$2:$C$35,2,FALSE()),"")</f>
        <v/>
      </c>
      <c r="V236" t="str">
        <f>IFERROR(VLOOKUP(C236,Inventory!$A$2:$Y$35,22,FALSE()),"")</f>
        <v/>
      </c>
      <c r="W236" t="str">
        <f>IFERROR(VLOOKUP(C236,Inventory!$A$2:$AB$35,25,FALSE()),"")</f>
        <v/>
      </c>
    </row>
    <row r="237" spans="1:23" ht="15" customHeight="1" x14ac:dyDescent="0.25">
      <c r="A237" t="str">
        <f t="shared" si="21"/>
        <v/>
      </c>
      <c r="B237" s="29"/>
      <c r="F237" s="45"/>
      <c r="G237" s="45"/>
      <c r="H237" s="45"/>
      <c r="I237" s="30">
        <f t="shared" si="22"/>
        <v>0</v>
      </c>
      <c r="J237" s="45">
        <f t="shared" si="23"/>
        <v>0</v>
      </c>
      <c r="K237" s="45">
        <f t="shared" si="24"/>
        <v>0</v>
      </c>
      <c r="L237" s="45"/>
      <c r="M237" s="45"/>
      <c r="N237" s="45">
        <f t="shared" si="25"/>
        <v>0</v>
      </c>
      <c r="O237" s="45">
        <f>IFERROR(VLOOKUP(C237,Inventory!$A$2:$N$35,13,FALSE()),0)</f>
        <v>0</v>
      </c>
      <c r="P237" s="45">
        <f t="shared" si="26"/>
        <v>0</v>
      </c>
      <c r="Q237" s="30">
        <f t="shared" si="27"/>
        <v>0</v>
      </c>
      <c r="R237" t="str">
        <f>IFERROR(IF(AND(ISNUMBER(B237),C237&lt;&gt;""),B237-VLOOKUP(C237,Inventory!$A$2:$AE$35,29,FALSE()),""),"")</f>
        <v/>
      </c>
      <c r="U237" t="str">
        <f>IFERROR(VLOOKUP(C237,Inventory!$A$2:$C$35,2,FALSE()),"")</f>
        <v/>
      </c>
      <c r="V237" t="str">
        <f>IFERROR(VLOOKUP(C237,Inventory!$A$2:$Y$35,22,FALSE()),"")</f>
        <v/>
      </c>
      <c r="W237" t="str">
        <f>IFERROR(VLOOKUP(C237,Inventory!$A$2:$AB$35,25,FALSE()),"")</f>
        <v/>
      </c>
    </row>
    <row r="238" spans="1:23" ht="15" customHeight="1" x14ac:dyDescent="0.25">
      <c r="A238" t="str">
        <f t="shared" si="21"/>
        <v/>
      </c>
      <c r="B238" s="29"/>
      <c r="F238" s="45"/>
      <c r="G238" s="45"/>
      <c r="H238" s="45"/>
      <c r="I238" s="30">
        <f t="shared" si="22"/>
        <v>0</v>
      </c>
      <c r="J238" s="45">
        <f t="shared" si="23"/>
        <v>0</v>
      </c>
      <c r="K238" s="45">
        <f t="shared" si="24"/>
        <v>0</v>
      </c>
      <c r="L238" s="45"/>
      <c r="M238" s="45"/>
      <c r="N238" s="45">
        <f t="shared" si="25"/>
        <v>0</v>
      </c>
      <c r="O238" s="45">
        <f>IFERROR(VLOOKUP(C238,Inventory!$A$2:$N$35,13,FALSE()),0)</f>
        <v>0</v>
      </c>
      <c r="P238" s="45">
        <f t="shared" si="26"/>
        <v>0</v>
      </c>
      <c r="Q238" s="30">
        <f t="shared" si="27"/>
        <v>0</v>
      </c>
      <c r="R238" t="str">
        <f>IFERROR(IF(AND(ISNUMBER(B238),C238&lt;&gt;""),B238-VLOOKUP(C238,Inventory!$A$2:$AE$35,29,FALSE()),""),"")</f>
        <v/>
      </c>
      <c r="U238" t="str">
        <f>IFERROR(VLOOKUP(C238,Inventory!$A$2:$C$35,2,FALSE()),"")</f>
        <v/>
      </c>
      <c r="V238" t="str">
        <f>IFERROR(VLOOKUP(C238,Inventory!$A$2:$Y$35,22,FALSE()),"")</f>
        <v/>
      </c>
      <c r="W238" t="str">
        <f>IFERROR(VLOOKUP(C238,Inventory!$A$2:$AB$35,25,FALSE()),"")</f>
        <v/>
      </c>
    </row>
    <row r="239" spans="1:23" ht="15" customHeight="1" x14ac:dyDescent="0.25">
      <c r="A239" t="str">
        <f t="shared" si="21"/>
        <v/>
      </c>
      <c r="B239" s="29"/>
      <c r="F239" s="45"/>
      <c r="G239" s="45"/>
      <c r="H239" s="45"/>
      <c r="I239" s="30">
        <f t="shared" si="22"/>
        <v>0</v>
      </c>
      <c r="J239" s="45">
        <f t="shared" si="23"/>
        <v>0</v>
      </c>
      <c r="K239" s="45">
        <f t="shared" si="24"/>
        <v>0</v>
      </c>
      <c r="L239" s="45"/>
      <c r="M239" s="45"/>
      <c r="N239" s="45">
        <f t="shared" si="25"/>
        <v>0</v>
      </c>
      <c r="O239" s="45">
        <f>IFERROR(VLOOKUP(C239,Inventory!$A$2:$N$35,13,FALSE()),0)</f>
        <v>0</v>
      </c>
      <c r="P239" s="45">
        <f t="shared" si="26"/>
        <v>0</v>
      </c>
      <c r="Q239" s="30">
        <f t="shared" si="27"/>
        <v>0</v>
      </c>
      <c r="R239" t="str">
        <f>IFERROR(IF(AND(ISNUMBER(B239),C239&lt;&gt;""),B239-VLOOKUP(C239,Inventory!$A$2:$AE$35,29,FALSE()),""),"")</f>
        <v/>
      </c>
      <c r="U239" t="str">
        <f>IFERROR(VLOOKUP(C239,Inventory!$A$2:$C$35,2,FALSE()),"")</f>
        <v/>
      </c>
      <c r="V239" t="str">
        <f>IFERROR(VLOOKUP(C239,Inventory!$A$2:$Y$35,22,FALSE()),"")</f>
        <v/>
      </c>
      <c r="W239" t="str">
        <f>IFERROR(VLOOKUP(C239,Inventory!$A$2:$AB$35,25,FALSE()),"")</f>
        <v/>
      </c>
    </row>
    <row r="240" spans="1:23" ht="15" customHeight="1" x14ac:dyDescent="0.25">
      <c r="A240" t="str">
        <f t="shared" si="21"/>
        <v/>
      </c>
      <c r="B240" s="29"/>
      <c r="F240" s="45"/>
      <c r="G240" s="45"/>
      <c r="H240" s="45"/>
      <c r="I240" s="30">
        <f t="shared" si="22"/>
        <v>0</v>
      </c>
      <c r="J240" s="45">
        <f t="shared" si="23"/>
        <v>0</v>
      </c>
      <c r="K240" s="45">
        <f t="shared" si="24"/>
        <v>0</v>
      </c>
      <c r="L240" s="45"/>
      <c r="M240" s="45"/>
      <c r="N240" s="45">
        <f t="shared" si="25"/>
        <v>0</v>
      </c>
      <c r="O240" s="45">
        <f>IFERROR(VLOOKUP(C240,Inventory!$A$2:$N$35,13,FALSE()),0)</f>
        <v>0</v>
      </c>
      <c r="P240" s="45">
        <f t="shared" si="26"/>
        <v>0</v>
      </c>
      <c r="Q240" s="30">
        <f t="shared" si="27"/>
        <v>0</v>
      </c>
      <c r="R240" t="str">
        <f>IFERROR(IF(AND(ISNUMBER(B240),C240&lt;&gt;""),B240-VLOOKUP(C240,Inventory!$A$2:$AE$35,29,FALSE()),""),"")</f>
        <v/>
      </c>
      <c r="U240" t="str">
        <f>IFERROR(VLOOKUP(C240,Inventory!$A$2:$C$35,2,FALSE()),"")</f>
        <v/>
      </c>
      <c r="V240" t="str">
        <f>IFERROR(VLOOKUP(C240,Inventory!$A$2:$Y$35,22,FALSE()),"")</f>
        <v/>
      </c>
      <c r="W240" t="str">
        <f>IFERROR(VLOOKUP(C240,Inventory!$A$2:$AB$35,25,FALSE()),"")</f>
        <v/>
      </c>
    </row>
    <row r="241" spans="1:23" ht="15" customHeight="1" x14ac:dyDescent="0.25">
      <c r="A241" t="str">
        <f t="shared" si="21"/>
        <v/>
      </c>
      <c r="B241" s="29"/>
      <c r="F241" s="45"/>
      <c r="G241" s="45"/>
      <c r="H241" s="45"/>
      <c r="I241" s="30">
        <f t="shared" si="22"/>
        <v>0</v>
      </c>
      <c r="J241" s="45">
        <f t="shared" si="23"/>
        <v>0</v>
      </c>
      <c r="K241" s="45">
        <f t="shared" si="24"/>
        <v>0</v>
      </c>
      <c r="L241" s="45"/>
      <c r="M241" s="45"/>
      <c r="N241" s="45">
        <f t="shared" si="25"/>
        <v>0</v>
      </c>
      <c r="O241" s="45">
        <f>IFERROR(VLOOKUP(C241,Inventory!$A$2:$N$35,13,FALSE()),0)</f>
        <v>0</v>
      </c>
      <c r="P241" s="45">
        <f t="shared" si="26"/>
        <v>0</v>
      </c>
      <c r="Q241" s="30">
        <f t="shared" si="27"/>
        <v>0</v>
      </c>
      <c r="R241" t="str">
        <f>IFERROR(IF(AND(ISNUMBER(B241),C241&lt;&gt;""),B241-VLOOKUP(C241,Inventory!$A$2:$AE$35,29,FALSE()),""),"")</f>
        <v/>
      </c>
      <c r="U241" t="str">
        <f>IFERROR(VLOOKUP(C241,Inventory!$A$2:$C$35,2,FALSE()),"")</f>
        <v/>
      </c>
      <c r="V241" t="str">
        <f>IFERROR(VLOOKUP(C241,Inventory!$A$2:$Y$35,22,FALSE()),"")</f>
        <v/>
      </c>
      <c r="W241" t="str">
        <f>IFERROR(VLOOKUP(C241,Inventory!$A$2:$AB$35,25,FALSE()),"")</f>
        <v/>
      </c>
    </row>
    <row r="242" spans="1:23" ht="15" customHeight="1" x14ac:dyDescent="0.25">
      <c r="A242" t="str">
        <f t="shared" si="21"/>
        <v/>
      </c>
      <c r="B242" s="29"/>
      <c r="F242" s="45"/>
      <c r="G242" s="45"/>
      <c r="H242" s="45"/>
      <c r="I242" s="30">
        <f t="shared" si="22"/>
        <v>0</v>
      </c>
      <c r="J242" s="45">
        <f t="shared" si="23"/>
        <v>0</v>
      </c>
      <c r="K242" s="45">
        <f t="shared" si="24"/>
        <v>0</v>
      </c>
      <c r="L242" s="45"/>
      <c r="M242" s="45"/>
      <c r="N242" s="45">
        <f t="shared" si="25"/>
        <v>0</v>
      </c>
      <c r="O242" s="45">
        <f>IFERROR(VLOOKUP(C242,Inventory!$A$2:$N$35,13,FALSE()),0)</f>
        <v>0</v>
      </c>
      <c r="P242" s="45">
        <f t="shared" si="26"/>
        <v>0</v>
      </c>
      <c r="Q242" s="30">
        <f t="shared" si="27"/>
        <v>0</v>
      </c>
      <c r="R242" t="str">
        <f>IFERROR(IF(AND(ISNUMBER(B242),C242&lt;&gt;""),B242-VLOOKUP(C242,Inventory!$A$2:$AE$35,29,FALSE()),""),"")</f>
        <v/>
      </c>
      <c r="U242" t="str">
        <f>IFERROR(VLOOKUP(C242,Inventory!$A$2:$C$35,2,FALSE()),"")</f>
        <v/>
      </c>
      <c r="V242" t="str">
        <f>IFERROR(VLOOKUP(C242,Inventory!$A$2:$Y$35,22,FALSE()),"")</f>
        <v/>
      </c>
      <c r="W242" t="str">
        <f>IFERROR(VLOOKUP(C242,Inventory!$A$2:$AB$35,25,FALSE()),"")</f>
        <v/>
      </c>
    </row>
    <row r="243" spans="1:23" ht="15" customHeight="1" x14ac:dyDescent="0.25">
      <c r="A243" t="str">
        <f t="shared" si="21"/>
        <v/>
      </c>
      <c r="B243" s="29"/>
      <c r="F243" s="45"/>
      <c r="G243" s="45"/>
      <c r="H243" s="45"/>
      <c r="I243" s="30">
        <f t="shared" si="22"/>
        <v>0</v>
      </c>
      <c r="J243" s="45">
        <f t="shared" si="23"/>
        <v>0</v>
      </c>
      <c r="K243" s="45">
        <f t="shared" si="24"/>
        <v>0</v>
      </c>
      <c r="L243" s="45"/>
      <c r="M243" s="45"/>
      <c r="N243" s="45">
        <f t="shared" si="25"/>
        <v>0</v>
      </c>
      <c r="O243" s="45">
        <f>IFERROR(VLOOKUP(C243,Inventory!$A$2:$N$35,13,FALSE()),0)</f>
        <v>0</v>
      </c>
      <c r="P243" s="45">
        <f t="shared" si="26"/>
        <v>0</v>
      </c>
      <c r="Q243" s="30">
        <f t="shared" si="27"/>
        <v>0</v>
      </c>
      <c r="R243" t="str">
        <f>IFERROR(IF(AND(ISNUMBER(B243),C243&lt;&gt;""),B243-VLOOKUP(C243,Inventory!$A$2:$AE$35,29,FALSE()),""),"")</f>
        <v/>
      </c>
      <c r="U243" t="str">
        <f>IFERROR(VLOOKUP(C243,Inventory!$A$2:$C$35,2,FALSE()),"")</f>
        <v/>
      </c>
      <c r="V243" t="str">
        <f>IFERROR(VLOOKUP(C243,Inventory!$A$2:$Y$35,22,FALSE()),"")</f>
        <v/>
      </c>
      <c r="W243" t="str">
        <f>IFERROR(VLOOKUP(C243,Inventory!$A$2:$AB$35,25,FALSE()),"")</f>
        <v/>
      </c>
    </row>
    <row r="244" spans="1:23" ht="15" customHeight="1" x14ac:dyDescent="0.25">
      <c r="A244" t="str">
        <f t="shared" si="21"/>
        <v/>
      </c>
      <c r="B244" s="29"/>
      <c r="F244" s="45"/>
      <c r="G244" s="45"/>
      <c r="H244" s="45"/>
      <c r="I244" s="30">
        <f t="shared" si="22"/>
        <v>0</v>
      </c>
      <c r="J244" s="45">
        <f t="shared" si="23"/>
        <v>0</v>
      </c>
      <c r="K244" s="45">
        <f t="shared" si="24"/>
        <v>0</v>
      </c>
      <c r="L244" s="45"/>
      <c r="M244" s="45"/>
      <c r="N244" s="45">
        <f t="shared" si="25"/>
        <v>0</v>
      </c>
      <c r="O244" s="45">
        <f>IFERROR(VLOOKUP(C244,Inventory!$A$2:$N$35,13,FALSE()),0)</f>
        <v>0</v>
      </c>
      <c r="P244" s="45">
        <f t="shared" si="26"/>
        <v>0</v>
      </c>
      <c r="Q244" s="30">
        <f t="shared" si="27"/>
        <v>0</v>
      </c>
      <c r="R244" t="str">
        <f>IFERROR(IF(AND(ISNUMBER(B244),C244&lt;&gt;""),B244-VLOOKUP(C244,Inventory!$A$2:$AE$35,29,FALSE()),""),"")</f>
        <v/>
      </c>
      <c r="U244" t="str">
        <f>IFERROR(VLOOKUP(C244,Inventory!$A$2:$C$35,2,FALSE()),"")</f>
        <v/>
      </c>
      <c r="V244" t="str">
        <f>IFERROR(VLOOKUP(C244,Inventory!$A$2:$Y$35,22,FALSE()),"")</f>
        <v/>
      </c>
      <c r="W244" t="str">
        <f>IFERROR(VLOOKUP(C244,Inventory!$A$2:$AB$35,25,FALSE()),"")</f>
        <v/>
      </c>
    </row>
    <row r="245" spans="1:23" ht="15" customHeight="1" x14ac:dyDescent="0.25">
      <c r="A245" t="str">
        <f t="shared" si="21"/>
        <v/>
      </c>
      <c r="B245" s="29"/>
      <c r="F245" s="45"/>
      <c r="G245" s="45"/>
      <c r="H245" s="45"/>
      <c r="I245" s="30">
        <f t="shared" si="22"/>
        <v>0</v>
      </c>
      <c r="J245" s="45">
        <f t="shared" si="23"/>
        <v>0</v>
      </c>
      <c r="K245" s="45">
        <f t="shared" si="24"/>
        <v>0</v>
      </c>
      <c r="L245" s="45"/>
      <c r="M245" s="45"/>
      <c r="N245" s="45">
        <f t="shared" si="25"/>
        <v>0</v>
      </c>
      <c r="O245" s="45">
        <f>IFERROR(VLOOKUP(C245,Inventory!$A$2:$N$35,13,FALSE()),0)</f>
        <v>0</v>
      </c>
      <c r="P245" s="45">
        <f t="shared" si="26"/>
        <v>0</v>
      </c>
      <c r="Q245" s="30">
        <f t="shared" si="27"/>
        <v>0</v>
      </c>
      <c r="R245" t="str">
        <f>IFERROR(IF(AND(ISNUMBER(B245),C245&lt;&gt;""),B245-VLOOKUP(C245,Inventory!$A$2:$AE$35,29,FALSE()),""),"")</f>
        <v/>
      </c>
      <c r="U245" t="str">
        <f>IFERROR(VLOOKUP(C245,Inventory!$A$2:$C$35,2,FALSE()),"")</f>
        <v/>
      </c>
      <c r="V245" t="str">
        <f>IFERROR(VLOOKUP(C245,Inventory!$A$2:$Y$35,22,FALSE()),"")</f>
        <v/>
      </c>
      <c r="W245" t="str">
        <f>IFERROR(VLOOKUP(C245,Inventory!$A$2:$AB$35,25,FALSE()),"")</f>
        <v/>
      </c>
    </row>
    <row r="246" spans="1:23" ht="15" customHeight="1" x14ac:dyDescent="0.25">
      <c r="A246" t="str">
        <f t="shared" si="21"/>
        <v/>
      </c>
      <c r="B246" s="29"/>
      <c r="F246" s="45"/>
      <c r="G246" s="45"/>
      <c r="H246" s="45"/>
      <c r="I246" s="30">
        <f t="shared" si="22"/>
        <v>0</v>
      </c>
      <c r="J246" s="45">
        <f t="shared" si="23"/>
        <v>0</v>
      </c>
      <c r="K246" s="45">
        <f t="shared" si="24"/>
        <v>0</v>
      </c>
      <c r="L246" s="45"/>
      <c r="M246" s="45"/>
      <c r="N246" s="45">
        <f t="shared" si="25"/>
        <v>0</v>
      </c>
      <c r="O246" s="45">
        <f>IFERROR(VLOOKUP(C246,Inventory!$A$2:$N$35,13,FALSE()),0)</f>
        <v>0</v>
      </c>
      <c r="P246" s="45">
        <f t="shared" si="26"/>
        <v>0</v>
      </c>
      <c r="Q246" s="30">
        <f t="shared" si="27"/>
        <v>0</v>
      </c>
      <c r="R246" t="str">
        <f>IFERROR(IF(AND(ISNUMBER(B246),C246&lt;&gt;""),B246-VLOOKUP(C246,Inventory!$A$2:$AE$35,29,FALSE()),""),"")</f>
        <v/>
      </c>
      <c r="U246" t="str">
        <f>IFERROR(VLOOKUP(C246,Inventory!$A$2:$C$35,2,FALSE()),"")</f>
        <v/>
      </c>
      <c r="V246" t="str">
        <f>IFERROR(VLOOKUP(C246,Inventory!$A$2:$Y$35,22,FALSE()),"")</f>
        <v/>
      </c>
      <c r="W246" t="str">
        <f>IFERROR(VLOOKUP(C246,Inventory!$A$2:$AB$35,25,FALSE()),"")</f>
        <v/>
      </c>
    </row>
    <row r="247" spans="1:23" ht="15" customHeight="1" x14ac:dyDescent="0.25">
      <c r="A247" t="str">
        <f t="shared" si="21"/>
        <v/>
      </c>
      <c r="B247" s="29"/>
      <c r="F247" s="45"/>
      <c r="G247" s="45"/>
      <c r="H247" s="45"/>
      <c r="I247" s="30">
        <f t="shared" si="22"/>
        <v>0</v>
      </c>
      <c r="J247" s="45">
        <f t="shared" si="23"/>
        <v>0</v>
      </c>
      <c r="K247" s="45">
        <f t="shared" si="24"/>
        <v>0</v>
      </c>
      <c r="L247" s="45"/>
      <c r="M247" s="45"/>
      <c r="N247" s="45">
        <f t="shared" si="25"/>
        <v>0</v>
      </c>
      <c r="O247" s="45">
        <f>IFERROR(VLOOKUP(C247,Inventory!$A$2:$N$35,13,FALSE()),0)</f>
        <v>0</v>
      </c>
      <c r="P247" s="45">
        <f t="shared" si="26"/>
        <v>0</v>
      </c>
      <c r="Q247" s="30">
        <f t="shared" si="27"/>
        <v>0</v>
      </c>
      <c r="R247" t="str">
        <f>IFERROR(IF(AND(ISNUMBER(B247),C247&lt;&gt;""),B247-VLOOKUP(C247,Inventory!$A$2:$AE$35,29,FALSE()),""),"")</f>
        <v/>
      </c>
      <c r="U247" t="str">
        <f>IFERROR(VLOOKUP(C247,Inventory!$A$2:$C$35,2,FALSE()),"")</f>
        <v/>
      </c>
      <c r="V247" t="str">
        <f>IFERROR(VLOOKUP(C247,Inventory!$A$2:$Y$35,22,FALSE()),"")</f>
        <v/>
      </c>
      <c r="W247" t="str">
        <f>IFERROR(VLOOKUP(C247,Inventory!$A$2:$AB$35,25,FALSE()),"")</f>
        <v/>
      </c>
    </row>
    <row r="248" spans="1:23" ht="15" customHeight="1" x14ac:dyDescent="0.25">
      <c r="A248" t="str">
        <f t="shared" si="21"/>
        <v/>
      </c>
      <c r="B248" s="29"/>
      <c r="F248" s="45"/>
      <c r="G248" s="45"/>
      <c r="H248" s="45"/>
      <c r="I248" s="30">
        <f t="shared" si="22"/>
        <v>0</v>
      </c>
      <c r="J248" s="45">
        <f t="shared" si="23"/>
        <v>0</v>
      </c>
      <c r="K248" s="45">
        <f t="shared" si="24"/>
        <v>0</v>
      </c>
      <c r="L248" s="45"/>
      <c r="M248" s="45"/>
      <c r="N248" s="45">
        <f t="shared" si="25"/>
        <v>0</v>
      </c>
      <c r="O248" s="45">
        <f>IFERROR(VLOOKUP(C248,Inventory!$A$2:$N$35,13,FALSE()),0)</f>
        <v>0</v>
      </c>
      <c r="P248" s="45">
        <f t="shared" si="26"/>
        <v>0</v>
      </c>
      <c r="Q248" s="30">
        <f t="shared" si="27"/>
        <v>0</v>
      </c>
      <c r="R248" t="str">
        <f>IFERROR(IF(AND(ISNUMBER(B248),C248&lt;&gt;""),B248-VLOOKUP(C248,Inventory!$A$2:$AE$35,29,FALSE()),""),"")</f>
        <v/>
      </c>
      <c r="U248" t="str">
        <f>IFERROR(VLOOKUP(C248,Inventory!$A$2:$C$35,2,FALSE()),"")</f>
        <v/>
      </c>
      <c r="V248" t="str">
        <f>IFERROR(VLOOKUP(C248,Inventory!$A$2:$Y$35,22,FALSE()),"")</f>
        <v/>
      </c>
      <c r="W248" t="str">
        <f>IFERROR(VLOOKUP(C248,Inventory!$A$2:$AB$35,25,FALSE()),"")</f>
        <v/>
      </c>
    </row>
    <row r="249" spans="1:23" ht="15" customHeight="1" x14ac:dyDescent="0.25">
      <c r="A249" t="str">
        <f t="shared" si="21"/>
        <v/>
      </c>
      <c r="B249" s="29"/>
      <c r="F249" s="45"/>
      <c r="G249" s="45"/>
      <c r="H249" s="45"/>
      <c r="I249" s="30">
        <f t="shared" si="22"/>
        <v>0</v>
      </c>
      <c r="J249" s="45">
        <f t="shared" si="23"/>
        <v>0</v>
      </c>
      <c r="K249" s="45">
        <f t="shared" si="24"/>
        <v>0</v>
      </c>
      <c r="L249" s="45"/>
      <c r="M249" s="45"/>
      <c r="N249" s="45">
        <f t="shared" si="25"/>
        <v>0</v>
      </c>
      <c r="O249" s="45">
        <f>IFERROR(VLOOKUP(C249,Inventory!$A$2:$N$35,13,FALSE()),0)</f>
        <v>0</v>
      </c>
      <c r="P249" s="45">
        <f t="shared" si="26"/>
        <v>0</v>
      </c>
      <c r="Q249" s="30">
        <f t="shared" si="27"/>
        <v>0</v>
      </c>
      <c r="R249" t="str">
        <f>IFERROR(IF(AND(ISNUMBER(B249),C249&lt;&gt;""),B249-VLOOKUP(C249,Inventory!$A$2:$AE$35,29,FALSE()),""),"")</f>
        <v/>
      </c>
      <c r="U249" t="str">
        <f>IFERROR(VLOOKUP(C249,Inventory!$A$2:$C$35,2,FALSE()),"")</f>
        <v/>
      </c>
      <c r="V249" t="str">
        <f>IFERROR(VLOOKUP(C249,Inventory!$A$2:$Y$35,22,FALSE()),"")</f>
        <v/>
      </c>
      <c r="W249" t="str">
        <f>IFERROR(VLOOKUP(C249,Inventory!$A$2:$AB$35,25,FALSE()),"")</f>
        <v/>
      </c>
    </row>
    <row r="250" spans="1:23" ht="15" customHeight="1" x14ac:dyDescent="0.25">
      <c r="A250" t="str">
        <f t="shared" si="21"/>
        <v/>
      </c>
      <c r="B250" s="29"/>
      <c r="F250" s="45"/>
      <c r="G250" s="45"/>
      <c r="H250" s="45"/>
      <c r="I250" s="30">
        <f t="shared" si="22"/>
        <v>0</v>
      </c>
      <c r="J250" s="45">
        <f t="shared" si="23"/>
        <v>0</v>
      </c>
      <c r="K250" s="45">
        <f t="shared" si="24"/>
        <v>0</v>
      </c>
      <c r="L250" s="45"/>
      <c r="M250" s="45"/>
      <c r="N250" s="45">
        <f t="shared" si="25"/>
        <v>0</v>
      </c>
      <c r="O250" s="45">
        <f>IFERROR(VLOOKUP(C250,Inventory!$A$2:$N$35,13,FALSE()),0)</f>
        <v>0</v>
      </c>
      <c r="P250" s="45">
        <f t="shared" si="26"/>
        <v>0</v>
      </c>
      <c r="Q250" s="30">
        <f t="shared" si="27"/>
        <v>0</v>
      </c>
      <c r="R250" t="str">
        <f>IFERROR(IF(AND(ISNUMBER(B250),C250&lt;&gt;""),B250-VLOOKUP(C250,Inventory!$A$2:$AE$35,29,FALSE()),""),"")</f>
        <v/>
      </c>
      <c r="U250" t="str">
        <f>IFERROR(VLOOKUP(C250,Inventory!$A$2:$C$35,2,FALSE()),"")</f>
        <v/>
      </c>
      <c r="V250" t="str">
        <f>IFERROR(VLOOKUP(C250,Inventory!$A$2:$Y$35,22,FALSE()),"")</f>
        <v/>
      </c>
      <c r="W250" t="str">
        <f>IFERROR(VLOOKUP(C250,Inventory!$A$2:$AB$35,25,FALSE()),"")</f>
        <v/>
      </c>
    </row>
    <row r="251" spans="1:23" ht="15" customHeight="1" x14ac:dyDescent="0.25">
      <c r="A251" t="str">
        <f t="shared" si="21"/>
        <v/>
      </c>
      <c r="B251" s="29"/>
      <c r="F251" s="45"/>
      <c r="G251" s="45"/>
      <c r="H251" s="45"/>
      <c r="I251" s="30">
        <f t="shared" si="22"/>
        <v>0</v>
      </c>
      <c r="J251" s="45">
        <f t="shared" si="23"/>
        <v>0</v>
      </c>
      <c r="K251" s="45">
        <f t="shared" si="24"/>
        <v>0</v>
      </c>
      <c r="L251" s="45"/>
      <c r="M251" s="45"/>
      <c r="N251" s="45">
        <f t="shared" si="25"/>
        <v>0</v>
      </c>
      <c r="O251" s="45">
        <f>IFERROR(VLOOKUP(C251,Inventory!$A$2:$N$35,13,FALSE()),0)</f>
        <v>0</v>
      </c>
      <c r="P251" s="45">
        <f t="shared" si="26"/>
        <v>0</v>
      </c>
      <c r="Q251" s="30">
        <f t="shared" si="27"/>
        <v>0</v>
      </c>
      <c r="R251" t="str">
        <f>IFERROR(IF(AND(ISNUMBER(B251),C251&lt;&gt;""),B251-VLOOKUP(C251,Inventory!$A$2:$AE$35,29,FALSE()),""),"")</f>
        <v/>
      </c>
      <c r="U251" t="str">
        <f>IFERROR(VLOOKUP(C251,Inventory!$A$2:$C$35,2,FALSE()),"")</f>
        <v/>
      </c>
      <c r="V251" t="str">
        <f>IFERROR(VLOOKUP(C251,Inventory!$A$2:$Y$35,22,FALSE()),"")</f>
        <v/>
      </c>
      <c r="W251" t="str">
        <f>IFERROR(VLOOKUP(C251,Inventory!$A$2:$AB$35,25,FALSE()),"")</f>
        <v/>
      </c>
    </row>
    <row r="252" spans="1:23" ht="15" customHeight="1" x14ac:dyDescent="0.25">
      <c r="A252" t="str">
        <f t="shared" si="21"/>
        <v/>
      </c>
      <c r="B252" s="29"/>
      <c r="F252" s="45"/>
      <c r="G252" s="45"/>
      <c r="H252" s="45"/>
      <c r="I252" s="30">
        <f t="shared" si="22"/>
        <v>0</v>
      </c>
      <c r="J252" s="45">
        <f t="shared" si="23"/>
        <v>0</v>
      </c>
      <c r="K252" s="45">
        <f t="shared" si="24"/>
        <v>0</v>
      </c>
      <c r="L252" s="45"/>
      <c r="M252" s="45"/>
      <c r="N252" s="45">
        <f t="shared" si="25"/>
        <v>0</v>
      </c>
      <c r="O252" s="45">
        <f>IFERROR(VLOOKUP(C252,Inventory!$A$2:$N$35,13,FALSE()),0)</f>
        <v>0</v>
      </c>
      <c r="P252" s="45">
        <f t="shared" si="26"/>
        <v>0</v>
      </c>
      <c r="Q252" s="30">
        <f t="shared" si="27"/>
        <v>0</v>
      </c>
      <c r="R252" t="str">
        <f>IFERROR(IF(AND(ISNUMBER(B252),C252&lt;&gt;""),B252-VLOOKUP(C252,Inventory!$A$2:$AE$35,29,FALSE()),""),"")</f>
        <v/>
      </c>
      <c r="U252" t="str">
        <f>IFERROR(VLOOKUP(C252,Inventory!$A$2:$C$35,2,FALSE()),"")</f>
        <v/>
      </c>
      <c r="V252" t="str">
        <f>IFERROR(VLOOKUP(C252,Inventory!$A$2:$Y$35,22,FALSE()),"")</f>
        <v/>
      </c>
      <c r="W252" t="str">
        <f>IFERROR(VLOOKUP(C252,Inventory!$A$2:$AB$35,25,FALSE()),"")</f>
        <v/>
      </c>
    </row>
    <row r="253" spans="1:23" ht="15" customHeight="1" x14ac:dyDescent="0.25">
      <c r="A253" t="str">
        <f t="shared" si="21"/>
        <v/>
      </c>
      <c r="B253" s="29"/>
      <c r="F253" s="45"/>
      <c r="G253" s="45"/>
      <c r="H253" s="45"/>
      <c r="I253" s="30">
        <f t="shared" si="22"/>
        <v>0</v>
      </c>
      <c r="J253" s="45">
        <f t="shared" si="23"/>
        <v>0</v>
      </c>
      <c r="K253" s="45">
        <f t="shared" si="24"/>
        <v>0</v>
      </c>
      <c r="L253" s="45"/>
      <c r="M253" s="45"/>
      <c r="N253" s="45">
        <f t="shared" si="25"/>
        <v>0</v>
      </c>
      <c r="O253" s="45">
        <f>IFERROR(VLOOKUP(C253,Inventory!$A$2:$N$35,13,FALSE()),0)</f>
        <v>0</v>
      </c>
      <c r="P253" s="45">
        <f t="shared" si="26"/>
        <v>0</v>
      </c>
      <c r="Q253" s="30">
        <f t="shared" si="27"/>
        <v>0</v>
      </c>
      <c r="R253" t="str">
        <f>IFERROR(IF(AND(ISNUMBER(B253),C253&lt;&gt;""),B253-VLOOKUP(C253,Inventory!$A$2:$AE$35,29,FALSE()),""),"")</f>
        <v/>
      </c>
      <c r="U253" t="str">
        <f>IFERROR(VLOOKUP(C253,Inventory!$A$2:$C$35,2,FALSE()),"")</f>
        <v/>
      </c>
      <c r="V253" t="str">
        <f>IFERROR(VLOOKUP(C253,Inventory!$A$2:$Y$35,22,FALSE()),"")</f>
        <v/>
      </c>
      <c r="W253" t="str">
        <f>IFERROR(VLOOKUP(C253,Inventory!$A$2:$AB$35,25,FALSE()),"")</f>
        <v/>
      </c>
    </row>
    <row r="254" spans="1:23" ht="15" customHeight="1" x14ac:dyDescent="0.25">
      <c r="A254" t="str">
        <f t="shared" si="21"/>
        <v/>
      </c>
      <c r="B254" s="29"/>
      <c r="F254" s="45"/>
      <c r="G254" s="45"/>
      <c r="H254" s="45"/>
      <c r="I254" s="30">
        <f t="shared" si="22"/>
        <v>0</v>
      </c>
      <c r="J254" s="45">
        <f t="shared" si="23"/>
        <v>0</v>
      </c>
      <c r="K254" s="45">
        <f t="shared" si="24"/>
        <v>0</v>
      </c>
      <c r="L254" s="45"/>
      <c r="M254" s="45"/>
      <c r="N254" s="45">
        <f t="shared" si="25"/>
        <v>0</v>
      </c>
      <c r="O254" s="45">
        <f>IFERROR(VLOOKUP(C254,Inventory!$A$2:$N$35,13,FALSE()),0)</f>
        <v>0</v>
      </c>
      <c r="P254" s="45">
        <f t="shared" si="26"/>
        <v>0</v>
      </c>
      <c r="Q254" s="30">
        <f t="shared" si="27"/>
        <v>0</v>
      </c>
      <c r="R254" t="str">
        <f>IFERROR(IF(AND(ISNUMBER(B254),C254&lt;&gt;""),B254-VLOOKUP(C254,Inventory!$A$2:$AE$35,29,FALSE()),""),"")</f>
        <v/>
      </c>
      <c r="U254" t="str">
        <f>IFERROR(VLOOKUP(C254,Inventory!$A$2:$C$35,2,FALSE()),"")</f>
        <v/>
      </c>
      <c r="V254" t="str">
        <f>IFERROR(VLOOKUP(C254,Inventory!$A$2:$Y$35,22,FALSE()),"")</f>
        <v/>
      </c>
      <c r="W254" t="str">
        <f>IFERROR(VLOOKUP(C254,Inventory!$A$2:$AB$35,25,FALSE()),"")</f>
        <v/>
      </c>
    </row>
    <row r="255" spans="1:23" ht="15" customHeight="1" x14ac:dyDescent="0.25">
      <c r="A255" t="str">
        <f t="shared" si="21"/>
        <v/>
      </c>
      <c r="B255" s="29"/>
      <c r="F255" s="45"/>
      <c r="G255" s="45"/>
      <c r="H255" s="45"/>
      <c r="I255" s="30">
        <f t="shared" si="22"/>
        <v>0</v>
      </c>
      <c r="J255" s="45">
        <f t="shared" si="23"/>
        <v>0</v>
      </c>
      <c r="K255" s="45">
        <f t="shared" si="24"/>
        <v>0</v>
      </c>
      <c r="L255" s="45"/>
      <c r="M255" s="45"/>
      <c r="N255" s="45">
        <f t="shared" si="25"/>
        <v>0</v>
      </c>
      <c r="O255" s="45">
        <f>IFERROR(VLOOKUP(C255,Inventory!$A$2:$N$35,13,FALSE()),0)</f>
        <v>0</v>
      </c>
      <c r="P255" s="45">
        <f t="shared" si="26"/>
        <v>0</v>
      </c>
      <c r="Q255" s="30">
        <f t="shared" si="27"/>
        <v>0</v>
      </c>
      <c r="R255" t="str">
        <f>IFERROR(IF(AND(ISNUMBER(B255),C255&lt;&gt;""),B255-VLOOKUP(C255,Inventory!$A$2:$AE$35,29,FALSE()),""),"")</f>
        <v/>
      </c>
      <c r="U255" t="str">
        <f>IFERROR(VLOOKUP(C255,Inventory!$A$2:$C$35,2,FALSE()),"")</f>
        <v/>
      </c>
      <c r="V255" t="str">
        <f>IFERROR(VLOOKUP(C255,Inventory!$A$2:$Y$35,22,FALSE()),"")</f>
        <v/>
      </c>
      <c r="W255" t="str">
        <f>IFERROR(VLOOKUP(C255,Inventory!$A$2:$AB$35,25,FALSE()),"")</f>
        <v/>
      </c>
    </row>
    <row r="256" spans="1:23" ht="15" customHeight="1" x14ac:dyDescent="0.25">
      <c r="A256" t="str">
        <f t="shared" si="21"/>
        <v/>
      </c>
      <c r="B256" s="29"/>
      <c r="F256" s="45"/>
      <c r="G256" s="45"/>
      <c r="H256" s="45"/>
      <c r="I256" s="30">
        <f t="shared" si="22"/>
        <v>0</v>
      </c>
      <c r="J256" s="45">
        <f t="shared" si="23"/>
        <v>0</v>
      </c>
      <c r="K256" s="45">
        <f t="shared" si="24"/>
        <v>0</v>
      </c>
      <c r="L256" s="45"/>
      <c r="M256" s="45"/>
      <c r="N256" s="45">
        <f t="shared" si="25"/>
        <v>0</v>
      </c>
      <c r="O256" s="45">
        <f>IFERROR(VLOOKUP(C256,Inventory!$A$2:$N$35,13,FALSE()),0)</f>
        <v>0</v>
      </c>
      <c r="P256" s="45">
        <f t="shared" si="26"/>
        <v>0</v>
      </c>
      <c r="Q256" s="30">
        <f t="shared" si="27"/>
        <v>0</v>
      </c>
      <c r="R256" t="str">
        <f>IFERROR(IF(AND(ISNUMBER(B256),C256&lt;&gt;""),B256-VLOOKUP(C256,Inventory!$A$2:$AE$35,29,FALSE()),""),"")</f>
        <v/>
      </c>
      <c r="U256" t="str">
        <f>IFERROR(VLOOKUP(C256,Inventory!$A$2:$C$35,2,FALSE()),"")</f>
        <v/>
      </c>
      <c r="V256" t="str">
        <f>IFERROR(VLOOKUP(C256,Inventory!$A$2:$Y$35,22,FALSE()),"")</f>
        <v/>
      </c>
      <c r="W256" t="str">
        <f>IFERROR(VLOOKUP(C256,Inventory!$A$2:$AB$35,25,FALSE()),"")</f>
        <v/>
      </c>
    </row>
    <row r="257" spans="1:23" ht="15" customHeight="1" x14ac:dyDescent="0.25">
      <c r="A257" t="str">
        <f t="shared" si="21"/>
        <v/>
      </c>
      <c r="B257" s="29"/>
      <c r="F257" s="45"/>
      <c r="G257" s="45"/>
      <c r="H257" s="45"/>
      <c r="I257" s="30">
        <f t="shared" si="22"/>
        <v>0</v>
      </c>
      <c r="J257" s="45">
        <f t="shared" si="23"/>
        <v>0</v>
      </c>
      <c r="K257" s="45">
        <f t="shared" si="24"/>
        <v>0</v>
      </c>
      <c r="L257" s="45"/>
      <c r="M257" s="45"/>
      <c r="N257" s="45">
        <f t="shared" si="25"/>
        <v>0</v>
      </c>
      <c r="O257" s="45">
        <f>IFERROR(VLOOKUP(C257,Inventory!$A$2:$N$35,13,FALSE()),0)</f>
        <v>0</v>
      </c>
      <c r="P257" s="45">
        <f t="shared" si="26"/>
        <v>0</v>
      </c>
      <c r="Q257" s="30">
        <f t="shared" si="27"/>
        <v>0</v>
      </c>
      <c r="R257" t="str">
        <f>IFERROR(IF(AND(ISNUMBER(B257),C257&lt;&gt;""),B257-VLOOKUP(C257,Inventory!$A$2:$AE$35,29,FALSE()),""),"")</f>
        <v/>
      </c>
      <c r="U257" t="str">
        <f>IFERROR(VLOOKUP(C257,Inventory!$A$2:$C$35,2,FALSE()),"")</f>
        <v/>
      </c>
      <c r="V257" t="str">
        <f>IFERROR(VLOOKUP(C257,Inventory!$A$2:$Y$35,22,FALSE()),"")</f>
        <v/>
      </c>
      <c r="W257" t="str">
        <f>IFERROR(VLOOKUP(C257,Inventory!$A$2:$AB$35,25,FALSE()),"")</f>
        <v/>
      </c>
    </row>
    <row r="258" spans="1:23" ht="15" customHeight="1" x14ac:dyDescent="0.25">
      <c r="A258" t="str">
        <f t="shared" si="21"/>
        <v/>
      </c>
      <c r="B258" s="29"/>
      <c r="F258" s="45"/>
      <c r="G258" s="45"/>
      <c r="H258" s="45"/>
      <c r="I258" s="30">
        <f t="shared" si="22"/>
        <v>0</v>
      </c>
      <c r="J258" s="45">
        <f t="shared" si="23"/>
        <v>0</v>
      </c>
      <c r="K258" s="45">
        <f t="shared" si="24"/>
        <v>0</v>
      </c>
      <c r="L258" s="45"/>
      <c r="M258" s="45"/>
      <c r="N258" s="45">
        <f t="shared" si="25"/>
        <v>0</v>
      </c>
      <c r="O258" s="45">
        <f>IFERROR(VLOOKUP(C258,Inventory!$A$2:$N$35,13,FALSE()),0)</f>
        <v>0</v>
      </c>
      <c r="P258" s="45">
        <f t="shared" si="26"/>
        <v>0</v>
      </c>
      <c r="Q258" s="30">
        <f t="shared" si="27"/>
        <v>0</v>
      </c>
      <c r="R258" t="str">
        <f>IFERROR(IF(AND(ISNUMBER(B258),C258&lt;&gt;""),B258-VLOOKUP(C258,Inventory!$A$2:$AE$35,29,FALSE()),""),"")</f>
        <v/>
      </c>
      <c r="U258" t="str">
        <f>IFERROR(VLOOKUP(C258,Inventory!$A$2:$C$35,2,FALSE()),"")</f>
        <v/>
      </c>
      <c r="V258" t="str">
        <f>IFERROR(VLOOKUP(C258,Inventory!$A$2:$Y$35,22,FALSE()),"")</f>
        <v/>
      </c>
      <c r="W258" t="str">
        <f>IFERROR(VLOOKUP(C258,Inventory!$A$2:$AB$35,25,FALSE()),"")</f>
        <v/>
      </c>
    </row>
    <row r="259" spans="1:23" ht="15" customHeight="1" x14ac:dyDescent="0.25">
      <c r="A259" t="str">
        <f t="shared" si="21"/>
        <v/>
      </c>
      <c r="B259" s="29"/>
      <c r="F259" s="45"/>
      <c r="G259" s="45"/>
      <c r="H259" s="45"/>
      <c r="I259" s="30">
        <f t="shared" si="22"/>
        <v>0</v>
      </c>
      <c r="J259" s="45">
        <f t="shared" si="23"/>
        <v>0</v>
      </c>
      <c r="K259" s="45">
        <f t="shared" si="24"/>
        <v>0</v>
      </c>
      <c r="L259" s="45"/>
      <c r="M259" s="45"/>
      <c r="N259" s="45">
        <f t="shared" si="25"/>
        <v>0</v>
      </c>
      <c r="O259" s="45">
        <f>IFERROR(VLOOKUP(C259,Inventory!$A$2:$N$35,13,FALSE()),0)</f>
        <v>0</v>
      </c>
      <c r="P259" s="45">
        <f t="shared" si="26"/>
        <v>0</v>
      </c>
      <c r="Q259" s="30">
        <f t="shared" si="27"/>
        <v>0</v>
      </c>
      <c r="R259" t="str">
        <f>IFERROR(IF(AND(ISNUMBER(B259),C259&lt;&gt;""),B259-VLOOKUP(C259,Inventory!$A$2:$AE$35,29,FALSE()),""),"")</f>
        <v/>
      </c>
      <c r="U259" t="str">
        <f>IFERROR(VLOOKUP(C259,Inventory!$A$2:$C$35,2,FALSE()),"")</f>
        <v/>
      </c>
      <c r="V259" t="str">
        <f>IFERROR(VLOOKUP(C259,Inventory!$A$2:$Y$35,22,FALSE()),"")</f>
        <v/>
      </c>
      <c r="W259" t="str">
        <f>IFERROR(VLOOKUP(C259,Inventory!$A$2:$AB$35,25,FALSE()),"")</f>
        <v/>
      </c>
    </row>
    <row r="260" spans="1:23" ht="15" customHeight="1" x14ac:dyDescent="0.25">
      <c r="A260" t="str">
        <f t="shared" ref="A260:A303" si="28">IF(C260="","",ROW()-3)</f>
        <v/>
      </c>
      <c r="B260" s="29"/>
      <c r="F260" s="45"/>
      <c r="G260" s="45"/>
      <c r="H260" s="45"/>
      <c r="I260" s="30">
        <f t="shared" ref="I260:I303" si="29">IFERROR(VLOOKUP(D260,PlatformFees,2,FALSE()),0)</f>
        <v>0</v>
      </c>
      <c r="J260" s="45">
        <f t="shared" ref="J260:J303" si="30">IFERROR(VLOOKUP(D260,PlatformFees,3,FALSE()),0)</f>
        <v>0</v>
      </c>
      <c r="K260" s="45">
        <f t="shared" ref="K260:K303" si="31">IF(ISNUMBER(F260),F260*I260+J260,0)</f>
        <v>0</v>
      </c>
      <c r="L260" s="45"/>
      <c r="M260" s="45"/>
      <c r="N260" s="45">
        <f t="shared" ref="N260:N303" si="32">IF(ISNUMBER(F260),F260+IFERROR(G260,0)-IFERROR(H260,0)-K260-IFERROR(L260,0)-IFERROR(M260,0),0)</f>
        <v>0</v>
      </c>
      <c r="O260" s="45">
        <f>IFERROR(VLOOKUP(C260,Inventory!$A$2:$N$35,13,FALSE()),0)</f>
        <v>0</v>
      </c>
      <c r="P260" s="45">
        <f t="shared" ref="P260:P303" si="33">IF(ISNUMBER(F260),N260-O260,0)</f>
        <v>0</v>
      </c>
      <c r="Q260" s="30">
        <f t="shared" ref="Q260:Q303" si="34">IFERROR(IF(O260=0,0,P260/O260),0)</f>
        <v>0</v>
      </c>
      <c r="R260" t="str">
        <f>IFERROR(IF(AND(ISNUMBER(B260),C260&lt;&gt;""),B260-VLOOKUP(C260,Inventory!$A$2:$AE$35,29,FALSE()),""),"")</f>
        <v/>
      </c>
      <c r="U260" t="str">
        <f>IFERROR(VLOOKUP(C260,Inventory!$A$2:$C$35,2,FALSE()),"")</f>
        <v/>
      </c>
      <c r="V260" t="str">
        <f>IFERROR(VLOOKUP(C260,Inventory!$A$2:$Y$35,22,FALSE()),"")</f>
        <v/>
      </c>
      <c r="W260" t="str">
        <f>IFERROR(VLOOKUP(C260,Inventory!$A$2:$AB$35,25,FALSE()),"")</f>
        <v/>
      </c>
    </row>
    <row r="261" spans="1:23" ht="15" customHeight="1" x14ac:dyDescent="0.25">
      <c r="A261" t="str">
        <f t="shared" si="28"/>
        <v/>
      </c>
      <c r="B261" s="29"/>
      <c r="F261" s="45"/>
      <c r="G261" s="45"/>
      <c r="H261" s="45"/>
      <c r="I261" s="30">
        <f t="shared" si="29"/>
        <v>0</v>
      </c>
      <c r="J261" s="45">
        <f t="shared" si="30"/>
        <v>0</v>
      </c>
      <c r="K261" s="45">
        <f t="shared" si="31"/>
        <v>0</v>
      </c>
      <c r="L261" s="45"/>
      <c r="M261" s="45"/>
      <c r="N261" s="45">
        <f t="shared" si="32"/>
        <v>0</v>
      </c>
      <c r="O261" s="45">
        <f>IFERROR(VLOOKUP(C261,Inventory!$A$2:$N$35,13,FALSE()),0)</f>
        <v>0</v>
      </c>
      <c r="P261" s="45">
        <f t="shared" si="33"/>
        <v>0</v>
      </c>
      <c r="Q261" s="30">
        <f t="shared" si="34"/>
        <v>0</v>
      </c>
      <c r="R261" t="str">
        <f>IFERROR(IF(AND(ISNUMBER(B261),C261&lt;&gt;""),B261-VLOOKUP(C261,Inventory!$A$2:$AE$35,29,FALSE()),""),"")</f>
        <v/>
      </c>
      <c r="U261" t="str">
        <f>IFERROR(VLOOKUP(C261,Inventory!$A$2:$C$35,2,FALSE()),"")</f>
        <v/>
      </c>
      <c r="V261" t="str">
        <f>IFERROR(VLOOKUP(C261,Inventory!$A$2:$Y$35,22,FALSE()),"")</f>
        <v/>
      </c>
      <c r="W261" t="str">
        <f>IFERROR(VLOOKUP(C261,Inventory!$A$2:$AB$35,25,FALSE()),"")</f>
        <v/>
      </c>
    </row>
    <row r="262" spans="1:23" ht="15" customHeight="1" x14ac:dyDescent="0.25">
      <c r="A262" t="str">
        <f t="shared" si="28"/>
        <v/>
      </c>
      <c r="B262" s="29"/>
      <c r="F262" s="45"/>
      <c r="G262" s="45"/>
      <c r="H262" s="45"/>
      <c r="I262" s="30">
        <f t="shared" si="29"/>
        <v>0</v>
      </c>
      <c r="J262" s="45">
        <f t="shared" si="30"/>
        <v>0</v>
      </c>
      <c r="K262" s="45">
        <f t="shared" si="31"/>
        <v>0</v>
      </c>
      <c r="L262" s="45"/>
      <c r="M262" s="45"/>
      <c r="N262" s="45">
        <f t="shared" si="32"/>
        <v>0</v>
      </c>
      <c r="O262" s="45">
        <f>IFERROR(VLOOKUP(C262,Inventory!$A$2:$N$35,13,FALSE()),0)</f>
        <v>0</v>
      </c>
      <c r="P262" s="45">
        <f t="shared" si="33"/>
        <v>0</v>
      </c>
      <c r="Q262" s="30">
        <f t="shared" si="34"/>
        <v>0</v>
      </c>
      <c r="R262" t="str">
        <f>IFERROR(IF(AND(ISNUMBER(B262),C262&lt;&gt;""),B262-VLOOKUP(C262,Inventory!$A$2:$AE$35,29,FALSE()),""),"")</f>
        <v/>
      </c>
      <c r="U262" t="str">
        <f>IFERROR(VLOOKUP(C262,Inventory!$A$2:$C$35,2,FALSE()),"")</f>
        <v/>
      </c>
      <c r="V262" t="str">
        <f>IFERROR(VLOOKUP(C262,Inventory!$A$2:$Y$35,22,FALSE()),"")</f>
        <v/>
      </c>
      <c r="W262" t="str">
        <f>IFERROR(VLOOKUP(C262,Inventory!$A$2:$AB$35,25,FALSE()),"")</f>
        <v/>
      </c>
    </row>
    <row r="263" spans="1:23" ht="15" customHeight="1" x14ac:dyDescent="0.25">
      <c r="A263" t="str">
        <f t="shared" si="28"/>
        <v/>
      </c>
      <c r="B263" s="29"/>
      <c r="F263" s="45"/>
      <c r="G263" s="45"/>
      <c r="H263" s="45"/>
      <c r="I263" s="30">
        <f t="shared" si="29"/>
        <v>0</v>
      </c>
      <c r="J263" s="45">
        <f t="shared" si="30"/>
        <v>0</v>
      </c>
      <c r="K263" s="45">
        <f t="shared" si="31"/>
        <v>0</v>
      </c>
      <c r="L263" s="45"/>
      <c r="M263" s="45"/>
      <c r="N263" s="45">
        <f t="shared" si="32"/>
        <v>0</v>
      </c>
      <c r="O263" s="45">
        <f>IFERROR(VLOOKUP(C263,Inventory!$A$2:$N$35,13,FALSE()),0)</f>
        <v>0</v>
      </c>
      <c r="P263" s="45">
        <f t="shared" si="33"/>
        <v>0</v>
      </c>
      <c r="Q263" s="30">
        <f t="shared" si="34"/>
        <v>0</v>
      </c>
      <c r="R263" t="str">
        <f>IFERROR(IF(AND(ISNUMBER(B263),C263&lt;&gt;""),B263-VLOOKUP(C263,Inventory!$A$2:$AE$35,29,FALSE()),""),"")</f>
        <v/>
      </c>
      <c r="U263" t="str">
        <f>IFERROR(VLOOKUP(C263,Inventory!$A$2:$C$35,2,FALSE()),"")</f>
        <v/>
      </c>
      <c r="V263" t="str">
        <f>IFERROR(VLOOKUP(C263,Inventory!$A$2:$Y$35,22,FALSE()),"")</f>
        <v/>
      </c>
      <c r="W263" t="str">
        <f>IFERROR(VLOOKUP(C263,Inventory!$A$2:$AB$35,25,FALSE()),"")</f>
        <v/>
      </c>
    </row>
    <row r="264" spans="1:23" ht="15" customHeight="1" x14ac:dyDescent="0.25">
      <c r="A264" t="str">
        <f t="shared" si="28"/>
        <v/>
      </c>
      <c r="B264" s="29"/>
      <c r="F264" s="45"/>
      <c r="G264" s="45"/>
      <c r="H264" s="45"/>
      <c r="I264" s="30">
        <f t="shared" si="29"/>
        <v>0</v>
      </c>
      <c r="J264" s="45">
        <f t="shared" si="30"/>
        <v>0</v>
      </c>
      <c r="K264" s="45">
        <f t="shared" si="31"/>
        <v>0</v>
      </c>
      <c r="L264" s="45"/>
      <c r="M264" s="45"/>
      <c r="N264" s="45">
        <f t="shared" si="32"/>
        <v>0</v>
      </c>
      <c r="O264" s="45">
        <f>IFERROR(VLOOKUP(C264,Inventory!$A$2:$N$35,13,FALSE()),0)</f>
        <v>0</v>
      </c>
      <c r="P264" s="45">
        <f t="shared" si="33"/>
        <v>0</v>
      </c>
      <c r="Q264" s="30">
        <f t="shared" si="34"/>
        <v>0</v>
      </c>
      <c r="R264" t="str">
        <f>IFERROR(IF(AND(ISNUMBER(B264),C264&lt;&gt;""),B264-VLOOKUP(C264,Inventory!$A$2:$AE$35,29,FALSE()),""),"")</f>
        <v/>
      </c>
      <c r="U264" t="str">
        <f>IFERROR(VLOOKUP(C264,Inventory!$A$2:$C$35,2,FALSE()),"")</f>
        <v/>
      </c>
      <c r="V264" t="str">
        <f>IFERROR(VLOOKUP(C264,Inventory!$A$2:$Y$35,22,FALSE()),"")</f>
        <v/>
      </c>
      <c r="W264" t="str">
        <f>IFERROR(VLOOKUP(C264,Inventory!$A$2:$AB$35,25,FALSE()),"")</f>
        <v/>
      </c>
    </row>
    <row r="265" spans="1:23" ht="15" customHeight="1" x14ac:dyDescent="0.25">
      <c r="A265" t="str">
        <f t="shared" si="28"/>
        <v/>
      </c>
      <c r="B265" s="29"/>
      <c r="F265" s="45"/>
      <c r="G265" s="45"/>
      <c r="H265" s="45"/>
      <c r="I265" s="30">
        <f t="shared" si="29"/>
        <v>0</v>
      </c>
      <c r="J265" s="45">
        <f t="shared" si="30"/>
        <v>0</v>
      </c>
      <c r="K265" s="45">
        <f t="shared" si="31"/>
        <v>0</v>
      </c>
      <c r="L265" s="45"/>
      <c r="M265" s="45"/>
      <c r="N265" s="45">
        <f t="shared" si="32"/>
        <v>0</v>
      </c>
      <c r="O265" s="45">
        <f>IFERROR(VLOOKUP(C265,Inventory!$A$2:$N$35,13,FALSE()),0)</f>
        <v>0</v>
      </c>
      <c r="P265" s="45">
        <f t="shared" si="33"/>
        <v>0</v>
      </c>
      <c r="Q265" s="30">
        <f t="shared" si="34"/>
        <v>0</v>
      </c>
      <c r="R265" t="str">
        <f>IFERROR(IF(AND(ISNUMBER(B265),C265&lt;&gt;""),B265-VLOOKUP(C265,Inventory!$A$2:$AE$35,29,FALSE()),""),"")</f>
        <v/>
      </c>
      <c r="U265" t="str">
        <f>IFERROR(VLOOKUP(C265,Inventory!$A$2:$C$35,2,FALSE()),"")</f>
        <v/>
      </c>
      <c r="V265" t="str">
        <f>IFERROR(VLOOKUP(C265,Inventory!$A$2:$Y$35,22,FALSE()),"")</f>
        <v/>
      </c>
      <c r="W265" t="str">
        <f>IFERROR(VLOOKUP(C265,Inventory!$A$2:$AB$35,25,FALSE()),"")</f>
        <v/>
      </c>
    </row>
    <row r="266" spans="1:23" ht="15" customHeight="1" x14ac:dyDescent="0.25">
      <c r="A266" t="str">
        <f t="shared" si="28"/>
        <v/>
      </c>
      <c r="B266" s="29"/>
      <c r="F266" s="45"/>
      <c r="G266" s="45"/>
      <c r="H266" s="45"/>
      <c r="I266" s="30">
        <f t="shared" si="29"/>
        <v>0</v>
      </c>
      <c r="J266" s="45">
        <f t="shared" si="30"/>
        <v>0</v>
      </c>
      <c r="K266" s="45">
        <f t="shared" si="31"/>
        <v>0</v>
      </c>
      <c r="L266" s="45"/>
      <c r="M266" s="45"/>
      <c r="N266" s="45">
        <f t="shared" si="32"/>
        <v>0</v>
      </c>
      <c r="O266" s="45">
        <f>IFERROR(VLOOKUP(C266,Inventory!$A$2:$N$35,13,FALSE()),0)</f>
        <v>0</v>
      </c>
      <c r="P266" s="45">
        <f t="shared" si="33"/>
        <v>0</v>
      </c>
      <c r="Q266" s="30">
        <f t="shared" si="34"/>
        <v>0</v>
      </c>
      <c r="R266" t="str">
        <f>IFERROR(IF(AND(ISNUMBER(B266),C266&lt;&gt;""),B266-VLOOKUP(C266,Inventory!$A$2:$AE$35,29,FALSE()),""),"")</f>
        <v/>
      </c>
      <c r="U266" t="str">
        <f>IFERROR(VLOOKUP(C266,Inventory!$A$2:$C$35,2,FALSE()),"")</f>
        <v/>
      </c>
      <c r="V266" t="str">
        <f>IFERROR(VLOOKUP(C266,Inventory!$A$2:$Y$35,22,FALSE()),"")</f>
        <v/>
      </c>
      <c r="W266" t="str">
        <f>IFERROR(VLOOKUP(C266,Inventory!$A$2:$AB$35,25,FALSE()),"")</f>
        <v/>
      </c>
    </row>
    <row r="267" spans="1:23" ht="15" customHeight="1" x14ac:dyDescent="0.25">
      <c r="A267" t="str">
        <f t="shared" si="28"/>
        <v/>
      </c>
      <c r="B267" s="29"/>
      <c r="F267" s="45"/>
      <c r="G267" s="45"/>
      <c r="H267" s="45"/>
      <c r="I267" s="30">
        <f t="shared" si="29"/>
        <v>0</v>
      </c>
      <c r="J267" s="45">
        <f t="shared" si="30"/>
        <v>0</v>
      </c>
      <c r="K267" s="45">
        <f t="shared" si="31"/>
        <v>0</v>
      </c>
      <c r="L267" s="45"/>
      <c r="M267" s="45"/>
      <c r="N267" s="45">
        <f t="shared" si="32"/>
        <v>0</v>
      </c>
      <c r="O267" s="45">
        <f>IFERROR(VLOOKUP(C267,Inventory!$A$2:$N$35,13,FALSE()),0)</f>
        <v>0</v>
      </c>
      <c r="P267" s="45">
        <f t="shared" si="33"/>
        <v>0</v>
      </c>
      <c r="Q267" s="30">
        <f t="shared" si="34"/>
        <v>0</v>
      </c>
      <c r="R267" t="str">
        <f>IFERROR(IF(AND(ISNUMBER(B267),C267&lt;&gt;""),B267-VLOOKUP(C267,Inventory!$A$2:$AE$35,29,FALSE()),""),"")</f>
        <v/>
      </c>
      <c r="U267" t="str">
        <f>IFERROR(VLOOKUP(C267,Inventory!$A$2:$C$35,2,FALSE()),"")</f>
        <v/>
      </c>
      <c r="V267" t="str">
        <f>IFERROR(VLOOKUP(C267,Inventory!$A$2:$Y$35,22,FALSE()),"")</f>
        <v/>
      </c>
      <c r="W267" t="str">
        <f>IFERROR(VLOOKUP(C267,Inventory!$A$2:$AB$35,25,FALSE()),"")</f>
        <v/>
      </c>
    </row>
    <row r="268" spans="1:23" ht="15" customHeight="1" x14ac:dyDescent="0.25">
      <c r="A268" t="str">
        <f t="shared" si="28"/>
        <v/>
      </c>
      <c r="B268" s="29"/>
      <c r="F268" s="45"/>
      <c r="G268" s="45"/>
      <c r="H268" s="45"/>
      <c r="I268" s="30">
        <f t="shared" si="29"/>
        <v>0</v>
      </c>
      <c r="J268" s="45">
        <f t="shared" si="30"/>
        <v>0</v>
      </c>
      <c r="K268" s="45">
        <f t="shared" si="31"/>
        <v>0</v>
      </c>
      <c r="L268" s="45"/>
      <c r="M268" s="45"/>
      <c r="N268" s="45">
        <f t="shared" si="32"/>
        <v>0</v>
      </c>
      <c r="O268" s="45">
        <f>IFERROR(VLOOKUP(C268,Inventory!$A$2:$N$35,13,FALSE()),0)</f>
        <v>0</v>
      </c>
      <c r="P268" s="45">
        <f t="shared" si="33"/>
        <v>0</v>
      </c>
      <c r="Q268" s="30">
        <f t="shared" si="34"/>
        <v>0</v>
      </c>
      <c r="R268" t="str">
        <f>IFERROR(IF(AND(ISNUMBER(B268),C268&lt;&gt;""),B268-VLOOKUP(C268,Inventory!$A$2:$AE$35,29,FALSE()),""),"")</f>
        <v/>
      </c>
      <c r="U268" t="str">
        <f>IFERROR(VLOOKUP(C268,Inventory!$A$2:$C$35,2,FALSE()),"")</f>
        <v/>
      </c>
      <c r="V268" t="str">
        <f>IFERROR(VLOOKUP(C268,Inventory!$A$2:$Y$35,22,FALSE()),"")</f>
        <v/>
      </c>
      <c r="W268" t="str">
        <f>IFERROR(VLOOKUP(C268,Inventory!$A$2:$AB$35,25,FALSE()),"")</f>
        <v/>
      </c>
    </row>
    <row r="269" spans="1:23" ht="15" customHeight="1" x14ac:dyDescent="0.25">
      <c r="A269" t="str">
        <f t="shared" si="28"/>
        <v/>
      </c>
      <c r="B269" s="29"/>
      <c r="F269" s="45"/>
      <c r="G269" s="45"/>
      <c r="H269" s="45"/>
      <c r="I269" s="30">
        <f t="shared" si="29"/>
        <v>0</v>
      </c>
      <c r="J269" s="45">
        <f t="shared" si="30"/>
        <v>0</v>
      </c>
      <c r="K269" s="45">
        <f t="shared" si="31"/>
        <v>0</v>
      </c>
      <c r="L269" s="45"/>
      <c r="M269" s="45"/>
      <c r="N269" s="45">
        <f t="shared" si="32"/>
        <v>0</v>
      </c>
      <c r="O269" s="45">
        <f>IFERROR(VLOOKUP(C269,Inventory!$A$2:$N$35,13,FALSE()),0)</f>
        <v>0</v>
      </c>
      <c r="P269" s="45">
        <f t="shared" si="33"/>
        <v>0</v>
      </c>
      <c r="Q269" s="30">
        <f t="shared" si="34"/>
        <v>0</v>
      </c>
      <c r="R269" t="str">
        <f>IFERROR(IF(AND(ISNUMBER(B269),C269&lt;&gt;""),B269-VLOOKUP(C269,Inventory!$A$2:$AE$35,29,FALSE()),""),"")</f>
        <v/>
      </c>
      <c r="U269" t="str">
        <f>IFERROR(VLOOKUP(C269,Inventory!$A$2:$C$35,2,FALSE()),"")</f>
        <v/>
      </c>
      <c r="V269" t="str">
        <f>IFERROR(VLOOKUP(C269,Inventory!$A$2:$Y$35,22,FALSE()),"")</f>
        <v/>
      </c>
      <c r="W269" t="str">
        <f>IFERROR(VLOOKUP(C269,Inventory!$A$2:$AB$35,25,FALSE()),"")</f>
        <v/>
      </c>
    </row>
    <row r="270" spans="1:23" ht="15" customHeight="1" x14ac:dyDescent="0.25">
      <c r="A270" t="str">
        <f t="shared" si="28"/>
        <v/>
      </c>
      <c r="B270" s="29"/>
      <c r="F270" s="45"/>
      <c r="G270" s="45"/>
      <c r="H270" s="45"/>
      <c r="I270" s="30">
        <f t="shared" si="29"/>
        <v>0</v>
      </c>
      <c r="J270" s="45">
        <f t="shared" si="30"/>
        <v>0</v>
      </c>
      <c r="K270" s="45">
        <f t="shared" si="31"/>
        <v>0</v>
      </c>
      <c r="L270" s="45"/>
      <c r="M270" s="45"/>
      <c r="N270" s="45">
        <f t="shared" si="32"/>
        <v>0</v>
      </c>
      <c r="O270" s="45">
        <f>IFERROR(VLOOKUP(C270,Inventory!$A$2:$N$35,13,FALSE()),0)</f>
        <v>0</v>
      </c>
      <c r="P270" s="45">
        <f t="shared" si="33"/>
        <v>0</v>
      </c>
      <c r="Q270" s="30">
        <f t="shared" si="34"/>
        <v>0</v>
      </c>
      <c r="R270" t="str">
        <f>IFERROR(IF(AND(ISNUMBER(B270),C270&lt;&gt;""),B270-VLOOKUP(C270,Inventory!$A$2:$AE$35,29,FALSE()),""),"")</f>
        <v/>
      </c>
      <c r="U270" t="str">
        <f>IFERROR(VLOOKUP(C270,Inventory!$A$2:$C$35,2,FALSE()),"")</f>
        <v/>
      </c>
      <c r="V270" t="str">
        <f>IFERROR(VLOOKUP(C270,Inventory!$A$2:$Y$35,22,FALSE()),"")</f>
        <v/>
      </c>
      <c r="W270" t="str">
        <f>IFERROR(VLOOKUP(C270,Inventory!$A$2:$AB$35,25,FALSE()),"")</f>
        <v/>
      </c>
    </row>
    <row r="271" spans="1:23" ht="15" customHeight="1" x14ac:dyDescent="0.25">
      <c r="A271" t="str">
        <f t="shared" si="28"/>
        <v/>
      </c>
      <c r="B271" s="29"/>
      <c r="F271" s="45"/>
      <c r="G271" s="45"/>
      <c r="H271" s="45"/>
      <c r="I271" s="30">
        <f t="shared" si="29"/>
        <v>0</v>
      </c>
      <c r="J271" s="45">
        <f t="shared" si="30"/>
        <v>0</v>
      </c>
      <c r="K271" s="45">
        <f t="shared" si="31"/>
        <v>0</v>
      </c>
      <c r="L271" s="45"/>
      <c r="M271" s="45"/>
      <c r="N271" s="45">
        <f t="shared" si="32"/>
        <v>0</v>
      </c>
      <c r="O271" s="45">
        <f>IFERROR(VLOOKUP(C271,Inventory!$A$2:$N$35,13,FALSE()),0)</f>
        <v>0</v>
      </c>
      <c r="P271" s="45">
        <f t="shared" si="33"/>
        <v>0</v>
      </c>
      <c r="Q271" s="30">
        <f t="shared" si="34"/>
        <v>0</v>
      </c>
      <c r="R271" t="str">
        <f>IFERROR(IF(AND(ISNUMBER(B271),C271&lt;&gt;""),B271-VLOOKUP(C271,Inventory!$A$2:$AE$35,29,FALSE()),""),"")</f>
        <v/>
      </c>
      <c r="U271" t="str">
        <f>IFERROR(VLOOKUP(C271,Inventory!$A$2:$C$35,2,FALSE()),"")</f>
        <v/>
      </c>
      <c r="V271" t="str">
        <f>IFERROR(VLOOKUP(C271,Inventory!$A$2:$Y$35,22,FALSE()),"")</f>
        <v/>
      </c>
      <c r="W271" t="str">
        <f>IFERROR(VLOOKUP(C271,Inventory!$A$2:$AB$35,25,FALSE()),"")</f>
        <v/>
      </c>
    </row>
    <row r="272" spans="1:23" ht="15" customHeight="1" x14ac:dyDescent="0.25">
      <c r="A272" t="str">
        <f t="shared" si="28"/>
        <v/>
      </c>
      <c r="B272" s="29"/>
      <c r="F272" s="45"/>
      <c r="G272" s="45"/>
      <c r="H272" s="45"/>
      <c r="I272" s="30">
        <f t="shared" si="29"/>
        <v>0</v>
      </c>
      <c r="J272" s="45">
        <f t="shared" si="30"/>
        <v>0</v>
      </c>
      <c r="K272" s="45">
        <f t="shared" si="31"/>
        <v>0</v>
      </c>
      <c r="L272" s="45"/>
      <c r="M272" s="45"/>
      <c r="N272" s="45">
        <f t="shared" si="32"/>
        <v>0</v>
      </c>
      <c r="O272" s="45">
        <f>IFERROR(VLOOKUP(C272,Inventory!$A$2:$N$35,13,FALSE()),0)</f>
        <v>0</v>
      </c>
      <c r="P272" s="45">
        <f t="shared" si="33"/>
        <v>0</v>
      </c>
      <c r="Q272" s="30">
        <f t="shared" si="34"/>
        <v>0</v>
      </c>
      <c r="R272" t="str">
        <f>IFERROR(IF(AND(ISNUMBER(B272),C272&lt;&gt;""),B272-VLOOKUP(C272,Inventory!$A$2:$AE$35,29,FALSE()),""),"")</f>
        <v/>
      </c>
      <c r="U272" t="str">
        <f>IFERROR(VLOOKUP(C272,Inventory!$A$2:$C$35,2,FALSE()),"")</f>
        <v/>
      </c>
      <c r="V272" t="str">
        <f>IFERROR(VLOOKUP(C272,Inventory!$A$2:$Y$35,22,FALSE()),"")</f>
        <v/>
      </c>
      <c r="W272" t="str">
        <f>IFERROR(VLOOKUP(C272,Inventory!$A$2:$AB$35,25,FALSE()),"")</f>
        <v/>
      </c>
    </row>
    <row r="273" spans="1:23" ht="15" customHeight="1" x14ac:dyDescent="0.25">
      <c r="A273" t="str">
        <f t="shared" si="28"/>
        <v/>
      </c>
      <c r="B273" s="29"/>
      <c r="F273" s="45"/>
      <c r="G273" s="45"/>
      <c r="H273" s="45"/>
      <c r="I273" s="30">
        <f t="shared" si="29"/>
        <v>0</v>
      </c>
      <c r="J273" s="45">
        <f t="shared" si="30"/>
        <v>0</v>
      </c>
      <c r="K273" s="45">
        <f t="shared" si="31"/>
        <v>0</v>
      </c>
      <c r="L273" s="45"/>
      <c r="M273" s="45"/>
      <c r="N273" s="45">
        <f t="shared" si="32"/>
        <v>0</v>
      </c>
      <c r="O273" s="45">
        <f>IFERROR(VLOOKUP(C273,Inventory!$A$2:$N$35,13,FALSE()),0)</f>
        <v>0</v>
      </c>
      <c r="P273" s="45">
        <f t="shared" si="33"/>
        <v>0</v>
      </c>
      <c r="Q273" s="30">
        <f t="shared" si="34"/>
        <v>0</v>
      </c>
      <c r="R273" t="str">
        <f>IFERROR(IF(AND(ISNUMBER(B273),C273&lt;&gt;""),B273-VLOOKUP(C273,Inventory!$A$2:$AE$35,29,FALSE()),""),"")</f>
        <v/>
      </c>
      <c r="U273" t="str">
        <f>IFERROR(VLOOKUP(C273,Inventory!$A$2:$C$35,2,FALSE()),"")</f>
        <v/>
      </c>
      <c r="V273" t="str">
        <f>IFERROR(VLOOKUP(C273,Inventory!$A$2:$Y$35,22,FALSE()),"")</f>
        <v/>
      </c>
      <c r="W273" t="str">
        <f>IFERROR(VLOOKUP(C273,Inventory!$A$2:$AB$35,25,FALSE()),"")</f>
        <v/>
      </c>
    </row>
    <row r="274" spans="1:23" ht="15" customHeight="1" x14ac:dyDescent="0.25">
      <c r="A274" t="str">
        <f t="shared" si="28"/>
        <v/>
      </c>
      <c r="B274" s="29"/>
      <c r="F274" s="45"/>
      <c r="G274" s="45"/>
      <c r="H274" s="45"/>
      <c r="I274" s="30">
        <f t="shared" si="29"/>
        <v>0</v>
      </c>
      <c r="J274" s="45">
        <f t="shared" si="30"/>
        <v>0</v>
      </c>
      <c r="K274" s="45">
        <f t="shared" si="31"/>
        <v>0</v>
      </c>
      <c r="L274" s="45"/>
      <c r="M274" s="45"/>
      <c r="N274" s="45">
        <f t="shared" si="32"/>
        <v>0</v>
      </c>
      <c r="O274" s="45">
        <f>IFERROR(VLOOKUP(C274,Inventory!$A$2:$N$35,13,FALSE()),0)</f>
        <v>0</v>
      </c>
      <c r="P274" s="45">
        <f t="shared" si="33"/>
        <v>0</v>
      </c>
      <c r="Q274" s="30">
        <f t="shared" si="34"/>
        <v>0</v>
      </c>
      <c r="R274" t="str">
        <f>IFERROR(IF(AND(ISNUMBER(B274),C274&lt;&gt;""),B274-VLOOKUP(C274,Inventory!$A$2:$AE$35,29,FALSE()),""),"")</f>
        <v/>
      </c>
      <c r="U274" t="str">
        <f>IFERROR(VLOOKUP(C274,Inventory!$A$2:$C$35,2,FALSE()),"")</f>
        <v/>
      </c>
      <c r="V274" t="str">
        <f>IFERROR(VLOOKUP(C274,Inventory!$A$2:$Y$35,22,FALSE()),"")</f>
        <v/>
      </c>
      <c r="W274" t="str">
        <f>IFERROR(VLOOKUP(C274,Inventory!$A$2:$AB$35,25,FALSE()),"")</f>
        <v/>
      </c>
    </row>
    <row r="275" spans="1:23" ht="15" customHeight="1" x14ac:dyDescent="0.25">
      <c r="A275" t="str">
        <f t="shared" si="28"/>
        <v/>
      </c>
      <c r="B275" s="29"/>
      <c r="F275" s="45"/>
      <c r="G275" s="45"/>
      <c r="H275" s="45"/>
      <c r="I275" s="30">
        <f t="shared" si="29"/>
        <v>0</v>
      </c>
      <c r="J275" s="45">
        <f t="shared" si="30"/>
        <v>0</v>
      </c>
      <c r="K275" s="45">
        <f t="shared" si="31"/>
        <v>0</v>
      </c>
      <c r="L275" s="45"/>
      <c r="M275" s="45"/>
      <c r="N275" s="45">
        <f t="shared" si="32"/>
        <v>0</v>
      </c>
      <c r="O275" s="45">
        <f>IFERROR(VLOOKUP(C275,Inventory!$A$2:$N$35,13,FALSE()),0)</f>
        <v>0</v>
      </c>
      <c r="P275" s="45">
        <f t="shared" si="33"/>
        <v>0</v>
      </c>
      <c r="Q275" s="30">
        <f t="shared" si="34"/>
        <v>0</v>
      </c>
      <c r="R275" t="str">
        <f>IFERROR(IF(AND(ISNUMBER(B275),C275&lt;&gt;""),B275-VLOOKUP(C275,Inventory!$A$2:$AE$35,29,FALSE()),""),"")</f>
        <v/>
      </c>
      <c r="U275" t="str">
        <f>IFERROR(VLOOKUP(C275,Inventory!$A$2:$C$35,2,FALSE()),"")</f>
        <v/>
      </c>
      <c r="V275" t="str">
        <f>IFERROR(VLOOKUP(C275,Inventory!$A$2:$Y$35,22,FALSE()),"")</f>
        <v/>
      </c>
      <c r="W275" t="str">
        <f>IFERROR(VLOOKUP(C275,Inventory!$A$2:$AB$35,25,FALSE()),"")</f>
        <v/>
      </c>
    </row>
    <row r="276" spans="1:23" ht="15" customHeight="1" x14ac:dyDescent="0.25">
      <c r="A276" t="str">
        <f t="shared" si="28"/>
        <v/>
      </c>
      <c r="B276" s="29"/>
      <c r="F276" s="45"/>
      <c r="G276" s="45"/>
      <c r="H276" s="45"/>
      <c r="I276" s="30">
        <f t="shared" si="29"/>
        <v>0</v>
      </c>
      <c r="J276" s="45">
        <f t="shared" si="30"/>
        <v>0</v>
      </c>
      <c r="K276" s="45">
        <f t="shared" si="31"/>
        <v>0</v>
      </c>
      <c r="L276" s="45"/>
      <c r="M276" s="45"/>
      <c r="N276" s="45">
        <f t="shared" si="32"/>
        <v>0</v>
      </c>
      <c r="O276" s="45">
        <f>IFERROR(VLOOKUP(C276,Inventory!$A$2:$N$35,13,FALSE()),0)</f>
        <v>0</v>
      </c>
      <c r="P276" s="45">
        <f t="shared" si="33"/>
        <v>0</v>
      </c>
      <c r="Q276" s="30">
        <f t="shared" si="34"/>
        <v>0</v>
      </c>
      <c r="R276" t="str">
        <f>IFERROR(IF(AND(ISNUMBER(B276),C276&lt;&gt;""),B276-VLOOKUP(C276,Inventory!$A$2:$AE$35,29,FALSE()),""),"")</f>
        <v/>
      </c>
      <c r="U276" t="str">
        <f>IFERROR(VLOOKUP(C276,Inventory!$A$2:$C$35,2,FALSE()),"")</f>
        <v/>
      </c>
      <c r="V276" t="str">
        <f>IFERROR(VLOOKUP(C276,Inventory!$A$2:$Y$35,22,FALSE()),"")</f>
        <v/>
      </c>
      <c r="W276" t="str">
        <f>IFERROR(VLOOKUP(C276,Inventory!$A$2:$AB$35,25,FALSE()),"")</f>
        <v/>
      </c>
    </row>
    <row r="277" spans="1:23" ht="15" customHeight="1" x14ac:dyDescent="0.25">
      <c r="A277" t="str">
        <f t="shared" si="28"/>
        <v/>
      </c>
      <c r="B277" s="29"/>
      <c r="F277" s="45"/>
      <c r="G277" s="45"/>
      <c r="H277" s="45"/>
      <c r="I277" s="30">
        <f t="shared" si="29"/>
        <v>0</v>
      </c>
      <c r="J277" s="45">
        <f t="shared" si="30"/>
        <v>0</v>
      </c>
      <c r="K277" s="45">
        <f t="shared" si="31"/>
        <v>0</v>
      </c>
      <c r="L277" s="45"/>
      <c r="M277" s="45"/>
      <c r="N277" s="45">
        <f t="shared" si="32"/>
        <v>0</v>
      </c>
      <c r="O277" s="45">
        <f>IFERROR(VLOOKUP(C277,Inventory!$A$2:$N$35,13,FALSE()),0)</f>
        <v>0</v>
      </c>
      <c r="P277" s="45">
        <f t="shared" si="33"/>
        <v>0</v>
      </c>
      <c r="Q277" s="30">
        <f t="shared" si="34"/>
        <v>0</v>
      </c>
      <c r="R277" t="str">
        <f>IFERROR(IF(AND(ISNUMBER(B277),C277&lt;&gt;""),B277-VLOOKUP(C277,Inventory!$A$2:$AE$35,29,FALSE()),""),"")</f>
        <v/>
      </c>
      <c r="U277" t="str">
        <f>IFERROR(VLOOKUP(C277,Inventory!$A$2:$C$35,2,FALSE()),"")</f>
        <v/>
      </c>
      <c r="V277" t="str">
        <f>IFERROR(VLOOKUP(C277,Inventory!$A$2:$Y$35,22,FALSE()),"")</f>
        <v/>
      </c>
      <c r="W277" t="str">
        <f>IFERROR(VLOOKUP(C277,Inventory!$A$2:$AB$35,25,FALSE()),"")</f>
        <v/>
      </c>
    </row>
    <row r="278" spans="1:23" ht="15" customHeight="1" x14ac:dyDescent="0.25">
      <c r="A278" t="str">
        <f t="shared" si="28"/>
        <v/>
      </c>
      <c r="B278" s="29"/>
      <c r="F278" s="45"/>
      <c r="G278" s="45"/>
      <c r="H278" s="45"/>
      <c r="I278" s="30">
        <f t="shared" si="29"/>
        <v>0</v>
      </c>
      <c r="J278" s="45">
        <f t="shared" si="30"/>
        <v>0</v>
      </c>
      <c r="K278" s="45">
        <f t="shared" si="31"/>
        <v>0</v>
      </c>
      <c r="L278" s="45"/>
      <c r="M278" s="45"/>
      <c r="N278" s="45">
        <f t="shared" si="32"/>
        <v>0</v>
      </c>
      <c r="O278" s="45">
        <f>IFERROR(VLOOKUP(C278,Inventory!$A$2:$N$35,13,FALSE()),0)</f>
        <v>0</v>
      </c>
      <c r="P278" s="45">
        <f t="shared" si="33"/>
        <v>0</v>
      </c>
      <c r="Q278" s="30">
        <f t="shared" si="34"/>
        <v>0</v>
      </c>
      <c r="R278" t="str">
        <f>IFERROR(IF(AND(ISNUMBER(B278),C278&lt;&gt;""),B278-VLOOKUP(C278,Inventory!$A$2:$AE$35,29,FALSE()),""),"")</f>
        <v/>
      </c>
      <c r="U278" t="str">
        <f>IFERROR(VLOOKUP(C278,Inventory!$A$2:$C$35,2,FALSE()),"")</f>
        <v/>
      </c>
      <c r="V278" t="str">
        <f>IFERROR(VLOOKUP(C278,Inventory!$A$2:$Y$35,22,FALSE()),"")</f>
        <v/>
      </c>
      <c r="W278" t="str">
        <f>IFERROR(VLOOKUP(C278,Inventory!$A$2:$AB$35,25,FALSE()),"")</f>
        <v/>
      </c>
    </row>
    <row r="279" spans="1:23" ht="15" customHeight="1" x14ac:dyDescent="0.25">
      <c r="A279" t="str">
        <f t="shared" si="28"/>
        <v/>
      </c>
      <c r="B279" s="29"/>
      <c r="F279" s="45"/>
      <c r="G279" s="45"/>
      <c r="H279" s="45"/>
      <c r="I279" s="30">
        <f t="shared" si="29"/>
        <v>0</v>
      </c>
      <c r="J279" s="45">
        <f t="shared" si="30"/>
        <v>0</v>
      </c>
      <c r="K279" s="45">
        <f t="shared" si="31"/>
        <v>0</v>
      </c>
      <c r="L279" s="45"/>
      <c r="M279" s="45"/>
      <c r="N279" s="45">
        <f t="shared" si="32"/>
        <v>0</v>
      </c>
      <c r="O279" s="45">
        <f>IFERROR(VLOOKUP(C279,Inventory!$A$2:$N$35,13,FALSE()),0)</f>
        <v>0</v>
      </c>
      <c r="P279" s="45">
        <f t="shared" si="33"/>
        <v>0</v>
      </c>
      <c r="Q279" s="30">
        <f t="shared" si="34"/>
        <v>0</v>
      </c>
      <c r="R279" t="str">
        <f>IFERROR(IF(AND(ISNUMBER(B279),C279&lt;&gt;""),B279-VLOOKUP(C279,Inventory!$A$2:$AE$35,29,FALSE()),""),"")</f>
        <v/>
      </c>
      <c r="U279" t="str">
        <f>IFERROR(VLOOKUP(C279,Inventory!$A$2:$C$35,2,FALSE()),"")</f>
        <v/>
      </c>
      <c r="V279" t="str">
        <f>IFERROR(VLOOKUP(C279,Inventory!$A$2:$Y$35,22,FALSE()),"")</f>
        <v/>
      </c>
      <c r="W279" t="str">
        <f>IFERROR(VLOOKUP(C279,Inventory!$A$2:$AB$35,25,FALSE()),"")</f>
        <v/>
      </c>
    </row>
    <row r="280" spans="1:23" ht="15" customHeight="1" x14ac:dyDescent="0.25">
      <c r="A280" t="str">
        <f t="shared" si="28"/>
        <v/>
      </c>
      <c r="B280" s="29"/>
      <c r="F280" s="45"/>
      <c r="G280" s="45"/>
      <c r="H280" s="45"/>
      <c r="I280" s="30">
        <f t="shared" si="29"/>
        <v>0</v>
      </c>
      <c r="J280" s="45">
        <f t="shared" si="30"/>
        <v>0</v>
      </c>
      <c r="K280" s="45">
        <f t="shared" si="31"/>
        <v>0</v>
      </c>
      <c r="L280" s="45"/>
      <c r="M280" s="45"/>
      <c r="N280" s="45">
        <f t="shared" si="32"/>
        <v>0</v>
      </c>
      <c r="O280" s="45">
        <f>IFERROR(VLOOKUP(C280,Inventory!$A$2:$N$35,13,FALSE()),0)</f>
        <v>0</v>
      </c>
      <c r="P280" s="45">
        <f t="shared" si="33"/>
        <v>0</v>
      </c>
      <c r="Q280" s="30">
        <f t="shared" si="34"/>
        <v>0</v>
      </c>
      <c r="R280" t="str">
        <f>IFERROR(IF(AND(ISNUMBER(B280),C280&lt;&gt;""),B280-VLOOKUP(C280,Inventory!$A$2:$AE$35,29,FALSE()),""),"")</f>
        <v/>
      </c>
      <c r="U280" t="str">
        <f>IFERROR(VLOOKUP(C280,Inventory!$A$2:$C$35,2,FALSE()),"")</f>
        <v/>
      </c>
      <c r="V280" t="str">
        <f>IFERROR(VLOOKUP(C280,Inventory!$A$2:$Y$35,22,FALSE()),"")</f>
        <v/>
      </c>
      <c r="W280" t="str">
        <f>IFERROR(VLOOKUP(C280,Inventory!$A$2:$AB$35,25,FALSE()),"")</f>
        <v/>
      </c>
    </row>
    <row r="281" spans="1:23" ht="15" customHeight="1" x14ac:dyDescent="0.25">
      <c r="A281" t="str">
        <f t="shared" si="28"/>
        <v/>
      </c>
      <c r="B281" s="29"/>
      <c r="F281" s="45"/>
      <c r="G281" s="45"/>
      <c r="H281" s="45"/>
      <c r="I281" s="30">
        <f t="shared" si="29"/>
        <v>0</v>
      </c>
      <c r="J281" s="45">
        <f t="shared" si="30"/>
        <v>0</v>
      </c>
      <c r="K281" s="45">
        <f t="shared" si="31"/>
        <v>0</v>
      </c>
      <c r="L281" s="45"/>
      <c r="M281" s="45"/>
      <c r="N281" s="45">
        <f t="shared" si="32"/>
        <v>0</v>
      </c>
      <c r="O281" s="45">
        <f>IFERROR(VLOOKUP(C281,Inventory!$A$2:$N$35,13,FALSE()),0)</f>
        <v>0</v>
      </c>
      <c r="P281" s="45">
        <f t="shared" si="33"/>
        <v>0</v>
      </c>
      <c r="Q281" s="30">
        <f t="shared" si="34"/>
        <v>0</v>
      </c>
      <c r="R281" t="str">
        <f>IFERROR(IF(AND(ISNUMBER(B281),C281&lt;&gt;""),B281-VLOOKUP(C281,Inventory!$A$2:$AE$35,29,FALSE()),""),"")</f>
        <v/>
      </c>
      <c r="U281" t="str">
        <f>IFERROR(VLOOKUP(C281,Inventory!$A$2:$C$35,2,FALSE()),"")</f>
        <v/>
      </c>
      <c r="V281" t="str">
        <f>IFERROR(VLOOKUP(C281,Inventory!$A$2:$Y$35,22,FALSE()),"")</f>
        <v/>
      </c>
      <c r="W281" t="str">
        <f>IFERROR(VLOOKUP(C281,Inventory!$A$2:$AB$35,25,FALSE()),"")</f>
        <v/>
      </c>
    </row>
    <row r="282" spans="1:23" ht="15" customHeight="1" x14ac:dyDescent="0.25">
      <c r="A282" t="str">
        <f t="shared" si="28"/>
        <v/>
      </c>
      <c r="B282" s="29"/>
      <c r="F282" s="45"/>
      <c r="G282" s="45"/>
      <c r="H282" s="45"/>
      <c r="I282" s="30">
        <f t="shared" si="29"/>
        <v>0</v>
      </c>
      <c r="J282" s="45">
        <f t="shared" si="30"/>
        <v>0</v>
      </c>
      <c r="K282" s="45">
        <f t="shared" si="31"/>
        <v>0</v>
      </c>
      <c r="L282" s="45"/>
      <c r="M282" s="45"/>
      <c r="N282" s="45">
        <f t="shared" si="32"/>
        <v>0</v>
      </c>
      <c r="O282" s="45">
        <f>IFERROR(VLOOKUP(C282,Inventory!$A$2:$N$35,13,FALSE()),0)</f>
        <v>0</v>
      </c>
      <c r="P282" s="45">
        <f t="shared" si="33"/>
        <v>0</v>
      </c>
      <c r="Q282" s="30">
        <f t="shared" si="34"/>
        <v>0</v>
      </c>
      <c r="R282" t="str">
        <f>IFERROR(IF(AND(ISNUMBER(B282),C282&lt;&gt;""),B282-VLOOKUP(C282,Inventory!$A$2:$AE$35,29,FALSE()),""),"")</f>
        <v/>
      </c>
      <c r="U282" t="str">
        <f>IFERROR(VLOOKUP(C282,Inventory!$A$2:$C$35,2,FALSE()),"")</f>
        <v/>
      </c>
      <c r="V282" t="str">
        <f>IFERROR(VLOOKUP(C282,Inventory!$A$2:$Y$35,22,FALSE()),"")</f>
        <v/>
      </c>
      <c r="W282" t="str">
        <f>IFERROR(VLOOKUP(C282,Inventory!$A$2:$AB$35,25,FALSE()),"")</f>
        <v/>
      </c>
    </row>
    <row r="283" spans="1:23" ht="15" customHeight="1" x14ac:dyDescent="0.25">
      <c r="A283" t="str">
        <f t="shared" si="28"/>
        <v/>
      </c>
      <c r="B283" s="29"/>
      <c r="F283" s="45"/>
      <c r="G283" s="45"/>
      <c r="H283" s="45"/>
      <c r="I283" s="30">
        <f t="shared" si="29"/>
        <v>0</v>
      </c>
      <c r="J283" s="45">
        <f t="shared" si="30"/>
        <v>0</v>
      </c>
      <c r="K283" s="45">
        <f t="shared" si="31"/>
        <v>0</v>
      </c>
      <c r="L283" s="45"/>
      <c r="M283" s="45"/>
      <c r="N283" s="45">
        <f t="shared" si="32"/>
        <v>0</v>
      </c>
      <c r="O283" s="45">
        <f>IFERROR(VLOOKUP(C283,Inventory!$A$2:$N$35,13,FALSE()),0)</f>
        <v>0</v>
      </c>
      <c r="P283" s="45">
        <f t="shared" si="33"/>
        <v>0</v>
      </c>
      <c r="Q283" s="30">
        <f t="shared" si="34"/>
        <v>0</v>
      </c>
      <c r="R283" t="str">
        <f>IFERROR(IF(AND(ISNUMBER(B283),C283&lt;&gt;""),B283-VLOOKUP(C283,Inventory!$A$2:$AE$35,29,FALSE()),""),"")</f>
        <v/>
      </c>
      <c r="U283" t="str">
        <f>IFERROR(VLOOKUP(C283,Inventory!$A$2:$C$35,2,FALSE()),"")</f>
        <v/>
      </c>
      <c r="V283" t="str">
        <f>IFERROR(VLOOKUP(C283,Inventory!$A$2:$Y$35,22,FALSE()),"")</f>
        <v/>
      </c>
      <c r="W283" t="str">
        <f>IFERROR(VLOOKUP(C283,Inventory!$A$2:$AB$35,25,FALSE()),"")</f>
        <v/>
      </c>
    </row>
    <row r="284" spans="1:23" ht="15" customHeight="1" x14ac:dyDescent="0.25">
      <c r="A284" t="str">
        <f t="shared" si="28"/>
        <v/>
      </c>
      <c r="B284" s="29"/>
      <c r="F284" s="45"/>
      <c r="G284" s="45"/>
      <c r="H284" s="45"/>
      <c r="I284" s="30">
        <f t="shared" si="29"/>
        <v>0</v>
      </c>
      <c r="J284" s="45">
        <f t="shared" si="30"/>
        <v>0</v>
      </c>
      <c r="K284" s="45">
        <f t="shared" si="31"/>
        <v>0</v>
      </c>
      <c r="L284" s="45"/>
      <c r="M284" s="45"/>
      <c r="N284" s="45">
        <f t="shared" si="32"/>
        <v>0</v>
      </c>
      <c r="O284" s="45">
        <f>IFERROR(VLOOKUP(C284,Inventory!$A$2:$N$35,13,FALSE()),0)</f>
        <v>0</v>
      </c>
      <c r="P284" s="45">
        <f t="shared" si="33"/>
        <v>0</v>
      </c>
      <c r="Q284" s="30">
        <f t="shared" si="34"/>
        <v>0</v>
      </c>
      <c r="R284" t="str">
        <f>IFERROR(IF(AND(ISNUMBER(B284),C284&lt;&gt;""),B284-VLOOKUP(C284,Inventory!$A$2:$AE$35,29,FALSE()),""),"")</f>
        <v/>
      </c>
      <c r="U284" t="str">
        <f>IFERROR(VLOOKUP(C284,Inventory!$A$2:$C$35,2,FALSE()),"")</f>
        <v/>
      </c>
      <c r="V284" t="str">
        <f>IFERROR(VLOOKUP(C284,Inventory!$A$2:$Y$35,22,FALSE()),"")</f>
        <v/>
      </c>
      <c r="W284" t="str">
        <f>IFERROR(VLOOKUP(C284,Inventory!$A$2:$AB$35,25,FALSE()),"")</f>
        <v/>
      </c>
    </row>
    <row r="285" spans="1:23" ht="15" customHeight="1" x14ac:dyDescent="0.25">
      <c r="A285" t="str">
        <f t="shared" si="28"/>
        <v/>
      </c>
      <c r="B285" s="29"/>
      <c r="F285" s="45"/>
      <c r="G285" s="45"/>
      <c r="H285" s="45"/>
      <c r="I285" s="30">
        <f t="shared" si="29"/>
        <v>0</v>
      </c>
      <c r="J285" s="45">
        <f t="shared" si="30"/>
        <v>0</v>
      </c>
      <c r="K285" s="45">
        <f t="shared" si="31"/>
        <v>0</v>
      </c>
      <c r="L285" s="45"/>
      <c r="M285" s="45"/>
      <c r="N285" s="45">
        <f t="shared" si="32"/>
        <v>0</v>
      </c>
      <c r="O285" s="45">
        <f>IFERROR(VLOOKUP(C285,Inventory!$A$2:$N$35,13,FALSE()),0)</f>
        <v>0</v>
      </c>
      <c r="P285" s="45">
        <f t="shared" si="33"/>
        <v>0</v>
      </c>
      <c r="Q285" s="30">
        <f t="shared" si="34"/>
        <v>0</v>
      </c>
      <c r="R285" t="str">
        <f>IFERROR(IF(AND(ISNUMBER(B285),C285&lt;&gt;""),B285-VLOOKUP(C285,Inventory!$A$2:$AE$35,29,FALSE()),""),"")</f>
        <v/>
      </c>
      <c r="U285" t="str">
        <f>IFERROR(VLOOKUP(C285,Inventory!$A$2:$C$35,2,FALSE()),"")</f>
        <v/>
      </c>
      <c r="V285" t="str">
        <f>IFERROR(VLOOKUP(C285,Inventory!$A$2:$Y$35,22,FALSE()),"")</f>
        <v/>
      </c>
      <c r="W285" t="str">
        <f>IFERROR(VLOOKUP(C285,Inventory!$A$2:$AB$35,25,FALSE()),"")</f>
        <v/>
      </c>
    </row>
    <row r="286" spans="1:23" ht="15" customHeight="1" x14ac:dyDescent="0.25">
      <c r="A286" t="str">
        <f t="shared" si="28"/>
        <v/>
      </c>
      <c r="B286" s="29"/>
      <c r="F286" s="45"/>
      <c r="G286" s="45"/>
      <c r="H286" s="45"/>
      <c r="I286" s="30">
        <f t="shared" si="29"/>
        <v>0</v>
      </c>
      <c r="J286" s="45">
        <f t="shared" si="30"/>
        <v>0</v>
      </c>
      <c r="K286" s="45">
        <f t="shared" si="31"/>
        <v>0</v>
      </c>
      <c r="L286" s="45"/>
      <c r="M286" s="45"/>
      <c r="N286" s="45">
        <f t="shared" si="32"/>
        <v>0</v>
      </c>
      <c r="O286" s="45">
        <f>IFERROR(VLOOKUP(C286,Inventory!$A$2:$N$35,13,FALSE()),0)</f>
        <v>0</v>
      </c>
      <c r="P286" s="45">
        <f t="shared" si="33"/>
        <v>0</v>
      </c>
      <c r="Q286" s="30">
        <f t="shared" si="34"/>
        <v>0</v>
      </c>
      <c r="R286" t="str">
        <f>IFERROR(IF(AND(ISNUMBER(B286),C286&lt;&gt;""),B286-VLOOKUP(C286,Inventory!$A$2:$AE$35,29,FALSE()),""),"")</f>
        <v/>
      </c>
      <c r="U286" t="str">
        <f>IFERROR(VLOOKUP(C286,Inventory!$A$2:$C$35,2,FALSE()),"")</f>
        <v/>
      </c>
      <c r="V286" t="str">
        <f>IFERROR(VLOOKUP(C286,Inventory!$A$2:$Y$35,22,FALSE()),"")</f>
        <v/>
      </c>
      <c r="W286" t="str">
        <f>IFERROR(VLOOKUP(C286,Inventory!$A$2:$AB$35,25,FALSE()),"")</f>
        <v/>
      </c>
    </row>
    <row r="287" spans="1:23" ht="15" customHeight="1" x14ac:dyDescent="0.25">
      <c r="A287" t="str">
        <f t="shared" si="28"/>
        <v/>
      </c>
      <c r="B287" s="29"/>
      <c r="F287" s="45"/>
      <c r="G287" s="45"/>
      <c r="H287" s="45"/>
      <c r="I287" s="30">
        <f t="shared" si="29"/>
        <v>0</v>
      </c>
      <c r="J287" s="45">
        <f t="shared" si="30"/>
        <v>0</v>
      </c>
      <c r="K287" s="45">
        <f t="shared" si="31"/>
        <v>0</v>
      </c>
      <c r="L287" s="45"/>
      <c r="M287" s="45"/>
      <c r="N287" s="45">
        <f t="shared" si="32"/>
        <v>0</v>
      </c>
      <c r="O287" s="45">
        <f>IFERROR(VLOOKUP(C287,Inventory!$A$2:$N$35,13,FALSE()),0)</f>
        <v>0</v>
      </c>
      <c r="P287" s="45">
        <f t="shared" si="33"/>
        <v>0</v>
      </c>
      <c r="Q287" s="30">
        <f t="shared" si="34"/>
        <v>0</v>
      </c>
      <c r="R287" t="str">
        <f>IFERROR(IF(AND(ISNUMBER(B287),C287&lt;&gt;""),B287-VLOOKUP(C287,Inventory!$A$2:$AE$35,29,FALSE()),""),"")</f>
        <v/>
      </c>
      <c r="U287" t="str">
        <f>IFERROR(VLOOKUP(C287,Inventory!$A$2:$C$35,2,FALSE()),"")</f>
        <v/>
      </c>
      <c r="V287" t="str">
        <f>IFERROR(VLOOKUP(C287,Inventory!$A$2:$Y$35,22,FALSE()),"")</f>
        <v/>
      </c>
      <c r="W287" t="str">
        <f>IFERROR(VLOOKUP(C287,Inventory!$A$2:$AB$35,25,FALSE()),"")</f>
        <v/>
      </c>
    </row>
    <row r="288" spans="1:23" ht="15" customHeight="1" x14ac:dyDescent="0.25">
      <c r="A288" t="str">
        <f t="shared" si="28"/>
        <v/>
      </c>
      <c r="B288" s="29"/>
      <c r="F288" s="45"/>
      <c r="G288" s="45"/>
      <c r="H288" s="45"/>
      <c r="I288" s="30">
        <f t="shared" si="29"/>
        <v>0</v>
      </c>
      <c r="J288" s="45">
        <f t="shared" si="30"/>
        <v>0</v>
      </c>
      <c r="K288" s="45">
        <f t="shared" si="31"/>
        <v>0</v>
      </c>
      <c r="L288" s="45"/>
      <c r="M288" s="45"/>
      <c r="N288" s="45">
        <f t="shared" si="32"/>
        <v>0</v>
      </c>
      <c r="O288" s="45">
        <f>IFERROR(VLOOKUP(C288,Inventory!$A$2:$N$35,13,FALSE()),0)</f>
        <v>0</v>
      </c>
      <c r="P288" s="45">
        <f t="shared" si="33"/>
        <v>0</v>
      </c>
      <c r="Q288" s="30">
        <f t="shared" si="34"/>
        <v>0</v>
      </c>
      <c r="R288" t="str">
        <f>IFERROR(IF(AND(ISNUMBER(B288),C288&lt;&gt;""),B288-VLOOKUP(C288,Inventory!$A$2:$AE$35,29,FALSE()),""),"")</f>
        <v/>
      </c>
      <c r="U288" t="str">
        <f>IFERROR(VLOOKUP(C288,Inventory!$A$2:$C$35,2,FALSE()),"")</f>
        <v/>
      </c>
      <c r="V288" t="str">
        <f>IFERROR(VLOOKUP(C288,Inventory!$A$2:$Y$35,22,FALSE()),"")</f>
        <v/>
      </c>
      <c r="W288" t="str">
        <f>IFERROR(VLOOKUP(C288,Inventory!$A$2:$AB$35,25,FALSE()),"")</f>
        <v/>
      </c>
    </row>
    <row r="289" spans="1:23" ht="15" customHeight="1" x14ac:dyDescent="0.25">
      <c r="A289" t="str">
        <f t="shared" si="28"/>
        <v/>
      </c>
      <c r="B289" s="29"/>
      <c r="F289" s="45"/>
      <c r="G289" s="45"/>
      <c r="H289" s="45"/>
      <c r="I289" s="30">
        <f t="shared" si="29"/>
        <v>0</v>
      </c>
      <c r="J289" s="45">
        <f t="shared" si="30"/>
        <v>0</v>
      </c>
      <c r="K289" s="45">
        <f t="shared" si="31"/>
        <v>0</v>
      </c>
      <c r="L289" s="45"/>
      <c r="M289" s="45"/>
      <c r="N289" s="45">
        <f t="shared" si="32"/>
        <v>0</v>
      </c>
      <c r="O289" s="45">
        <f>IFERROR(VLOOKUP(C289,Inventory!$A$2:$N$35,13,FALSE()),0)</f>
        <v>0</v>
      </c>
      <c r="P289" s="45">
        <f t="shared" si="33"/>
        <v>0</v>
      </c>
      <c r="Q289" s="30">
        <f t="shared" si="34"/>
        <v>0</v>
      </c>
      <c r="R289" t="str">
        <f>IFERROR(IF(AND(ISNUMBER(B289),C289&lt;&gt;""),B289-VLOOKUP(C289,Inventory!$A$2:$AE$35,29,FALSE()),""),"")</f>
        <v/>
      </c>
      <c r="U289" t="str">
        <f>IFERROR(VLOOKUP(C289,Inventory!$A$2:$C$35,2,FALSE()),"")</f>
        <v/>
      </c>
      <c r="V289" t="str">
        <f>IFERROR(VLOOKUP(C289,Inventory!$A$2:$Y$35,22,FALSE()),"")</f>
        <v/>
      </c>
      <c r="W289" t="str">
        <f>IFERROR(VLOOKUP(C289,Inventory!$A$2:$AB$35,25,FALSE()),"")</f>
        <v/>
      </c>
    </row>
    <row r="290" spans="1:23" ht="15" customHeight="1" x14ac:dyDescent="0.25">
      <c r="A290" t="str">
        <f t="shared" si="28"/>
        <v/>
      </c>
      <c r="B290" s="29"/>
      <c r="F290" s="45"/>
      <c r="G290" s="45"/>
      <c r="H290" s="45"/>
      <c r="I290" s="30">
        <f t="shared" si="29"/>
        <v>0</v>
      </c>
      <c r="J290" s="45">
        <f t="shared" si="30"/>
        <v>0</v>
      </c>
      <c r="K290" s="45">
        <f t="shared" si="31"/>
        <v>0</v>
      </c>
      <c r="L290" s="45"/>
      <c r="M290" s="45"/>
      <c r="N290" s="45">
        <f t="shared" si="32"/>
        <v>0</v>
      </c>
      <c r="O290" s="45">
        <f>IFERROR(VLOOKUP(C290,Inventory!$A$2:$N$35,13,FALSE()),0)</f>
        <v>0</v>
      </c>
      <c r="P290" s="45">
        <f t="shared" si="33"/>
        <v>0</v>
      </c>
      <c r="Q290" s="30">
        <f t="shared" si="34"/>
        <v>0</v>
      </c>
      <c r="R290" t="str">
        <f>IFERROR(IF(AND(ISNUMBER(B290),C290&lt;&gt;""),B290-VLOOKUP(C290,Inventory!$A$2:$AE$35,29,FALSE()),""),"")</f>
        <v/>
      </c>
      <c r="U290" t="str">
        <f>IFERROR(VLOOKUP(C290,Inventory!$A$2:$C$35,2,FALSE()),"")</f>
        <v/>
      </c>
      <c r="V290" t="str">
        <f>IFERROR(VLOOKUP(C290,Inventory!$A$2:$Y$35,22,FALSE()),"")</f>
        <v/>
      </c>
      <c r="W290" t="str">
        <f>IFERROR(VLOOKUP(C290,Inventory!$A$2:$AB$35,25,FALSE()),"")</f>
        <v/>
      </c>
    </row>
    <row r="291" spans="1:23" ht="15" customHeight="1" x14ac:dyDescent="0.25">
      <c r="A291" t="str">
        <f t="shared" si="28"/>
        <v/>
      </c>
      <c r="B291" s="29"/>
      <c r="F291" s="45"/>
      <c r="G291" s="45"/>
      <c r="H291" s="45"/>
      <c r="I291" s="30">
        <f t="shared" si="29"/>
        <v>0</v>
      </c>
      <c r="J291" s="45">
        <f t="shared" si="30"/>
        <v>0</v>
      </c>
      <c r="K291" s="45">
        <f t="shared" si="31"/>
        <v>0</v>
      </c>
      <c r="L291" s="45"/>
      <c r="M291" s="45"/>
      <c r="N291" s="45">
        <f t="shared" si="32"/>
        <v>0</v>
      </c>
      <c r="O291" s="45">
        <f>IFERROR(VLOOKUP(C291,Inventory!$A$2:$N$35,13,FALSE()),0)</f>
        <v>0</v>
      </c>
      <c r="P291" s="45">
        <f t="shared" si="33"/>
        <v>0</v>
      </c>
      <c r="Q291" s="30">
        <f t="shared" si="34"/>
        <v>0</v>
      </c>
      <c r="R291" t="str">
        <f>IFERROR(IF(AND(ISNUMBER(B291),C291&lt;&gt;""),B291-VLOOKUP(C291,Inventory!$A$2:$AE$35,29,FALSE()),""),"")</f>
        <v/>
      </c>
      <c r="U291" t="str">
        <f>IFERROR(VLOOKUP(C291,Inventory!$A$2:$C$35,2,FALSE()),"")</f>
        <v/>
      </c>
      <c r="V291" t="str">
        <f>IFERROR(VLOOKUP(C291,Inventory!$A$2:$Y$35,22,FALSE()),"")</f>
        <v/>
      </c>
      <c r="W291" t="str">
        <f>IFERROR(VLOOKUP(C291,Inventory!$A$2:$AB$35,25,FALSE()),"")</f>
        <v/>
      </c>
    </row>
    <row r="292" spans="1:23" ht="15" customHeight="1" x14ac:dyDescent="0.25">
      <c r="A292" t="str">
        <f t="shared" si="28"/>
        <v/>
      </c>
      <c r="B292" s="29"/>
      <c r="F292" s="45"/>
      <c r="G292" s="45"/>
      <c r="H292" s="45"/>
      <c r="I292" s="30">
        <f t="shared" si="29"/>
        <v>0</v>
      </c>
      <c r="J292" s="45">
        <f t="shared" si="30"/>
        <v>0</v>
      </c>
      <c r="K292" s="45">
        <f t="shared" si="31"/>
        <v>0</v>
      </c>
      <c r="L292" s="45"/>
      <c r="M292" s="45"/>
      <c r="N292" s="45">
        <f t="shared" si="32"/>
        <v>0</v>
      </c>
      <c r="O292" s="45">
        <f>IFERROR(VLOOKUP(C292,Inventory!$A$2:$N$35,13,FALSE()),0)</f>
        <v>0</v>
      </c>
      <c r="P292" s="45">
        <f t="shared" si="33"/>
        <v>0</v>
      </c>
      <c r="Q292" s="30">
        <f t="shared" si="34"/>
        <v>0</v>
      </c>
      <c r="R292" t="str">
        <f>IFERROR(IF(AND(ISNUMBER(B292),C292&lt;&gt;""),B292-VLOOKUP(C292,Inventory!$A$2:$AE$35,29,FALSE()),""),"")</f>
        <v/>
      </c>
      <c r="U292" t="str">
        <f>IFERROR(VLOOKUP(C292,Inventory!$A$2:$C$35,2,FALSE()),"")</f>
        <v/>
      </c>
      <c r="V292" t="str">
        <f>IFERROR(VLOOKUP(C292,Inventory!$A$2:$Y$35,22,FALSE()),"")</f>
        <v/>
      </c>
      <c r="W292" t="str">
        <f>IFERROR(VLOOKUP(C292,Inventory!$A$2:$AB$35,25,FALSE()),"")</f>
        <v/>
      </c>
    </row>
    <row r="293" spans="1:23" ht="15" customHeight="1" x14ac:dyDescent="0.25">
      <c r="A293" t="str">
        <f t="shared" si="28"/>
        <v/>
      </c>
      <c r="B293" s="29"/>
      <c r="F293" s="45"/>
      <c r="G293" s="45"/>
      <c r="H293" s="45"/>
      <c r="I293" s="30">
        <f t="shared" si="29"/>
        <v>0</v>
      </c>
      <c r="J293" s="45">
        <f t="shared" si="30"/>
        <v>0</v>
      </c>
      <c r="K293" s="45">
        <f t="shared" si="31"/>
        <v>0</v>
      </c>
      <c r="L293" s="45"/>
      <c r="M293" s="45"/>
      <c r="N293" s="45">
        <f t="shared" si="32"/>
        <v>0</v>
      </c>
      <c r="O293" s="45">
        <f>IFERROR(VLOOKUP(C293,Inventory!$A$2:$N$35,13,FALSE()),0)</f>
        <v>0</v>
      </c>
      <c r="P293" s="45">
        <f t="shared" si="33"/>
        <v>0</v>
      </c>
      <c r="Q293" s="30">
        <f t="shared" si="34"/>
        <v>0</v>
      </c>
      <c r="R293" t="str">
        <f>IFERROR(IF(AND(ISNUMBER(B293),C293&lt;&gt;""),B293-VLOOKUP(C293,Inventory!$A$2:$AE$35,29,FALSE()),""),"")</f>
        <v/>
      </c>
      <c r="U293" t="str">
        <f>IFERROR(VLOOKUP(C293,Inventory!$A$2:$C$35,2,FALSE()),"")</f>
        <v/>
      </c>
      <c r="V293" t="str">
        <f>IFERROR(VLOOKUP(C293,Inventory!$A$2:$Y$35,22,FALSE()),"")</f>
        <v/>
      </c>
      <c r="W293" t="str">
        <f>IFERROR(VLOOKUP(C293,Inventory!$A$2:$AB$35,25,FALSE()),"")</f>
        <v/>
      </c>
    </row>
    <row r="294" spans="1:23" ht="15" customHeight="1" x14ac:dyDescent="0.25">
      <c r="A294" t="str">
        <f t="shared" si="28"/>
        <v/>
      </c>
      <c r="B294" s="29"/>
      <c r="F294" s="45"/>
      <c r="G294" s="45"/>
      <c r="H294" s="45"/>
      <c r="I294" s="30">
        <f t="shared" si="29"/>
        <v>0</v>
      </c>
      <c r="J294" s="45">
        <f t="shared" si="30"/>
        <v>0</v>
      </c>
      <c r="K294" s="45">
        <f t="shared" si="31"/>
        <v>0</v>
      </c>
      <c r="L294" s="45"/>
      <c r="M294" s="45"/>
      <c r="N294" s="45">
        <f t="shared" si="32"/>
        <v>0</v>
      </c>
      <c r="O294" s="45">
        <f>IFERROR(VLOOKUP(C294,Inventory!$A$2:$N$35,13,FALSE()),0)</f>
        <v>0</v>
      </c>
      <c r="P294" s="45">
        <f t="shared" si="33"/>
        <v>0</v>
      </c>
      <c r="Q294" s="30">
        <f t="shared" si="34"/>
        <v>0</v>
      </c>
      <c r="R294" t="str">
        <f>IFERROR(IF(AND(ISNUMBER(B294),C294&lt;&gt;""),B294-VLOOKUP(C294,Inventory!$A$2:$AE$35,29,FALSE()),""),"")</f>
        <v/>
      </c>
      <c r="U294" t="str">
        <f>IFERROR(VLOOKUP(C294,Inventory!$A$2:$C$35,2,FALSE()),"")</f>
        <v/>
      </c>
      <c r="V294" t="str">
        <f>IFERROR(VLOOKUP(C294,Inventory!$A$2:$Y$35,22,FALSE()),"")</f>
        <v/>
      </c>
      <c r="W294" t="str">
        <f>IFERROR(VLOOKUP(C294,Inventory!$A$2:$AB$35,25,FALSE()),"")</f>
        <v/>
      </c>
    </row>
    <row r="295" spans="1:23" ht="15" customHeight="1" x14ac:dyDescent="0.25">
      <c r="A295" t="str">
        <f t="shared" si="28"/>
        <v/>
      </c>
      <c r="B295" s="29"/>
      <c r="F295" s="45"/>
      <c r="G295" s="45"/>
      <c r="H295" s="45"/>
      <c r="I295" s="30">
        <f t="shared" si="29"/>
        <v>0</v>
      </c>
      <c r="J295" s="45">
        <f t="shared" si="30"/>
        <v>0</v>
      </c>
      <c r="K295" s="45">
        <f t="shared" si="31"/>
        <v>0</v>
      </c>
      <c r="L295" s="45"/>
      <c r="M295" s="45"/>
      <c r="N295" s="45">
        <f t="shared" si="32"/>
        <v>0</v>
      </c>
      <c r="O295" s="45">
        <f>IFERROR(VLOOKUP(C295,Inventory!$A$2:$N$35,13,FALSE()),0)</f>
        <v>0</v>
      </c>
      <c r="P295" s="45">
        <f t="shared" si="33"/>
        <v>0</v>
      </c>
      <c r="Q295" s="30">
        <f t="shared" si="34"/>
        <v>0</v>
      </c>
      <c r="R295" t="str">
        <f>IFERROR(IF(AND(ISNUMBER(B295),C295&lt;&gt;""),B295-VLOOKUP(C295,Inventory!$A$2:$AE$35,29,FALSE()),""),"")</f>
        <v/>
      </c>
      <c r="U295" t="str">
        <f>IFERROR(VLOOKUP(C295,Inventory!$A$2:$C$35,2,FALSE()),"")</f>
        <v/>
      </c>
      <c r="V295" t="str">
        <f>IFERROR(VLOOKUP(C295,Inventory!$A$2:$Y$35,22,FALSE()),"")</f>
        <v/>
      </c>
      <c r="W295" t="str">
        <f>IFERROR(VLOOKUP(C295,Inventory!$A$2:$AB$35,25,FALSE()),"")</f>
        <v/>
      </c>
    </row>
    <row r="296" spans="1:23" ht="15" customHeight="1" x14ac:dyDescent="0.25">
      <c r="A296" t="str">
        <f t="shared" si="28"/>
        <v/>
      </c>
      <c r="B296" s="29"/>
      <c r="F296" s="45"/>
      <c r="G296" s="45"/>
      <c r="H296" s="45"/>
      <c r="I296" s="30">
        <f t="shared" si="29"/>
        <v>0</v>
      </c>
      <c r="J296" s="45">
        <f t="shared" si="30"/>
        <v>0</v>
      </c>
      <c r="K296" s="45">
        <f t="shared" si="31"/>
        <v>0</v>
      </c>
      <c r="L296" s="45"/>
      <c r="M296" s="45"/>
      <c r="N296" s="45">
        <f t="shared" si="32"/>
        <v>0</v>
      </c>
      <c r="O296" s="45">
        <f>IFERROR(VLOOKUP(C296,Inventory!$A$2:$N$35,13,FALSE()),0)</f>
        <v>0</v>
      </c>
      <c r="P296" s="45">
        <f t="shared" si="33"/>
        <v>0</v>
      </c>
      <c r="Q296" s="30">
        <f t="shared" si="34"/>
        <v>0</v>
      </c>
      <c r="R296" t="str">
        <f>IFERROR(IF(AND(ISNUMBER(B296),C296&lt;&gt;""),B296-VLOOKUP(C296,Inventory!$A$2:$AE$35,29,FALSE()),""),"")</f>
        <v/>
      </c>
      <c r="U296" t="str">
        <f>IFERROR(VLOOKUP(C296,Inventory!$A$2:$C$35,2,FALSE()),"")</f>
        <v/>
      </c>
      <c r="V296" t="str">
        <f>IFERROR(VLOOKUP(C296,Inventory!$A$2:$Y$35,22,FALSE()),"")</f>
        <v/>
      </c>
      <c r="W296" t="str">
        <f>IFERROR(VLOOKUP(C296,Inventory!$A$2:$AB$35,25,FALSE()),"")</f>
        <v/>
      </c>
    </row>
    <row r="297" spans="1:23" ht="15" customHeight="1" x14ac:dyDescent="0.25">
      <c r="A297" t="str">
        <f t="shared" si="28"/>
        <v/>
      </c>
      <c r="B297" s="29"/>
      <c r="F297" s="45"/>
      <c r="G297" s="45"/>
      <c r="H297" s="45"/>
      <c r="I297" s="30">
        <f t="shared" si="29"/>
        <v>0</v>
      </c>
      <c r="J297" s="45">
        <f t="shared" si="30"/>
        <v>0</v>
      </c>
      <c r="K297" s="45">
        <f t="shared" si="31"/>
        <v>0</v>
      </c>
      <c r="L297" s="45"/>
      <c r="M297" s="45"/>
      <c r="N297" s="45">
        <f t="shared" si="32"/>
        <v>0</v>
      </c>
      <c r="O297" s="45">
        <f>IFERROR(VLOOKUP(C297,Inventory!$A$2:$N$35,13,FALSE()),0)</f>
        <v>0</v>
      </c>
      <c r="P297" s="45">
        <f t="shared" si="33"/>
        <v>0</v>
      </c>
      <c r="Q297" s="30">
        <f t="shared" si="34"/>
        <v>0</v>
      </c>
      <c r="R297" t="str">
        <f>IFERROR(IF(AND(ISNUMBER(B297),C297&lt;&gt;""),B297-VLOOKUP(C297,Inventory!$A$2:$AE$35,29,FALSE()),""),"")</f>
        <v/>
      </c>
      <c r="U297" t="str">
        <f>IFERROR(VLOOKUP(C297,Inventory!$A$2:$C$35,2,FALSE()),"")</f>
        <v/>
      </c>
      <c r="V297" t="str">
        <f>IFERROR(VLOOKUP(C297,Inventory!$A$2:$Y$35,22,FALSE()),"")</f>
        <v/>
      </c>
      <c r="W297" t="str">
        <f>IFERROR(VLOOKUP(C297,Inventory!$A$2:$AB$35,25,FALSE()),"")</f>
        <v/>
      </c>
    </row>
    <row r="298" spans="1:23" ht="15" customHeight="1" x14ac:dyDescent="0.25">
      <c r="A298" t="str">
        <f t="shared" si="28"/>
        <v/>
      </c>
      <c r="B298" s="29"/>
      <c r="F298" s="45"/>
      <c r="G298" s="45"/>
      <c r="H298" s="45"/>
      <c r="I298" s="30">
        <f t="shared" si="29"/>
        <v>0</v>
      </c>
      <c r="J298" s="45">
        <f t="shared" si="30"/>
        <v>0</v>
      </c>
      <c r="K298" s="45">
        <f t="shared" si="31"/>
        <v>0</v>
      </c>
      <c r="L298" s="45"/>
      <c r="M298" s="45"/>
      <c r="N298" s="45">
        <f t="shared" si="32"/>
        <v>0</v>
      </c>
      <c r="O298" s="45">
        <f>IFERROR(VLOOKUP(C298,Inventory!$A$2:$N$35,13,FALSE()),0)</f>
        <v>0</v>
      </c>
      <c r="P298" s="45">
        <f t="shared" si="33"/>
        <v>0</v>
      </c>
      <c r="Q298" s="30">
        <f t="shared" si="34"/>
        <v>0</v>
      </c>
      <c r="R298" t="str">
        <f>IFERROR(IF(AND(ISNUMBER(B298),C298&lt;&gt;""),B298-VLOOKUP(C298,Inventory!$A$2:$AE$35,29,FALSE()),""),"")</f>
        <v/>
      </c>
      <c r="U298" t="str">
        <f>IFERROR(VLOOKUP(C298,Inventory!$A$2:$C$35,2,FALSE()),"")</f>
        <v/>
      </c>
      <c r="V298" t="str">
        <f>IFERROR(VLOOKUP(C298,Inventory!$A$2:$Y$35,22,FALSE()),"")</f>
        <v/>
      </c>
      <c r="W298" t="str">
        <f>IFERROR(VLOOKUP(C298,Inventory!$A$2:$AB$35,25,FALSE()),"")</f>
        <v/>
      </c>
    </row>
    <row r="299" spans="1:23" ht="15" customHeight="1" x14ac:dyDescent="0.25">
      <c r="A299" t="str">
        <f t="shared" si="28"/>
        <v/>
      </c>
      <c r="B299" s="29"/>
      <c r="F299" s="45"/>
      <c r="G299" s="45"/>
      <c r="H299" s="45"/>
      <c r="I299" s="30">
        <f t="shared" si="29"/>
        <v>0</v>
      </c>
      <c r="J299" s="45">
        <f t="shared" si="30"/>
        <v>0</v>
      </c>
      <c r="K299" s="45">
        <f t="shared" si="31"/>
        <v>0</v>
      </c>
      <c r="L299" s="45"/>
      <c r="M299" s="45"/>
      <c r="N299" s="45">
        <f t="shared" si="32"/>
        <v>0</v>
      </c>
      <c r="O299" s="45">
        <f>IFERROR(VLOOKUP(C299,Inventory!$A$2:$N$35,13,FALSE()),0)</f>
        <v>0</v>
      </c>
      <c r="P299" s="45">
        <f t="shared" si="33"/>
        <v>0</v>
      </c>
      <c r="Q299" s="30">
        <f t="shared" si="34"/>
        <v>0</v>
      </c>
      <c r="R299" t="str">
        <f>IFERROR(IF(AND(ISNUMBER(B299),C299&lt;&gt;""),B299-VLOOKUP(C299,Inventory!$A$2:$AE$35,29,FALSE()),""),"")</f>
        <v/>
      </c>
      <c r="U299" t="str">
        <f>IFERROR(VLOOKUP(C299,Inventory!$A$2:$C$35,2,FALSE()),"")</f>
        <v/>
      </c>
      <c r="V299" t="str">
        <f>IFERROR(VLOOKUP(C299,Inventory!$A$2:$Y$35,22,FALSE()),"")</f>
        <v/>
      </c>
      <c r="W299" t="str">
        <f>IFERROR(VLOOKUP(C299,Inventory!$A$2:$AB$35,25,FALSE()),"")</f>
        <v/>
      </c>
    </row>
    <row r="300" spans="1:23" ht="15" customHeight="1" x14ac:dyDescent="0.25">
      <c r="A300" t="str">
        <f t="shared" si="28"/>
        <v/>
      </c>
      <c r="B300" s="29"/>
      <c r="F300" s="45"/>
      <c r="G300" s="45"/>
      <c r="H300" s="45"/>
      <c r="I300" s="30">
        <f t="shared" si="29"/>
        <v>0</v>
      </c>
      <c r="J300" s="45">
        <f t="shared" si="30"/>
        <v>0</v>
      </c>
      <c r="K300" s="45">
        <f t="shared" si="31"/>
        <v>0</v>
      </c>
      <c r="L300" s="45"/>
      <c r="M300" s="45"/>
      <c r="N300" s="45">
        <f t="shared" si="32"/>
        <v>0</v>
      </c>
      <c r="O300" s="45">
        <f>IFERROR(VLOOKUP(C300,Inventory!$A$2:$N$35,13,FALSE()),0)</f>
        <v>0</v>
      </c>
      <c r="P300" s="45">
        <f t="shared" si="33"/>
        <v>0</v>
      </c>
      <c r="Q300" s="30">
        <f t="shared" si="34"/>
        <v>0</v>
      </c>
      <c r="R300" t="str">
        <f>IFERROR(IF(AND(ISNUMBER(B300),C300&lt;&gt;""),B300-VLOOKUP(C300,Inventory!$A$2:$AE$35,29,FALSE()),""),"")</f>
        <v/>
      </c>
      <c r="U300" t="str">
        <f>IFERROR(VLOOKUP(C300,Inventory!$A$2:$C$35,2,FALSE()),"")</f>
        <v/>
      </c>
      <c r="V300" t="str">
        <f>IFERROR(VLOOKUP(C300,Inventory!$A$2:$Y$35,22,FALSE()),"")</f>
        <v/>
      </c>
      <c r="W300" t="str">
        <f>IFERROR(VLOOKUP(C300,Inventory!$A$2:$AB$35,25,FALSE()),"")</f>
        <v/>
      </c>
    </row>
    <row r="301" spans="1:23" ht="15" customHeight="1" x14ac:dyDescent="0.25">
      <c r="A301" t="str">
        <f t="shared" si="28"/>
        <v/>
      </c>
      <c r="B301" s="29"/>
      <c r="F301" s="45"/>
      <c r="G301" s="45"/>
      <c r="H301" s="45"/>
      <c r="I301" s="30">
        <f t="shared" si="29"/>
        <v>0</v>
      </c>
      <c r="J301" s="45">
        <f t="shared" si="30"/>
        <v>0</v>
      </c>
      <c r="K301" s="45">
        <f t="shared" si="31"/>
        <v>0</v>
      </c>
      <c r="L301" s="45"/>
      <c r="M301" s="45"/>
      <c r="N301" s="45">
        <f t="shared" si="32"/>
        <v>0</v>
      </c>
      <c r="O301" s="45">
        <f>IFERROR(VLOOKUP(C301,Inventory!$A$2:$N$35,13,FALSE()),0)</f>
        <v>0</v>
      </c>
      <c r="P301" s="45">
        <f t="shared" si="33"/>
        <v>0</v>
      </c>
      <c r="Q301" s="30">
        <f t="shared" si="34"/>
        <v>0</v>
      </c>
      <c r="R301" t="str">
        <f>IFERROR(IF(AND(ISNUMBER(B301),C301&lt;&gt;""),B301-VLOOKUP(C301,Inventory!$A$2:$AE$35,29,FALSE()),""),"")</f>
        <v/>
      </c>
      <c r="U301" t="str">
        <f>IFERROR(VLOOKUP(C301,Inventory!$A$2:$C$35,2,FALSE()),"")</f>
        <v/>
      </c>
      <c r="V301" t="str">
        <f>IFERROR(VLOOKUP(C301,Inventory!$A$2:$Y$35,22,FALSE()),"")</f>
        <v/>
      </c>
      <c r="W301" t="str">
        <f>IFERROR(VLOOKUP(C301,Inventory!$A$2:$AB$35,25,FALSE()),"")</f>
        <v/>
      </c>
    </row>
    <row r="302" spans="1:23" ht="15" customHeight="1" x14ac:dyDescent="0.25">
      <c r="A302" t="str">
        <f t="shared" si="28"/>
        <v/>
      </c>
      <c r="B302" s="29"/>
      <c r="F302" s="45"/>
      <c r="G302" s="45"/>
      <c r="H302" s="45"/>
      <c r="I302" s="30">
        <f t="shared" si="29"/>
        <v>0</v>
      </c>
      <c r="J302" s="45">
        <f t="shared" si="30"/>
        <v>0</v>
      </c>
      <c r="K302" s="45">
        <f t="shared" si="31"/>
        <v>0</v>
      </c>
      <c r="L302" s="45"/>
      <c r="M302" s="45"/>
      <c r="N302" s="45">
        <f t="shared" si="32"/>
        <v>0</v>
      </c>
      <c r="O302" s="45">
        <f>IFERROR(VLOOKUP(C302,Inventory!$A$2:$N$35,13,FALSE()),0)</f>
        <v>0</v>
      </c>
      <c r="P302" s="45">
        <f t="shared" si="33"/>
        <v>0</v>
      </c>
      <c r="Q302" s="30">
        <f t="shared" si="34"/>
        <v>0</v>
      </c>
      <c r="R302" t="str">
        <f>IFERROR(IF(AND(ISNUMBER(B302),C302&lt;&gt;""),B302-VLOOKUP(C302,Inventory!$A$2:$AE$35,29,FALSE()),""),"")</f>
        <v/>
      </c>
      <c r="U302" t="str">
        <f>IFERROR(VLOOKUP(C302,Inventory!$A$2:$C$35,2,FALSE()),"")</f>
        <v/>
      </c>
      <c r="V302" t="str">
        <f>IFERROR(VLOOKUP(C302,Inventory!$A$2:$Y$35,22,FALSE()),"")</f>
        <v/>
      </c>
      <c r="W302" t="str">
        <f>IFERROR(VLOOKUP(C302,Inventory!$A$2:$AB$35,25,FALSE()),"")</f>
        <v/>
      </c>
    </row>
    <row r="303" spans="1:23" ht="15" customHeight="1" x14ac:dyDescent="0.25">
      <c r="A303" t="str">
        <f t="shared" si="28"/>
        <v/>
      </c>
      <c r="B303" s="29"/>
      <c r="F303" s="45"/>
      <c r="G303" s="45"/>
      <c r="H303" s="45"/>
      <c r="I303" s="30">
        <f t="shared" si="29"/>
        <v>0</v>
      </c>
      <c r="J303" s="45">
        <f t="shared" si="30"/>
        <v>0</v>
      </c>
      <c r="K303" s="45">
        <f t="shared" si="31"/>
        <v>0</v>
      </c>
      <c r="L303" s="45"/>
      <c r="M303" s="45"/>
      <c r="N303" s="45">
        <f t="shared" si="32"/>
        <v>0</v>
      </c>
      <c r="O303" s="45">
        <f>IFERROR(VLOOKUP(C303,Inventory!$A$2:$N$35,13,FALSE()),0)</f>
        <v>0</v>
      </c>
      <c r="P303" s="45">
        <f t="shared" si="33"/>
        <v>0</v>
      </c>
      <c r="Q303" s="30">
        <f t="shared" si="34"/>
        <v>0</v>
      </c>
      <c r="R303" t="str">
        <f>IFERROR(IF(AND(ISNUMBER(B303),C303&lt;&gt;""),B303-VLOOKUP(C303,Inventory!$A$2:$AE$35,29,FALSE()),""),"")</f>
        <v/>
      </c>
      <c r="U303" t="str">
        <f>IFERROR(VLOOKUP(C303,Inventory!$A$2:$C$35,2,FALSE()),"")</f>
        <v/>
      </c>
      <c r="V303" t="str">
        <f>IFERROR(VLOOKUP(C303,Inventory!$A$2:$Y$35,22,FALSE()),"")</f>
        <v/>
      </c>
      <c r="W303" t="str">
        <f>IFERROR(VLOOKUP(C303,Inventory!$A$2:$AB$35,25,FALSE()),"")</f>
        <v/>
      </c>
    </row>
  </sheetData>
  <mergeCells count="1">
    <mergeCell ref="A1:P1"/>
  </mergeCells>
  <conditionalFormatting sqref="P4:P303">
    <cfRule type="cellIs" dxfId="5" priority="2" operator="lessThan">
      <formula>0</formula>
    </cfRule>
    <cfRule type="cellIs" dxfId="4" priority="3" operator="greaterThan">
      <formula>0</formula>
    </cfRule>
  </conditionalFormatting>
  <conditionalFormatting sqref="Q4:Q303">
    <cfRule type="cellIs" dxfId="3" priority="4" operator="greaterThanOrEqual">
      <formula>0.5</formula>
    </cfRule>
    <cfRule type="expression" dxfId="2" priority="5">
      <formula>AND(ISNUMBER(Q4),Q4&gt;=0,Q4&lt;0.5)</formula>
    </cfRule>
    <cfRule type="cellIs" dxfId="1" priority="6" operator="lessThan">
      <formula>0</formula>
    </cfRule>
  </conditionalFormatting>
  <dataValidations count="1">
    <dataValidation type="list" allowBlank="1" sqref="D4:D303" xr:uid="{00000000-0002-0000-0200-000001000000}">
      <formula1>PlatformList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Inventory!$A$2:$A$35</xm:f>
          </x14:formula1>
          <x14:formula2>
            <xm:f>0</xm:f>
          </x14:formula2>
          <xm:sqref>C4:C303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51"/>
  <sheetViews>
    <sheetView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A44" sqref="A44:K44"/>
    </sheetView>
  </sheetViews>
  <sheetFormatPr defaultColWidth="8.77734375" defaultRowHeight="13.2" x14ac:dyDescent="0.25"/>
  <cols>
    <col min="1" max="1" width="92.21875" bestFit="1" customWidth="1"/>
    <col min="2" max="2" width="13" customWidth="1"/>
    <col min="3" max="3" width="11" customWidth="1"/>
    <col min="4" max="7" width="13" customWidth="1"/>
    <col min="8" max="8" width="11" customWidth="1"/>
    <col min="9" max="9" width="13" customWidth="1"/>
    <col min="10" max="10" width="18" customWidth="1"/>
    <col min="11" max="11" width="20" customWidth="1"/>
  </cols>
  <sheetData>
    <row r="1" spans="1:11" ht="21.75" customHeight="1" x14ac:dyDescent="0.4">
      <c r="A1" s="101" t="s">
        <v>140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33.75" customHeight="1" x14ac:dyDescent="0.25">
      <c r="A2" s="102" t="s">
        <v>141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4" spans="1:11" ht="26.25" customHeight="1" x14ac:dyDescent="0.25">
      <c r="A4" s="17" t="s">
        <v>29</v>
      </c>
      <c r="B4" s="17" t="s">
        <v>30</v>
      </c>
      <c r="C4" s="17" t="s">
        <v>31</v>
      </c>
      <c r="D4" s="17" t="s">
        <v>53</v>
      </c>
      <c r="E4" s="17" t="s">
        <v>142</v>
      </c>
      <c r="F4" s="17" t="s">
        <v>143</v>
      </c>
      <c r="G4" s="17" t="s">
        <v>144</v>
      </c>
      <c r="H4" s="17" t="s">
        <v>145</v>
      </c>
      <c r="I4" s="17" t="s">
        <v>146</v>
      </c>
      <c r="J4" s="17" t="s">
        <v>147</v>
      </c>
      <c r="K4" s="17" t="s">
        <v>148</v>
      </c>
    </row>
    <row r="5" spans="1:11" ht="15" hidden="1" customHeight="1" x14ac:dyDescent="0.25">
      <c r="A5" s="50" t="str">
        <f>Inventory!A2</f>
        <v>Shawn Kemp Signed 1990-91 Hoops #279 RC (JSA)</v>
      </c>
      <c r="B5" s="50" t="str">
        <f>Inventory!Y2</f>
        <v>Card</v>
      </c>
      <c r="C5" s="51">
        <f>Inventory!N2</f>
        <v>16.254971098265898</v>
      </c>
      <c r="D5" s="51">
        <f>Inventory!T2</f>
        <v>26.799735067437382</v>
      </c>
      <c r="E5" s="43">
        <v>59</v>
      </c>
      <c r="F5" s="43">
        <v>39</v>
      </c>
      <c r="G5" s="43">
        <v>55.99</v>
      </c>
      <c r="H5" s="43">
        <f t="shared" ref="H5:H38" si="0">IFERROR(AVERAGE(E5:G5),0)</f>
        <v>51.330000000000005</v>
      </c>
      <c r="I5" s="52"/>
      <c r="J5" s="43">
        <f>MAX(IF(AND(I5&lt;&gt;"",I5&gt;0),I5,IF(AND(H5&lt;&gt;"",H5&gt;0),H5,D5*1.2)),D5*1.2)</f>
        <v>51.330000000000005</v>
      </c>
      <c r="K5" s="53" t="str">
        <f t="shared" ref="K5:K38" si="1">HYPERLINK("https://www.ebay.com/sch/i.html?_nkw="&amp;SUBSTITUTE(SUBSTITUTE(A5," ","+"),"""","")&amp;"&amp;LH_Sold=1&amp;LH_Complete=1&amp;_sop=13","🔗 View Sold Comps")</f>
        <v>🔗 View Sold Comps</v>
      </c>
    </row>
    <row r="6" spans="1:11" ht="15" hidden="1" customHeight="1" x14ac:dyDescent="0.25">
      <c r="A6" s="50" t="str">
        <f>Inventory!A3</f>
        <v>Mark Henn Signed "The Lion King" 8x10 Photo (Beckett)</v>
      </c>
      <c r="B6" s="50" t="str">
        <f>Inventory!Y3</f>
        <v>Photo</v>
      </c>
      <c r="C6" s="51">
        <f>Inventory!N3</f>
        <v>17.029017341040461</v>
      </c>
      <c r="D6" s="51">
        <f>Inventory!T3</f>
        <v>29.396827200295402</v>
      </c>
      <c r="E6" s="43"/>
      <c r="F6" s="43"/>
      <c r="G6" s="43"/>
      <c r="H6" s="43">
        <f t="shared" si="0"/>
        <v>0</v>
      </c>
      <c r="I6" s="52"/>
      <c r="J6" s="43">
        <f t="shared" ref="J6:J38" si="2">MAX(IF(AND(I6&lt;&gt;"",I6&gt;0),I6,IF(AND(H6&lt;&gt;"",H6&gt;0),H6,D6*1.2)),D6*1.2)</f>
        <v>35.276192640354481</v>
      </c>
      <c r="K6" s="53" t="str">
        <f t="shared" si="1"/>
        <v>🔗 View Sold Comps</v>
      </c>
    </row>
    <row r="7" spans="1:11" ht="15" hidden="1" customHeight="1" x14ac:dyDescent="0.25">
      <c r="A7" s="50" t="str">
        <f>Inventory!A4</f>
        <v>Ari Lehman Signed "Friday the 13th" Jason Voorhees Mask Inscribed "Jason 1" (Beckett)</v>
      </c>
      <c r="B7" s="50" t="str">
        <f>Inventory!Y4</f>
        <v>Mask</v>
      </c>
      <c r="C7" s="51">
        <f>Inventory!N4</f>
        <v>55.903339755940912</v>
      </c>
      <c r="D7" s="51">
        <f>Inventory!T4</f>
        <v>74.411539995190651</v>
      </c>
      <c r="E7" s="43">
        <v>29.99</v>
      </c>
      <c r="F7" s="43">
        <v>27</v>
      </c>
      <c r="G7" s="43">
        <v>32.99</v>
      </c>
      <c r="H7" s="43">
        <f t="shared" si="0"/>
        <v>29.993333333333329</v>
      </c>
      <c r="I7" s="52"/>
      <c r="J7" s="43">
        <f t="shared" si="2"/>
        <v>89.293847994228784</v>
      </c>
      <c r="K7" s="53" t="str">
        <f t="shared" si="1"/>
        <v>🔗 View Sold Comps</v>
      </c>
    </row>
    <row r="8" spans="1:11" ht="15" customHeight="1" x14ac:dyDescent="0.25">
      <c r="A8" s="50" t="str">
        <f>Inventory!A5</f>
        <v>Shawn Kemp Signed Jersey (JSA)</v>
      </c>
      <c r="B8" s="50" t="str">
        <f>Inventory!Y5</f>
        <v>Jersey</v>
      </c>
      <c r="C8" s="51">
        <f>Inventory!N5</f>
        <v>44.722671804752729</v>
      </c>
      <c r="D8" s="51">
        <f>Inventory!T5</f>
        <v>59.748462736982326</v>
      </c>
      <c r="E8" s="43">
        <v>39</v>
      </c>
      <c r="F8" s="43">
        <v>39</v>
      </c>
      <c r="G8" s="43">
        <v>39</v>
      </c>
      <c r="H8" s="43">
        <f t="shared" si="0"/>
        <v>39</v>
      </c>
      <c r="I8" s="52"/>
      <c r="J8" s="43">
        <f t="shared" si="2"/>
        <v>71.698155284378785</v>
      </c>
      <c r="K8" s="53" t="str">
        <f t="shared" si="1"/>
        <v>🔗 View Sold Comps</v>
      </c>
    </row>
    <row r="9" spans="1:11" ht="15" hidden="1" customHeight="1" x14ac:dyDescent="0.25">
      <c r="A9" s="50" t="str">
        <f>Inventory!A6</f>
        <v>Cheech Marin &amp; Tommy Chong Signed "The Simpsons" 8x10 Photo (JSA)</v>
      </c>
      <c r="B9" s="50" t="str">
        <f>Inventory!Y6</f>
        <v>Photo</v>
      </c>
      <c r="C9" s="51">
        <f>Inventory!N6</f>
        <v>16.335404634581106</v>
      </c>
      <c r="D9" s="51">
        <f>Inventory!T6</f>
        <v>26.892829438172576</v>
      </c>
      <c r="E9" s="43">
        <v>64.95</v>
      </c>
      <c r="F9" s="43">
        <v>55</v>
      </c>
      <c r="G9" s="43">
        <v>60</v>
      </c>
      <c r="H9" s="43">
        <f t="shared" si="0"/>
        <v>59.983333333333327</v>
      </c>
      <c r="I9" s="52"/>
      <c r="J9" s="43">
        <f t="shared" si="2"/>
        <v>59.983333333333327</v>
      </c>
      <c r="K9" s="53" t="str">
        <f t="shared" si="1"/>
        <v>🔗 View Sold Comps</v>
      </c>
    </row>
    <row r="10" spans="1:11" ht="15" hidden="1" customHeight="1" x14ac:dyDescent="0.25">
      <c r="A10" s="50" t="str">
        <f>Inventory!A7</f>
        <v>Chris Cooper Signed "Cars 3" 8x10 Photo Inscribed "AKA 'Smokey'" &amp; "Best Wishes" (ACOA)</v>
      </c>
      <c r="B10" s="50" t="str">
        <f>Inventory!Y7</f>
        <v>Photo</v>
      </c>
      <c r="C10" s="51">
        <f>Inventory!N7</f>
        <v>8.3500308972073682</v>
      </c>
      <c r="D10" s="51">
        <f>Inventory!T7</f>
        <v>18.734681691900942</v>
      </c>
      <c r="E10" s="43">
        <v>19.95</v>
      </c>
      <c r="F10" s="43">
        <v>24.99</v>
      </c>
      <c r="G10" s="43"/>
      <c r="H10" s="43">
        <f t="shared" si="0"/>
        <v>22.47</v>
      </c>
      <c r="I10" s="52"/>
      <c r="J10" s="43">
        <f t="shared" si="2"/>
        <v>22.48161803028113</v>
      </c>
      <c r="K10" s="53" t="str">
        <f t="shared" si="1"/>
        <v>🔗 View Sold Comps</v>
      </c>
    </row>
    <row r="11" spans="1:11" ht="15" hidden="1" customHeight="1" x14ac:dyDescent="0.25">
      <c r="A11" s="50" t="str">
        <f>Inventory!A8</f>
        <v>Frank Thomas Signed OML Baseball (JSA)</v>
      </c>
      <c r="B11" s="50" t="str">
        <f>Inventory!Y8</f>
        <v>Baseball</v>
      </c>
      <c r="C11" s="51">
        <f>Inventory!N8</f>
        <v>27.324564468211531</v>
      </c>
      <c r="D11" s="51">
        <f>Inventory!T8</f>
        <v>39.611764430800385</v>
      </c>
      <c r="E11" s="43">
        <v>37</v>
      </c>
      <c r="F11" s="43">
        <v>42</v>
      </c>
      <c r="G11" s="43">
        <v>46</v>
      </c>
      <c r="H11" s="43">
        <f t="shared" si="0"/>
        <v>41.666666666666664</v>
      </c>
      <c r="I11" s="52"/>
      <c r="J11" s="43">
        <f t="shared" si="2"/>
        <v>47.534117316960462</v>
      </c>
      <c r="K11" s="53" t="str">
        <f t="shared" si="1"/>
        <v>🔗 View Sold Comps</v>
      </c>
    </row>
    <row r="12" spans="1:11" ht="15" hidden="1" customHeight="1" x14ac:dyDescent="0.25">
      <c r="A12" s="50" t="str">
        <f>Inventory!A9</f>
        <v>Jimbo Covert Signed NFL Football Inscribed "SB XX Champs" (JSA)</v>
      </c>
      <c r="B12" s="50" t="str">
        <f>Inventory!Y9</f>
        <v>Football</v>
      </c>
      <c r="C12" s="51">
        <f>Inventory!N9</f>
        <v>35.68</v>
      </c>
      <c r="D12" s="51">
        <f>Inventory!T9</f>
        <v>51.055155875299761</v>
      </c>
      <c r="E12" s="43">
        <v>99</v>
      </c>
      <c r="F12" s="43">
        <v>109</v>
      </c>
      <c r="G12" s="43">
        <v>125</v>
      </c>
      <c r="H12" s="43">
        <f t="shared" si="0"/>
        <v>111</v>
      </c>
      <c r="I12" s="52"/>
      <c r="J12" s="43">
        <f t="shared" si="2"/>
        <v>111</v>
      </c>
      <c r="K12" s="53" t="str">
        <f t="shared" si="1"/>
        <v>🔗 View Sold Comps</v>
      </c>
    </row>
    <row r="13" spans="1:11" ht="15" hidden="1" customHeight="1" x14ac:dyDescent="0.25">
      <c r="A13" s="50" t="str">
        <f>Inventory!A10</f>
        <v>Moisés Ballesteros Signed OML Baseball (Beckett)</v>
      </c>
      <c r="B13" s="50" t="str">
        <f>Inventory!Y10</f>
        <v>Baseball</v>
      </c>
      <c r="C13" s="51">
        <f>Inventory!N10</f>
        <v>31.38917546963626</v>
      </c>
      <c r="D13" s="51">
        <f>Inventory!T10</f>
        <v>44.316175312078997</v>
      </c>
      <c r="E13" s="43">
        <v>64.989999999999995</v>
      </c>
      <c r="F13" s="43"/>
      <c r="G13" s="43"/>
      <c r="H13" s="43">
        <f t="shared" si="0"/>
        <v>64.989999999999995</v>
      </c>
      <c r="I13" s="52"/>
      <c r="J13" s="43">
        <f t="shared" si="2"/>
        <v>64.989999999999995</v>
      </c>
      <c r="K13" s="53" t="str">
        <f t="shared" si="1"/>
        <v>🔗 View Sold Comps</v>
      </c>
    </row>
    <row r="14" spans="1:11" ht="15" customHeight="1" x14ac:dyDescent="0.25">
      <c r="A14" s="50" t="str">
        <f>Inventory!A11</f>
        <v>Moisés Ballesteros Signed Jersey Inscribed "Mo Baller" (Beckett)</v>
      </c>
      <c r="B14" s="50" t="str">
        <f>Inventory!Y11</f>
        <v>Jersey</v>
      </c>
      <c r="C14" s="51">
        <f>Inventory!N11</f>
        <v>31.38917546963626</v>
      </c>
      <c r="D14" s="51">
        <f>Inventory!T11</f>
        <v>44.316175312078997</v>
      </c>
      <c r="E14" s="43">
        <v>129</v>
      </c>
      <c r="F14" s="43">
        <v>70</v>
      </c>
      <c r="G14" s="43"/>
      <c r="H14" s="43">
        <f t="shared" si="0"/>
        <v>99.5</v>
      </c>
      <c r="I14" s="52"/>
      <c r="J14" s="43">
        <f t="shared" si="2"/>
        <v>99.5</v>
      </c>
      <c r="K14" s="53" t="str">
        <f t="shared" si="1"/>
        <v>🔗 View Sold Comps</v>
      </c>
    </row>
    <row r="15" spans="1:11" ht="15" hidden="1" customHeight="1" x14ac:dyDescent="0.25">
      <c r="A15" s="50" t="str">
        <f>Inventory!A12</f>
        <v>Moisés Ballesteros Signed Louisville Slugger Baseball Bat (Beckett)</v>
      </c>
      <c r="B15" s="50" t="str">
        <f>Inventory!Y12</f>
        <v>Bat</v>
      </c>
      <c r="C15" s="51">
        <f>Inventory!N12</f>
        <v>31.38917546963626</v>
      </c>
      <c r="D15" s="51">
        <f>Inventory!T12</f>
        <v>44.316175312078997</v>
      </c>
      <c r="E15" s="43">
        <v>119</v>
      </c>
      <c r="F15" s="43">
        <v>129.99</v>
      </c>
      <c r="G15" s="43">
        <v>119.99</v>
      </c>
      <c r="H15" s="43">
        <f t="shared" si="0"/>
        <v>122.99333333333334</v>
      </c>
      <c r="I15" s="52"/>
      <c r="J15" s="43">
        <f t="shared" si="2"/>
        <v>122.99333333333334</v>
      </c>
      <c r="K15" s="53" t="str">
        <f t="shared" si="1"/>
        <v>🔗 View Sold Comps</v>
      </c>
    </row>
    <row r="16" spans="1:11" ht="15" customHeight="1" x14ac:dyDescent="0.25">
      <c r="A16" s="50" t="str">
        <f>Inventory!A13</f>
        <v>Moisés Ballesteros Signed Jersey (Beckett)</v>
      </c>
      <c r="B16" s="50" t="str">
        <f>Inventory!Y13</f>
        <v>Jersey</v>
      </c>
      <c r="C16" s="51">
        <f>Inventory!N13</f>
        <v>31.38917546963626</v>
      </c>
      <c r="D16" s="51">
        <f>Inventory!T13</f>
        <v>44.316175312078997</v>
      </c>
      <c r="E16" s="43">
        <v>129</v>
      </c>
      <c r="F16" s="43">
        <v>70</v>
      </c>
      <c r="G16" s="43"/>
      <c r="H16" s="43">
        <f t="shared" si="0"/>
        <v>99.5</v>
      </c>
      <c r="I16" s="52"/>
      <c r="J16" s="43">
        <f t="shared" si="2"/>
        <v>99.5</v>
      </c>
      <c r="K16" s="53" t="str">
        <f t="shared" si="1"/>
        <v>🔗 View Sold Comps</v>
      </c>
    </row>
    <row r="17" spans="1:11" ht="15" hidden="1" customHeight="1" x14ac:dyDescent="0.25">
      <c r="A17" s="50" t="str">
        <f>Inventory!A14</f>
        <v>Sammy Sosa Signed Louisville Slugger Baseball Bat (Beckett)</v>
      </c>
      <c r="B17" s="50" t="str">
        <f>Inventory!Y14</f>
        <v>Bat</v>
      </c>
      <c r="C17" s="51">
        <f>Inventory!N14</f>
        <v>39.246050892438987</v>
      </c>
      <c r="D17" s="51">
        <f>Inventory!T14</f>
        <v>53.409781125508083</v>
      </c>
      <c r="E17" s="43">
        <v>109</v>
      </c>
      <c r="F17" s="43">
        <v>82</v>
      </c>
      <c r="G17" s="43">
        <v>129</v>
      </c>
      <c r="H17" s="43">
        <f t="shared" si="0"/>
        <v>106.66666666666667</v>
      </c>
      <c r="I17" s="52"/>
      <c r="J17" s="43">
        <f t="shared" si="2"/>
        <v>106.66666666666667</v>
      </c>
      <c r="K17" s="53" t="str">
        <f t="shared" si="1"/>
        <v>🔗 View Sold Comps</v>
      </c>
    </row>
    <row r="18" spans="1:11" ht="15" hidden="1" customHeight="1" x14ac:dyDescent="0.25">
      <c r="A18" s="50" t="str">
        <f>Inventory!A15</f>
        <v>Sammy Sosa Signed Louisville Slugger Baseball Bat (JSA)</v>
      </c>
      <c r="B18" s="50" t="str">
        <f>Inventory!Y15</f>
        <v>Bat</v>
      </c>
      <c r="C18" s="51">
        <f>Inventory!N15</f>
        <v>39.246050892438987</v>
      </c>
      <c r="D18" s="51">
        <f>Inventory!T15</f>
        <v>53.409781125508083</v>
      </c>
      <c r="E18" s="43">
        <v>129</v>
      </c>
      <c r="F18" s="43">
        <v>86</v>
      </c>
      <c r="G18" s="43">
        <v>109</v>
      </c>
      <c r="H18" s="43">
        <f t="shared" si="0"/>
        <v>108</v>
      </c>
      <c r="I18" s="52"/>
      <c r="J18" s="43">
        <f t="shared" si="2"/>
        <v>108</v>
      </c>
      <c r="K18" s="53" t="str">
        <f t="shared" si="1"/>
        <v>🔗 View Sold Comps</v>
      </c>
    </row>
    <row r="19" spans="1:11" ht="15" customHeight="1" x14ac:dyDescent="0.25">
      <c r="A19" s="50" t="str">
        <f>Inventory!A16</f>
        <v>Sammy Sosa Signed Jersey (JSA)</v>
      </c>
      <c r="B19" s="50" t="str">
        <f>Inventory!Y16</f>
        <v>Jersey</v>
      </c>
      <c r="C19" s="51">
        <f>Inventory!N16</f>
        <v>33.829278243222149</v>
      </c>
      <c r="D19" s="51">
        <f>Inventory!T16</f>
        <v>47.140368337062668</v>
      </c>
      <c r="E19" s="43">
        <v>80</v>
      </c>
      <c r="F19" s="43">
        <v>60</v>
      </c>
      <c r="G19" s="43">
        <v>63</v>
      </c>
      <c r="H19" s="43">
        <f t="shared" si="0"/>
        <v>67.666666666666671</v>
      </c>
      <c r="I19" s="52"/>
      <c r="J19" s="43">
        <f t="shared" si="2"/>
        <v>67.666666666666671</v>
      </c>
      <c r="K19" s="53" t="str">
        <f t="shared" si="1"/>
        <v>🔗 View Sold Comps</v>
      </c>
    </row>
    <row r="20" spans="1:11" ht="15" customHeight="1" x14ac:dyDescent="0.25">
      <c r="A20" s="50" t="str">
        <f>Inventory!A17</f>
        <v>Sammy Sosa Signed Jersey (JSA)</v>
      </c>
      <c r="B20" s="50" t="str">
        <f>Inventory!Y17</f>
        <v>Jersey</v>
      </c>
      <c r="C20" s="51">
        <f>Inventory!N17</f>
        <v>43.704668002289644</v>
      </c>
      <c r="D20" s="51">
        <f>Inventory!T17</f>
        <v>58.570217595242646</v>
      </c>
      <c r="E20" s="43">
        <v>80</v>
      </c>
      <c r="F20" s="43">
        <v>60</v>
      </c>
      <c r="G20" s="43">
        <v>63</v>
      </c>
      <c r="H20" s="43">
        <f t="shared" ref="H20" si="3">IFERROR(AVERAGE(E20:G20),0)</f>
        <v>67.666666666666671</v>
      </c>
      <c r="I20" s="52"/>
      <c r="J20" s="43">
        <f t="shared" si="2"/>
        <v>70.284261114291169</v>
      </c>
      <c r="K20" s="53" t="str">
        <f t="shared" si="1"/>
        <v>🔗 View Sold Comps</v>
      </c>
    </row>
    <row r="21" spans="1:11" ht="15" hidden="1" customHeight="1" x14ac:dyDescent="0.25">
      <c r="A21" s="50" t="str">
        <f>Inventory!A18</f>
        <v>Sammy Sosa Signed Louisville Slugger Baseball Bat (Beckett)</v>
      </c>
      <c r="B21" s="50" t="str">
        <f>Inventory!Y18</f>
        <v>Bat</v>
      </c>
      <c r="C21" s="51">
        <f>Inventory!N18</f>
        <v>43.755769631055834</v>
      </c>
      <c r="D21" s="51">
        <f>Inventory!T18</f>
        <v>58.629362998907212</v>
      </c>
      <c r="E21" s="43">
        <v>109</v>
      </c>
      <c r="F21" s="43">
        <v>82</v>
      </c>
      <c r="G21" s="43">
        <v>129</v>
      </c>
      <c r="H21" s="43">
        <f t="shared" si="0"/>
        <v>106.66666666666667</v>
      </c>
      <c r="I21" s="52"/>
      <c r="J21" s="43">
        <f t="shared" si="2"/>
        <v>106.66666666666667</v>
      </c>
      <c r="K21" s="53" t="str">
        <f t="shared" si="1"/>
        <v>🔗 View Sold Comps</v>
      </c>
    </row>
    <row r="22" spans="1:11" ht="15" customHeight="1" x14ac:dyDescent="0.25">
      <c r="A22" s="50" t="str">
        <f>Inventory!A19</f>
        <v>Donte DiVincenzo Signed Jersey (Beckett)</v>
      </c>
      <c r="B22" s="50" t="str">
        <f>Inventory!Y19</f>
        <v>Jersey</v>
      </c>
      <c r="C22" s="51">
        <f>Inventory!N19</f>
        <v>23.545075454025081</v>
      </c>
      <c r="D22" s="51">
        <f>Inventory!T19</f>
        <v>35.237355849566065</v>
      </c>
      <c r="E22" s="43"/>
      <c r="F22" s="43"/>
      <c r="G22" s="43"/>
      <c r="H22" s="43">
        <f t="shared" si="0"/>
        <v>0</v>
      </c>
      <c r="I22" s="52"/>
      <c r="J22" s="43">
        <f t="shared" si="2"/>
        <v>42.284827019479273</v>
      </c>
      <c r="K22" s="53" t="str">
        <f t="shared" si="1"/>
        <v>🔗 View Sold Comps</v>
      </c>
    </row>
    <row r="23" spans="1:11" ht="15" customHeight="1" x14ac:dyDescent="0.25">
      <c r="A23" s="50" t="str">
        <f>Inventory!A20</f>
        <v>Derek Harper Signed Jersey (JSA)</v>
      </c>
      <c r="B23" s="50" t="str">
        <f>Inventory!Y20</f>
        <v>Jersey</v>
      </c>
      <c r="C23" s="51">
        <f>Inventory!N20</f>
        <v>31.38917546963626</v>
      </c>
      <c r="D23" s="51">
        <f>Inventory!T20</f>
        <v>44.316175312078997</v>
      </c>
      <c r="E23" s="43"/>
      <c r="F23" s="43"/>
      <c r="G23" s="43"/>
      <c r="H23" s="43">
        <f t="shared" si="0"/>
        <v>0</v>
      </c>
      <c r="I23" s="52"/>
      <c r="J23" s="43">
        <f t="shared" si="2"/>
        <v>53.179410374494793</v>
      </c>
      <c r="K23" s="53" t="str">
        <f t="shared" si="1"/>
        <v>🔗 View Sold Comps</v>
      </c>
    </row>
    <row r="24" spans="1:11" ht="15" customHeight="1" x14ac:dyDescent="0.25">
      <c r="A24" s="50" t="str">
        <f>Inventory!A21</f>
        <v>Jamal Anderson Signed Jersey (JSA)</v>
      </c>
      <c r="B24" s="50" t="str">
        <f>Inventory!Y21</f>
        <v>Jersey</v>
      </c>
      <c r="C24" s="51">
        <f>Inventory!N21</f>
        <v>24.413803143050423</v>
      </c>
      <c r="D24" s="51">
        <f>Inventory!T21</f>
        <v>36.242827711863917</v>
      </c>
      <c r="E24" s="43"/>
      <c r="F24" s="43"/>
      <c r="G24" s="43"/>
      <c r="H24" s="43">
        <f t="shared" si="0"/>
        <v>0</v>
      </c>
      <c r="I24" s="52"/>
      <c r="J24" s="43">
        <f t="shared" si="2"/>
        <v>43.491393254236698</v>
      </c>
      <c r="K24" s="53" t="str">
        <f t="shared" si="1"/>
        <v>🔗 View Sold Comps</v>
      </c>
    </row>
    <row r="25" spans="1:11" ht="15" customHeight="1" x14ac:dyDescent="0.25">
      <c r="A25" s="50" t="str">
        <f>Inventory!A22</f>
        <v>Kyle Tucker Signed Jersey (JSA)</v>
      </c>
      <c r="B25" s="50" t="str">
        <f>Inventory!Y22</f>
        <v>Jersey</v>
      </c>
      <c r="C25" s="51">
        <f>Inventory!N22</f>
        <v>31.38917546963626</v>
      </c>
      <c r="D25" s="51">
        <f>Inventory!T22</f>
        <v>44.316175312078997</v>
      </c>
      <c r="E25" s="43"/>
      <c r="F25" s="43"/>
      <c r="G25" s="43"/>
      <c r="H25" s="43">
        <f t="shared" si="0"/>
        <v>0</v>
      </c>
      <c r="I25" s="52"/>
      <c r="J25" s="43">
        <f t="shared" si="2"/>
        <v>53.179410374494793</v>
      </c>
      <c r="K25" s="53" t="str">
        <f t="shared" si="1"/>
        <v>🔗 View Sold Comps</v>
      </c>
    </row>
    <row r="26" spans="1:11" ht="15" hidden="1" customHeight="1" x14ac:dyDescent="0.25">
      <c r="A26" s="50" t="str">
        <f>Inventory!A23</f>
        <v>Steve Spurrier Signed Florida Gators 8x10 Photo Inscribed "Go Gators" (ACOA)</v>
      </c>
      <c r="B26" s="50" t="str">
        <f>Inventory!Y23</f>
        <v>Photo</v>
      </c>
      <c r="C26" s="51">
        <f>Inventory!N23</f>
        <v>54.934250923661345</v>
      </c>
      <c r="D26" s="51">
        <f>Inventory!T23</f>
        <v>71.567420050533968</v>
      </c>
      <c r="E26" s="43"/>
      <c r="F26" s="43"/>
      <c r="G26" s="43"/>
      <c r="H26" s="43">
        <f t="shared" si="0"/>
        <v>0</v>
      </c>
      <c r="I26" s="52"/>
      <c r="J26" s="43">
        <f t="shared" si="2"/>
        <v>85.880904060640759</v>
      </c>
      <c r="K26" s="53" t="str">
        <f t="shared" si="1"/>
        <v>🔗 View Sold Comps</v>
      </c>
    </row>
    <row r="27" spans="1:11" ht="15" customHeight="1" x14ac:dyDescent="0.25">
      <c r="A27" s="50" t="str">
        <f>Inventory!A24</f>
        <v>Joe Johnson Signed Jersey (Beckett)</v>
      </c>
      <c r="B27" s="50" t="str">
        <f>Inventory!Y24</f>
        <v>Jersey</v>
      </c>
      <c r="C27" s="51">
        <f>Inventory!N24</f>
        <v>4.370000000000001</v>
      </c>
      <c r="D27" s="51">
        <f>Inventory!T24</f>
        <v>13.043981481481483</v>
      </c>
      <c r="E27" s="43"/>
      <c r="F27" s="43"/>
      <c r="G27" s="43"/>
      <c r="H27" s="43">
        <f t="shared" si="0"/>
        <v>0</v>
      </c>
      <c r="I27" s="52"/>
      <c r="J27" s="43">
        <f t="shared" si="2"/>
        <v>15.652777777777779</v>
      </c>
      <c r="K27" s="53" t="str">
        <f t="shared" si="1"/>
        <v>🔗 View Sold Comps</v>
      </c>
    </row>
    <row r="28" spans="1:11" ht="15" customHeight="1" x14ac:dyDescent="0.25">
      <c r="A28" s="50" t="str">
        <f>Inventory!A25</f>
        <v>Xavier Watts Signed Jersey (JSA)</v>
      </c>
      <c r="B28" s="50" t="str">
        <f>Inventory!Y25</f>
        <v>Jersey</v>
      </c>
      <c r="C28" s="51">
        <f>Inventory!N25</f>
        <v>37.111781453362255</v>
      </c>
      <c r="D28" s="51">
        <f>Inventory!T25</f>
        <v>50.939561867317423</v>
      </c>
      <c r="E28" s="43"/>
      <c r="F28" s="43"/>
      <c r="G28" s="43"/>
      <c r="H28" s="43">
        <f t="shared" si="0"/>
        <v>0</v>
      </c>
      <c r="I28" s="52"/>
      <c r="J28" s="43">
        <f t="shared" si="2"/>
        <v>61.127474240780906</v>
      </c>
      <c r="K28" s="53" t="str">
        <f t="shared" si="1"/>
        <v>🔗 View Sold Comps</v>
      </c>
    </row>
    <row r="29" spans="1:11" ht="15" customHeight="1" x14ac:dyDescent="0.25">
      <c r="A29" s="50" t="str">
        <f>Inventory!A26</f>
        <v>Xavier Watts Signed Jersey Inscribed "Dirty Birds!" (JSA)</v>
      </c>
      <c r="B29" s="50" t="str">
        <f>Inventory!Y26</f>
        <v>Jersey</v>
      </c>
      <c r="C29" s="51">
        <f>Inventory!N26</f>
        <v>37.111781453362255</v>
      </c>
      <c r="D29" s="51">
        <f>Inventory!T26</f>
        <v>50.939561867317423</v>
      </c>
      <c r="E29" s="43"/>
      <c r="F29" s="43"/>
      <c r="G29" s="43"/>
      <c r="H29" s="43">
        <f t="shared" si="0"/>
        <v>0</v>
      </c>
      <c r="I29" s="52"/>
      <c r="J29" s="43">
        <f t="shared" si="2"/>
        <v>61.127474240780906</v>
      </c>
      <c r="K29" s="53" t="str">
        <f t="shared" si="1"/>
        <v>🔗 View Sold Comps</v>
      </c>
    </row>
    <row r="30" spans="1:11" ht="15" customHeight="1" x14ac:dyDescent="0.25">
      <c r="A30" s="50" t="str">
        <f>Inventory!A27</f>
        <v>Rob Gronkowski Signed Jersey</v>
      </c>
      <c r="B30" s="50" t="str">
        <f>Inventory!Y27</f>
        <v>Jersey</v>
      </c>
      <c r="C30" s="51">
        <f>Inventory!N27</f>
        <v>29.653218546637746</v>
      </c>
      <c r="D30" s="51">
        <f>Inventory!T27</f>
        <v>43.309500647675051</v>
      </c>
      <c r="E30" s="43"/>
      <c r="F30" s="43"/>
      <c r="G30" s="43"/>
      <c r="H30" s="43">
        <f t="shared" si="0"/>
        <v>0</v>
      </c>
      <c r="I30" s="52"/>
      <c r="J30" s="43">
        <f t="shared" si="2"/>
        <v>51.971400777210057</v>
      </c>
      <c r="K30" s="53" t="str">
        <f t="shared" si="1"/>
        <v>🔗 View Sold Comps</v>
      </c>
    </row>
    <row r="31" spans="1:11" ht="15" customHeight="1" x14ac:dyDescent="0.25">
      <c r="A31" s="50" t="str">
        <f>Inventory!A28</f>
        <v>Joe Johnson Signed Jersey (PSA)</v>
      </c>
      <c r="B31" s="50" t="str">
        <f>Inventory!Y28</f>
        <v>Jersey</v>
      </c>
      <c r="C31" s="51">
        <f>Inventory!N28</f>
        <v>29.653218546637746</v>
      </c>
      <c r="D31" s="51">
        <f>Inventory!T28</f>
        <v>43.309500647675051</v>
      </c>
      <c r="E31" s="43"/>
      <c r="F31" s="43"/>
      <c r="G31" s="43"/>
      <c r="H31" s="43">
        <f t="shared" si="0"/>
        <v>0</v>
      </c>
      <c r="I31" s="52"/>
      <c r="J31" s="43">
        <f t="shared" si="2"/>
        <v>51.971400777210057</v>
      </c>
      <c r="K31" s="53" t="str">
        <f t="shared" si="1"/>
        <v>🔗 View Sold Comps</v>
      </c>
    </row>
    <row r="32" spans="1:11" ht="15" customHeight="1" x14ac:dyDescent="0.25">
      <c r="A32" s="50" t="str">
        <f>Inventory!A29</f>
        <v>Moses Moody Signed Jersey (Beckett)</v>
      </c>
      <c r="B32" s="50" t="str">
        <f>Inventory!Y29</f>
        <v>Jersey</v>
      </c>
      <c r="C32" s="51">
        <f>Inventory!N29</f>
        <v>13.483170533170535</v>
      </c>
      <c r="D32" s="51">
        <f>Inventory!T29</f>
        <v>23.591632561539971</v>
      </c>
      <c r="E32" s="43"/>
      <c r="F32" s="43"/>
      <c r="G32" s="43"/>
      <c r="H32" s="43">
        <f t="shared" si="0"/>
        <v>0</v>
      </c>
      <c r="I32" s="52"/>
      <c r="J32" s="43">
        <f t="shared" si="2"/>
        <v>28.309959073847963</v>
      </c>
      <c r="K32" s="53" t="str">
        <f t="shared" si="1"/>
        <v>🔗 View Sold Comps</v>
      </c>
    </row>
    <row r="33" spans="1:11" ht="15" customHeight="1" x14ac:dyDescent="0.25">
      <c r="A33" s="50" t="str">
        <f>Inventory!A30</f>
        <v>Grayson Allen Signed Jersey (Beckett)</v>
      </c>
      <c r="B33" s="50" t="str">
        <f>Inventory!Y30</f>
        <v>Jersey</v>
      </c>
      <c r="C33" s="51">
        <f>Inventory!N30</f>
        <v>16.858536833536832</v>
      </c>
      <c r="D33" s="51">
        <f>Inventory!T30</f>
        <v>27.498306520297259</v>
      </c>
      <c r="E33" s="43"/>
      <c r="F33" s="43"/>
      <c r="G33" s="43"/>
      <c r="H33" s="43">
        <f t="shared" si="0"/>
        <v>0</v>
      </c>
      <c r="I33" s="52"/>
      <c r="J33" s="43">
        <f t="shared" si="2"/>
        <v>32.997967824356707</v>
      </c>
      <c r="K33" s="53" t="str">
        <f t="shared" si="1"/>
        <v>🔗 View Sold Comps</v>
      </c>
    </row>
    <row r="34" spans="1:11" ht="15" customHeight="1" x14ac:dyDescent="0.25">
      <c r="A34" s="50" t="str">
        <f>Inventory!A31</f>
        <v>Sam Hauser Signed Jersey (Beckett)</v>
      </c>
      <c r="B34" s="50" t="str">
        <f>Inventory!Y31</f>
        <v>Jersey</v>
      </c>
      <c r="C34" s="51">
        <f>Inventory!N31</f>
        <v>14.608292633292633</v>
      </c>
      <c r="D34" s="51">
        <f>Inventory!T31</f>
        <v>24.893857214459068</v>
      </c>
      <c r="E34" s="43"/>
      <c r="F34" s="43"/>
      <c r="G34" s="43"/>
      <c r="H34" s="43">
        <f t="shared" si="0"/>
        <v>0</v>
      </c>
      <c r="I34" s="52"/>
      <c r="J34" s="43">
        <f t="shared" si="2"/>
        <v>29.87262865735088</v>
      </c>
      <c r="K34" s="53" t="str">
        <f t="shared" si="1"/>
        <v>🔗 View Sold Comps</v>
      </c>
    </row>
    <row r="35" spans="1:11" ht="15" customHeight="1" x14ac:dyDescent="0.25">
      <c r="A35" s="50" t="str">
        <f>Inventory!A32</f>
        <v>Charlie Sheen, Tom Berenger &amp; Corbin Bernsen Signed Jersey (Beckett)</v>
      </c>
      <c r="B35" s="50" t="str">
        <f>Inventory!Y32</f>
        <v>Jersey</v>
      </c>
      <c r="C35" s="51">
        <f>Inventory!N32</f>
        <v>72.346755852842804</v>
      </c>
      <c r="D35" s="51">
        <f>Inventory!T32</f>
        <v>95.020090950650854</v>
      </c>
      <c r="E35" s="43">
        <v>149</v>
      </c>
      <c r="F35" s="43">
        <v>160</v>
      </c>
      <c r="G35" s="43">
        <v>149</v>
      </c>
      <c r="H35" s="43">
        <f t="shared" si="0"/>
        <v>152.66666666666666</v>
      </c>
      <c r="I35" s="52"/>
      <c r="J35" s="43">
        <f t="shared" si="2"/>
        <v>152.66666666666666</v>
      </c>
      <c r="K35" s="53" t="str">
        <f t="shared" si="1"/>
        <v>🔗 View Sold Comps</v>
      </c>
    </row>
    <row r="36" spans="1:11" ht="15" customHeight="1" x14ac:dyDescent="0.25">
      <c r="A36" s="50" t="str">
        <f>Inventory!A33</f>
        <v>Trey Lance Signed Jersey (Beckett)</v>
      </c>
      <c r="B36" s="50" t="str">
        <f>Inventory!Y33</f>
        <v>Jersey</v>
      </c>
      <c r="C36" s="51">
        <f>Inventory!N33</f>
        <v>17.943143812709032</v>
      </c>
      <c r="D36" s="51">
        <f>Inventory!T33</f>
        <v>29.78794222147366</v>
      </c>
      <c r="E36" s="43"/>
      <c r="F36" s="43"/>
      <c r="G36" s="43"/>
      <c r="H36" s="43">
        <f t="shared" si="0"/>
        <v>0</v>
      </c>
      <c r="I36" s="52"/>
      <c r="J36" s="43">
        <f t="shared" si="2"/>
        <v>35.745530665768392</v>
      </c>
      <c r="K36" s="53" t="str">
        <f t="shared" si="1"/>
        <v>🔗 View Sold Comps</v>
      </c>
    </row>
    <row r="37" spans="1:11" ht="15" hidden="1" customHeight="1" x14ac:dyDescent="0.25">
      <c r="A37" s="50" t="str">
        <f>Inventory!A34</f>
        <v>Chad Smith Signed 16" Drum Stick (Beckett)</v>
      </c>
      <c r="B37" s="50" t="str">
        <f>Inventory!Y34</f>
        <v>Drum Stick</v>
      </c>
      <c r="C37" s="51">
        <f>Inventory!N34</f>
        <v>47.480319012091584</v>
      </c>
      <c r="D37" s="51">
        <f>Inventory!T34</f>
        <v>65.204219438958731</v>
      </c>
      <c r="E37" s="43">
        <v>119.99</v>
      </c>
      <c r="F37" s="43">
        <v>99</v>
      </c>
      <c r="G37" s="43">
        <v>89</v>
      </c>
      <c r="H37" s="43">
        <f t="shared" si="0"/>
        <v>102.66333333333334</v>
      </c>
      <c r="I37" s="52"/>
      <c r="J37" s="43">
        <f t="shared" si="2"/>
        <v>102.66333333333334</v>
      </c>
      <c r="K37" s="53" t="str">
        <f t="shared" si="1"/>
        <v>🔗 View Sold Comps</v>
      </c>
    </row>
    <row r="38" spans="1:11" ht="15" hidden="1" customHeight="1" x14ac:dyDescent="0.25">
      <c r="A38" s="50" t="str">
        <f>Inventory!A35</f>
        <v>Andre Rison Signed NFL Football Inscribed "Bad Moon" (Schwartz)</v>
      </c>
      <c r="B38" s="50" t="str">
        <f>Inventory!Y35</f>
        <v>Football</v>
      </c>
      <c r="C38" s="51">
        <f>Inventory!N35</f>
        <v>33.909781322356572</v>
      </c>
      <c r="D38" s="51">
        <f>Inventory!T35</f>
        <v>47.233543197171954</v>
      </c>
      <c r="E38" s="43">
        <v>35</v>
      </c>
      <c r="F38" s="43">
        <v>35</v>
      </c>
      <c r="G38" s="43"/>
      <c r="H38" s="43">
        <f t="shared" si="0"/>
        <v>35</v>
      </c>
      <c r="I38" s="52"/>
      <c r="J38" s="43">
        <f t="shared" si="2"/>
        <v>56.680251836606345</v>
      </c>
      <c r="K38" s="53" t="str">
        <f t="shared" si="1"/>
        <v>🔗 View Sold Comps</v>
      </c>
    </row>
    <row r="42" spans="1:11" ht="15" customHeight="1" x14ac:dyDescent="0.3">
      <c r="A42" s="103" t="s">
        <v>149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</row>
    <row r="43" spans="1:11" ht="21.75" customHeight="1" x14ac:dyDescent="0.25">
      <c r="A43" s="104" t="s">
        <v>150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</row>
    <row r="44" spans="1:11" ht="21.75" customHeight="1" x14ac:dyDescent="0.25">
      <c r="A44" s="104" t="s">
        <v>151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</row>
    <row r="45" spans="1:11" ht="21.75" customHeight="1" x14ac:dyDescent="0.25">
      <c r="A45" s="104" t="s">
        <v>152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</row>
    <row r="46" spans="1:11" ht="21.75" customHeight="1" x14ac:dyDescent="0.25">
      <c r="A46" s="104" t="s">
        <v>153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</row>
    <row r="47" spans="1:11" ht="21.75" customHeight="1" x14ac:dyDescent="0.25">
      <c r="A47" s="104" t="s">
        <v>154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</row>
    <row r="48" spans="1:11" ht="21.75" customHeight="1" x14ac:dyDescent="0.25">
      <c r="A48" s="104" t="s">
        <v>155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</row>
    <row r="49" spans="1:11" ht="21.75" customHeight="1" x14ac:dyDescent="0.25">
      <c r="A49" s="104" t="s">
        <v>156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0" spans="1:11" ht="21.75" customHeight="1" x14ac:dyDescent="0.25">
      <c r="A50" s="104" t="s">
        <v>157</v>
      </c>
      <c r="B50" s="104"/>
      <c r="C50" s="104"/>
      <c r="D50" s="104"/>
      <c r="E50" s="104"/>
      <c r="F50" s="104"/>
      <c r="G50" s="104"/>
      <c r="H50" s="104"/>
      <c r="I50" s="104"/>
      <c r="J50" s="104"/>
      <c r="K50" s="104"/>
    </row>
    <row r="51" spans="1:11" ht="21.75" customHeight="1" x14ac:dyDescent="0.25">
      <c r="A51" s="104" t="s">
        <v>158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</row>
  </sheetData>
  <autoFilter ref="A4:K38" xr:uid="{00000000-0001-0000-0300-000000000000}">
    <filterColumn colId="1">
      <filters>
        <filter val="Jersey"/>
      </filters>
    </filterColumn>
  </autoFilter>
  <mergeCells count="12">
    <mergeCell ref="A50:K50"/>
    <mergeCell ref="A51:K51"/>
    <mergeCell ref="A45:K45"/>
    <mergeCell ref="A46:K46"/>
    <mergeCell ref="A47:K47"/>
    <mergeCell ref="A48:K48"/>
    <mergeCell ref="A49:K49"/>
    <mergeCell ref="A1:K1"/>
    <mergeCell ref="A2:K2"/>
    <mergeCell ref="A42:K42"/>
    <mergeCell ref="A43:K43"/>
    <mergeCell ref="A44:K44"/>
  </mergeCells>
  <conditionalFormatting sqref="J5:J38">
    <cfRule type="expression" dxfId="0" priority="2">
      <formula>J5&gt;D5*1.5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zoomScaleNormal="100" workbookViewId="0"/>
  </sheetViews>
  <sheetFormatPr defaultColWidth="8.77734375" defaultRowHeight="13.2" x14ac:dyDescent="0.25"/>
  <cols>
    <col min="1" max="1" width="16" customWidth="1"/>
    <col min="2" max="2" width="10" customWidth="1"/>
    <col min="3" max="3" width="15" customWidth="1"/>
    <col min="4" max="5" width="11" customWidth="1"/>
    <col min="6" max="7" width="16" customWidth="1"/>
    <col min="8" max="8" width="13" customWidth="1"/>
  </cols>
  <sheetData>
    <row r="1" spans="1:8" ht="21.75" customHeight="1" x14ac:dyDescent="0.4">
      <c r="A1" s="101" t="s">
        <v>159</v>
      </c>
      <c r="B1" s="101"/>
      <c r="C1" s="101"/>
      <c r="D1" s="101"/>
      <c r="E1" s="101"/>
      <c r="F1" s="101"/>
      <c r="G1" s="101"/>
      <c r="H1" s="101"/>
    </row>
    <row r="3" spans="1:8" ht="15.75" customHeight="1" x14ac:dyDescent="0.3">
      <c r="A3" s="105" t="s">
        <v>160</v>
      </c>
      <c r="B3" s="105"/>
      <c r="C3" s="105"/>
      <c r="D3" s="105"/>
      <c r="E3" s="105"/>
      <c r="F3" s="105"/>
      <c r="G3" s="105"/>
      <c r="H3" s="105"/>
    </row>
    <row r="4" spans="1:8" ht="26.25" customHeight="1" x14ac:dyDescent="0.25">
      <c r="A4" s="17" t="s">
        <v>30</v>
      </c>
      <c r="B4" s="17" t="s">
        <v>161</v>
      </c>
      <c r="C4" s="17" t="s">
        <v>162</v>
      </c>
      <c r="D4" s="17" t="s">
        <v>163</v>
      </c>
      <c r="E4" s="17" t="s">
        <v>4</v>
      </c>
      <c r="F4" s="17" t="s">
        <v>164</v>
      </c>
      <c r="G4" s="17" t="s">
        <v>5</v>
      </c>
      <c r="H4" s="17" t="s">
        <v>165</v>
      </c>
    </row>
    <row r="5" spans="1:8" ht="15" customHeight="1" x14ac:dyDescent="0.25">
      <c r="A5" t="s">
        <v>166</v>
      </c>
      <c r="B5">
        <f>COUNTIF(Inventory!$Y$2:$Y$35,A5)</f>
        <v>19</v>
      </c>
      <c r="C5" s="43">
        <f>SUMIF(Inventory!$Y$2:$Y$35,A5,Inventory!$N$2:$N$35)</f>
        <v>568.91209819143694</v>
      </c>
      <c r="D5" s="43">
        <f t="shared" ref="D5:D13" si="0">IFERROR(C5/B5,0)</f>
        <v>29.94274201007563</v>
      </c>
      <c r="E5">
        <f>COUNTIFS('Sales Log'!$V$4:$V$303,A5,'Sales Log'!$F$4:$F$303,"&gt;0")</f>
        <v>0</v>
      </c>
      <c r="F5" s="43">
        <f>SUMIFS('Sales Log'!$F$4:$F$303,'Sales Log'!$V$4:$V$303,A5)</f>
        <v>0</v>
      </c>
      <c r="G5" s="43">
        <f>SUMIFS('Sales Log'!$P$4:$P$303,'Sales Log'!$V$4:$V$303,A5)</f>
        <v>0</v>
      </c>
      <c r="H5" s="30">
        <f t="shared" ref="H5:H13" si="1">IFERROR(G5/F5,0)</f>
        <v>0</v>
      </c>
    </row>
    <row r="6" spans="1:8" ht="15" customHeight="1" x14ac:dyDescent="0.25">
      <c r="A6" t="s">
        <v>167</v>
      </c>
      <c r="B6">
        <f>COUNTIF(Inventory!$Y$2:$Y$35,A6)</f>
        <v>4</v>
      </c>
      <c r="C6" s="43">
        <f>SUMIF(Inventory!$Y$2:$Y$35,A6,Inventory!$N$2:$N$35)</f>
        <v>96.648703796490281</v>
      </c>
      <c r="D6" s="43">
        <f t="shared" si="0"/>
        <v>24.16217594912257</v>
      </c>
      <c r="E6">
        <f>COUNTIFS('Sales Log'!$V$4:$V$303,A6,'Sales Log'!$F$4:$F$303,"&gt;0")</f>
        <v>0</v>
      </c>
      <c r="F6" s="43">
        <f>SUMIFS('Sales Log'!$F$4:$F$303,'Sales Log'!$V$4:$V$303,A6)</f>
        <v>0</v>
      </c>
      <c r="G6" s="43">
        <f>SUMIFS('Sales Log'!$P$4:$P$303,'Sales Log'!$V$4:$V$303,A6)</f>
        <v>0</v>
      </c>
      <c r="H6" s="30">
        <f t="shared" si="1"/>
        <v>0</v>
      </c>
    </row>
    <row r="7" spans="1:8" ht="15" customHeight="1" x14ac:dyDescent="0.25">
      <c r="A7" t="s">
        <v>81</v>
      </c>
      <c r="B7">
        <f>COUNTIF(Inventory!$Y$2:$Y$35,A7)</f>
        <v>2</v>
      </c>
      <c r="C7" s="43">
        <f>SUMIF(Inventory!$Y$2:$Y$35,A7,Inventory!$N$2:$N$35)</f>
        <v>58.713739937847791</v>
      </c>
      <c r="D7" s="43">
        <f t="shared" si="0"/>
        <v>29.356869968923895</v>
      </c>
      <c r="E7">
        <f>COUNTIFS('Sales Log'!$V$4:$V$303,A7,'Sales Log'!$F$4:$F$303,"&gt;0")</f>
        <v>0</v>
      </c>
      <c r="F7" s="43">
        <f>SUMIFS('Sales Log'!$F$4:$F$303,'Sales Log'!$V$4:$V$303,A7)</f>
        <v>0</v>
      </c>
      <c r="G7" s="43">
        <f>SUMIFS('Sales Log'!$P$4:$P$303,'Sales Log'!$V$4:$V$303,A7)</f>
        <v>0</v>
      </c>
      <c r="H7" s="30">
        <f t="shared" si="1"/>
        <v>0</v>
      </c>
    </row>
    <row r="8" spans="1:8" ht="15" customHeight="1" x14ac:dyDescent="0.25">
      <c r="A8" t="s">
        <v>168</v>
      </c>
      <c r="B8">
        <f>COUNTIF(Inventory!$Y$2:$Y$35,A8)</f>
        <v>4</v>
      </c>
      <c r="C8" s="43">
        <f>SUMIF(Inventory!$Y$2:$Y$35,A8,Inventory!$N$2:$N$35)</f>
        <v>153.63704688557007</v>
      </c>
      <c r="D8" s="43">
        <f t="shared" si="0"/>
        <v>38.409261721392518</v>
      </c>
      <c r="E8">
        <f>COUNTIFS('Sales Log'!$V$4:$V$303,A8,'Sales Log'!$F$4:$F$303,"&gt;0")</f>
        <v>0</v>
      </c>
      <c r="F8" s="43">
        <f>SUMIFS('Sales Log'!$F$4:$F$303,'Sales Log'!$V$4:$V$303,A8)</f>
        <v>0</v>
      </c>
      <c r="G8" s="43">
        <f>SUMIFS('Sales Log'!$P$4:$P$303,'Sales Log'!$V$4:$V$303,A8)</f>
        <v>0</v>
      </c>
      <c r="H8" s="30">
        <f t="shared" si="1"/>
        <v>0</v>
      </c>
    </row>
    <row r="9" spans="1:8" ht="15" customHeight="1" x14ac:dyDescent="0.25">
      <c r="A9" t="s">
        <v>83</v>
      </c>
      <c r="B9">
        <f>COUNTIF(Inventory!$Y$2:$Y$35,A9)</f>
        <v>2</v>
      </c>
      <c r="C9" s="43">
        <f>SUMIF(Inventory!$Y$2:$Y$35,A9,Inventory!$N$2:$N$35)</f>
        <v>69.589781322356572</v>
      </c>
      <c r="D9" s="43">
        <f t="shared" si="0"/>
        <v>34.794890661178286</v>
      </c>
      <c r="E9">
        <f>COUNTIFS('Sales Log'!$V$4:$V$303,A9,'Sales Log'!$F$4:$F$303,"&gt;0")</f>
        <v>0</v>
      </c>
      <c r="F9" s="43">
        <f>SUMIFS('Sales Log'!$F$4:$F$303,'Sales Log'!$V$4:$V$303,A9)</f>
        <v>0</v>
      </c>
      <c r="G9" s="43">
        <f>SUMIFS('Sales Log'!$P$4:$P$303,'Sales Log'!$V$4:$V$303,A9)</f>
        <v>0</v>
      </c>
      <c r="H9" s="30">
        <f t="shared" si="1"/>
        <v>0</v>
      </c>
    </row>
    <row r="10" spans="1:8" ht="15" customHeight="1" x14ac:dyDescent="0.25">
      <c r="A10" t="s">
        <v>169</v>
      </c>
      <c r="B10">
        <f>COUNTIF(Inventory!$Y$2:$Y$35,A10)</f>
        <v>1</v>
      </c>
      <c r="C10" s="43">
        <f>SUMIF(Inventory!$Y$2:$Y$35,A10,Inventory!$N$2:$N$35)</f>
        <v>55.903339755940912</v>
      </c>
      <c r="D10" s="43">
        <f t="shared" si="0"/>
        <v>55.903339755940912</v>
      </c>
      <c r="E10">
        <f>COUNTIFS('Sales Log'!$V$4:$V$303,A10,'Sales Log'!$F$4:$F$303,"&gt;0")</f>
        <v>0</v>
      </c>
      <c r="F10" s="43">
        <f>SUMIFS('Sales Log'!$F$4:$F$303,'Sales Log'!$V$4:$V$303,A10)</f>
        <v>0</v>
      </c>
      <c r="G10" s="43">
        <f>SUMIFS('Sales Log'!$P$4:$P$303,'Sales Log'!$V$4:$V$303,A10)</f>
        <v>0</v>
      </c>
      <c r="H10" s="30">
        <f t="shared" si="1"/>
        <v>0</v>
      </c>
    </row>
    <row r="11" spans="1:8" ht="15" customHeight="1" x14ac:dyDescent="0.25">
      <c r="A11" t="s">
        <v>170</v>
      </c>
      <c r="B11">
        <f>COUNTIF(Inventory!$Y$2:$Y$35,A11)</f>
        <v>1</v>
      </c>
      <c r="C11" s="43">
        <f>SUMIF(Inventory!$Y$2:$Y$35,A11,Inventory!$N$2:$N$35)</f>
        <v>47.480319012091584</v>
      </c>
      <c r="D11" s="43">
        <f t="shared" si="0"/>
        <v>47.480319012091584</v>
      </c>
      <c r="E11">
        <f>COUNTIFS('Sales Log'!$V$4:$V$303,A11,'Sales Log'!$F$4:$F$303,"&gt;0")</f>
        <v>0</v>
      </c>
      <c r="F11" s="43">
        <f>SUMIFS('Sales Log'!$F$4:$F$303,'Sales Log'!$V$4:$V$303,A11)</f>
        <v>0</v>
      </c>
      <c r="G11" s="43">
        <f>SUMIFS('Sales Log'!$P$4:$P$303,'Sales Log'!$V$4:$V$303,A11)</f>
        <v>0</v>
      </c>
      <c r="H11" s="30">
        <f t="shared" si="1"/>
        <v>0</v>
      </c>
    </row>
    <row r="12" spans="1:8" ht="15" customHeight="1" x14ac:dyDescent="0.25">
      <c r="A12" t="s">
        <v>171</v>
      </c>
      <c r="B12">
        <f>COUNTIF(Inventory!$Y$2:$Y$35,A12)</f>
        <v>1</v>
      </c>
      <c r="C12" s="43">
        <f>SUMIF(Inventory!$Y$2:$Y$35,A12,Inventory!$N$2:$N$35)</f>
        <v>16.254971098265898</v>
      </c>
      <c r="D12" s="43">
        <f t="shared" si="0"/>
        <v>16.254971098265898</v>
      </c>
      <c r="E12">
        <f>COUNTIFS('Sales Log'!$V$4:$V$303,A12,'Sales Log'!$F$4:$F$303,"&gt;0")</f>
        <v>0</v>
      </c>
      <c r="F12" s="43">
        <f>SUMIFS('Sales Log'!$F$4:$F$303,'Sales Log'!$V$4:$V$303,A12)</f>
        <v>0</v>
      </c>
      <c r="G12" s="43">
        <f>SUMIFS('Sales Log'!$P$4:$P$303,'Sales Log'!$V$4:$V$303,A12)</f>
        <v>0</v>
      </c>
      <c r="H12" s="30">
        <f t="shared" si="1"/>
        <v>0</v>
      </c>
    </row>
    <row r="13" spans="1:8" ht="15" customHeight="1" x14ac:dyDescent="0.25">
      <c r="A13" t="s">
        <v>172</v>
      </c>
      <c r="B13">
        <f>COUNTIF(Inventory!$Y$2:$Y$35,A13)</f>
        <v>0</v>
      </c>
      <c r="C13" s="43">
        <f>SUMIF(Inventory!$Y$2:$Y$35,A13,Inventory!$N$2:$N$35)</f>
        <v>0</v>
      </c>
      <c r="D13" s="43">
        <f t="shared" si="0"/>
        <v>0</v>
      </c>
      <c r="E13">
        <f>COUNTIFS('Sales Log'!$V$4:$V$303,A13,'Sales Log'!$F$4:$F$303,"&gt;0")</f>
        <v>0</v>
      </c>
      <c r="F13" s="43">
        <f>SUMIFS('Sales Log'!$F$4:$F$303,'Sales Log'!$V$4:$V$303,A13)</f>
        <v>0</v>
      </c>
      <c r="G13" s="43">
        <f>SUMIFS('Sales Log'!$P$4:$P$303,'Sales Log'!$V$4:$V$303,A13)</f>
        <v>0</v>
      </c>
      <c r="H13" s="30">
        <f t="shared" si="1"/>
        <v>0</v>
      </c>
    </row>
    <row r="16" spans="1:8" ht="15.75" customHeight="1" x14ac:dyDescent="0.3">
      <c r="A16" s="105" t="s">
        <v>173</v>
      </c>
      <c r="B16" s="105"/>
      <c r="C16" s="105"/>
      <c r="D16" s="105"/>
      <c r="E16" s="105"/>
      <c r="F16" s="105"/>
      <c r="G16" s="105"/>
      <c r="H16" s="105"/>
    </row>
    <row r="17" spans="1:8" ht="26.25" customHeight="1" x14ac:dyDescent="0.25">
      <c r="A17" s="17" t="s">
        <v>59</v>
      </c>
      <c r="B17" s="17" t="s">
        <v>161</v>
      </c>
      <c r="C17" s="17" t="s">
        <v>162</v>
      </c>
      <c r="D17" s="17" t="s">
        <v>163</v>
      </c>
      <c r="E17" s="17" t="s">
        <v>4</v>
      </c>
      <c r="F17" s="17" t="s">
        <v>164</v>
      </c>
      <c r="G17" s="17" t="s">
        <v>5</v>
      </c>
      <c r="H17" s="17" t="s">
        <v>165</v>
      </c>
    </row>
    <row r="18" spans="1:8" ht="15" customHeight="1" x14ac:dyDescent="0.25">
      <c r="A18" t="s">
        <v>174</v>
      </c>
      <c r="B18">
        <f>COUNTIF(Inventory!$AB$2:$AB$35,A18)</f>
        <v>16</v>
      </c>
      <c r="C18" s="43">
        <f>SUMIF(Inventory!$AB$2:$AB$35,A18,Inventory!$N$2:$N$35)</f>
        <v>492.12617363068978</v>
      </c>
      <c r="D18" s="43">
        <f t="shared" ref="D18:D23" si="2">IFERROR(C18/B18,0)</f>
        <v>30.757885851918111</v>
      </c>
      <c r="E18">
        <f>COUNTIFS('Sales Log'!$W$4:$W$303,A18,'Sales Log'!$F$4:$F$303,"&gt;0")</f>
        <v>0</v>
      </c>
      <c r="F18" s="43">
        <f>SUMIFS('Sales Log'!$F$4:$F$303,'Sales Log'!$W$4:$W$303,A18)</f>
        <v>0</v>
      </c>
      <c r="G18" s="43">
        <f>SUMIFS('Sales Log'!$P$4:$P$303,'Sales Log'!$W$4:$W$303,A18)</f>
        <v>0</v>
      </c>
      <c r="H18" s="30">
        <f t="shared" ref="H18:H23" si="3">IFERROR(G18/F18,0)</f>
        <v>0</v>
      </c>
    </row>
    <row r="19" spans="1:8" ht="15" customHeight="1" x14ac:dyDescent="0.25">
      <c r="A19" t="s">
        <v>175</v>
      </c>
      <c r="B19">
        <f>COUNTIF(Inventory!$AB$2:$AB$35,A19)</f>
        <v>13</v>
      </c>
      <c r="C19" s="43">
        <f>SUMIF(Inventory!$AB$2:$AB$35,A19,Inventory!$N$2:$N$35)</f>
        <v>418.51332613280948</v>
      </c>
      <c r="D19" s="43">
        <f t="shared" si="2"/>
        <v>32.193332779446884</v>
      </c>
      <c r="E19">
        <f>COUNTIFS('Sales Log'!$W$4:$W$303,A19,'Sales Log'!$F$4:$F$303,"&gt;0")</f>
        <v>0</v>
      </c>
      <c r="F19" s="43">
        <f>SUMIFS('Sales Log'!$F$4:$F$303,'Sales Log'!$W$4:$W$303,A19)</f>
        <v>0</v>
      </c>
      <c r="G19" s="43">
        <f>SUMIFS('Sales Log'!$P$4:$P$303,'Sales Log'!$W$4:$W$303,A19)</f>
        <v>0</v>
      </c>
      <c r="H19" s="30">
        <f t="shared" si="3"/>
        <v>0</v>
      </c>
    </row>
    <row r="20" spans="1:8" ht="15" customHeight="1" x14ac:dyDescent="0.25">
      <c r="A20" t="s">
        <v>176</v>
      </c>
      <c r="B20">
        <f>COUNTIF(Inventory!$AB$2:$AB$35,A20)</f>
        <v>1</v>
      </c>
      <c r="C20" s="43">
        <f>SUMIF(Inventory!$AB$2:$AB$35,A20,Inventory!$N$2:$N$35)</f>
        <v>29.653218546637746</v>
      </c>
      <c r="D20" s="43">
        <f t="shared" si="2"/>
        <v>29.653218546637746</v>
      </c>
      <c r="E20">
        <f>COUNTIFS('Sales Log'!$W$4:$W$303,A20,'Sales Log'!$F$4:$F$303,"&gt;0")</f>
        <v>0</v>
      </c>
      <c r="F20" s="43">
        <f>SUMIFS('Sales Log'!$F$4:$F$303,'Sales Log'!$W$4:$W$303,A20)</f>
        <v>0</v>
      </c>
      <c r="G20" s="43">
        <f>SUMIFS('Sales Log'!$P$4:$P$303,'Sales Log'!$W$4:$W$303,A20)</f>
        <v>0</v>
      </c>
      <c r="H20" s="30">
        <f t="shared" si="3"/>
        <v>0</v>
      </c>
    </row>
    <row r="21" spans="1:8" ht="15" customHeight="1" x14ac:dyDescent="0.25">
      <c r="A21" t="s">
        <v>177</v>
      </c>
      <c r="B21">
        <f>COUNTIF(Inventory!$AB$2:$AB$35,A21)</f>
        <v>2</v>
      </c>
      <c r="C21" s="43">
        <f>SUMIF(Inventory!$AB$2:$AB$35,A21,Inventory!$N$2:$N$35)</f>
        <v>63.284281820868713</v>
      </c>
      <c r="D21" s="43">
        <f t="shared" si="2"/>
        <v>31.642140910434357</v>
      </c>
      <c r="E21">
        <f>COUNTIFS('Sales Log'!$W$4:$W$303,A21,'Sales Log'!$F$4:$F$303,"&gt;0")</f>
        <v>0</v>
      </c>
      <c r="F21" s="43">
        <f>SUMIFS('Sales Log'!$F$4:$F$303,'Sales Log'!$W$4:$W$303,A21)</f>
        <v>0</v>
      </c>
      <c r="G21" s="43">
        <f>SUMIFS('Sales Log'!$P$4:$P$303,'Sales Log'!$W$4:$W$303,A21)</f>
        <v>0</v>
      </c>
      <c r="H21" s="30">
        <f t="shared" si="3"/>
        <v>0</v>
      </c>
    </row>
    <row r="22" spans="1:8" ht="15" customHeight="1" x14ac:dyDescent="0.25">
      <c r="A22" t="s">
        <v>178</v>
      </c>
      <c r="B22">
        <f>COUNTIF(Inventory!$AB$2:$AB$35,A22)</f>
        <v>1</v>
      </c>
      <c r="C22" s="43">
        <f>SUMIF(Inventory!$AB$2:$AB$35,A22,Inventory!$N$2:$N$35)</f>
        <v>33.909781322356572</v>
      </c>
      <c r="D22" s="43">
        <f t="shared" si="2"/>
        <v>33.909781322356572</v>
      </c>
      <c r="E22">
        <f>COUNTIFS('Sales Log'!$W$4:$W$303,A22,'Sales Log'!$F$4:$F$303,"&gt;0")</f>
        <v>0</v>
      </c>
      <c r="F22" s="43">
        <f>SUMIFS('Sales Log'!$F$4:$F$303,'Sales Log'!$W$4:$W$303,A22)</f>
        <v>0</v>
      </c>
      <c r="G22" s="43">
        <f>SUMIFS('Sales Log'!$P$4:$P$303,'Sales Log'!$W$4:$W$303,A22)</f>
        <v>0</v>
      </c>
      <c r="H22" s="30">
        <f t="shared" si="3"/>
        <v>0</v>
      </c>
    </row>
    <row r="23" spans="1:8" ht="15" customHeight="1" x14ac:dyDescent="0.25">
      <c r="A23" t="s">
        <v>179</v>
      </c>
      <c r="B23">
        <f>COUNTIF(Inventory!$AB$2:$AB$35,A23)</f>
        <v>1</v>
      </c>
      <c r="C23" s="43">
        <f>SUMIF(Inventory!$AB$2:$AB$35,A23,Inventory!$N$2:$N$35)</f>
        <v>29.653218546637746</v>
      </c>
      <c r="D23" s="43">
        <f t="shared" si="2"/>
        <v>29.653218546637746</v>
      </c>
      <c r="E23">
        <f>COUNTIFS('Sales Log'!$W$4:$W$303,A23,'Sales Log'!$F$4:$F$303,"&gt;0")</f>
        <v>0</v>
      </c>
      <c r="F23" s="43">
        <f>SUMIFS('Sales Log'!$F$4:$F$303,'Sales Log'!$W$4:$W$303,A23)</f>
        <v>0</v>
      </c>
      <c r="G23" s="43">
        <f>SUMIFS('Sales Log'!$P$4:$P$303,'Sales Log'!$W$4:$W$303,A23)</f>
        <v>0</v>
      </c>
      <c r="H23" s="30">
        <f t="shared" si="3"/>
        <v>0</v>
      </c>
    </row>
  </sheetData>
  <mergeCells count="3">
    <mergeCell ref="A1:H1"/>
    <mergeCell ref="A3:H3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zoomScaleNormal="100" workbookViewId="0">
      <selection sqref="A1:D1"/>
    </sheetView>
  </sheetViews>
  <sheetFormatPr defaultColWidth="8.77734375" defaultRowHeight="13.2" x14ac:dyDescent="0.25"/>
  <cols>
    <col min="1" max="1" width="34" customWidth="1"/>
    <col min="2" max="2" width="11" customWidth="1"/>
    <col min="3" max="3" width="13" customWidth="1"/>
    <col min="4" max="4" width="55" customWidth="1"/>
  </cols>
  <sheetData>
    <row r="1" spans="1:4" ht="19.5" customHeight="1" x14ac:dyDescent="0.4">
      <c r="A1" s="106" t="s">
        <v>180</v>
      </c>
      <c r="B1" s="106"/>
      <c r="C1" s="106"/>
      <c r="D1" s="106"/>
    </row>
    <row r="3" spans="1:4" ht="15" customHeight="1" x14ac:dyDescent="0.25">
      <c r="A3" s="17" t="s">
        <v>49</v>
      </c>
      <c r="B3" s="17" t="s">
        <v>181</v>
      </c>
      <c r="C3" s="17" t="s">
        <v>182</v>
      </c>
      <c r="D3" s="17" t="s">
        <v>69</v>
      </c>
    </row>
    <row r="4" spans="1:4" ht="15" customHeight="1" x14ac:dyDescent="0.25">
      <c r="A4" s="54" t="s">
        <v>71</v>
      </c>
      <c r="B4" s="48">
        <v>0.13600000000000001</v>
      </c>
      <c r="C4" s="55">
        <v>0.4</v>
      </c>
      <c r="D4" s="54" t="s">
        <v>183</v>
      </c>
    </row>
    <row r="5" spans="1:4" ht="15" customHeight="1" x14ac:dyDescent="0.25">
      <c r="A5" s="54" t="s">
        <v>184</v>
      </c>
      <c r="B5" s="48">
        <v>0.156</v>
      </c>
      <c r="C5" s="55">
        <v>0.4</v>
      </c>
      <c r="D5" s="54" t="s">
        <v>185</v>
      </c>
    </row>
    <row r="6" spans="1:4" ht="15" customHeight="1" x14ac:dyDescent="0.25">
      <c r="A6" s="54" t="s">
        <v>186</v>
      </c>
      <c r="B6" s="48">
        <v>0.186</v>
      </c>
      <c r="C6" s="55">
        <v>0.4</v>
      </c>
      <c r="D6" s="54" t="s">
        <v>187</v>
      </c>
    </row>
    <row r="7" spans="1:4" ht="15" customHeight="1" x14ac:dyDescent="0.25">
      <c r="A7" s="54" t="s">
        <v>188</v>
      </c>
      <c r="B7" s="48">
        <v>0</v>
      </c>
      <c r="C7" s="55">
        <v>0</v>
      </c>
      <c r="D7" s="54" t="s">
        <v>189</v>
      </c>
    </row>
    <row r="8" spans="1:4" ht="15" customHeight="1" x14ac:dyDescent="0.25">
      <c r="A8" s="54" t="s">
        <v>190</v>
      </c>
      <c r="B8" s="48">
        <v>0.05</v>
      </c>
      <c r="C8" s="55">
        <v>0</v>
      </c>
      <c r="D8" s="54" t="s">
        <v>191</v>
      </c>
    </row>
    <row r="9" spans="1:4" ht="15" customHeight="1" x14ac:dyDescent="0.25">
      <c r="A9" s="54" t="s">
        <v>192</v>
      </c>
      <c r="B9" s="48">
        <v>0.129</v>
      </c>
      <c r="C9" s="55">
        <v>0</v>
      </c>
      <c r="D9" s="54" t="s">
        <v>193</v>
      </c>
    </row>
    <row r="10" spans="1:4" ht="15" customHeight="1" x14ac:dyDescent="0.25">
      <c r="A10" s="54" t="s">
        <v>194</v>
      </c>
      <c r="B10" s="48">
        <v>0.1</v>
      </c>
      <c r="C10" s="55">
        <v>0</v>
      </c>
      <c r="D10" s="54" t="s">
        <v>195</v>
      </c>
    </row>
    <row r="11" spans="1:4" ht="15" customHeight="1" x14ac:dyDescent="0.25">
      <c r="A11" s="54" t="s">
        <v>196</v>
      </c>
      <c r="B11" s="48">
        <v>0.08</v>
      </c>
      <c r="C11" s="55">
        <v>0.3</v>
      </c>
      <c r="D11" s="54" t="s">
        <v>197</v>
      </c>
    </row>
    <row r="12" spans="1:4" ht="15" customHeight="1" x14ac:dyDescent="0.25">
      <c r="A12" s="54" t="s">
        <v>198</v>
      </c>
      <c r="B12" s="48">
        <v>0.2</v>
      </c>
      <c r="C12" s="55">
        <v>0</v>
      </c>
      <c r="D12" s="54" t="s">
        <v>199</v>
      </c>
    </row>
    <row r="13" spans="1:4" ht="15" customHeight="1" x14ac:dyDescent="0.25">
      <c r="A13" s="54" t="s">
        <v>200</v>
      </c>
      <c r="B13" s="48">
        <v>0</v>
      </c>
      <c r="C13" s="55">
        <v>0</v>
      </c>
      <c r="D13" s="54" t="s">
        <v>201</v>
      </c>
    </row>
    <row r="14" spans="1:4" ht="15" customHeight="1" x14ac:dyDescent="0.25">
      <c r="A14" s="54" t="s">
        <v>202</v>
      </c>
      <c r="B14" s="48">
        <v>0.2</v>
      </c>
      <c r="C14" s="55">
        <v>0</v>
      </c>
      <c r="D14" s="54" t="s">
        <v>203</v>
      </c>
    </row>
    <row r="15" spans="1:4" ht="15" customHeight="1" x14ac:dyDescent="0.25">
      <c r="A15" s="54" t="s">
        <v>172</v>
      </c>
      <c r="B15" s="48">
        <v>0</v>
      </c>
      <c r="C15" s="55">
        <v>0</v>
      </c>
      <c r="D15" s="54" t="s">
        <v>204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28996A-F8A9-4FB7-BEF3-BC6EDCCB81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Inventory</vt:lpstr>
      <vt:lpstr>Sales Log</vt:lpstr>
      <vt:lpstr>Pricing Intelligence</vt:lpstr>
      <vt:lpstr>Categories</vt:lpstr>
      <vt:lpstr>Fee Reference</vt:lpstr>
      <vt:lpstr>PlatformFees</vt:lpstr>
      <vt:lpstr>PlatformList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Kemp</dc:creator>
  <cp:keywords/>
  <dc:description/>
  <cp:lastModifiedBy>Jon Kemp</cp:lastModifiedBy>
  <cp:revision>0</cp:revision>
  <dcterms:created xsi:type="dcterms:W3CDTF">2026-07-21T11:58:59Z</dcterms:created>
  <dcterms:modified xsi:type="dcterms:W3CDTF">2026-07-29T20:23:05Z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2026-07-21T11:58:59Z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76437250-e393-48be-937f-8d24a1c4e74f</vt:lpwstr>
  </property>
  <property fmtid="{D5CDD505-2E9C-101B-9397-08002B2CF9AE}" pid="8" name="MSIP_Label_9043f10a-881e-4653-a55e-02ca2cc829dc_ContentBits">
    <vt:lpwstr>0</vt:lpwstr>
  </property>
</Properties>
</file>