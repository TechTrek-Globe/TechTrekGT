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aon.net/personal/jon_kemp_aon_com/Documents/"/>
    </mc:Choice>
  </mc:AlternateContent>
  <xr:revisionPtr revIDLastSave="0" documentId="8_{09D2A68A-7A33-4407-9AA0-14CD8F8D059A}" xr6:coauthVersionLast="47" xr6:coauthVersionMax="47" xr10:uidLastSave="{00000000-0000-0000-0000-000000000000}"/>
  <bookViews>
    <workbookView xWindow="-46188" yWindow="-2928" windowWidth="23256" windowHeight="12456" tabRatio="825" xr2:uid="{2A1F839B-00F1-49A9-8AAA-2BE267557E2A}"/>
  </bookViews>
  <sheets>
    <sheet name="Dashboard" sheetId="1" r:id="rId1"/>
    <sheet name="Main Budget" sheetId="2" r:id="rId2"/>
    <sheet name="Mortgage Checking" sheetId="3" r:id="rId3"/>
    <sheet name="HOA Savings" sheetId="4" r:id="rId4"/>
    <sheet name="Bills Checking" sheetId="5" r:id="rId5"/>
    <sheet name="Loan Amortization" sheetId="6" r:id="rId6"/>
  </sheets>
  <definedNames>
    <definedName name="_xlnm._FilterDatabase" localSheetId="4" hidden="1">'Bills Checking'!$L$1:$M$707</definedName>
    <definedName name="ActualNumberOfPayments" localSheetId="3">IFERROR(IF('HOA Savings'!LoanIsGood,IF('HOA Savings'!PaymentsPerYear=1,1,MATCH(0.01,'HOA Savings'!End_Bal,-1)+1)),"")</definedName>
    <definedName name="ActualNumberOfPayments">IFERROR(IF(LoanIsGood,IF(PaymentsPerYear=1,1,MATCH(0.01,End_Bal,-1)+1)),"")</definedName>
    <definedName name="ColumnTitle1" localSheetId="3">#REF!</definedName>
    <definedName name="End_Bal" localSheetId="3">#REF!</definedName>
    <definedName name="ExtraPayments" localSheetId="3">#REF!</definedName>
    <definedName name="InterestRate" localSheetId="3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Col" localSheetId="3">MATCH(REPT("z",255),#REF!)</definedName>
    <definedName name="LastRow" localSheetId="3">MATCH(9.99E+307,#REF!)</definedName>
    <definedName name="LenderName" localSheetId="3">#REF!</definedName>
    <definedName name="LoanAmount" localSheetId="3">#REF!</definedName>
    <definedName name="LoanIsGood" localSheetId="3">(#REF!*#REF!*#REF!*#REF!)&gt;0</definedName>
    <definedName name="LoanPeriod" localSheetId="3">#REF!</definedName>
    <definedName name="LoanStartDate" localSheetId="3">#REF!</definedName>
    <definedName name="PaymentsPerYear" localSheetId="3">#REF!</definedName>
    <definedName name="_xlnm.Print_Area" localSheetId="5">'Loan Amortization'!$A$1:$L$74</definedName>
    <definedName name="_xlnm.Print_Area" localSheetId="1">'Main Budget'!$B$1:$H$35</definedName>
    <definedName name="_xlnm.Print_Titles" localSheetId="5">'Loan Amortization'!$14:$14</definedName>
    <definedName name="PrintArea_SET" localSheetId="3">OFFSET(#REF!,,,'HOA Savings'!LastRow,'HOA Savings'!LastCol)</definedName>
    <definedName name="roundOpt" localSheetId="3">#REF!</definedName>
    <definedName name="RowTitleRegion1..E9" localSheetId="3">#REF!</definedName>
    <definedName name="RowTitleRegion2..I7" localSheetId="3">#REF!</definedName>
    <definedName name="RowTitleRegion3..E9" localSheetId="3">#REF!</definedName>
    <definedName name="RowTitleRegion4..H9" localSheetId="3">#REF!</definedName>
    <definedName name="ScheduledNumberOfPayments" localSheetId="3">#REF!</definedName>
    <definedName name="ScheduledPayment" localSheetId="3">#REF!</definedName>
    <definedName name="TotalEarlyPayments" localSheetId="3">SUM(#REF!)</definedName>
    <definedName name="TotalInterest" localSheetId="3">SUM(#REF!)</definedName>
    <definedName name="valuevx">42.314159</definedName>
    <definedName name="vertex42_copyright" hidden="1">"© 2008-2018 Vertex42 LLC"</definedName>
    <definedName name="vertex42_id" hidden="1">"simple-interest-loan-calculator.xlsx"</definedName>
    <definedName name="vertex42_title" hidden="1">"Simple Interest Loan Calculator"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C17" i="5"/>
  <c r="D17" i="5"/>
  <c r="E17" i="5"/>
  <c r="F17" i="5"/>
  <c r="H17" i="5"/>
  <c r="M17" i="5"/>
  <c r="C18" i="5"/>
  <c r="D18" i="5"/>
  <c r="E18" i="5"/>
  <c r="F18" i="5"/>
  <c r="H18" i="5"/>
  <c r="M18" i="5"/>
  <c r="C19" i="5"/>
  <c r="D19" i="5"/>
  <c r="E19" i="5"/>
  <c r="F19" i="5"/>
  <c r="H19" i="5"/>
  <c r="M19" i="5"/>
  <c r="C20" i="5"/>
  <c r="D20" i="5"/>
  <c r="E20" i="5"/>
  <c r="F20" i="5"/>
  <c r="H20" i="5"/>
  <c r="M20" i="5"/>
  <c r="C21" i="5"/>
  <c r="D21" i="5"/>
  <c r="E21" i="5"/>
  <c r="F21" i="5"/>
  <c r="H21" i="5"/>
  <c r="M21" i="5"/>
  <c r="C22" i="5"/>
  <c r="D22" i="5"/>
  <c r="E22" i="5"/>
  <c r="F22" i="5"/>
  <c r="H22" i="5"/>
  <c r="M22" i="5"/>
  <c r="C23" i="5"/>
  <c r="D23" i="5"/>
  <c r="E23" i="5"/>
  <c r="F23" i="5"/>
  <c r="H23" i="5"/>
  <c r="M23" i="5"/>
  <c r="C24" i="5"/>
  <c r="D24" i="5"/>
  <c r="E24" i="5"/>
  <c r="F24" i="5"/>
  <c r="H24" i="5"/>
  <c r="M24" i="5"/>
  <c r="C25" i="5"/>
  <c r="D25" i="5"/>
  <c r="E25" i="5"/>
  <c r="F25" i="5"/>
  <c r="H25" i="5"/>
  <c r="M25" i="5"/>
  <c r="C26" i="5"/>
  <c r="D26" i="5"/>
  <c r="E26" i="5"/>
  <c r="F26" i="5"/>
  <c r="H26" i="5"/>
  <c r="M26" i="5"/>
  <c r="C27" i="5"/>
  <c r="D27" i="5"/>
  <c r="E27" i="5"/>
  <c r="F27" i="5"/>
  <c r="H27" i="5"/>
  <c r="M27" i="5"/>
  <c r="C28" i="5"/>
  <c r="D28" i="5"/>
  <c r="E28" i="5"/>
  <c r="F28" i="5"/>
  <c r="H28" i="5"/>
  <c r="M28" i="5"/>
  <c r="C29" i="5"/>
  <c r="D29" i="5"/>
  <c r="E29" i="5"/>
  <c r="F29" i="5"/>
  <c r="H29" i="5"/>
  <c r="M29" i="5"/>
  <c r="C30" i="5"/>
  <c r="D30" i="5"/>
  <c r="E30" i="5"/>
  <c r="F30" i="5"/>
  <c r="H30" i="5"/>
  <c r="M30" i="5"/>
  <c r="C31" i="5"/>
  <c r="D31" i="5"/>
  <c r="E31" i="5"/>
  <c r="F31" i="5"/>
  <c r="H31" i="5"/>
  <c r="M31" i="5"/>
  <c r="C32" i="5"/>
  <c r="D32" i="5"/>
  <c r="E32" i="5"/>
  <c r="F32" i="5"/>
  <c r="H32" i="5"/>
  <c r="M32" i="5"/>
  <c r="C33" i="5"/>
  <c r="D33" i="5"/>
  <c r="E33" i="5"/>
  <c r="F33" i="5"/>
  <c r="H33" i="5"/>
  <c r="M33" i="5"/>
  <c r="C34" i="5"/>
  <c r="D34" i="5"/>
  <c r="E34" i="5"/>
  <c r="F34" i="5"/>
  <c r="H34" i="5"/>
  <c r="M34" i="5"/>
  <c r="C35" i="5"/>
  <c r="D35" i="5"/>
  <c r="E35" i="5"/>
  <c r="F35" i="5"/>
  <c r="H35" i="5"/>
  <c r="M35" i="5"/>
  <c r="C36" i="5"/>
  <c r="D36" i="5"/>
  <c r="E36" i="5"/>
  <c r="F36" i="5"/>
  <c r="H36" i="5"/>
  <c r="M36" i="5"/>
  <c r="C37" i="5"/>
  <c r="D37" i="5"/>
  <c r="E37" i="5"/>
  <c r="F37" i="5"/>
  <c r="H37" i="5"/>
  <c r="M37" i="5"/>
  <c r="C38" i="5"/>
  <c r="D38" i="5"/>
  <c r="E38" i="5"/>
  <c r="F38" i="5"/>
  <c r="H38" i="5"/>
  <c r="M38" i="5"/>
  <c r="C39" i="5"/>
  <c r="D39" i="5"/>
  <c r="E39" i="5"/>
  <c r="F39" i="5"/>
  <c r="H39" i="5"/>
  <c r="M39" i="5"/>
  <c r="C40" i="5"/>
  <c r="D40" i="5"/>
  <c r="E40" i="5"/>
  <c r="F40" i="5"/>
  <c r="H40" i="5"/>
  <c r="M40" i="5"/>
  <c r="C41" i="5"/>
  <c r="D41" i="5"/>
  <c r="E41" i="5"/>
  <c r="F41" i="5"/>
  <c r="H41" i="5"/>
  <c r="M41" i="5"/>
  <c r="C42" i="5"/>
  <c r="D42" i="5"/>
  <c r="E42" i="5"/>
  <c r="F42" i="5"/>
  <c r="H42" i="5"/>
  <c r="M42" i="5"/>
  <c r="C43" i="5"/>
  <c r="D43" i="5"/>
  <c r="E43" i="5"/>
  <c r="F43" i="5"/>
  <c r="H43" i="5"/>
  <c r="M43" i="5"/>
  <c r="C44" i="5"/>
  <c r="D44" i="5"/>
  <c r="E44" i="5"/>
  <c r="F44" i="5"/>
  <c r="H44" i="5"/>
  <c r="M44" i="5"/>
  <c r="C45" i="5"/>
  <c r="D45" i="5"/>
  <c r="E45" i="5"/>
  <c r="F45" i="5"/>
  <c r="H45" i="5"/>
  <c r="M45" i="5"/>
  <c r="C46" i="5"/>
  <c r="D46" i="5"/>
  <c r="E46" i="5"/>
  <c r="F46" i="5"/>
  <c r="H46" i="5"/>
  <c r="M46" i="5"/>
  <c r="C47" i="5"/>
  <c r="D47" i="5"/>
  <c r="E47" i="5"/>
  <c r="F47" i="5"/>
  <c r="H47" i="5"/>
  <c r="M47" i="5"/>
  <c r="C48" i="5"/>
  <c r="D48" i="5"/>
  <c r="E48" i="5"/>
  <c r="F48" i="5"/>
  <c r="H48" i="5"/>
  <c r="M48" i="5"/>
  <c r="C49" i="5"/>
  <c r="D49" i="5"/>
  <c r="E49" i="5"/>
  <c r="F49" i="5"/>
  <c r="H49" i="5"/>
  <c r="M49" i="5"/>
  <c r="C50" i="5"/>
  <c r="D50" i="5"/>
  <c r="E50" i="5"/>
  <c r="F50" i="5"/>
  <c r="H50" i="5"/>
  <c r="M50" i="5"/>
  <c r="C51" i="5"/>
  <c r="D51" i="5"/>
  <c r="E51" i="5"/>
  <c r="F51" i="5"/>
  <c r="H51" i="5"/>
  <c r="M51" i="5"/>
  <c r="C52" i="5"/>
  <c r="D52" i="5"/>
  <c r="E52" i="5"/>
  <c r="F52" i="5"/>
  <c r="H52" i="5"/>
  <c r="M52" i="5"/>
  <c r="C53" i="5"/>
  <c r="D53" i="5"/>
  <c r="E53" i="5"/>
  <c r="F53" i="5"/>
  <c r="H53" i="5"/>
  <c r="M53" i="5"/>
  <c r="C54" i="5"/>
  <c r="D54" i="5"/>
  <c r="E54" i="5"/>
  <c r="F54" i="5"/>
  <c r="H54" i="5"/>
  <c r="M54" i="5"/>
  <c r="C55" i="5"/>
  <c r="D55" i="5"/>
  <c r="E55" i="5"/>
  <c r="F55" i="5"/>
  <c r="H55" i="5"/>
  <c r="M55" i="5"/>
  <c r="C56" i="5"/>
  <c r="D56" i="5"/>
  <c r="E56" i="5"/>
  <c r="F56" i="5"/>
  <c r="H56" i="5"/>
  <c r="M56" i="5"/>
  <c r="C57" i="5"/>
  <c r="D57" i="5"/>
  <c r="E57" i="5"/>
  <c r="F57" i="5"/>
  <c r="H57" i="5"/>
  <c r="M57" i="5"/>
  <c r="C58" i="5"/>
  <c r="D58" i="5"/>
  <c r="E58" i="5"/>
  <c r="F58" i="5"/>
  <c r="H58" i="5"/>
  <c r="M58" i="5"/>
  <c r="C59" i="5"/>
  <c r="D59" i="5"/>
  <c r="E59" i="5"/>
  <c r="F59" i="5"/>
  <c r="H59" i="5"/>
  <c r="M59" i="5"/>
  <c r="C60" i="5"/>
  <c r="D60" i="5"/>
  <c r="E60" i="5"/>
  <c r="F60" i="5"/>
  <c r="H60" i="5"/>
  <c r="M60" i="5"/>
  <c r="C61" i="5"/>
  <c r="D61" i="5"/>
  <c r="E61" i="5"/>
  <c r="F61" i="5"/>
  <c r="H61" i="5"/>
  <c r="M61" i="5"/>
  <c r="C62" i="5"/>
  <c r="D62" i="5"/>
  <c r="E62" i="5"/>
  <c r="F62" i="5"/>
  <c r="H62" i="5"/>
  <c r="M62" i="5"/>
  <c r="C63" i="5"/>
  <c r="D63" i="5"/>
  <c r="E63" i="5"/>
  <c r="F63" i="5"/>
  <c r="H63" i="5"/>
  <c r="M63" i="5"/>
  <c r="C64" i="5"/>
  <c r="D64" i="5"/>
  <c r="E64" i="5"/>
  <c r="F64" i="5"/>
  <c r="H64" i="5"/>
  <c r="M64" i="5"/>
  <c r="C65" i="5"/>
  <c r="D65" i="5"/>
  <c r="E65" i="5"/>
  <c r="F65" i="5"/>
  <c r="H65" i="5"/>
  <c r="M65" i="5"/>
  <c r="C66" i="5"/>
  <c r="D66" i="5"/>
  <c r="E66" i="5"/>
  <c r="F66" i="5"/>
  <c r="H66" i="5"/>
  <c r="M66" i="5"/>
  <c r="C67" i="5"/>
  <c r="D67" i="5"/>
  <c r="E67" i="5"/>
  <c r="F67" i="5"/>
  <c r="H67" i="5"/>
  <c r="M67" i="5"/>
  <c r="C68" i="5"/>
  <c r="D68" i="5"/>
  <c r="E68" i="5"/>
  <c r="F68" i="5"/>
  <c r="H68" i="5"/>
  <c r="M68" i="5"/>
  <c r="C69" i="5"/>
  <c r="D69" i="5"/>
  <c r="E69" i="5"/>
  <c r="F69" i="5"/>
  <c r="H69" i="5"/>
  <c r="M69" i="5"/>
  <c r="C70" i="5"/>
  <c r="D70" i="5"/>
  <c r="E70" i="5"/>
  <c r="F70" i="5"/>
  <c r="H70" i="5"/>
  <c r="M70" i="5"/>
  <c r="C71" i="5"/>
  <c r="D71" i="5"/>
  <c r="E71" i="5"/>
  <c r="F71" i="5"/>
  <c r="H71" i="5"/>
  <c r="M71" i="5"/>
  <c r="C72" i="5"/>
  <c r="D72" i="5"/>
  <c r="E72" i="5"/>
  <c r="F72" i="5"/>
  <c r="H72" i="5"/>
  <c r="M72" i="5"/>
  <c r="C73" i="5"/>
  <c r="D73" i="5"/>
  <c r="E73" i="5"/>
  <c r="F73" i="5"/>
  <c r="H73" i="5"/>
  <c r="M73" i="5"/>
  <c r="C74" i="5"/>
  <c r="D74" i="5"/>
  <c r="E74" i="5"/>
  <c r="F74" i="5"/>
  <c r="H74" i="5"/>
  <c r="M74" i="5"/>
  <c r="C75" i="5"/>
  <c r="D75" i="5"/>
  <c r="E75" i="5"/>
  <c r="F75" i="5"/>
  <c r="H75" i="5"/>
  <c r="M75" i="5"/>
  <c r="C76" i="5"/>
  <c r="D76" i="5"/>
  <c r="E76" i="5"/>
  <c r="F76" i="5"/>
  <c r="H76" i="5"/>
  <c r="M76" i="5"/>
  <c r="C77" i="5"/>
  <c r="D77" i="5"/>
  <c r="E77" i="5"/>
  <c r="F77" i="5"/>
  <c r="H77" i="5"/>
  <c r="M77" i="5"/>
  <c r="C78" i="5"/>
  <c r="D78" i="5"/>
  <c r="E78" i="5"/>
  <c r="F78" i="5"/>
  <c r="H78" i="5"/>
  <c r="M78" i="5"/>
  <c r="C79" i="5"/>
  <c r="D79" i="5"/>
  <c r="E79" i="5"/>
  <c r="F79" i="5"/>
  <c r="H79" i="5"/>
  <c r="M79" i="5"/>
  <c r="C80" i="5"/>
  <c r="D80" i="5"/>
  <c r="E80" i="5"/>
  <c r="F80" i="5"/>
  <c r="H80" i="5"/>
  <c r="M80" i="5"/>
  <c r="C81" i="5"/>
  <c r="D81" i="5"/>
  <c r="E81" i="5"/>
  <c r="F81" i="5"/>
  <c r="H81" i="5"/>
  <c r="M81" i="5"/>
  <c r="C82" i="5"/>
  <c r="D82" i="5"/>
  <c r="E82" i="5"/>
  <c r="F82" i="5"/>
  <c r="H82" i="5"/>
  <c r="M82" i="5"/>
  <c r="C83" i="5"/>
  <c r="D83" i="5"/>
  <c r="E83" i="5"/>
  <c r="F83" i="5"/>
  <c r="H83" i="5"/>
  <c r="M83" i="5"/>
  <c r="C84" i="5"/>
  <c r="D84" i="5"/>
  <c r="E84" i="5"/>
  <c r="F84" i="5"/>
  <c r="H84" i="5"/>
  <c r="M84" i="5"/>
  <c r="C85" i="5"/>
  <c r="D85" i="5"/>
  <c r="E85" i="5"/>
  <c r="F85" i="5"/>
  <c r="H85" i="5"/>
  <c r="M85" i="5"/>
  <c r="C86" i="5"/>
  <c r="D86" i="5"/>
  <c r="E86" i="5"/>
  <c r="F86" i="5"/>
  <c r="H86" i="5"/>
  <c r="M86" i="5"/>
  <c r="C87" i="5"/>
  <c r="D87" i="5"/>
  <c r="E87" i="5"/>
  <c r="F87" i="5"/>
  <c r="H87" i="5"/>
  <c r="M87" i="5"/>
  <c r="C88" i="5"/>
  <c r="D88" i="5"/>
  <c r="E88" i="5"/>
  <c r="F88" i="5"/>
  <c r="H88" i="5"/>
  <c r="M88" i="5"/>
  <c r="C89" i="5"/>
  <c r="D89" i="5"/>
  <c r="E89" i="5"/>
  <c r="F89" i="5"/>
  <c r="H89" i="5"/>
  <c r="M89" i="5"/>
  <c r="C90" i="5"/>
  <c r="D90" i="5"/>
  <c r="E90" i="5"/>
  <c r="F90" i="5"/>
  <c r="H90" i="5"/>
  <c r="M90" i="5"/>
  <c r="C91" i="5"/>
  <c r="D91" i="5"/>
  <c r="E91" i="5"/>
  <c r="F91" i="5"/>
  <c r="H91" i="5"/>
  <c r="M91" i="5"/>
  <c r="C92" i="5"/>
  <c r="D92" i="5"/>
  <c r="E92" i="5"/>
  <c r="F92" i="5"/>
  <c r="H92" i="5"/>
  <c r="M92" i="5"/>
  <c r="C93" i="5"/>
  <c r="D93" i="5"/>
  <c r="E93" i="5"/>
  <c r="F93" i="5"/>
  <c r="H93" i="5"/>
  <c r="M93" i="5"/>
  <c r="C94" i="5"/>
  <c r="D94" i="5"/>
  <c r="E94" i="5"/>
  <c r="F94" i="5"/>
  <c r="H94" i="5"/>
  <c r="M94" i="5"/>
  <c r="C95" i="5"/>
  <c r="D95" i="5"/>
  <c r="E95" i="5"/>
  <c r="F95" i="5"/>
  <c r="H95" i="5"/>
  <c r="M95" i="5"/>
  <c r="C96" i="5"/>
  <c r="D96" i="5"/>
  <c r="E96" i="5"/>
  <c r="F96" i="5"/>
  <c r="H96" i="5"/>
  <c r="M96" i="5"/>
  <c r="C97" i="5"/>
  <c r="D97" i="5"/>
  <c r="E97" i="5"/>
  <c r="F97" i="5"/>
  <c r="H97" i="5"/>
  <c r="M97" i="5"/>
  <c r="C98" i="5"/>
  <c r="D98" i="5"/>
  <c r="E98" i="5"/>
  <c r="F98" i="5"/>
  <c r="H98" i="5"/>
  <c r="M98" i="5"/>
  <c r="C99" i="5"/>
  <c r="D99" i="5"/>
  <c r="E99" i="5"/>
  <c r="F99" i="5"/>
  <c r="H99" i="5"/>
  <c r="M99" i="5"/>
  <c r="C100" i="5"/>
  <c r="D100" i="5"/>
  <c r="E100" i="5"/>
  <c r="F100" i="5"/>
  <c r="H100" i="5"/>
  <c r="M100" i="5"/>
  <c r="C101" i="5"/>
  <c r="D101" i="5"/>
  <c r="E101" i="5"/>
  <c r="F101" i="5"/>
  <c r="H101" i="5"/>
  <c r="M101" i="5"/>
  <c r="C102" i="5"/>
  <c r="D102" i="5"/>
  <c r="E102" i="5"/>
  <c r="F102" i="5"/>
  <c r="H102" i="5"/>
  <c r="M102" i="5"/>
  <c r="C103" i="5"/>
  <c r="D103" i="5"/>
  <c r="E103" i="5"/>
  <c r="F103" i="5"/>
  <c r="H103" i="5"/>
  <c r="M103" i="5"/>
  <c r="C104" i="5"/>
  <c r="D104" i="5"/>
  <c r="E104" i="5"/>
  <c r="F104" i="5"/>
  <c r="H104" i="5"/>
  <c r="M104" i="5"/>
  <c r="C105" i="5"/>
  <c r="D105" i="5"/>
  <c r="E105" i="5"/>
  <c r="F105" i="5"/>
  <c r="H105" i="5"/>
  <c r="M105" i="5"/>
  <c r="C106" i="5"/>
  <c r="D106" i="5"/>
  <c r="E106" i="5"/>
  <c r="F106" i="5"/>
  <c r="H106" i="5"/>
  <c r="M106" i="5"/>
  <c r="C107" i="5"/>
  <c r="D107" i="5"/>
  <c r="E107" i="5"/>
  <c r="F107" i="5"/>
  <c r="H107" i="5"/>
  <c r="M107" i="5"/>
  <c r="C108" i="5"/>
  <c r="D108" i="5"/>
  <c r="E108" i="5"/>
  <c r="F108" i="5"/>
  <c r="H108" i="5"/>
  <c r="M108" i="5"/>
  <c r="C109" i="5"/>
  <c r="D109" i="5"/>
  <c r="E109" i="5"/>
  <c r="F109" i="5"/>
  <c r="H109" i="5"/>
  <c r="M109" i="5"/>
  <c r="C110" i="5"/>
  <c r="D110" i="5"/>
  <c r="E110" i="5"/>
  <c r="F110" i="5"/>
  <c r="H110" i="5"/>
  <c r="M110" i="5"/>
  <c r="C111" i="5"/>
  <c r="D111" i="5"/>
  <c r="E111" i="5"/>
  <c r="F111" i="5"/>
  <c r="H111" i="5"/>
  <c r="M111" i="5"/>
  <c r="C112" i="5"/>
  <c r="D112" i="5"/>
  <c r="E112" i="5"/>
  <c r="F112" i="5"/>
  <c r="H112" i="5"/>
  <c r="M112" i="5"/>
  <c r="C113" i="5"/>
  <c r="D113" i="5"/>
  <c r="E113" i="5"/>
  <c r="F113" i="5"/>
  <c r="H113" i="5"/>
  <c r="M113" i="5"/>
  <c r="C114" i="5"/>
  <c r="D114" i="5"/>
  <c r="E114" i="5"/>
  <c r="F114" i="5"/>
  <c r="H114" i="5"/>
  <c r="M114" i="5"/>
  <c r="C115" i="5"/>
  <c r="D115" i="5"/>
  <c r="E115" i="5"/>
  <c r="F115" i="5"/>
  <c r="H115" i="5"/>
  <c r="M115" i="5"/>
  <c r="C116" i="5"/>
  <c r="D116" i="5"/>
  <c r="E116" i="5"/>
  <c r="F116" i="5"/>
  <c r="H116" i="5"/>
  <c r="M116" i="5"/>
  <c r="C117" i="5"/>
  <c r="D117" i="5"/>
  <c r="E117" i="5"/>
  <c r="F117" i="5"/>
  <c r="H117" i="5"/>
  <c r="M117" i="5"/>
  <c r="C118" i="5"/>
  <c r="D118" i="5"/>
  <c r="E118" i="5"/>
  <c r="F118" i="5"/>
  <c r="H118" i="5"/>
  <c r="M118" i="5"/>
  <c r="C119" i="5"/>
  <c r="D119" i="5"/>
  <c r="E119" i="5"/>
  <c r="F119" i="5"/>
  <c r="H119" i="5"/>
  <c r="M119" i="5"/>
  <c r="C120" i="5"/>
  <c r="D120" i="5"/>
  <c r="E120" i="5"/>
  <c r="F120" i="5"/>
  <c r="H120" i="5"/>
  <c r="M120" i="5"/>
  <c r="C121" i="5"/>
  <c r="D121" i="5"/>
  <c r="E121" i="5"/>
  <c r="F121" i="5"/>
  <c r="H121" i="5"/>
  <c r="M121" i="5"/>
  <c r="C122" i="5"/>
  <c r="D122" i="5"/>
  <c r="E122" i="5"/>
  <c r="F122" i="5"/>
  <c r="H122" i="5"/>
  <c r="M122" i="5"/>
  <c r="C123" i="5"/>
  <c r="D123" i="5"/>
  <c r="E123" i="5"/>
  <c r="F123" i="5"/>
  <c r="H123" i="5"/>
  <c r="M123" i="5"/>
  <c r="C124" i="5"/>
  <c r="D124" i="5"/>
  <c r="E124" i="5"/>
  <c r="F124" i="5"/>
  <c r="H124" i="5"/>
  <c r="M124" i="5"/>
  <c r="C125" i="5"/>
  <c r="D125" i="5"/>
  <c r="E125" i="5"/>
  <c r="F125" i="5"/>
  <c r="H125" i="5"/>
  <c r="M125" i="5"/>
  <c r="C126" i="5"/>
  <c r="D126" i="5"/>
  <c r="E126" i="5"/>
  <c r="F126" i="5"/>
  <c r="H126" i="5"/>
  <c r="M126" i="5"/>
  <c r="C127" i="5"/>
  <c r="D127" i="5"/>
  <c r="E127" i="5"/>
  <c r="F127" i="5"/>
  <c r="H127" i="5"/>
  <c r="M127" i="5"/>
  <c r="C128" i="5"/>
  <c r="D128" i="5"/>
  <c r="E128" i="5"/>
  <c r="F128" i="5"/>
  <c r="H128" i="5"/>
  <c r="M128" i="5"/>
  <c r="C129" i="5"/>
  <c r="D129" i="5"/>
  <c r="E129" i="5"/>
  <c r="F129" i="5"/>
  <c r="H129" i="5"/>
  <c r="M129" i="5"/>
  <c r="C130" i="5"/>
  <c r="D130" i="5"/>
  <c r="E130" i="5"/>
  <c r="F130" i="5"/>
  <c r="H130" i="5"/>
  <c r="M130" i="5"/>
  <c r="C131" i="5"/>
  <c r="D131" i="5"/>
  <c r="E131" i="5"/>
  <c r="F131" i="5"/>
  <c r="H131" i="5"/>
  <c r="M131" i="5"/>
  <c r="C132" i="5"/>
  <c r="D132" i="5"/>
  <c r="E132" i="5"/>
  <c r="F132" i="5"/>
  <c r="H132" i="5"/>
  <c r="M132" i="5"/>
  <c r="C133" i="5"/>
  <c r="D133" i="5"/>
  <c r="E133" i="5"/>
  <c r="F133" i="5"/>
  <c r="H133" i="5"/>
  <c r="M133" i="5"/>
  <c r="C134" i="5"/>
  <c r="D134" i="5"/>
  <c r="E134" i="5"/>
  <c r="F134" i="5"/>
  <c r="H134" i="5"/>
  <c r="M134" i="5"/>
  <c r="C135" i="5"/>
  <c r="D135" i="5"/>
  <c r="E135" i="5"/>
  <c r="F135" i="5"/>
  <c r="H135" i="5"/>
  <c r="M135" i="5"/>
  <c r="C136" i="5"/>
  <c r="D136" i="5"/>
  <c r="E136" i="5"/>
  <c r="F136" i="5"/>
  <c r="H136" i="5"/>
  <c r="M136" i="5"/>
  <c r="C137" i="5"/>
  <c r="D137" i="5"/>
  <c r="E137" i="5"/>
  <c r="F137" i="5"/>
  <c r="H137" i="5"/>
  <c r="M137" i="5"/>
  <c r="C138" i="5"/>
  <c r="D138" i="5"/>
  <c r="E138" i="5"/>
  <c r="F138" i="5"/>
  <c r="H138" i="5"/>
  <c r="M138" i="5"/>
  <c r="C139" i="5"/>
  <c r="D139" i="5"/>
  <c r="E139" i="5"/>
  <c r="F139" i="5"/>
  <c r="H139" i="5"/>
  <c r="M139" i="5"/>
  <c r="C140" i="5"/>
  <c r="D140" i="5"/>
  <c r="E140" i="5"/>
  <c r="F140" i="5"/>
  <c r="H140" i="5"/>
  <c r="M140" i="5"/>
  <c r="C141" i="5"/>
  <c r="D141" i="5"/>
  <c r="E141" i="5"/>
  <c r="F141" i="5"/>
  <c r="H141" i="5"/>
  <c r="M141" i="5"/>
  <c r="C142" i="5"/>
  <c r="D142" i="5"/>
  <c r="E142" i="5"/>
  <c r="F142" i="5"/>
  <c r="H142" i="5"/>
  <c r="M142" i="5"/>
  <c r="C143" i="5"/>
  <c r="D143" i="5"/>
  <c r="E143" i="5"/>
  <c r="F143" i="5"/>
  <c r="H143" i="5"/>
  <c r="M143" i="5"/>
  <c r="C144" i="5"/>
  <c r="D144" i="5"/>
  <c r="E144" i="5"/>
  <c r="F144" i="5"/>
  <c r="H144" i="5"/>
  <c r="M144" i="5"/>
  <c r="C145" i="5"/>
  <c r="D145" i="5"/>
  <c r="E145" i="5"/>
  <c r="F145" i="5"/>
  <c r="H145" i="5"/>
  <c r="M145" i="5"/>
  <c r="C146" i="5"/>
  <c r="D146" i="5"/>
  <c r="E146" i="5"/>
  <c r="F146" i="5"/>
  <c r="H146" i="5"/>
  <c r="M146" i="5"/>
  <c r="C147" i="5"/>
  <c r="D147" i="5"/>
  <c r="E147" i="5"/>
  <c r="F147" i="5"/>
  <c r="H147" i="5"/>
  <c r="M147" i="5"/>
  <c r="C148" i="5"/>
  <c r="D148" i="5"/>
  <c r="E148" i="5"/>
  <c r="F148" i="5"/>
  <c r="H148" i="5"/>
  <c r="M148" i="5"/>
  <c r="C149" i="5"/>
  <c r="D149" i="5"/>
  <c r="E149" i="5"/>
  <c r="F149" i="5"/>
  <c r="H149" i="5"/>
  <c r="M149" i="5"/>
  <c r="C150" i="5"/>
  <c r="D150" i="5"/>
  <c r="E150" i="5"/>
  <c r="F150" i="5"/>
  <c r="H150" i="5"/>
  <c r="M150" i="5"/>
  <c r="C151" i="5"/>
  <c r="D151" i="5"/>
  <c r="E151" i="5"/>
  <c r="F151" i="5"/>
  <c r="H151" i="5"/>
  <c r="M151" i="5"/>
  <c r="C152" i="5"/>
  <c r="D152" i="5"/>
  <c r="E152" i="5"/>
  <c r="F152" i="5"/>
  <c r="H152" i="5"/>
  <c r="M152" i="5"/>
  <c r="C153" i="5"/>
  <c r="D153" i="5"/>
  <c r="E153" i="5"/>
  <c r="F153" i="5"/>
  <c r="H153" i="5"/>
  <c r="M153" i="5"/>
  <c r="C154" i="5"/>
  <c r="D154" i="5"/>
  <c r="E154" i="5"/>
  <c r="F154" i="5"/>
  <c r="H154" i="5"/>
  <c r="M154" i="5"/>
  <c r="C155" i="5"/>
  <c r="D155" i="5"/>
  <c r="E155" i="5"/>
  <c r="F155" i="5"/>
  <c r="H155" i="5"/>
  <c r="M155" i="5"/>
  <c r="C156" i="5"/>
  <c r="D156" i="5"/>
  <c r="E156" i="5"/>
  <c r="F156" i="5"/>
  <c r="H156" i="5"/>
  <c r="M156" i="5"/>
  <c r="C157" i="5"/>
  <c r="D157" i="5"/>
  <c r="E157" i="5"/>
  <c r="F157" i="5"/>
  <c r="H157" i="5"/>
  <c r="M157" i="5"/>
  <c r="C158" i="5"/>
  <c r="D158" i="5"/>
  <c r="E158" i="5"/>
  <c r="F158" i="5"/>
  <c r="H158" i="5"/>
  <c r="M158" i="5"/>
  <c r="C159" i="5"/>
  <c r="D159" i="5"/>
  <c r="E159" i="5"/>
  <c r="F159" i="5"/>
  <c r="H159" i="5"/>
  <c r="M159" i="5"/>
  <c r="C160" i="5"/>
  <c r="D160" i="5"/>
  <c r="E160" i="5"/>
  <c r="F160" i="5"/>
  <c r="H160" i="5"/>
  <c r="M160" i="5"/>
  <c r="C161" i="5"/>
  <c r="D161" i="5"/>
  <c r="E161" i="5"/>
  <c r="F161" i="5"/>
  <c r="H161" i="5"/>
  <c r="M161" i="5"/>
  <c r="C162" i="5"/>
  <c r="D162" i="5"/>
  <c r="E162" i="5"/>
  <c r="F162" i="5"/>
  <c r="H162" i="5"/>
  <c r="M162" i="5"/>
  <c r="C163" i="5"/>
  <c r="D163" i="5"/>
  <c r="E163" i="5"/>
  <c r="F163" i="5"/>
  <c r="H163" i="5"/>
  <c r="M163" i="5"/>
  <c r="C164" i="5"/>
  <c r="D164" i="5"/>
  <c r="E164" i="5"/>
  <c r="F164" i="5"/>
  <c r="H164" i="5"/>
  <c r="M164" i="5"/>
  <c r="C165" i="5"/>
  <c r="D165" i="5"/>
  <c r="E165" i="5"/>
  <c r="F165" i="5"/>
  <c r="H165" i="5"/>
  <c r="M165" i="5"/>
  <c r="C166" i="5"/>
  <c r="D166" i="5"/>
  <c r="E166" i="5"/>
  <c r="F166" i="5"/>
  <c r="H166" i="5"/>
  <c r="M166" i="5"/>
  <c r="C167" i="5"/>
  <c r="D167" i="5"/>
  <c r="E167" i="5"/>
  <c r="F167" i="5"/>
  <c r="H167" i="5"/>
  <c r="M167" i="5"/>
  <c r="C168" i="5"/>
  <c r="D168" i="5"/>
  <c r="E168" i="5"/>
  <c r="F168" i="5"/>
  <c r="H168" i="5"/>
  <c r="M168" i="5"/>
  <c r="C169" i="5"/>
  <c r="D169" i="5"/>
  <c r="E169" i="5"/>
  <c r="F169" i="5"/>
  <c r="H169" i="5"/>
  <c r="M169" i="5"/>
  <c r="C170" i="5"/>
  <c r="D170" i="5"/>
  <c r="E170" i="5"/>
  <c r="F170" i="5"/>
  <c r="H170" i="5"/>
  <c r="M170" i="5"/>
  <c r="C171" i="5"/>
  <c r="D171" i="5"/>
  <c r="E171" i="5"/>
  <c r="F171" i="5"/>
  <c r="H171" i="5"/>
  <c r="M171" i="5"/>
  <c r="C172" i="5"/>
  <c r="D172" i="5"/>
  <c r="E172" i="5"/>
  <c r="F172" i="5"/>
  <c r="H172" i="5"/>
  <c r="M172" i="5"/>
  <c r="C173" i="5"/>
  <c r="D173" i="5"/>
  <c r="E173" i="5"/>
  <c r="F173" i="5"/>
  <c r="H173" i="5"/>
  <c r="M173" i="5"/>
  <c r="C174" i="5"/>
  <c r="D174" i="5"/>
  <c r="E174" i="5"/>
  <c r="F174" i="5"/>
  <c r="H174" i="5"/>
  <c r="M174" i="5"/>
  <c r="C175" i="5"/>
  <c r="D175" i="5"/>
  <c r="E175" i="5"/>
  <c r="F175" i="5"/>
  <c r="H175" i="5"/>
  <c r="M175" i="5"/>
  <c r="C176" i="5"/>
  <c r="D176" i="5"/>
  <c r="E176" i="5"/>
  <c r="F176" i="5"/>
  <c r="H176" i="5"/>
  <c r="M176" i="5"/>
  <c r="C177" i="5"/>
  <c r="D177" i="5"/>
  <c r="E177" i="5"/>
  <c r="F177" i="5"/>
  <c r="H177" i="5"/>
  <c r="M177" i="5"/>
  <c r="C178" i="5"/>
  <c r="D178" i="5"/>
  <c r="E178" i="5"/>
  <c r="F178" i="5"/>
  <c r="H178" i="5"/>
  <c r="M178" i="5"/>
  <c r="C179" i="5"/>
  <c r="D179" i="5"/>
  <c r="E179" i="5"/>
  <c r="F179" i="5"/>
  <c r="H179" i="5"/>
  <c r="M179" i="5"/>
  <c r="C180" i="5"/>
  <c r="D180" i="5"/>
  <c r="E180" i="5"/>
  <c r="F180" i="5"/>
  <c r="H180" i="5"/>
  <c r="M180" i="5"/>
  <c r="C181" i="5"/>
  <c r="D181" i="5"/>
  <c r="E181" i="5"/>
  <c r="F181" i="5"/>
  <c r="H181" i="5"/>
  <c r="M181" i="5"/>
  <c r="C182" i="5"/>
  <c r="D182" i="5"/>
  <c r="E182" i="5"/>
  <c r="F182" i="5"/>
  <c r="H182" i="5"/>
  <c r="M182" i="5"/>
  <c r="C183" i="5"/>
  <c r="D183" i="5"/>
  <c r="E183" i="5"/>
  <c r="F183" i="5"/>
  <c r="H183" i="5"/>
  <c r="M183" i="5"/>
  <c r="C184" i="5"/>
  <c r="D184" i="5"/>
  <c r="E184" i="5"/>
  <c r="F184" i="5"/>
  <c r="H184" i="5"/>
  <c r="M184" i="5"/>
  <c r="C185" i="5"/>
  <c r="D185" i="5"/>
  <c r="E185" i="5"/>
  <c r="F185" i="5"/>
  <c r="H185" i="5"/>
  <c r="M185" i="5"/>
  <c r="C186" i="5"/>
  <c r="D186" i="5"/>
  <c r="E186" i="5"/>
  <c r="F186" i="5"/>
  <c r="H186" i="5"/>
  <c r="M186" i="5"/>
  <c r="C187" i="5"/>
  <c r="D187" i="5"/>
  <c r="E187" i="5"/>
  <c r="F187" i="5"/>
  <c r="H187" i="5"/>
  <c r="M187" i="5"/>
  <c r="C188" i="5"/>
  <c r="D188" i="5"/>
  <c r="E188" i="5"/>
  <c r="F188" i="5"/>
  <c r="H188" i="5"/>
  <c r="M188" i="5"/>
  <c r="C189" i="5"/>
  <c r="D189" i="5"/>
  <c r="E189" i="5"/>
  <c r="F189" i="5"/>
  <c r="H189" i="5"/>
  <c r="M189" i="5"/>
  <c r="C190" i="5"/>
  <c r="D190" i="5"/>
  <c r="E190" i="5"/>
  <c r="F190" i="5"/>
  <c r="H190" i="5"/>
  <c r="M190" i="5"/>
  <c r="C191" i="5"/>
  <c r="D191" i="5"/>
  <c r="E191" i="5"/>
  <c r="F191" i="5"/>
  <c r="H191" i="5"/>
  <c r="M191" i="5"/>
  <c r="C192" i="5"/>
  <c r="D192" i="5"/>
  <c r="E192" i="5"/>
  <c r="F192" i="5"/>
  <c r="H192" i="5"/>
  <c r="M192" i="5"/>
  <c r="C193" i="5"/>
  <c r="D193" i="5"/>
  <c r="E193" i="5"/>
  <c r="F193" i="5"/>
  <c r="H193" i="5"/>
  <c r="M193" i="5"/>
  <c r="C194" i="5"/>
  <c r="D194" i="5"/>
  <c r="E194" i="5"/>
  <c r="F194" i="5"/>
  <c r="H194" i="5"/>
  <c r="M194" i="5"/>
  <c r="C195" i="5"/>
  <c r="D195" i="5"/>
  <c r="E195" i="5"/>
  <c r="F195" i="5"/>
  <c r="H195" i="5"/>
  <c r="M195" i="5"/>
  <c r="C196" i="5"/>
  <c r="D196" i="5"/>
  <c r="E196" i="5"/>
  <c r="F196" i="5"/>
  <c r="H196" i="5"/>
  <c r="M196" i="5"/>
  <c r="C197" i="5"/>
  <c r="D197" i="5"/>
  <c r="E197" i="5"/>
  <c r="F197" i="5"/>
  <c r="H197" i="5"/>
  <c r="M197" i="5"/>
  <c r="C198" i="5"/>
  <c r="D198" i="5"/>
  <c r="E198" i="5"/>
  <c r="F198" i="5"/>
  <c r="H198" i="5"/>
  <c r="M198" i="5"/>
  <c r="C199" i="5"/>
  <c r="D199" i="5"/>
  <c r="E199" i="5"/>
  <c r="F199" i="5"/>
  <c r="H199" i="5"/>
  <c r="M199" i="5"/>
  <c r="C200" i="5"/>
  <c r="D200" i="5"/>
  <c r="E200" i="5"/>
  <c r="F200" i="5"/>
  <c r="H200" i="5"/>
  <c r="M200" i="5"/>
  <c r="C201" i="5"/>
  <c r="D201" i="5"/>
  <c r="E201" i="5"/>
  <c r="F201" i="5"/>
  <c r="H201" i="5"/>
  <c r="M201" i="5"/>
  <c r="C202" i="5"/>
  <c r="D202" i="5"/>
  <c r="E202" i="5"/>
  <c r="F202" i="5"/>
  <c r="H202" i="5"/>
  <c r="M202" i="5"/>
  <c r="C203" i="5"/>
  <c r="D203" i="5"/>
  <c r="E203" i="5"/>
  <c r="F203" i="5"/>
  <c r="H203" i="5"/>
  <c r="M203" i="5"/>
  <c r="C204" i="5"/>
  <c r="D204" i="5"/>
  <c r="E204" i="5"/>
  <c r="F204" i="5"/>
  <c r="H204" i="5"/>
  <c r="M204" i="5"/>
  <c r="C205" i="5"/>
  <c r="D205" i="5"/>
  <c r="E205" i="5"/>
  <c r="F205" i="5"/>
  <c r="H205" i="5"/>
  <c r="M205" i="5"/>
  <c r="C206" i="5"/>
  <c r="D206" i="5"/>
  <c r="E206" i="5"/>
  <c r="F206" i="5"/>
  <c r="H206" i="5"/>
  <c r="M206" i="5"/>
  <c r="C207" i="5"/>
  <c r="D207" i="5"/>
  <c r="E207" i="5"/>
  <c r="F207" i="5"/>
  <c r="H207" i="5"/>
  <c r="M207" i="5"/>
  <c r="C208" i="5"/>
  <c r="D208" i="5"/>
  <c r="E208" i="5"/>
  <c r="F208" i="5"/>
  <c r="H208" i="5"/>
  <c r="M208" i="5"/>
  <c r="C209" i="5"/>
  <c r="D209" i="5"/>
  <c r="E209" i="5"/>
  <c r="F209" i="5"/>
  <c r="H209" i="5"/>
  <c r="M209" i="5"/>
  <c r="C210" i="5"/>
  <c r="D210" i="5"/>
  <c r="E210" i="5"/>
  <c r="F210" i="5"/>
  <c r="H210" i="5"/>
  <c r="M210" i="5"/>
  <c r="C211" i="5"/>
  <c r="D211" i="5"/>
  <c r="E211" i="5"/>
  <c r="F211" i="5"/>
  <c r="H211" i="5"/>
  <c r="M211" i="5"/>
  <c r="C212" i="5"/>
  <c r="D212" i="5"/>
  <c r="E212" i="5"/>
  <c r="F212" i="5"/>
  <c r="H212" i="5"/>
  <c r="M212" i="5"/>
  <c r="C213" i="5"/>
  <c r="D213" i="5"/>
  <c r="E213" i="5"/>
  <c r="F213" i="5"/>
  <c r="H213" i="5"/>
  <c r="M213" i="5"/>
  <c r="C214" i="5"/>
  <c r="D214" i="5"/>
  <c r="E214" i="5"/>
  <c r="F214" i="5"/>
  <c r="H214" i="5"/>
  <c r="M214" i="5"/>
  <c r="C215" i="5"/>
  <c r="D215" i="5"/>
  <c r="E215" i="5"/>
  <c r="F215" i="5"/>
  <c r="H215" i="5"/>
  <c r="M215" i="5"/>
  <c r="C216" i="5"/>
  <c r="D216" i="5"/>
  <c r="E216" i="5"/>
  <c r="F216" i="5"/>
  <c r="H216" i="5"/>
  <c r="M216" i="5"/>
  <c r="C217" i="5"/>
  <c r="D217" i="5"/>
  <c r="E217" i="5"/>
  <c r="F217" i="5"/>
  <c r="H217" i="5"/>
  <c r="M217" i="5"/>
  <c r="C218" i="5"/>
  <c r="D218" i="5"/>
  <c r="E218" i="5"/>
  <c r="F218" i="5"/>
  <c r="H218" i="5"/>
  <c r="M218" i="5"/>
  <c r="C219" i="5"/>
  <c r="D219" i="5"/>
  <c r="E219" i="5"/>
  <c r="F219" i="5"/>
  <c r="H219" i="5"/>
  <c r="M219" i="5"/>
  <c r="C220" i="5"/>
  <c r="D220" i="5"/>
  <c r="E220" i="5"/>
  <c r="F220" i="5"/>
  <c r="H220" i="5"/>
  <c r="M220" i="5"/>
  <c r="C221" i="5"/>
  <c r="D221" i="5"/>
  <c r="E221" i="5"/>
  <c r="F221" i="5"/>
  <c r="H221" i="5"/>
  <c r="M221" i="5"/>
  <c r="C222" i="5"/>
  <c r="D222" i="5"/>
  <c r="E222" i="5"/>
  <c r="F222" i="5"/>
  <c r="H222" i="5"/>
  <c r="M222" i="5"/>
  <c r="C223" i="5"/>
  <c r="D223" i="5"/>
  <c r="E223" i="5"/>
  <c r="F223" i="5"/>
  <c r="H223" i="5"/>
  <c r="M223" i="5"/>
  <c r="C224" i="5"/>
  <c r="D224" i="5"/>
  <c r="E224" i="5"/>
  <c r="F224" i="5"/>
  <c r="H224" i="5"/>
  <c r="M224" i="5"/>
  <c r="C225" i="5"/>
  <c r="D225" i="5"/>
  <c r="E225" i="5"/>
  <c r="F225" i="5"/>
  <c r="H225" i="5"/>
  <c r="M225" i="5"/>
  <c r="C226" i="5"/>
  <c r="D226" i="5"/>
  <c r="E226" i="5"/>
  <c r="F226" i="5"/>
  <c r="H226" i="5"/>
  <c r="M226" i="5"/>
  <c r="C227" i="5"/>
  <c r="D227" i="5"/>
  <c r="E227" i="5"/>
  <c r="F227" i="5"/>
  <c r="H227" i="5"/>
  <c r="M227" i="5"/>
  <c r="C228" i="5"/>
  <c r="D228" i="5"/>
  <c r="E228" i="5"/>
  <c r="F228" i="5"/>
  <c r="H228" i="5"/>
  <c r="M228" i="5"/>
  <c r="C229" i="5"/>
  <c r="D229" i="5"/>
  <c r="E229" i="5"/>
  <c r="F229" i="5"/>
  <c r="H229" i="5"/>
  <c r="M229" i="5"/>
  <c r="C230" i="5"/>
  <c r="D230" i="5"/>
  <c r="E230" i="5"/>
  <c r="F230" i="5"/>
  <c r="H230" i="5"/>
  <c r="M230" i="5"/>
  <c r="C231" i="5"/>
  <c r="D231" i="5"/>
  <c r="E231" i="5"/>
  <c r="F231" i="5"/>
  <c r="H231" i="5"/>
  <c r="M231" i="5"/>
  <c r="C232" i="5"/>
  <c r="D232" i="5"/>
  <c r="E232" i="5"/>
  <c r="F232" i="5"/>
  <c r="H232" i="5"/>
  <c r="M232" i="5"/>
  <c r="C233" i="5"/>
  <c r="D233" i="5"/>
  <c r="E233" i="5"/>
  <c r="F233" i="5"/>
  <c r="H233" i="5"/>
  <c r="M233" i="5"/>
  <c r="C234" i="5"/>
  <c r="D234" i="5"/>
  <c r="E234" i="5"/>
  <c r="F234" i="5"/>
  <c r="H234" i="5"/>
  <c r="M234" i="5"/>
  <c r="C235" i="5"/>
  <c r="D235" i="5"/>
  <c r="E235" i="5"/>
  <c r="F235" i="5"/>
  <c r="H235" i="5"/>
  <c r="M235" i="5"/>
  <c r="C236" i="5"/>
  <c r="D236" i="5"/>
  <c r="E236" i="5"/>
  <c r="F236" i="5"/>
  <c r="H236" i="5"/>
  <c r="M236" i="5"/>
  <c r="C237" i="5"/>
  <c r="D237" i="5"/>
  <c r="E237" i="5"/>
  <c r="F237" i="5"/>
  <c r="H237" i="5"/>
  <c r="M237" i="5"/>
  <c r="C238" i="5"/>
  <c r="D238" i="5"/>
  <c r="E238" i="5"/>
  <c r="F238" i="5"/>
  <c r="H238" i="5"/>
  <c r="M238" i="5"/>
  <c r="C239" i="5"/>
  <c r="D239" i="5"/>
  <c r="E239" i="5"/>
  <c r="F239" i="5"/>
  <c r="H239" i="5"/>
  <c r="M239" i="5"/>
  <c r="C240" i="5"/>
  <c r="D240" i="5"/>
  <c r="E240" i="5"/>
  <c r="F240" i="5"/>
  <c r="H240" i="5"/>
  <c r="M240" i="5"/>
  <c r="C241" i="5"/>
  <c r="D241" i="5"/>
  <c r="E241" i="5"/>
  <c r="F241" i="5"/>
  <c r="H241" i="5"/>
  <c r="M241" i="5"/>
  <c r="C242" i="5"/>
  <c r="D242" i="5"/>
  <c r="E242" i="5"/>
  <c r="F242" i="5"/>
  <c r="H242" i="5"/>
  <c r="M242" i="5"/>
  <c r="C243" i="5"/>
  <c r="D243" i="5"/>
  <c r="E243" i="5"/>
  <c r="F243" i="5"/>
  <c r="H243" i="5"/>
  <c r="M243" i="5"/>
  <c r="C244" i="5"/>
  <c r="D244" i="5"/>
  <c r="E244" i="5"/>
  <c r="F244" i="5"/>
  <c r="H244" i="5"/>
  <c r="M244" i="5"/>
  <c r="C245" i="5"/>
  <c r="D245" i="5"/>
  <c r="E245" i="5"/>
  <c r="F245" i="5"/>
  <c r="H245" i="5"/>
  <c r="M245" i="5"/>
  <c r="C246" i="5"/>
  <c r="D246" i="5"/>
  <c r="E246" i="5"/>
  <c r="F246" i="5"/>
  <c r="H246" i="5"/>
  <c r="M246" i="5"/>
  <c r="C247" i="5"/>
  <c r="D247" i="5"/>
  <c r="E247" i="5"/>
  <c r="F247" i="5"/>
  <c r="H247" i="5"/>
  <c r="M247" i="5"/>
  <c r="C248" i="5"/>
  <c r="D248" i="5"/>
  <c r="E248" i="5"/>
  <c r="F248" i="5"/>
  <c r="H248" i="5"/>
  <c r="M248" i="5"/>
  <c r="C249" i="5"/>
  <c r="D249" i="5"/>
  <c r="E249" i="5"/>
  <c r="F249" i="5"/>
  <c r="H249" i="5"/>
  <c r="M249" i="5"/>
  <c r="C250" i="5"/>
  <c r="D250" i="5"/>
  <c r="E250" i="5"/>
  <c r="F250" i="5"/>
  <c r="H250" i="5"/>
  <c r="M250" i="5"/>
  <c r="C251" i="5"/>
  <c r="D251" i="5"/>
  <c r="E251" i="5"/>
  <c r="F251" i="5"/>
  <c r="H251" i="5"/>
  <c r="M251" i="5"/>
  <c r="C252" i="5"/>
  <c r="D252" i="5"/>
  <c r="E252" i="5"/>
  <c r="F252" i="5"/>
  <c r="H252" i="5"/>
  <c r="M252" i="5"/>
  <c r="C253" i="5"/>
  <c r="D253" i="5"/>
  <c r="E253" i="5"/>
  <c r="F253" i="5"/>
  <c r="H253" i="5"/>
  <c r="M253" i="5"/>
  <c r="C254" i="5"/>
  <c r="D254" i="5"/>
  <c r="E254" i="5"/>
  <c r="F254" i="5"/>
  <c r="H254" i="5"/>
  <c r="M254" i="5"/>
  <c r="C255" i="5"/>
  <c r="D255" i="5"/>
  <c r="E255" i="5"/>
  <c r="F255" i="5"/>
  <c r="H255" i="5"/>
  <c r="M255" i="5"/>
  <c r="C256" i="5"/>
  <c r="D256" i="5"/>
  <c r="E256" i="5"/>
  <c r="F256" i="5"/>
  <c r="H256" i="5"/>
  <c r="M256" i="5"/>
  <c r="C257" i="5"/>
  <c r="D257" i="5"/>
  <c r="E257" i="5"/>
  <c r="F257" i="5"/>
  <c r="H257" i="5"/>
  <c r="M257" i="5"/>
  <c r="C258" i="5"/>
  <c r="D258" i="5"/>
  <c r="E258" i="5"/>
  <c r="F258" i="5"/>
  <c r="H258" i="5"/>
  <c r="M258" i="5"/>
  <c r="C259" i="5"/>
  <c r="D259" i="5"/>
  <c r="E259" i="5"/>
  <c r="F259" i="5"/>
  <c r="H259" i="5"/>
  <c r="M259" i="5"/>
  <c r="C260" i="5"/>
  <c r="D260" i="5"/>
  <c r="E260" i="5"/>
  <c r="F260" i="5"/>
  <c r="H260" i="5"/>
  <c r="M260" i="5"/>
  <c r="C261" i="5"/>
  <c r="D261" i="5"/>
  <c r="E261" i="5"/>
  <c r="F261" i="5"/>
  <c r="H261" i="5"/>
  <c r="M261" i="5"/>
  <c r="C262" i="5"/>
  <c r="D262" i="5"/>
  <c r="E262" i="5"/>
  <c r="F262" i="5"/>
  <c r="H262" i="5"/>
  <c r="M262" i="5"/>
  <c r="C263" i="5"/>
  <c r="D263" i="5"/>
  <c r="E263" i="5"/>
  <c r="F263" i="5"/>
  <c r="H263" i="5"/>
  <c r="M263" i="5"/>
  <c r="C264" i="5"/>
  <c r="D264" i="5"/>
  <c r="E264" i="5"/>
  <c r="F264" i="5"/>
  <c r="H264" i="5"/>
  <c r="M264" i="5"/>
  <c r="C265" i="5"/>
  <c r="D265" i="5"/>
  <c r="E265" i="5"/>
  <c r="F265" i="5"/>
  <c r="H265" i="5"/>
  <c r="M265" i="5"/>
  <c r="C266" i="5"/>
  <c r="D266" i="5"/>
  <c r="E266" i="5"/>
  <c r="F266" i="5"/>
  <c r="H266" i="5"/>
  <c r="M266" i="5"/>
  <c r="C267" i="5"/>
  <c r="D267" i="5"/>
  <c r="E267" i="5"/>
  <c r="F267" i="5"/>
  <c r="H267" i="5"/>
  <c r="M267" i="5"/>
  <c r="C268" i="5"/>
  <c r="D268" i="5"/>
  <c r="E268" i="5"/>
  <c r="F268" i="5"/>
  <c r="H268" i="5"/>
  <c r="M268" i="5"/>
  <c r="C269" i="5"/>
  <c r="D269" i="5"/>
  <c r="E269" i="5"/>
  <c r="F269" i="5"/>
  <c r="H269" i="5"/>
  <c r="M269" i="5"/>
  <c r="C270" i="5"/>
  <c r="D270" i="5"/>
  <c r="E270" i="5"/>
  <c r="F270" i="5"/>
  <c r="H270" i="5"/>
  <c r="M270" i="5"/>
  <c r="C271" i="5"/>
  <c r="D271" i="5"/>
  <c r="E271" i="5"/>
  <c r="F271" i="5"/>
  <c r="H271" i="5"/>
  <c r="M271" i="5"/>
  <c r="C272" i="5"/>
  <c r="D272" i="5"/>
  <c r="E272" i="5"/>
  <c r="F272" i="5"/>
  <c r="H272" i="5"/>
  <c r="M272" i="5"/>
  <c r="C273" i="5"/>
  <c r="D273" i="5"/>
  <c r="E273" i="5"/>
  <c r="F273" i="5"/>
  <c r="H273" i="5"/>
  <c r="M273" i="5"/>
  <c r="C274" i="5"/>
  <c r="D274" i="5"/>
  <c r="E274" i="5"/>
  <c r="F274" i="5"/>
  <c r="H274" i="5"/>
  <c r="M274" i="5"/>
  <c r="C275" i="5"/>
  <c r="D275" i="5"/>
  <c r="E275" i="5"/>
  <c r="F275" i="5"/>
  <c r="H275" i="5"/>
  <c r="M275" i="5"/>
  <c r="C276" i="5"/>
  <c r="D276" i="5"/>
  <c r="E276" i="5"/>
  <c r="F276" i="5"/>
  <c r="H276" i="5"/>
  <c r="M276" i="5"/>
  <c r="C277" i="5"/>
  <c r="D277" i="5"/>
  <c r="E277" i="5"/>
  <c r="F277" i="5"/>
  <c r="H277" i="5"/>
  <c r="M277" i="5"/>
  <c r="C278" i="5"/>
  <c r="D278" i="5"/>
  <c r="E278" i="5"/>
  <c r="F278" i="5"/>
  <c r="H278" i="5"/>
  <c r="M278" i="5"/>
  <c r="C279" i="5"/>
  <c r="D279" i="5"/>
  <c r="E279" i="5"/>
  <c r="F279" i="5"/>
  <c r="H279" i="5"/>
  <c r="M279" i="5"/>
  <c r="C280" i="5"/>
  <c r="D280" i="5"/>
  <c r="E280" i="5"/>
  <c r="F280" i="5"/>
  <c r="H280" i="5"/>
  <c r="M280" i="5"/>
  <c r="C281" i="5"/>
  <c r="D281" i="5"/>
  <c r="E281" i="5"/>
  <c r="F281" i="5"/>
  <c r="H281" i="5"/>
  <c r="M281" i="5"/>
  <c r="C282" i="5"/>
  <c r="D282" i="5"/>
  <c r="E282" i="5"/>
  <c r="F282" i="5"/>
  <c r="H282" i="5"/>
  <c r="M282" i="5"/>
  <c r="C283" i="5"/>
  <c r="D283" i="5"/>
  <c r="E283" i="5"/>
  <c r="F283" i="5"/>
  <c r="H283" i="5"/>
  <c r="M283" i="5"/>
  <c r="C284" i="5"/>
  <c r="D284" i="5"/>
  <c r="E284" i="5"/>
  <c r="F284" i="5"/>
  <c r="H284" i="5"/>
  <c r="M284" i="5"/>
  <c r="C285" i="5"/>
  <c r="D285" i="5"/>
  <c r="E285" i="5"/>
  <c r="F285" i="5"/>
  <c r="H285" i="5"/>
  <c r="M285" i="5"/>
  <c r="C286" i="5"/>
  <c r="D286" i="5"/>
  <c r="E286" i="5"/>
  <c r="F286" i="5"/>
  <c r="H286" i="5"/>
  <c r="M286" i="5"/>
  <c r="C287" i="5"/>
  <c r="D287" i="5"/>
  <c r="E287" i="5"/>
  <c r="F287" i="5"/>
  <c r="H287" i="5"/>
  <c r="M287" i="5"/>
  <c r="C288" i="5"/>
  <c r="D288" i="5"/>
  <c r="E288" i="5"/>
  <c r="F288" i="5"/>
  <c r="H288" i="5"/>
  <c r="M288" i="5"/>
  <c r="C289" i="5"/>
  <c r="D289" i="5"/>
  <c r="E289" i="5"/>
  <c r="F289" i="5"/>
  <c r="H289" i="5"/>
  <c r="M289" i="5"/>
  <c r="C290" i="5"/>
  <c r="D290" i="5"/>
  <c r="E290" i="5"/>
  <c r="F290" i="5"/>
  <c r="H290" i="5"/>
  <c r="M290" i="5"/>
  <c r="C291" i="5"/>
  <c r="D291" i="5"/>
  <c r="E291" i="5"/>
  <c r="F291" i="5"/>
  <c r="H291" i="5"/>
  <c r="M291" i="5"/>
  <c r="C292" i="5"/>
  <c r="D292" i="5"/>
  <c r="E292" i="5"/>
  <c r="F292" i="5"/>
  <c r="H292" i="5"/>
  <c r="M292" i="5"/>
  <c r="C293" i="5"/>
  <c r="D293" i="5"/>
  <c r="E293" i="5"/>
  <c r="F293" i="5"/>
  <c r="H293" i="5"/>
  <c r="M293" i="5"/>
  <c r="C294" i="5"/>
  <c r="D294" i="5"/>
  <c r="E294" i="5"/>
  <c r="F294" i="5"/>
  <c r="H294" i="5"/>
  <c r="M294" i="5"/>
  <c r="C295" i="5"/>
  <c r="D295" i="5"/>
  <c r="E295" i="5"/>
  <c r="F295" i="5"/>
  <c r="H295" i="5"/>
  <c r="M295" i="5"/>
  <c r="C296" i="5"/>
  <c r="D296" i="5"/>
  <c r="E296" i="5"/>
  <c r="F296" i="5"/>
  <c r="H296" i="5"/>
  <c r="M296" i="5"/>
  <c r="C297" i="5"/>
  <c r="D297" i="5"/>
  <c r="E297" i="5"/>
  <c r="F297" i="5"/>
  <c r="H297" i="5"/>
  <c r="M297" i="5"/>
  <c r="C298" i="5"/>
  <c r="D298" i="5"/>
  <c r="E298" i="5"/>
  <c r="F298" i="5"/>
  <c r="H298" i="5"/>
  <c r="M298" i="5"/>
  <c r="C299" i="5"/>
  <c r="D299" i="5"/>
  <c r="E299" i="5"/>
  <c r="F299" i="5"/>
  <c r="H299" i="5"/>
  <c r="M299" i="5"/>
  <c r="C300" i="5"/>
  <c r="D300" i="5"/>
  <c r="E300" i="5"/>
  <c r="F300" i="5"/>
  <c r="H300" i="5"/>
  <c r="M300" i="5"/>
  <c r="C301" i="5"/>
  <c r="D301" i="5"/>
  <c r="E301" i="5"/>
  <c r="F301" i="5"/>
  <c r="H301" i="5"/>
  <c r="M301" i="5"/>
  <c r="C302" i="5"/>
  <c r="D302" i="5"/>
  <c r="E302" i="5"/>
  <c r="F302" i="5"/>
  <c r="H302" i="5"/>
  <c r="M302" i="5"/>
  <c r="C303" i="5"/>
  <c r="D303" i="5"/>
  <c r="E303" i="5"/>
  <c r="F303" i="5"/>
  <c r="H303" i="5"/>
  <c r="M303" i="5"/>
  <c r="C304" i="5"/>
  <c r="D304" i="5"/>
  <c r="E304" i="5"/>
  <c r="F304" i="5"/>
  <c r="H304" i="5"/>
  <c r="M304" i="5"/>
  <c r="C305" i="5"/>
  <c r="D305" i="5"/>
  <c r="E305" i="5"/>
  <c r="F305" i="5"/>
  <c r="H305" i="5"/>
  <c r="M305" i="5"/>
  <c r="C306" i="5"/>
  <c r="D306" i="5"/>
  <c r="E306" i="5"/>
  <c r="F306" i="5"/>
  <c r="H306" i="5"/>
  <c r="M306" i="5"/>
  <c r="C307" i="5"/>
  <c r="D307" i="5"/>
  <c r="E307" i="5"/>
  <c r="F307" i="5"/>
  <c r="H307" i="5"/>
  <c r="M307" i="5"/>
  <c r="C308" i="5"/>
  <c r="D308" i="5"/>
  <c r="E308" i="5"/>
  <c r="F308" i="5"/>
  <c r="H308" i="5"/>
  <c r="M308" i="5"/>
  <c r="C309" i="5"/>
  <c r="D309" i="5"/>
  <c r="E309" i="5"/>
  <c r="F309" i="5"/>
  <c r="H309" i="5"/>
  <c r="M309" i="5"/>
  <c r="C310" i="5"/>
  <c r="D310" i="5"/>
  <c r="E310" i="5"/>
  <c r="F310" i="5"/>
  <c r="H310" i="5"/>
  <c r="M310" i="5"/>
  <c r="C311" i="5"/>
  <c r="D311" i="5"/>
  <c r="E311" i="5"/>
  <c r="F311" i="5"/>
  <c r="H311" i="5"/>
  <c r="M311" i="5"/>
  <c r="C312" i="5"/>
  <c r="D312" i="5"/>
  <c r="E312" i="5"/>
  <c r="F312" i="5"/>
  <c r="H312" i="5"/>
  <c r="M312" i="5"/>
  <c r="C313" i="5"/>
  <c r="D313" i="5"/>
  <c r="E313" i="5"/>
  <c r="F313" i="5"/>
  <c r="H313" i="5"/>
  <c r="M313" i="5"/>
  <c r="C314" i="5"/>
  <c r="D314" i="5"/>
  <c r="E314" i="5"/>
  <c r="F314" i="5"/>
  <c r="H314" i="5"/>
  <c r="M314" i="5"/>
  <c r="C315" i="5"/>
  <c r="D315" i="5"/>
  <c r="E315" i="5"/>
  <c r="F315" i="5"/>
  <c r="H315" i="5"/>
  <c r="M315" i="5"/>
  <c r="C316" i="5"/>
  <c r="D316" i="5"/>
  <c r="E316" i="5"/>
  <c r="F316" i="5"/>
  <c r="H316" i="5"/>
  <c r="M316" i="5"/>
  <c r="C317" i="5"/>
  <c r="D317" i="5"/>
  <c r="E317" i="5"/>
  <c r="F317" i="5"/>
  <c r="H317" i="5"/>
  <c r="M317" i="5"/>
  <c r="C318" i="5"/>
  <c r="D318" i="5"/>
  <c r="E318" i="5"/>
  <c r="F318" i="5"/>
  <c r="H318" i="5"/>
  <c r="M318" i="5"/>
  <c r="C319" i="5"/>
  <c r="D319" i="5"/>
  <c r="E319" i="5"/>
  <c r="F319" i="5"/>
  <c r="H319" i="5"/>
  <c r="M319" i="5"/>
  <c r="C320" i="5"/>
  <c r="D320" i="5"/>
  <c r="E320" i="5"/>
  <c r="F320" i="5"/>
  <c r="H320" i="5"/>
  <c r="M320" i="5"/>
  <c r="C321" i="5"/>
  <c r="D321" i="5"/>
  <c r="E321" i="5"/>
  <c r="F321" i="5"/>
  <c r="H321" i="5"/>
  <c r="M321" i="5"/>
  <c r="C322" i="5"/>
  <c r="D322" i="5"/>
  <c r="E322" i="5"/>
  <c r="F322" i="5"/>
  <c r="H322" i="5"/>
  <c r="M322" i="5"/>
  <c r="C323" i="5"/>
  <c r="D323" i="5"/>
  <c r="E323" i="5"/>
  <c r="F323" i="5"/>
  <c r="H323" i="5"/>
  <c r="M323" i="5"/>
  <c r="C324" i="5"/>
  <c r="D324" i="5"/>
  <c r="E324" i="5"/>
  <c r="F324" i="5"/>
  <c r="H324" i="5"/>
  <c r="M324" i="5"/>
  <c r="C325" i="5"/>
  <c r="D325" i="5"/>
  <c r="E325" i="5"/>
  <c r="F325" i="5"/>
  <c r="H325" i="5"/>
  <c r="M325" i="5"/>
  <c r="C326" i="5"/>
  <c r="D326" i="5"/>
  <c r="E326" i="5"/>
  <c r="F326" i="5"/>
  <c r="H326" i="5"/>
  <c r="M326" i="5"/>
  <c r="C327" i="5"/>
  <c r="D327" i="5"/>
  <c r="E327" i="5"/>
  <c r="F327" i="5"/>
  <c r="H327" i="5"/>
  <c r="M327" i="5"/>
  <c r="C328" i="5"/>
  <c r="D328" i="5"/>
  <c r="E328" i="5"/>
  <c r="F328" i="5"/>
  <c r="H328" i="5"/>
  <c r="M328" i="5"/>
  <c r="C329" i="5"/>
  <c r="D329" i="5"/>
  <c r="E329" i="5"/>
  <c r="F329" i="5"/>
  <c r="H329" i="5"/>
  <c r="M329" i="5"/>
  <c r="C330" i="5"/>
  <c r="D330" i="5"/>
  <c r="E330" i="5"/>
  <c r="F330" i="5"/>
  <c r="H330" i="5"/>
  <c r="M330" i="5"/>
  <c r="C331" i="5"/>
  <c r="D331" i="5"/>
  <c r="E331" i="5"/>
  <c r="F331" i="5"/>
  <c r="H331" i="5"/>
  <c r="M331" i="5"/>
  <c r="C332" i="5"/>
  <c r="D332" i="5"/>
  <c r="E332" i="5"/>
  <c r="F332" i="5"/>
  <c r="H332" i="5"/>
  <c r="M332" i="5"/>
  <c r="C333" i="5"/>
  <c r="D333" i="5"/>
  <c r="E333" i="5"/>
  <c r="F333" i="5"/>
  <c r="H333" i="5"/>
  <c r="M333" i="5"/>
  <c r="C334" i="5"/>
  <c r="D334" i="5"/>
  <c r="E334" i="5"/>
  <c r="F334" i="5"/>
  <c r="H334" i="5"/>
  <c r="M334" i="5"/>
  <c r="C335" i="5"/>
  <c r="D335" i="5"/>
  <c r="E335" i="5"/>
  <c r="F335" i="5"/>
  <c r="H335" i="5"/>
  <c r="M335" i="5"/>
  <c r="C336" i="5"/>
  <c r="D336" i="5"/>
  <c r="E336" i="5"/>
  <c r="F336" i="5"/>
  <c r="H336" i="5"/>
  <c r="M336" i="5"/>
  <c r="C337" i="5"/>
  <c r="D337" i="5"/>
  <c r="E337" i="5"/>
  <c r="F337" i="5"/>
  <c r="H337" i="5"/>
  <c r="M337" i="5"/>
  <c r="C338" i="5"/>
  <c r="D338" i="5"/>
  <c r="E338" i="5"/>
  <c r="F338" i="5"/>
  <c r="H338" i="5"/>
  <c r="M338" i="5"/>
  <c r="C339" i="5"/>
  <c r="D339" i="5"/>
  <c r="E339" i="5"/>
  <c r="F339" i="5"/>
  <c r="H339" i="5"/>
  <c r="M339" i="5"/>
  <c r="C340" i="5"/>
  <c r="D340" i="5"/>
  <c r="E340" i="5"/>
  <c r="F340" i="5"/>
  <c r="H340" i="5"/>
  <c r="M340" i="5"/>
  <c r="C341" i="5"/>
  <c r="D341" i="5"/>
  <c r="E341" i="5"/>
  <c r="F341" i="5"/>
  <c r="H341" i="5"/>
  <c r="M341" i="5"/>
  <c r="C342" i="5"/>
  <c r="D342" i="5"/>
  <c r="E342" i="5"/>
  <c r="F342" i="5"/>
  <c r="H342" i="5"/>
  <c r="M342" i="5"/>
  <c r="C343" i="5"/>
  <c r="D343" i="5"/>
  <c r="E343" i="5"/>
  <c r="F343" i="5"/>
  <c r="H343" i="5"/>
  <c r="M343" i="5"/>
  <c r="C344" i="5"/>
  <c r="D344" i="5"/>
  <c r="E344" i="5"/>
  <c r="F344" i="5"/>
  <c r="H344" i="5"/>
  <c r="M344" i="5"/>
  <c r="C345" i="5"/>
  <c r="D345" i="5"/>
  <c r="E345" i="5"/>
  <c r="F345" i="5"/>
  <c r="H345" i="5"/>
  <c r="M345" i="5"/>
  <c r="C346" i="5"/>
  <c r="D346" i="5"/>
  <c r="E346" i="5"/>
  <c r="F346" i="5"/>
  <c r="H346" i="5"/>
  <c r="M346" i="5"/>
  <c r="C347" i="5"/>
  <c r="D347" i="5"/>
  <c r="E347" i="5"/>
  <c r="F347" i="5"/>
  <c r="H347" i="5"/>
  <c r="M347" i="5"/>
  <c r="C348" i="5"/>
  <c r="D348" i="5"/>
  <c r="E348" i="5"/>
  <c r="F348" i="5"/>
  <c r="H348" i="5"/>
  <c r="M348" i="5"/>
  <c r="C349" i="5"/>
  <c r="D349" i="5"/>
  <c r="E349" i="5"/>
  <c r="F349" i="5"/>
  <c r="H349" i="5"/>
  <c r="M349" i="5"/>
  <c r="C350" i="5"/>
  <c r="D350" i="5"/>
  <c r="E350" i="5"/>
  <c r="F350" i="5"/>
  <c r="H350" i="5"/>
  <c r="M350" i="5"/>
  <c r="C351" i="5"/>
  <c r="D351" i="5"/>
  <c r="E351" i="5"/>
  <c r="F351" i="5"/>
  <c r="H351" i="5"/>
  <c r="M351" i="5"/>
  <c r="C352" i="5"/>
  <c r="D352" i="5"/>
  <c r="E352" i="5"/>
  <c r="F352" i="5"/>
  <c r="H352" i="5"/>
  <c r="M352" i="5"/>
  <c r="C353" i="5"/>
  <c r="D353" i="5"/>
  <c r="E353" i="5"/>
  <c r="F353" i="5"/>
  <c r="H353" i="5"/>
  <c r="M353" i="5"/>
  <c r="C354" i="5"/>
  <c r="D354" i="5"/>
  <c r="E354" i="5"/>
  <c r="F354" i="5"/>
  <c r="H354" i="5"/>
  <c r="M354" i="5"/>
  <c r="C355" i="5"/>
  <c r="D355" i="5"/>
  <c r="E355" i="5"/>
  <c r="F355" i="5"/>
  <c r="H355" i="5"/>
  <c r="M355" i="5"/>
  <c r="C356" i="5"/>
  <c r="D356" i="5"/>
  <c r="E356" i="5"/>
  <c r="F356" i="5"/>
  <c r="H356" i="5"/>
  <c r="M356" i="5"/>
  <c r="C357" i="5"/>
  <c r="D357" i="5"/>
  <c r="E357" i="5"/>
  <c r="F357" i="5"/>
  <c r="H357" i="5"/>
  <c r="M357" i="5"/>
  <c r="C358" i="5"/>
  <c r="D358" i="5"/>
  <c r="E358" i="5"/>
  <c r="F358" i="5"/>
  <c r="H358" i="5"/>
  <c r="M358" i="5"/>
  <c r="C359" i="5"/>
  <c r="D359" i="5"/>
  <c r="E359" i="5"/>
  <c r="F359" i="5"/>
  <c r="H359" i="5"/>
  <c r="M359" i="5"/>
  <c r="C360" i="5"/>
  <c r="D360" i="5"/>
  <c r="E360" i="5"/>
  <c r="F360" i="5"/>
  <c r="H360" i="5"/>
  <c r="M360" i="5"/>
  <c r="C361" i="5"/>
  <c r="D361" i="5"/>
  <c r="E361" i="5"/>
  <c r="F361" i="5"/>
  <c r="H361" i="5"/>
  <c r="M361" i="5"/>
  <c r="C362" i="5"/>
  <c r="D362" i="5"/>
  <c r="E362" i="5"/>
  <c r="F362" i="5"/>
  <c r="H362" i="5"/>
  <c r="M362" i="5"/>
  <c r="C363" i="5"/>
  <c r="D363" i="5"/>
  <c r="E363" i="5"/>
  <c r="F363" i="5"/>
  <c r="H363" i="5"/>
  <c r="M363" i="5"/>
  <c r="C364" i="5"/>
  <c r="D364" i="5"/>
  <c r="E364" i="5"/>
  <c r="F364" i="5"/>
  <c r="H364" i="5"/>
  <c r="M364" i="5"/>
  <c r="C365" i="5"/>
  <c r="D365" i="5"/>
  <c r="E365" i="5"/>
  <c r="F365" i="5"/>
  <c r="H365" i="5"/>
  <c r="M365" i="5"/>
  <c r="C366" i="5"/>
  <c r="D366" i="5"/>
  <c r="E366" i="5"/>
  <c r="F366" i="5"/>
  <c r="H366" i="5"/>
  <c r="M366" i="5"/>
  <c r="C367" i="5"/>
  <c r="D367" i="5"/>
  <c r="E367" i="5"/>
  <c r="F367" i="5"/>
  <c r="H367" i="5"/>
  <c r="M367" i="5"/>
  <c r="C368" i="5"/>
  <c r="D368" i="5"/>
  <c r="E368" i="5"/>
  <c r="F368" i="5"/>
  <c r="H368" i="5"/>
  <c r="M368" i="5"/>
  <c r="C369" i="5"/>
  <c r="D369" i="5"/>
  <c r="E369" i="5"/>
  <c r="F369" i="5"/>
  <c r="H369" i="5"/>
  <c r="M369" i="5"/>
  <c r="C370" i="5"/>
  <c r="D370" i="5"/>
  <c r="E370" i="5"/>
  <c r="F370" i="5"/>
  <c r="H370" i="5"/>
  <c r="M370" i="5"/>
  <c r="C371" i="5"/>
  <c r="D371" i="5"/>
  <c r="E371" i="5"/>
  <c r="F371" i="5"/>
  <c r="H371" i="5"/>
  <c r="M371" i="5"/>
  <c r="C372" i="5"/>
  <c r="D372" i="5"/>
  <c r="E372" i="5"/>
  <c r="F372" i="5"/>
  <c r="H372" i="5"/>
  <c r="M372" i="5"/>
  <c r="C373" i="5"/>
  <c r="D373" i="5"/>
  <c r="E373" i="5"/>
  <c r="F373" i="5"/>
  <c r="H373" i="5"/>
  <c r="M373" i="5"/>
  <c r="C374" i="5"/>
  <c r="D374" i="5"/>
  <c r="E374" i="5"/>
  <c r="F374" i="5"/>
  <c r="H374" i="5"/>
  <c r="M374" i="5"/>
  <c r="C375" i="5"/>
  <c r="D375" i="5"/>
  <c r="E375" i="5"/>
  <c r="F375" i="5"/>
  <c r="H375" i="5"/>
  <c r="M375" i="5"/>
  <c r="C376" i="5"/>
  <c r="D376" i="5"/>
  <c r="E376" i="5"/>
  <c r="F376" i="5"/>
  <c r="H376" i="5"/>
  <c r="M376" i="5"/>
  <c r="C377" i="5"/>
  <c r="D377" i="5"/>
  <c r="E377" i="5"/>
  <c r="F377" i="5"/>
  <c r="H377" i="5"/>
  <c r="M377" i="5"/>
  <c r="C378" i="5"/>
  <c r="D378" i="5"/>
  <c r="E378" i="5"/>
  <c r="F378" i="5"/>
  <c r="H378" i="5"/>
  <c r="M378" i="5"/>
  <c r="C379" i="5"/>
  <c r="D379" i="5"/>
  <c r="E379" i="5"/>
  <c r="F379" i="5"/>
  <c r="H379" i="5"/>
  <c r="M379" i="5"/>
  <c r="C380" i="5"/>
  <c r="D380" i="5"/>
  <c r="E380" i="5"/>
  <c r="F380" i="5"/>
  <c r="H380" i="5"/>
  <c r="M380" i="5"/>
  <c r="C381" i="5"/>
  <c r="D381" i="5"/>
  <c r="E381" i="5"/>
  <c r="F381" i="5"/>
  <c r="H381" i="5"/>
  <c r="M381" i="5"/>
  <c r="C382" i="5"/>
  <c r="D382" i="5"/>
  <c r="E382" i="5"/>
  <c r="F382" i="5"/>
  <c r="H382" i="5"/>
  <c r="M382" i="5"/>
  <c r="C383" i="5"/>
  <c r="D383" i="5"/>
  <c r="E383" i="5"/>
  <c r="F383" i="5"/>
  <c r="H383" i="5"/>
  <c r="M383" i="5"/>
  <c r="C384" i="5"/>
  <c r="D384" i="5"/>
  <c r="E384" i="5"/>
  <c r="F384" i="5"/>
  <c r="H384" i="5"/>
  <c r="M384" i="5"/>
  <c r="C385" i="5"/>
  <c r="D385" i="5"/>
  <c r="E385" i="5"/>
  <c r="F385" i="5"/>
  <c r="H385" i="5"/>
  <c r="M385" i="5"/>
  <c r="C386" i="5"/>
  <c r="D386" i="5"/>
  <c r="E386" i="5"/>
  <c r="F386" i="5"/>
  <c r="H386" i="5"/>
  <c r="M386" i="5"/>
  <c r="C387" i="5"/>
  <c r="D387" i="5"/>
  <c r="E387" i="5"/>
  <c r="F387" i="5"/>
  <c r="H387" i="5"/>
  <c r="M387" i="5"/>
  <c r="C388" i="5"/>
  <c r="D388" i="5"/>
  <c r="E388" i="5"/>
  <c r="F388" i="5"/>
  <c r="H388" i="5"/>
  <c r="M388" i="5"/>
  <c r="C389" i="5"/>
  <c r="D389" i="5"/>
  <c r="E389" i="5"/>
  <c r="F389" i="5"/>
  <c r="H389" i="5"/>
  <c r="M389" i="5"/>
  <c r="C390" i="5"/>
  <c r="D390" i="5"/>
  <c r="E390" i="5"/>
  <c r="F390" i="5"/>
  <c r="H390" i="5"/>
  <c r="M390" i="5"/>
  <c r="C391" i="5"/>
  <c r="D391" i="5"/>
  <c r="E391" i="5"/>
  <c r="F391" i="5"/>
  <c r="H391" i="5"/>
  <c r="M391" i="5"/>
  <c r="C392" i="5"/>
  <c r="D392" i="5"/>
  <c r="E392" i="5"/>
  <c r="F392" i="5"/>
  <c r="H392" i="5"/>
  <c r="M392" i="5"/>
  <c r="C393" i="5"/>
  <c r="D393" i="5"/>
  <c r="E393" i="5"/>
  <c r="F393" i="5"/>
  <c r="H393" i="5"/>
  <c r="M393" i="5"/>
  <c r="C394" i="5"/>
  <c r="D394" i="5"/>
  <c r="E394" i="5"/>
  <c r="F394" i="5"/>
  <c r="H394" i="5"/>
  <c r="M394" i="5"/>
  <c r="C395" i="5"/>
  <c r="D395" i="5"/>
  <c r="E395" i="5"/>
  <c r="F395" i="5"/>
  <c r="H395" i="5"/>
  <c r="M395" i="5"/>
  <c r="C396" i="5"/>
  <c r="D396" i="5"/>
  <c r="E396" i="5"/>
  <c r="F396" i="5"/>
  <c r="H396" i="5"/>
  <c r="M396" i="5"/>
  <c r="C397" i="5"/>
  <c r="D397" i="5"/>
  <c r="E397" i="5"/>
  <c r="F397" i="5"/>
  <c r="H397" i="5"/>
  <c r="M397" i="5"/>
  <c r="C398" i="5"/>
  <c r="D398" i="5"/>
  <c r="E398" i="5"/>
  <c r="F398" i="5"/>
  <c r="H398" i="5"/>
  <c r="M398" i="5"/>
  <c r="C399" i="5"/>
  <c r="D399" i="5"/>
  <c r="E399" i="5"/>
  <c r="F399" i="5"/>
  <c r="H399" i="5"/>
  <c r="M399" i="5"/>
  <c r="C400" i="5"/>
  <c r="D400" i="5"/>
  <c r="E400" i="5"/>
  <c r="F400" i="5"/>
  <c r="H400" i="5"/>
  <c r="M400" i="5"/>
  <c r="C401" i="5"/>
  <c r="D401" i="5"/>
  <c r="E401" i="5"/>
  <c r="F401" i="5"/>
  <c r="H401" i="5"/>
  <c r="M401" i="5"/>
  <c r="C402" i="5"/>
  <c r="D402" i="5"/>
  <c r="E402" i="5"/>
  <c r="F402" i="5"/>
  <c r="H402" i="5"/>
  <c r="M402" i="5"/>
  <c r="C403" i="5"/>
  <c r="D403" i="5"/>
  <c r="E403" i="5"/>
  <c r="F403" i="5"/>
  <c r="H403" i="5"/>
  <c r="M403" i="5"/>
  <c r="C404" i="5"/>
  <c r="D404" i="5"/>
  <c r="E404" i="5"/>
  <c r="F404" i="5"/>
  <c r="H404" i="5"/>
  <c r="M404" i="5"/>
  <c r="C405" i="5"/>
  <c r="D405" i="5"/>
  <c r="E405" i="5"/>
  <c r="F405" i="5"/>
  <c r="H405" i="5"/>
  <c r="M405" i="5"/>
  <c r="C406" i="5"/>
  <c r="D406" i="5"/>
  <c r="E406" i="5"/>
  <c r="F406" i="5"/>
  <c r="H406" i="5"/>
  <c r="M406" i="5"/>
  <c r="C407" i="5"/>
  <c r="D407" i="5"/>
  <c r="E407" i="5"/>
  <c r="F407" i="5"/>
  <c r="H407" i="5"/>
  <c r="M407" i="5"/>
  <c r="C408" i="5"/>
  <c r="D408" i="5"/>
  <c r="E408" i="5"/>
  <c r="F408" i="5"/>
  <c r="H408" i="5"/>
  <c r="M408" i="5"/>
  <c r="C409" i="5"/>
  <c r="D409" i="5"/>
  <c r="E409" i="5"/>
  <c r="F409" i="5"/>
  <c r="H409" i="5"/>
  <c r="M409" i="5"/>
  <c r="C410" i="5"/>
  <c r="D410" i="5"/>
  <c r="E410" i="5"/>
  <c r="F410" i="5"/>
  <c r="H410" i="5"/>
  <c r="M410" i="5"/>
  <c r="C411" i="5"/>
  <c r="D411" i="5"/>
  <c r="E411" i="5"/>
  <c r="F411" i="5"/>
  <c r="H411" i="5"/>
  <c r="M411" i="5"/>
  <c r="C412" i="5"/>
  <c r="D412" i="5"/>
  <c r="E412" i="5"/>
  <c r="F412" i="5"/>
  <c r="H412" i="5"/>
  <c r="M412" i="5"/>
  <c r="C413" i="5"/>
  <c r="D413" i="5"/>
  <c r="E413" i="5"/>
  <c r="F413" i="5"/>
  <c r="H413" i="5"/>
  <c r="M413" i="5"/>
  <c r="C414" i="5"/>
  <c r="D414" i="5"/>
  <c r="E414" i="5"/>
  <c r="F414" i="5"/>
  <c r="H414" i="5"/>
  <c r="M414" i="5"/>
  <c r="C415" i="5"/>
  <c r="D415" i="5"/>
  <c r="E415" i="5"/>
  <c r="F415" i="5"/>
  <c r="H415" i="5"/>
  <c r="M415" i="5"/>
  <c r="C416" i="5"/>
  <c r="D416" i="5"/>
  <c r="E416" i="5"/>
  <c r="F416" i="5"/>
  <c r="H416" i="5"/>
  <c r="M416" i="5"/>
  <c r="C417" i="5"/>
  <c r="D417" i="5"/>
  <c r="E417" i="5"/>
  <c r="F417" i="5"/>
  <c r="H417" i="5"/>
  <c r="M417" i="5"/>
  <c r="C418" i="5"/>
  <c r="D418" i="5"/>
  <c r="E418" i="5"/>
  <c r="F418" i="5"/>
  <c r="H418" i="5"/>
  <c r="M418" i="5"/>
  <c r="C419" i="5"/>
  <c r="D419" i="5"/>
  <c r="E419" i="5"/>
  <c r="F419" i="5"/>
  <c r="H419" i="5"/>
  <c r="M419" i="5"/>
  <c r="C420" i="5"/>
  <c r="D420" i="5"/>
  <c r="E420" i="5"/>
  <c r="F420" i="5"/>
  <c r="H420" i="5"/>
  <c r="M420" i="5"/>
  <c r="C421" i="5"/>
  <c r="D421" i="5"/>
  <c r="E421" i="5"/>
  <c r="F421" i="5"/>
  <c r="H421" i="5"/>
  <c r="M421" i="5"/>
  <c r="C422" i="5"/>
  <c r="D422" i="5"/>
  <c r="E422" i="5"/>
  <c r="F422" i="5"/>
  <c r="H422" i="5"/>
  <c r="M422" i="5"/>
  <c r="C423" i="5"/>
  <c r="D423" i="5"/>
  <c r="E423" i="5"/>
  <c r="F423" i="5"/>
  <c r="H423" i="5"/>
  <c r="M423" i="5"/>
  <c r="C424" i="5"/>
  <c r="D424" i="5"/>
  <c r="E424" i="5"/>
  <c r="F424" i="5"/>
  <c r="H424" i="5"/>
  <c r="M424" i="5"/>
  <c r="C425" i="5"/>
  <c r="D425" i="5"/>
  <c r="E425" i="5"/>
  <c r="F425" i="5"/>
  <c r="H425" i="5"/>
  <c r="M425" i="5"/>
  <c r="C426" i="5"/>
  <c r="D426" i="5"/>
  <c r="E426" i="5"/>
  <c r="F426" i="5"/>
  <c r="H426" i="5"/>
  <c r="M426" i="5"/>
  <c r="C427" i="5"/>
  <c r="D427" i="5"/>
  <c r="E427" i="5"/>
  <c r="F427" i="5"/>
  <c r="H427" i="5"/>
  <c r="M427" i="5"/>
  <c r="C428" i="5"/>
  <c r="D428" i="5"/>
  <c r="E428" i="5"/>
  <c r="F428" i="5"/>
  <c r="H428" i="5"/>
  <c r="M428" i="5"/>
  <c r="C429" i="5"/>
  <c r="D429" i="5"/>
  <c r="E429" i="5"/>
  <c r="F429" i="5"/>
  <c r="H429" i="5"/>
  <c r="M429" i="5"/>
  <c r="C430" i="5"/>
  <c r="D430" i="5"/>
  <c r="E430" i="5"/>
  <c r="F430" i="5"/>
  <c r="H430" i="5"/>
  <c r="M430" i="5"/>
  <c r="C431" i="5"/>
  <c r="D431" i="5"/>
  <c r="E431" i="5"/>
  <c r="F431" i="5"/>
  <c r="H431" i="5"/>
  <c r="M431" i="5"/>
  <c r="C432" i="5"/>
  <c r="D432" i="5"/>
  <c r="E432" i="5"/>
  <c r="F432" i="5"/>
  <c r="H432" i="5"/>
  <c r="M432" i="5"/>
  <c r="C433" i="5"/>
  <c r="D433" i="5"/>
  <c r="E433" i="5"/>
  <c r="F433" i="5"/>
  <c r="H433" i="5"/>
  <c r="M433" i="5"/>
  <c r="C434" i="5"/>
  <c r="D434" i="5"/>
  <c r="E434" i="5"/>
  <c r="F434" i="5"/>
  <c r="H434" i="5"/>
  <c r="M434" i="5"/>
  <c r="C435" i="5"/>
  <c r="D435" i="5"/>
  <c r="E435" i="5"/>
  <c r="F435" i="5"/>
  <c r="H435" i="5"/>
  <c r="M435" i="5"/>
  <c r="C436" i="5"/>
  <c r="D436" i="5"/>
  <c r="E436" i="5"/>
  <c r="F436" i="5"/>
  <c r="H436" i="5"/>
  <c r="M436" i="5"/>
  <c r="C437" i="5"/>
  <c r="D437" i="5"/>
  <c r="E437" i="5"/>
  <c r="F437" i="5"/>
  <c r="H437" i="5"/>
  <c r="M437" i="5"/>
  <c r="C438" i="5"/>
  <c r="D438" i="5"/>
  <c r="E438" i="5"/>
  <c r="F438" i="5"/>
  <c r="H438" i="5"/>
  <c r="M438" i="5"/>
  <c r="C439" i="5"/>
  <c r="D439" i="5"/>
  <c r="E439" i="5"/>
  <c r="F439" i="5"/>
  <c r="H439" i="5"/>
  <c r="M439" i="5"/>
  <c r="C440" i="5"/>
  <c r="D440" i="5"/>
  <c r="E440" i="5"/>
  <c r="F440" i="5"/>
  <c r="H440" i="5"/>
  <c r="M440" i="5"/>
  <c r="C441" i="5"/>
  <c r="D441" i="5"/>
  <c r="E441" i="5"/>
  <c r="F441" i="5"/>
  <c r="H441" i="5"/>
  <c r="M441" i="5"/>
  <c r="C442" i="5"/>
  <c r="D442" i="5"/>
  <c r="E442" i="5"/>
  <c r="F442" i="5"/>
  <c r="H442" i="5"/>
  <c r="M442" i="5"/>
  <c r="C443" i="5"/>
  <c r="D443" i="5"/>
  <c r="E443" i="5"/>
  <c r="F443" i="5"/>
  <c r="H443" i="5"/>
  <c r="M443" i="5"/>
  <c r="C444" i="5"/>
  <c r="D444" i="5"/>
  <c r="E444" i="5"/>
  <c r="F444" i="5"/>
  <c r="H444" i="5"/>
  <c r="M444" i="5"/>
  <c r="C445" i="5"/>
  <c r="D445" i="5"/>
  <c r="E445" i="5"/>
  <c r="F445" i="5"/>
  <c r="H445" i="5"/>
  <c r="M445" i="5"/>
  <c r="C446" i="5"/>
  <c r="D446" i="5"/>
  <c r="E446" i="5"/>
  <c r="F446" i="5"/>
  <c r="H446" i="5"/>
  <c r="M446" i="5"/>
  <c r="C447" i="5"/>
  <c r="D447" i="5"/>
  <c r="E447" i="5"/>
  <c r="F447" i="5"/>
  <c r="H447" i="5"/>
  <c r="M447" i="5"/>
  <c r="C448" i="5"/>
  <c r="D448" i="5"/>
  <c r="E448" i="5"/>
  <c r="F448" i="5"/>
  <c r="H448" i="5"/>
  <c r="M448" i="5"/>
  <c r="C449" i="5"/>
  <c r="D449" i="5"/>
  <c r="E449" i="5"/>
  <c r="F449" i="5"/>
  <c r="H449" i="5"/>
  <c r="M449" i="5"/>
  <c r="C450" i="5"/>
  <c r="D450" i="5"/>
  <c r="E450" i="5"/>
  <c r="F450" i="5"/>
  <c r="H450" i="5"/>
  <c r="M450" i="5"/>
  <c r="C451" i="5"/>
  <c r="D451" i="5"/>
  <c r="E451" i="5"/>
  <c r="F451" i="5"/>
  <c r="H451" i="5"/>
  <c r="M451" i="5"/>
  <c r="C452" i="5"/>
  <c r="D452" i="5"/>
  <c r="E452" i="5"/>
  <c r="F452" i="5"/>
  <c r="H452" i="5"/>
  <c r="M452" i="5"/>
  <c r="C453" i="5"/>
  <c r="D453" i="5"/>
  <c r="E453" i="5"/>
  <c r="F453" i="5"/>
  <c r="H453" i="5"/>
  <c r="M453" i="5"/>
  <c r="C454" i="5"/>
  <c r="D454" i="5"/>
  <c r="E454" i="5"/>
  <c r="F454" i="5"/>
  <c r="H454" i="5"/>
  <c r="M454" i="5"/>
  <c r="C455" i="5"/>
  <c r="D455" i="5"/>
  <c r="E455" i="5"/>
  <c r="F455" i="5"/>
  <c r="H455" i="5"/>
  <c r="M455" i="5"/>
  <c r="C456" i="5"/>
  <c r="D456" i="5"/>
  <c r="E456" i="5"/>
  <c r="F456" i="5"/>
  <c r="H456" i="5"/>
  <c r="M456" i="5"/>
  <c r="C457" i="5"/>
  <c r="D457" i="5"/>
  <c r="E457" i="5"/>
  <c r="F457" i="5"/>
  <c r="H457" i="5"/>
  <c r="M457" i="5"/>
  <c r="C458" i="5"/>
  <c r="D458" i="5"/>
  <c r="E458" i="5"/>
  <c r="F458" i="5"/>
  <c r="H458" i="5"/>
  <c r="M458" i="5"/>
  <c r="C459" i="5"/>
  <c r="D459" i="5"/>
  <c r="E459" i="5"/>
  <c r="F459" i="5"/>
  <c r="H459" i="5"/>
  <c r="M459" i="5"/>
  <c r="C460" i="5"/>
  <c r="D460" i="5"/>
  <c r="E460" i="5"/>
  <c r="F460" i="5"/>
  <c r="H460" i="5"/>
  <c r="M460" i="5"/>
  <c r="C461" i="5"/>
  <c r="D461" i="5"/>
  <c r="E461" i="5"/>
  <c r="F461" i="5"/>
  <c r="H461" i="5"/>
  <c r="M461" i="5"/>
  <c r="C462" i="5"/>
  <c r="D462" i="5"/>
  <c r="E462" i="5"/>
  <c r="F462" i="5"/>
  <c r="H462" i="5"/>
  <c r="M462" i="5"/>
  <c r="C463" i="5"/>
  <c r="D463" i="5"/>
  <c r="E463" i="5"/>
  <c r="F463" i="5"/>
  <c r="H463" i="5"/>
  <c r="M463" i="5"/>
  <c r="C464" i="5"/>
  <c r="D464" i="5"/>
  <c r="E464" i="5"/>
  <c r="F464" i="5"/>
  <c r="H464" i="5"/>
  <c r="M464" i="5"/>
  <c r="C465" i="5"/>
  <c r="D465" i="5"/>
  <c r="E465" i="5"/>
  <c r="F465" i="5"/>
  <c r="H465" i="5"/>
  <c r="M465" i="5"/>
  <c r="C466" i="5"/>
  <c r="D466" i="5"/>
  <c r="E466" i="5"/>
  <c r="F466" i="5"/>
  <c r="H466" i="5"/>
  <c r="M466" i="5"/>
  <c r="C467" i="5"/>
  <c r="D467" i="5"/>
  <c r="E467" i="5"/>
  <c r="F467" i="5"/>
  <c r="H467" i="5"/>
  <c r="M467" i="5"/>
  <c r="C468" i="5"/>
  <c r="D468" i="5"/>
  <c r="E468" i="5"/>
  <c r="F468" i="5"/>
  <c r="H468" i="5"/>
  <c r="M468" i="5"/>
  <c r="C469" i="5"/>
  <c r="D469" i="5"/>
  <c r="E469" i="5"/>
  <c r="F469" i="5"/>
  <c r="H469" i="5"/>
  <c r="M469" i="5"/>
  <c r="C470" i="5"/>
  <c r="D470" i="5"/>
  <c r="E470" i="5"/>
  <c r="F470" i="5"/>
  <c r="H470" i="5"/>
  <c r="M470" i="5"/>
  <c r="C471" i="5"/>
  <c r="D471" i="5"/>
  <c r="E471" i="5"/>
  <c r="F471" i="5"/>
  <c r="H471" i="5"/>
  <c r="M471" i="5"/>
  <c r="C472" i="5"/>
  <c r="D472" i="5"/>
  <c r="E472" i="5"/>
  <c r="F472" i="5"/>
  <c r="H472" i="5"/>
  <c r="M472" i="5"/>
  <c r="C473" i="5"/>
  <c r="D473" i="5"/>
  <c r="E473" i="5"/>
  <c r="F473" i="5"/>
  <c r="H473" i="5"/>
  <c r="M473" i="5"/>
  <c r="C474" i="5"/>
  <c r="D474" i="5"/>
  <c r="E474" i="5"/>
  <c r="F474" i="5"/>
  <c r="H474" i="5"/>
  <c r="M474" i="5"/>
  <c r="C475" i="5"/>
  <c r="D475" i="5"/>
  <c r="E475" i="5"/>
  <c r="F475" i="5"/>
  <c r="H475" i="5"/>
  <c r="M475" i="5"/>
  <c r="C476" i="5"/>
  <c r="D476" i="5"/>
  <c r="E476" i="5"/>
  <c r="F476" i="5"/>
  <c r="H476" i="5"/>
  <c r="M476" i="5"/>
  <c r="C477" i="5"/>
  <c r="D477" i="5"/>
  <c r="E477" i="5"/>
  <c r="F477" i="5"/>
  <c r="H477" i="5"/>
  <c r="M477" i="5"/>
  <c r="C478" i="5"/>
  <c r="D478" i="5"/>
  <c r="E478" i="5"/>
  <c r="F478" i="5"/>
  <c r="H478" i="5"/>
  <c r="M478" i="5"/>
  <c r="C479" i="5"/>
  <c r="D479" i="5"/>
  <c r="E479" i="5"/>
  <c r="F479" i="5"/>
  <c r="H479" i="5"/>
  <c r="M479" i="5"/>
  <c r="C480" i="5"/>
  <c r="D480" i="5"/>
  <c r="E480" i="5"/>
  <c r="F480" i="5"/>
  <c r="H480" i="5"/>
  <c r="M480" i="5"/>
  <c r="C481" i="5"/>
  <c r="D481" i="5"/>
  <c r="E481" i="5"/>
  <c r="F481" i="5"/>
  <c r="H481" i="5"/>
  <c r="M481" i="5"/>
  <c r="C482" i="5"/>
  <c r="D482" i="5"/>
  <c r="E482" i="5"/>
  <c r="F482" i="5"/>
  <c r="H482" i="5"/>
  <c r="M482" i="5"/>
  <c r="C483" i="5"/>
  <c r="D483" i="5"/>
  <c r="E483" i="5"/>
  <c r="F483" i="5"/>
  <c r="H483" i="5"/>
  <c r="M483" i="5"/>
  <c r="C484" i="5"/>
  <c r="D484" i="5"/>
  <c r="E484" i="5"/>
  <c r="F484" i="5"/>
  <c r="H484" i="5"/>
  <c r="M484" i="5"/>
  <c r="C485" i="5"/>
  <c r="D485" i="5"/>
  <c r="E485" i="5"/>
  <c r="F485" i="5"/>
  <c r="H485" i="5"/>
  <c r="M485" i="5"/>
  <c r="C486" i="5"/>
  <c r="D486" i="5"/>
  <c r="E486" i="5"/>
  <c r="F486" i="5"/>
  <c r="H486" i="5"/>
  <c r="M486" i="5"/>
  <c r="C487" i="5"/>
  <c r="D487" i="5"/>
  <c r="E487" i="5"/>
  <c r="F487" i="5"/>
  <c r="H487" i="5"/>
  <c r="M487" i="5"/>
  <c r="C488" i="5"/>
  <c r="D488" i="5"/>
  <c r="E488" i="5"/>
  <c r="F488" i="5"/>
  <c r="H488" i="5"/>
  <c r="M488" i="5"/>
  <c r="C489" i="5"/>
  <c r="D489" i="5"/>
  <c r="E489" i="5"/>
  <c r="F489" i="5"/>
  <c r="H489" i="5"/>
  <c r="M489" i="5"/>
  <c r="C490" i="5"/>
  <c r="D490" i="5"/>
  <c r="E490" i="5"/>
  <c r="F490" i="5"/>
  <c r="H490" i="5"/>
  <c r="M490" i="5"/>
  <c r="C491" i="5"/>
  <c r="D491" i="5"/>
  <c r="E491" i="5"/>
  <c r="F491" i="5"/>
  <c r="H491" i="5"/>
  <c r="M491" i="5"/>
  <c r="C492" i="5"/>
  <c r="D492" i="5"/>
  <c r="E492" i="5"/>
  <c r="F492" i="5"/>
  <c r="H492" i="5"/>
  <c r="M492" i="5"/>
  <c r="C493" i="5"/>
  <c r="D493" i="5"/>
  <c r="E493" i="5"/>
  <c r="F493" i="5"/>
  <c r="H493" i="5"/>
  <c r="M493" i="5"/>
  <c r="C494" i="5"/>
  <c r="D494" i="5"/>
  <c r="E494" i="5"/>
  <c r="F494" i="5"/>
  <c r="H494" i="5"/>
  <c r="M494" i="5"/>
  <c r="C495" i="5"/>
  <c r="D495" i="5"/>
  <c r="E495" i="5"/>
  <c r="F495" i="5"/>
  <c r="H495" i="5"/>
  <c r="M495" i="5"/>
  <c r="C496" i="5"/>
  <c r="D496" i="5"/>
  <c r="E496" i="5"/>
  <c r="F496" i="5"/>
  <c r="H496" i="5"/>
  <c r="M496" i="5"/>
  <c r="C497" i="5"/>
  <c r="D497" i="5"/>
  <c r="E497" i="5"/>
  <c r="F497" i="5"/>
  <c r="H497" i="5"/>
  <c r="M497" i="5"/>
  <c r="C498" i="5"/>
  <c r="D498" i="5"/>
  <c r="E498" i="5"/>
  <c r="F498" i="5"/>
  <c r="H498" i="5"/>
  <c r="M498" i="5"/>
  <c r="C499" i="5"/>
  <c r="D499" i="5"/>
  <c r="E499" i="5"/>
  <c r="F499" i="5"/>
  <c r="H499" i="5"/>
  <c r="M499" i="5"/>
  <c r="C500" i="5"/>
  <c r="D500" i="5"/>
  <c r="E500" i="5"/>
  <c r="F500" i="5"/>
  <c r="H500" i="5"/>
  <c r="M500" i="5"/>
  <c r="C501" i="5"/>
  <c r="D501" i="5"/>
  <c r="E501" i="5"/>
  <c r="F501" i="5"/>
  <c r="H501" i="5"/>
  <c r="M501" i="5"/>
  <c r="C502" i="5"/>
  <c r="D502" i="5"/>
  <c r="E502" i="5"/>
  <c r="F502" i="5"/>
  <c r="H502" i="5"/>
  <c r="M502" i="5"/>
  <c r="C503" i="5"/>
  <c r="D503" i="5"/>
  <c r="E503" i="5"/>
  <c r="F503" i="5"/>
  <c r="H503" i="5"/>
  <c r="M503" i="5"/>
  <c r="C504" i="5"/>
  <c r="D504" i="5"/>
  <c r="E504" i="5"/>
  <c r="F504" i="5"/>
  <c r="H504" i="5"/>
  <c r="M504" i="5"/>
  <c r="C505" i="5"/>
  <c r="D505" i="5"/>
  <c r="E505" i="5"/>
  <c r="F505" i="5"/>
  <c r="H505" i="5"/>
  <c r="M505" i="5"/>
  <c r="C506" i="5"/>
  <c r="D506" i="5"/>
  <c r="E506" i="5"/>
  <c r="F506" i="5"/>
  <c r="H506" i="5"/>
  <c r="M506" i="5"/>
  <c r="C507" i="5"/>
  <c r="D507" i="5"/>
  <c r="E507" i="5"/>
  <c r="F507" i="5"/>
  <c r="H507" i="5"/>
  <c r="M507" i="5"/>
  <c r="C508" i="5"/>
  <c r="D508" i="5"/>
  <c r="E508" i="5"/>
  <c r="F508" i="5"/>
  <c r="H508" i="5"/>
  <c r="M508" i="5"/>
  <c r="C509" i="5"/>
  <c r="D509" i="5"/>
  <c r="E509" i="5"/>
  <c r="F509" i="5"/>
  <c r="H509" i="5"/>
  <c r="M509" i="5"/>
  <c r="C510" i="5"/>
  <c r="D510" i="5"/>
  <c r="E510" i="5"/>
  <c r="F510" i="5"/>
  <c r="H510" i="5"/>
  <c r="M510" i="5"/>
  <c r="C511" i="5"/>
  <c r="D511" i="5"/>
  <c r="E511" i="5"/>
  <c r="F511" i="5"/>
  <c r="H511" i="5"/>
  <c r="M511" i="5"/>
  <c r="C512" i="5"/>
  <c r="D512" i="5"/>
  <c r="E512" i="5"/>
  <c r="F512" i="5"/>
  <c r="H512" i="5"/>
  <c r="M512" i="5"/>
  <c r="C513" i="5"/>
  <c r="D513" i="5"/>
  <c r="E513" i="5"/>
  <c r="F513" i="5"/>
  <c r="H513" i="5"/>
  <c r="M513" i="5"/>
  <c r="C514" i="5"/>
  <c r="D514" i="5"/>
  <c r="E514" i="5"/>
  <c r="F514" i="5"/>
  <c r="H514" i="5"/>
  <c r="M514" i="5"/>
  <c r="C515" i="5"/>
  <c r="D515" i="5"/>
  <c r="E515" i="5"/>
  <c r="F515" i="5"/>
  <c r="H515" i="5"/>
  <c r="M515" i="5"/>
  <c r="C516" i="5"/>
  <c r="D516" i="5"/>
  <c r="E516" i="5"/>
  <c r="F516" i="5"/>
  <c r="H516" i="5"/>
  <c r="M516" i="5"/>
  <c r="C517" i="5"/>
  <c r="D517" i="5"/>
  <c r="E517" i="5"/>
  <c r="F517" i="5"/>
  <c r="H517" i="5"/>
  <c r="M517" i="5"/>
  <c r="C518" i="5"/>
  <c r="D518" i="5"/>
  <c r="E518" i="5"/>
  <c r="F518" i="5"/>
  <c r="H518" i="5"/>
  <c r="M518" i="5"/>
  <c r="C519" i="5"/>
  <c r="D519" i="5"/>
  <c r="E519" i="5"/>
  <c r="F519" i="5"/>
  <c r="H519" i="5"/>
  <c r="M519" i="5"/>
  <c r="C520" i="5"/>
  <c r="D520" i="5"/>
  <c r="E520" i="5"/>
  <c r="F520" i="5"/>
  <c r="H520" i="5"/>
  <c r="M520" i="5"/>
  <c r="C521" i="5"/>
  <c r="D521" i="5"/>
  <c r="E521" i="5"/>
  <c r="F521" i="5"/>
  <c r="H521" i="5"/>
  <c r="M521" i="5"/>
  <c r="C522" i="5"/>
  <c r="D522" i="5"/>
  <c r="E522" i="5"/>
  <c r="F522" i="5"/>
  <c r="H522" i="5"/>
  <c r="M522" i="5"/>
  <c r="C523" i="5"/>
  <c r="D523" i="5"/>
  <c r="E523" i="5"/>
  <c r="F523" i="5"/>
  <c r="H523" i="5"/>
  <c r="M523" i="5"/>
  <c r="C524" i="5"/>
  <c r="D524" i="5"/>
  <c r="E524" i="5"/>
  <c r="F524" i="5"/>
  <c r="H524" i="5"/>
  <c r="M524" i="5"/>
  <c r="C525" i="5"/>
  <c r="D525" i="5"/>
  <c r="E525" i="5"/>
  <c r="F525" i="5"/>
  <c r="H525" i="5"/>
  <c r="M525" i="5"/>
  <c r="C526" i="5"/>
  <c r="D526" i="5"/>
  <c r="E526" i="5"/>
  <c r="F526" i="5"/>
  <c r="H526" i="5"/>
  <c r="M526" i="5"/>
  <c r="C527" i="5"/>
  <c r="D527" i="5"/>
  <c r="E527" i="5"/>
  <c r="F527" i="5"/>
  <c r="H527" i="5"/>
  <c r="M527" i="5"/>
  <c r="C528" i="5"/>
  <c r="D528" i="5"/>
  <c r="E528" i="5"/>
  <c r="F528" i="5"/>
  <c r="H528" i="5"/>
  <c r="M528" i="5"/>
  <c r="C529" i="5"/>
  <c r="D529" i="5"/>
  <c r="E529" i="5"/>
  <c r="F529" i="5"/>
  <c r="H529" i="5"/>
  <c r="M529" i="5"/>
  <c r="C530" i="5"/>
  <c r="D530" i="5"/>
  <c r="E530" i="5"/>
  <c r="F530" i="5"/>
  <c r="H530" i="5"/>
  <c r="M530" i="5"/>
  <c r="C531" i="5"/>
  <c r="D531" i="5"/>
  <c r="E531" i="5"/>
  <c r="F531" i="5"/>
  <c r="H531" i="5"/>
  <c r="M531" i="5"/>
  <c r="C532" i="5"/>
  <c r="D532" i="5"/>
  <c r="E532" i="5"/>
  <c r="F532" i="5"/>
  <c r="H532" i="5"/>
  <c r="M532" i="5"/>
  <c r="C533" i="5"/>
  <c r="D533" i="5"/>
  <c r="E533" i="5"/>
  <c r="F533" i="5"/>
  <c r="H533" i="5"/>
  <c r="M533" i="5"/>
  <c r="C534" i="5"/>
  <c r="D534" i="5"/>
  <c r="E534" i="5"/>
  <c r="F534" i="5"/>
  <c r="H534" i="5"/>
  <c r="M534" i="5"/>
  <c r="C535" i="5"/>
  <c r="D535" i="5"/>
  <c r="E535" i="5"/>
  <c r="F535" i="5"/>
  <c r="H535" i="5"/>
  <c r="M535" i="5"/>
  <c r="C536" i="5"/>
  <c r="D536" i="5"/>
  <c r="E536" i="5"/>
  <c r="F536" i="5"/>
  <c r="H536" i="5"/>
  <c r="M536" i="5"/>
  <c r="C537" i="5"/>
  <c r="D537" i="5"/>
  <c r="E537" i="5"/>
  <c r="F537" i="5"/>
  <c r="H537" i="5"/>
  <c r="M537" i="5"/>
  <c r="C538" i="5"/>
  <c r="D538" i="5"/>
  <c r="E538" i="5"/>
  <c r="F538" i="5"/>
  <c r="H538" i="5"/>
  <c r="M538" i="5"/>
  <c r="C539" i="5"/>
  <c r="D539" i="5"/>
  <c r="E539" i="5"/>
  <c r="F539" i="5"/>
  <c r="H539" i="5"/>
  <c r="M539" i="5"/>
  <c r="C540" i="5"/>
  <c r="D540" i="5"/>
  <c r="E540" i="5"/>
  <c r="F540" i="5"/>
  <c r="H540" i="5"/>
  <c r="M540" i="5"/>
  <c r="C541" i="5"/>
  <c r="D541" i="5"/>
  <c r="E541" i="5"/>
  <c r="F541" i="5"/>
  <c r="H541" i="5"/>
  <c r="M541" i="5"/>
  <c r="C542" i="5"/>
  <c r="D542" i="5"/>
  <c r="E542" i="5"/>
  <c r="F542" i="5"/>
  <c r="H542" i="5"/>
  <c r="M542" i="5"/>
  <c r="C543" i="5"/>
  <c r="D543" i="5"/>
  <c r="E543" i="5"/>
  <c r="F543" i="5"/>
  <c r="H543" i="5"/>
  <c r="M543" i="5"/>
  <c r="C544" i="5"/>
  <c r="D544" i="5"/>
  <c r="E544" i="5"/>
  <c r="F544" i="5"/>
  <c r="H544" i="5"/>
  <c r="M544" i="5"/>
  <c r="C545" i="5"/>
  <c r="D545" i="5"/>
  <c r="E545" i="5"/>
  <c r="F545" i="5"/>
  <c r="H545" i="5"/>
  <c r="M545" i="5"/>
  <c r="C546" i="5"/>
  <c r="D546" i="5"/>
  <c r="E546" i="5"/>
  <c r="F546" i="5"/>
  <c r="H546" i="5"/>
  <c r="M546" i="5"/>
  <c r="C547" i="5"/>
  <c r="D547" i="5"/>
  <c r="E547" i="5"/>
  <c r="F547" i="5"/>
  <c r="H547" i="5"/>
  <c r="M547" i="5"/>
  <c r="C548" i="5"/>
  <c r="D548" i="5"/>
  <c r="E548" i="5"/>
  <c r="F548" i="5"/>
  <c r="H548" i="5"/>
  <c r="M548" i="5"/>
  <c r="C549" i="5"/>
  <c r="D549" i="5"/>
  <c r="E549" i="5"/>
  <c r="F549" i="5"/>
  <c r="H549" i="5"/>
  <c r="M549" i="5"/>
  <c r="C550" i="5"/>
  <c r="D550" i="5"/>
  <c r="E550" i="5"/>
  <c r="F550" i="5"/>
  <c r="H550" i="5"/>
  <c r="M550" i="5"/>
  <c r="C551" i="5"/>
  <c r="D551" i="5"/>
  <c r="E551" i="5"/>
  <c r="F551" i="5"/>
  <c r="H551" i="5"/>
  <c r="M551" i="5"/>
  <c r="C552" i="5"/>
  <c r="D552" i="5"/>
  <c r="E552" i="5"/>
  <c r="F552" i="5"/>
  <c r="H552" i="5"/>
  <c r="M552" i="5"/>
  <c r="C553" i="5"/>
  <c r="D553" i="5"/>
  <c r="E553" i="5"/>
  <c r="F553" i="5"/>
  <c r="H553" i="5"/>
  <c r="M553" i="5"/>
  <c r="C554" i="5"/>
  <c r="D554" i="5"/>
  <c r="E554" i="5"/>
  <c r="F554" i="5"/>
  <c r="H554" i="5"/>
  <c r="M554" i="5"/>
  <c r="C555" i="5"/>
  <c r="D555" i="5"/>
  <c r="E555" i="5"/>
  <c r="F555" i="5"/>
  <c r="H555" i="5"/>
  <c r="M555" i="5"/>
  <c r="C556" i="5"/>
  <c r="D556" i="5"/>
  <c r="E556" i="5"/>
  <c r="F556" i="5"/>
  <c r="H556" i="5"/>
  <c r="M556" i="5"/>
  <c r="C557" i="5"/>
  <c r="D557" i="5"/>
  <c r="E557" i="5"/>
  <c r="F557" i="5"/>
  <c r="H557" i="5"/>
  <c r="M557" i="5"/>
  <c r="C558" i="5"/>
  <c r="D558" i="5"/>
  <c r="E558" i="5"/>
  <c r="F558" i="5"/>
  <c r="H558" i="5"/>
  <c r="M558" i="5"/>
  <c r="C559" i="5"/>
  <c r="D559" i="5"/>
  <c r="E559" i="5"/>
  <c r="F559" i="5"/>
  <c r="H559" i="5"/>
  <c r="M559" i="5"/>
  <c r="C560" i="5"/>
  <c r="D560" i="5"/>
  <c r="E560" i="5"/>
  <c r="F560" i="5"/>
  <c r="H560" i="5"/>
  <c r="M560" i="5"/>
  <c r="C561" i="5"/>
  <c r="D561" i="5"/>
  <c r="E561" i="5"/>
  <c r="F561" i="5"/>
  <c r="H561" i="5"/>
  <c r="M561" i="5"/>
  <c r="C562" i="5"/>
  <c r="D562" i="5"/>
  <c r="E562" i="5"/>
  <c r="F562" i="5"/>
  <c r="H562" i="5"/>
  <c r="M562" i="5"/>
  <c r="C563" i="5"/>
  <c r="D563" i="5"/>
  <c r="E563" i="5"/>
  <c r="F563" i="5"/>
  <c r="H563" i="5"/>
  <c r="M563" i="5"/>
  <c r="C564" i="5"/>
  <c r="D564" i="5"/>
  <c r="E564" i="5"/>
  <c r="F564" i="5"/>
  <c r="H564" i="5"/>
  <c r="M564" i="5"/>
  <c r="C565" i="5"/>
  <c r="D565" i="5"/>
  <c r="E565" i="5"/>
  <c r="F565" i="5"/>
  <c r="H565" i="5"/>
  <c r="M565" i="5"/>
  <c r="C566" i="5"/>
  <c r="D566" i="5"/>
  <c r="E566" i="5"/>
  <c r="F566" i="5"/>
  <c r="H566" i="5"/>
  <c r="M566" i="5"/>
  <c r="C567" i="5"/>
  <c r="D567" i="5"/>
  <c r="E567" i="5"/>
  <c r="F567" i="5"/>
  <c r="H567" i="5"/>
  <c r="M567" i="5"/>
  <c r="C568" i="5"/>
  <c r="D568" i="5"/>
  <c r="E568" i="5"/>
  <c r="F568" i="5"/>
  <c r="H568" i="5"/>
  <c r="M568" i="5"/>
  <c r="C569" i="5"/>
  <c r="D569" i="5"/>
  <c r="E569" i="5"/>
  <c r="F569" i="5"/>
  <c r="H569" i="5"/>
  <c r="M569" i="5"/>
  <c r="C570" i="5"/>
  <c r="D570" i="5"/>
  <c r="E570" i="5"/>
  <c r="F570" i="5"/>
  <c r="H570" i="5"/>
  <c r="M570" i="5"/>
  <c r="C571" i="5"/>
  <c r="D571" i="5"/>
  <c r="E571" i="5"/>
  <c r="F571" i="5"/>
  <c r="H571" i="5"/>
  <c r="M571" i="5"/>
  <c r="C572" i="5"/>
  <c r="D572" i="5"/>
  <c r="E572" i="5"/>
  <c r="F572" i="5"/>
  <c r="H572" i="5"/>
  <c r="M572" i="5"/>
  <c r="C573" i="5"/>
  <c r="D573" i="5"/>
  <c r="E573" i="5"/>
  <c r="F573" i="5"/>
  <c r="H573" i="5"/>
  <c r="M573" i="5"/>
  <c r="C574" i="5"/>
  <c r="D574" i="5"/>
  <c r="E574" i="5"/>
  <c r="F574" i="5"/>
  <c r="H574" i="5"/>
  <c r="M574" i="5"/>
  <c r="C575" i="5"/>
  <c r="D575" i="5"/>
  <c r="E575" i="5"/>
  <c r="F575" i="5"/>
  <c r="H575" i="5"/>
  <c r="M575" i="5"/>
  <c r="C576" i="5"/>
  <c r="D576" i="5"/>
  <c r="E576" i="5"/>
  <c r="F576" i="5"/>
  <c r="H576" i="5"/>
  <c r="M576" i="5"/>
  <c r="C577" i="5"/>
  <c r="D577" i="5"/>
  <c r="E577" i="5"/>
  <c r="F577" i="5"/>
  <c r="H577" i="5"/>
  <c r="M577" i="5"/>
  <c r="C578" i="5"/>
  <c r="D578" i="5"/>
  <c r="E578" i="5"/>
  <c r="F578" i="5"/>
  <c r="H578" i="5"/>
  <c r="M578" i="5"/>
  <c r="C579" i="5"/>
  <c r="D579" i="5"/>
  <c r="E579" i="5"/>
  <c r="F579" i="5"/>
  <c r="H579" i="5"/>
  <c r="M579" i="5"/>
  <c r="C580" i="5"/>
  <c r="D580" i="5"/>
  <c r="E580" i="5"/>
  <c r="F580" i="5"/>
  <c r="H580" i="5"/>
  <c r="M580" i="5"/>
  <c r="C581" i="5"/>
  <c r="D581" i="5"/>
  <c r="E581" i="5"/>
  <c r="F581" i="5"/>
  <c r="H581" i="5"/>
  <c r="M581" i="5"/>
  <c r="C582" i="5"/>
  <c r="D582" i="5"/>
  <c r="E582" i="5"/>
  <c r="F582" i="5"/>
  <c r="H582" i="5"/>
  <c r="M582" i="5"/>
  <c r="C583" i="5"/>
  <c r="D583" i="5"/>
  <c r="E583" i="5"/>
  <c r="F583" i="5"/>
  <c r="H583" i="5"/>
  <c r="M583" i="5"/>
  <c r="C584" i="5"/>
  <c r="D584" i="5"/>
  <c r="E584" i="5"/>
  <c r="F584" i="5"/>
  <c r="H584" i="5"/>
  <c r="M584" i="5"/>
  <c r="C585" i="5"/>
  <c r="D585" i="5"/>
  <c r="E585" i="5"/>
  <c r="F585" i="5"/>
  <c r="H585" i="5"/>
  <c r="M585" i="5"/>
  <c r="C586" i="5"/>
  <c r="D586" i="5"/>
  <c r="E586" i="5"/>
  <c r="F586" i="5"/>
  <c r="H586" i="5"/>
  <c r="M586" i="5"/>
  <c r="C587" i="5"/>
  <c r="D587" i="5"/>
  <c r="E587" i="5"/>
  <c r="F587" i="5"/>
  <c r="H587" i="5"/>
  <c r="M587" i="5"/>
  <c r="C588" i="5"/>
  <c r="D588" i="5"/>
  <c r="E588" i="5"/>
  <c r="F588" i="5"/>
  <c r="H588" i="5"/>
  <c r="M588" i="5"/>
  <c r="C589" i="5"/>
  <c r="D589" i="5"/>
  <c r="E589" i="5"/>
  <c r="F589" i="5"/>
  <c r="H589" i="5"/>
  <c r="M589" i="5"/>
  <c r="C590" i="5"/>
  <c r="D590" i="5"/>
  <c r="E590" i="5"/>
  <c r="F590" i="5"/>
  <c r="H590" i="5"/>
  <c r="M590" i="5"/>
  <c r="C591" i="5"/>
  <c r="D591" i="5"/>
  <c r="E591" i="5"/>
  <c r="F591" i="5"/>
  <c r="H591" i="5"/>
  <c r="M591" i="5"/>
  <c r="C592" i="5"/>
  <c r="D592" i="5"/>
  <c r="E592" i="5"/>
  <c r="F592" i="5"/>
  <c r="H592" i="5"/>
  <c r="M592" i="5"/>
  <c r="C593" i="5"/>
  <c r="D593" i="5"/>
  <c r="E593" i="5"/>
  <c r="F593" i="5"/>
  <c r="H593" i="5"/>
  <c r="M593" i="5"/>
  <c r="C594" i="5"/>
  <c r="D594" i="5"/>
  <c r="E594" i="5"/>
  <c r="F594" i="5"/>
  <c r="H594" i="5"/>
  <c r="M594" i="5"/>
  <c r="C595" i="5"/>
  <c r="D595" i="5"/>
  <c r="E595" i="5"/>
  <c r="F595" i="5"/>
  <c r="H595" i="5"/>
  <c r="M595" i="5"/>
  <c r="C596" i="5"/>
  <c r="D596" i="5"/>
  <c r="E596" i="5"/>
  <c r="F596" i="5"/>
  <c r="H596" i="5"/>
  <c r="M596" i="5"/>
  <c r="C597" i="5"/>
  <c r="D597" i="5"/>
  <c r="E597" i="5"/>
  <c r="F597" i="5"/>
  <c r="H597" i="5"/>
  <c r="M597" i="5"/>
  <c r="C598" i="5"/>
  <c r="D598" i="5"/>
  <c r="E598" i="5"/>
  <c r="F598" i="5"/>
  <c r="H598" i="5"/>
  <c r="M598" i="5"/>
  <c r="C599" i="5"/>
  <c r="D599" i="5"/>
  <c r="E599" i="5"/>
  <c r="F599" i="5"/>
  <c r="H599" i="5"/>
  <c r="M599" i="5"/>
  <c r="C600" i="5"/>
  <c r="D600" i="5"/>
  <c r="E600" i="5"/>
  <c r="F600" i="5"/>
  <c r="H600" i="5"/>
  <c r="M600" i="5"/>
  <c r="C601" i="5"/>
  <c r="D601" i="5"/>
  <c r="E601" i="5"/>
  <c r="F601" i="5"/>
  <c r="H601" i="5"/>
  <c r="M601" i="5"/>
  <c r="C602" i="5"/>
  <c r="D602" i="5"/>
  <c r="E602" i="5"/>
  <c r="F602" i="5"/>
  <c r="H602" i="5"/>
  <c r="M602" i="5"/>
  <c r="C603" i="5"/>
  <c r="D603" i="5"/>
  <c r="E603" i="5"/>
  <c r="F603" i="5"/>
  <c r="H603" i="5"/>
  <c r="M603" i="5"/>
  <c r="C604" i="5"/>
  <c r="D604" i="5"/>
  <c r="E604" i="5"/>
  <c r="F604" i="5"/>
  <c r="H604" i="5"/>
  <c r="M604" i="5"/>
  <c r="C605" i="5"/>
  <c r="D605" i="5"/>
  <c r="E605" i="5"/>
  <c r="F605" i="5"/>
  <c r="H605" i="5"/>
  <c r="M605" i="5"/>
  <c r="C606" i="5"/>
  <c r="D606" i="5"/>
  <c r="E606" i="5"/>
  <c r="F606" i="5"/>
  <c r="H606" i="5"/>
  <c r="M606" i="5"/>
  <c r="C607" i="5"/>
  <c r="D607" i="5"/>
  <c r="E607" i="5"/>
  <c r="F607" i="5"/>
  <c r="H607" i="5"/>
  <c r="M607" i="5"/>
  <c r="C608" i="5"/>
  <c r="D608" i="5"/>
  <c r="E608" i="5"/>
  <c r="F608" i="5"/>
  <c r="H608" i="5"/>
  <c r="M608" i="5"/>
  <c r="C609" i="5"/>
  <c r="D609" i="5"/>
  <c r="E609" i="5"/>
  <c r="F609" i="5"/>
  <c r="H609" i="5"/>
  <c r="M609" i="5"/>
  <c r="C610" i="5"/>
  <c r="D610" i="5"/>
  <c r="E610" i="5"/>
  <c r="F610" i="5"/>
  <c r="H610" i="5"/>
  <c r="M610" i="5"/>
  <c r="C611" i="5"/>
  <c r="D611" i="5"/>
  <c r="E611" i="5"/>
  <c r="F611" i="5"/>
  <c r="H611" i="5"/>
  <c r="M611" i="5"/>
  <c r="C612" i="5"/>
  <c r="D612" i="5"/>
  <c r="E612" i="5"/>
  <c r="F612" i="5"/>
  <c r="H612" i="5"/>
  <c r="M612" i="5"/>
  <c r="C613" i="5"/>
  <c r="D613" i="5"/>
  <c r="E613" i="5"/>
  <c r="F613" i="5"/>
  <c r="H613" i="5"/>
  <c r="M613" i="5"/>
  <c r="C614" i="5"/>
  <c r="D614" i="5"/>
  <c r="E614" i="5"/>
  <c r="F614" i="5"/>
  <c r="H614" i="5"/>
  <c r="M614" i="5"/>
  <c r="C615" i="5"/>
  <c r="D615" i="5"/>
  <c r="E615" i="5"/>
  <c r="F615" i="5"/>
  <c r="H615" i="5"/>
  <c r="M615" i="5"/>
  <c r="C616" i="5"/>
  <c r="D616" i="5"/>
  <c r="E616" i="5"/>
  <c r="F616" i="5"/>
  <c r="H616" i="5"/>
  <c r="M616" i="5"/>
  <c r="C617" i="5"/>
  <c r="D617" i="5"/>
  <c r="E617" i="5"/>
  <c r="F617" i="5"/>
  <c r="H617" i="5"/>
  <c r="M617" i="5"/>
  <c r="C618" i="5"/>
  <c r="D618" i="5"/>
  <c r="E618" i="5"/>
  <c r="F618" i="5"/>
  <c r="H618" i="5"/>
  <c r="M618" i="5"/>
  <c r="C619" i="5"/>
  <c r="D619" i="5"/>
  <c r="E619" i="5"/>
  <c r="F619" i="5"/>
  <c r="H619" i="5"/>
  <c r="M619" i="5"/>
  <c r="C620" i="5"/>
  <c r="D620" i="5"/>
  <c r="E620" i="5"/>
  <c r="F620" i="5"/>
  <c r="H620" i="5"/>
  <c r="M620" i="5"/>
  <c r="C621" i="5"/>
  <c r="D621" i="5"/>
  <c r="E621" i="5"/>
  <c r="F621" i="5"/>
  <c r="H621" i="5"/>
  <c r="M621" i="5"/>
  <c r="C622" i="5"/>
  <c r="D622" i="5"/>
  <c r="E622" i="5"/>
  <c r="F622" i="5"/>
  <c r="H622" i="5"/>
  <c r="M622" i="5"/>
  <c r="C623" i="5"/>
  <c r="D623" i="5"/>
  <c r="E623" i="5"/>
  <c r="F623" i="5"/>
  <c r="H623" i="5"/>
  <c r="M623" i="5"/>
  <c r="C624" i="5"/>
  <c r="D624" i="5"/>
  <c r="E624" i="5"/>
  <c r="F624" i="5"/>
  <c r="H624" i="5"/>
  <c r="M624" i="5"/>
  <c r="C625" i="5"/>
  <c r="D625" i="5"/>
  <c r="E625" i="5"/>
  <c r="F625" i="5"/>
  <c r="H625" i="5"/>
  <c r="M625" i="5"/>
  <c r="C626" i="5"/>
  <c r="D626" i="5"/>
  <c r="E626" i="5"/>
  <c r="F626" i="5"/>
  <c r="H626" i="5"/>
  <c r="M626" i="5"/>
  <c r="C627" i="5"/>
  <c r="D627" i="5"/>
  <c r="E627" i="5"/>
  <c r="F627" i="5"/>
  <c r="H627" i="5"/>
  <c r="M627" i="5"/>
  <c r="C628" i="5"/>
  <c r="D628" i="5"/>
  <c r="E628" i="5"/>
  <c r="F628" i="5"/>
  <c r="H628" i="5"/>
  <c r="M628" i="5"/>
  <c r="C629" i="5"/>
  <c r="D629" i="5"/>
  <c r="E629" i="5"/>
  <c r="F629" i="5"/>
  <c r="H629" i="5"/>
  <c r="M629" i="5"/>
  <c r="C630" i="5"/>
  <c r="D630" i="5"/>
  <c r="E630" i="5"/>
  <c r="F630" i="5"/>
  <c r="H630" i="5"/>
  <c r="M630" i="5"/>
  <c r="C631" i="5"/>
  <c r="D631" i="5"/>
  <c r="E631" i="5"/>
  <c r="F631" i="5"/>
  <c r="H631" i="5"/>
  <c r="M631" i="5"/>
  <c r="C632" i="5"/>
  <c r="D632" i="5"/>
  <c r="E632" i="5"/>
  <c r="F632" i="5"/>
  <c r="H632" i="5"/>
  <c r="M632" i="5"/>
  <c r="C633" i="5"/>
  <c r="D633" i="5"/>
  <c r="E633" i="5"/>
  <c r="F633" i="5"/>
  <c r="H633" i="5"/>
  <c r="M633" i="5"/>
  <c r="C634" i="5"/>
  <c r="D634" i="5"/>
  <c r="E634" i="5"/>
  <c r="F634" i="5"/>
  <c r="H634" i="5"/>
  <c r="M634" i="5"/>
  <c r="C635" i="5"/>
  <c r="D635" i="5"/>
  <c r="E635" i="5"/>
  <c r="F635" i="5"/>
  <c r="H635" i="5"/>
  <c r="M635" i="5"/>
  <c r="C636" i="5"/>
  <c r="D636" i="5"/>
  <c r="E636" i="5"/>
  <c r="F636" i="5"/>
  <c r="H636" i="5"/>
  <c r="M636" i="5"/>
  <c r="C637" i="5"/>
  <c r="D637" i="5"/>
  <c r="E637" i="5"/>
  <c r="F637" i="5"/>
  <c r="H637" i="5"/>
  <c r="M637" i="5"/>
  <c r="C638" i="5"/>
  <c r="D638" i="5"/>
  <c r="E638" i="5"/>
  <c r="F638" i="5"/>
  <c r="H638" i="5"/>
  <c r="M638" i="5"/>
  <c r="C639" i="5"/>
  <c r="D639" i="5"/>
  <c r="E639" i="5"/>
  <c r="F639" i="5"/>
  <c r="H639" i="5"/>
  <c r="M639" i="5"/>
  <c r="C640" i="5"/>
  <c r="D640" i="5"/>
  <c r="E640" i="5"/>
  <c r="F640" i="5"/>
  <c r="H640" i="5"/>
  <c r="M640" i="5"/>
  <c r="C641" i="5"/>
  <c r="D641" i="5"/>
  <c r="E641" i="5"/>
  <c r="F641" i="5"/>
  <c r="H641" i="5"/>
  <c r="M641" i="5"/>
  <c r="C642" i="5"/>
  <c r="D642" i="5"/>
  <c r="E642" i="5"/>
  <c r="F642" i="5"/>
  <c r="H642" i="5"/>
  <c r="M642" i="5"/>
  <c r="C643" i="5"/>
  <c r="D643" i="5"/>
  <c r="E643" i="5"/>
  <c r="F643" i="5"/>
  <c r="H643" i="5"/>
  <c r="M643" i="5"/>
  <c r="C644" i="5"/>
  <c r="D644" i="5"/>
  <c r="E644" i="5"/>
  <c r="F644" i="5"/>
  <c r="H644" i="5"/>
  <c r="M644" i="5"/>
  <c r="C645" i="5"/>
  <c r="D645" i="5"/>
  <c r="E645" i="5"/>
  <c r="F645" i="5"/>
  <c r="H645" i="5"/>
  <c r="M645" i="5"/>
  <c r="C646" i="5"/>
  <c r="D646" i="5"/>
  <c r="E646" i="5"/>
  <c r="F646" i="5"/>
  <c r="H646" i="5"/>
  <c r="M646" i="5"/>
  <c r="C647" i="5"/>
  <c r="D647" i="5"/>
  <c r="E647" i="5"/>
  <c r="F647" i="5"/>
  <c r="H647" i="5"/>
  <c r="M647" i="5"/>
  <c r="C648" i="5"/>
  <c r="D648" i="5"/>
  <c r="E648" i="5"/>
  <c r="F648" i="5"/>
  <c r="H648" i="5"/>
  <c r="M648" i="5"/>
  <c r="C649" i="5"/>
  <c r="D649" i="5"/>
  <c r="E649" i="5"/>
  <c r="F649" i="5"/>
  <c r="H649" i="5"/>
  <c r="M649" i="5"/>
  <c r="C650" i="5"/>
  <c r="D650" i="5"/>
  <c r="E650" i="5"/>
  <c r="F650" i="5"/>
  <c r="H650" i="5"/>
  <c r="M650" i="5"/>
  <c r="C651" i="5"/>
  <c r="D651" i="5"/>
  <c r="E651" i="5"/>
  <c r="F651" i="5"/>
  <c r="H651" i="5"/>
  <c r="M651" i="5"/>
  <c r="C652" i="5"/>
  <c r="D652" i="5"/>
  <c r="E652" i="5"/>
  <c r="F652" i="5"/>
  <c r="H652" i="5"/>
  <c r="M652" i="5"/>
  <c r="C653" i="5"/>
  <c r="D653" i="5"/>
  <c r="E653" i="5"/>
  <c r="F653" i="5"/>
  <c r="H653" i="5"/>
  <c r="M653" i="5"/>
  <c r="C654" i="5"/>
  <c r="D654" i="5"/>
  <c r="E654" i="5"/>
  <c r="F654" i="5"/>
  <c r="H654" i="5"/>
  <c r="M654" i="5"/>
  <c r="C655" i="5"/>
  <c r="D655" i="5"/>
  <c r="E655" i="5"/>
  <c r="F655" i="5"/>
  <c r="H655" i="5"/>
  <c r="M655" i="5"/>
  <c r="C656" i="5"/>
  <c r="D656" i="5"/>
  <c r="E656" i="5"/>
  <c r="F656" i="5"/>
  <c r="H656" i="5"/>
  <c r="M656" i="5"/>
  <c r="C657" i="5"/>
  <c r="D657" i="5"/>
  <c r="E657" i="5"/>
  <c r="F657" i="5"/>
  <c r="H657" i="5"/>
  <c r="M657" i="5"/>
  <c r="C658" i="5"/>
  <c r="D658" i="5"/>
  <c r="E658" i="5"/>
  <c r="F658" i="5"/>
  <c r="H658" i="5"/>
  <c r="M658" i="5"/>
  <c r="C659" i="5"/>
  <c r="D659" i="5"/>
  <c r="E659" i="5"/>
  <c r="F659" i="5"/>
  <c r="H659" i="5"/>
  <c r="M659" i="5"/>
  <c r="C660" i="5"/>
  <c r="D660" i="5"/>
  <c r="E660" i="5"/>
  <c r="F660" i="5"/>
  <c r="H660" i="5"/>
  <c r="M660" i="5"/>
  <c r="C661" i="5"/>
  <c r="D661" i="5"/>
  <c r="E661" i="5"/>
  <c r="F661" i="5"/>
  <c r="H661" i="5"/>
  <c r="M661" i="5"/>
  <c r="C662" i="5"/>
  <c r="D662" i="5"/>
  <c r="E662" i="5"/>
  <c r="F662" i="5"/>
  <c r="H662" i="5"/>
  <c r="M662" i="5"/>
  <c r="C663" i="5"/>
  <c r="D663" i="5"/>
  <c r="E663" i="5"/>
  <c r="F663" i="5"/>
  <c r="H663" i="5"/>
  <c r="M663" i="5"/>
  <c r="C664" i="5"/>
  <c r="D664" i="5"/>
  <c r="E664" i="5"/>
  <c r="F664" i="5"/>
  <c r="H664" i="5"/>
  <c r="M664" i="5"/>
  <c r="C665" i="5"/>
  <c r="D665" i="5"/>
  <c r="E665" i="5"/>
  <c r="F665" i="5"/>
  <c r="H665" i="5"/>
  <c r="M665" i="5"/>
  <c r="C666" i="5"/>
  <c r="D666" i="5"/>
  <c r="E666" i="5"/>
  <c r="F666" i="5"/>
  <c r="H666" i="5"/>
  <c r="M666" i="5"/>
  <c r="C667" i="5"/>
  <c r="D667" i="5"/>
  <c r="E667" i="5"/>
  <c r="F667" i="5"/>
  <c r="H667" i="5"/>
  <c r="M667" i="5"/>
  <c r="C668" i="5"/>
  <c r="D668" i="5"/>
  <c r="E668" i="5"/>
  <c r="F668" i="5"/>
  <c r="H668" i="5"/>
  <c r="M668" i="5"/>
  <c r="C669" i="5"/>
  <c r="D669" i="5"/>
  <c r="E669" i="5"/>
  <c r="F669" i="5"/>
  <c r="H669" i="5"/>
  <c r="M669" i="5"/>
  <c r="C670" i="5"/>
  <c r="D670" i="5"/>
  <c r="E670" i="5"/>
  <c r="F670" i="5"/>
  <c r="H670" i="5"/>
  <c r="M670" i="5"/>
  <c r="C671" i="5"/>
  <c r="D671" i="5"/>
  <c r="E671" i="5"/>
  <c r="F671" i="5"/>
  <c r="H671" i="5"/>
  <c r="M671" i="5"/>
  <c r="C672" i="5"/>
  <c r="D672" i="5"/>
  <c r="E672" i="5"/>
  <c r="F672" i="5"/>
  <c r="H672" i="5"/>
  <c r="M672" i="5"/>
  <c r="C673" i="5"/>
  <c r="D673" i="5"/>
  <c r="E673" i="5"/>
  <c r="F673" i="5"/>
  <c r="H673" i="5"/>
  <c r="M673" i="5"/>
  <c r="C674" i="5"/>
  <c r="D674" i="5"/>
  <c r="E674" i="5"/>
  <c r="F674" i="5"/>
  <c r="H674" i="5"/>
  <c r="M674" i="5"/>
  <c r="C675" i="5"/>
  <c r="D675" i="5"/>
  <c r="E675" i="5"/>
  <c r="F675" i="5"/>
  <c r="H675" i="5"/>
  <c r="M675" i="5"/>
  <c r="C676" i="5"/>
  <c r="D676" i="5"/>
  <c r="E676" i="5"/>
  <c r="F676" i="5"/>
  <c r="H676" i="5"/>
  <c r="M676" i="5"/>
  <c r="C677" i="5"/>
  <c r="D677" i="5"/>
  <c r="E677" i="5"/>
  <c r="F677" i="5"/>
  <c r="H677" i="5"/>
  <c r="M677" i="5"/>
  <c r="C678" i="5"/>
  <c r="D678" i="5"/>
  <c r="E678" i="5"/>
  <c r="F678" i="5"/>
  <c r="H678" i="5"/>
  <c r="M678" i="5"/>
  <c r="C679" i="5"/>
  <c r="D679" i="5"/>
  <c r="E679" i="5"/>
  <c r="F679" i="5"/>
  <c r="H679" i="5"/>
  <c r="M679" i="5"/>
  <c r="C680" i="5"/>
  <c r="D680" i="5"/>
  <c r="E680" i="5"/>
  <c r="F680" i="5"/>
  <c r="H680" i="5"/>
  <c r="M680" i="5"/>
  <c r="C681" i="5"/>
  <c r="D681" i="5"/>
  <c r="E681" i="5"/>
  <c r="F681" i="5"/>
  <c r="H681" i="5"/>
  <c r="M681" i="5"/>
  <c r="C682" i="5"/>
  <c r="D682" i="5"/>
  <c r="E682" i="5"/>
  <c r="F682" i="5"/>
  <c r="H682" i="5"/>
  <c r="M682" i="5"/>
  <c r="C683" i="5"/>
  <c r="D683" i="5"/>
  <c r="E683" i="5"/>
  <c r="F683" i="5"/>
  <c r="H683" i="5"/>
  <c r="M683" i="5"/>
  <c r="C684" i="5"/>
  <c r="D684" i="5"/>
  <c r="E684" i="5"/>
  <c r="F684" i="5"/>
  <c r="H684" i="5"/>
  <c r="M684" i="5"/>
  <c r="C685" i="5"/>
  <c r="D685" i="5"/>
  <c r="E685" i="5"/>
  <c r="F685" i="5"/>
  <c r="H685" i="5"/>
  <c r="M685" i="5"/>
  <c r="C686" i="5"/>
  <c r="D686" i="5"/>
  <c r="E686" i="5"/>
  <c r="F686" i="5"/>
  <c r="H686" i="5"/>
  <c r="M686" i="5"/>
  <c r="C687" i="5"/>
  <c r="D687" i="5"/>
  <c r="E687" i="5"/>
  <c r="F687" i="5"/>
  <c r="H687" i="5"/>
  <c r="M687" i="5"/>
  <c r="C688" i="5"/>
  <c r="D688" i="5"/>
  <c r="E688" i="5"/>
  <c r="F688" i="5"/>
  <c r="H688" i="5"/>
  <c r="M688" i="5"/>
  <c r="C689" i="5"/>
  <c r="D689" i="5"/>
  <c r="E689" i="5"/>
  <c r="F689" i="5"/>
  <c r="H689" i="5"/>
  <c r="M689" i="5"/>
  <c r="C690" i="5"/>
  <c r="D690" i="5"/>
  <c r="E690" i="5"/>
  <c r="F690" i="5"/>
  <c r="H690" i="5"/>
  <c r="M690" i="5"/>
  <c r="C691" i="5"/>
  <c r="D691" i="5"/>
  <c r="E691" i="5"/>
  <c r="F691" i="5"/>
  <c r="H691" i="5"/>
  <c r="M691" i="5"/>
  <c r="C692" i="5"/>
  <c r="D692" i="5"/>
  <c r="E692" i="5"/>
  <c r="F692" i="5"/>
  <c r="H692" i="5"/>
  <c r="M692" i="5"/>
  <c r="C693" i="5"/>
  <c r="D693" i="5"/>
  <c r="E693" i="5"/>
  <c r="F693" i="5"/>
  <c r="H693" i="5"/>
  <c r="M693" i="5"/>
  <c r="C694" i="5"/>
  <c r="D694" i="5"/>
  <c r="E694" i="5"/>
  <c r="F694" i="5"/>
  <c r="H694" i="5"/>
  <c r="M694" i="5"/>
  <c r="C695" i="5"/>
  <c r="D695" i="5"/>
  <c r="E695" i="5"/>
  <c r="F695" i="5"/>
  <c r="H695" i="5"/>
  <c r="M695" i="5"/>
  <c r="C696" i="5"/>
  <c r="D696" i="5"/>
  <c r="E696" i="5"/>
  <c r="F696" i="5"/>
  <c r="H696" i="5"/>
  <c r="M696" i="5"/>
  <c r="C697" i="5"/>
  <c r="D697" i="5"/>
  <c r="E697" i="5"/>
  <c r="F697" i="5"/>
  <c r="H697" i="5"/>
  <c r="M697" i="5"/>
  <c r="C698" i="5"/>
  <c r="D698" i="5"/>
  <c r="E698" i="5"/>
  <c r="F698" i="5"/>
  <c r="H698" i="5"/>
  <c r="M698" i="5"/>
  <c r="C699" i="5"/>
  <c r="D699" i="5"/>
  <c r="E699" i="5"/>
  <c r="F699" i="5"/>
  <c r="H699" i="5"/>
  <c r="M699" i="5"/>
  <c r="C700" i="5"/>
  <c r="D700" i="5"/>
  <c r="E700" i="5"/>
  <c r="F700" i="5"/>
  <c r="H700" i="5"/>
  <c r="M700" i="5"/>
  <c r="C701" i="5"/>
  <c r="D701" i="5"/>
  <c r="E701" i="5"/>
  <c r="F701" i="5"/>
  <c r="H701" i="5"/>
  <c r="M701" i="5"/>
  <c r="C702" i="5"/>
  <c r="D702" i="5"/>
  <c r="E702" i="5"/>
  <c r="F702" i="5"/>
  <c r="H702" i="5"/>
  <c r="M702" i="5"/>
  <c r="C703" i="5"/>
  <c r="D703" i="5"/>
  <c r="E703" i="5"/>
  <c r="F703" i="5"/>
  <c r="H703" i="5"/>
  <c r="M703" i="5"/>
  <c r="C704" i="5"/>
  <c r="D704" i="5"/>
  <c r="E704" i="5"/>
  <c r="F704" i="5"/>
  <c r="H704" i="5"/>
  <c r="M704" i="5"/>
  <c r="C705" i="5"/>
  <c r="D705" i="5"/>
  <c r="E705" i="5"/>
  <c r="F705" i="5"/>
  <c r="H705" i="5"/>
  <c r="M705" i="5"/>
  <c r="C706" i="5"/>
  <c r="D706" i="5"/>
  <c r="E706" i="5"/>
  <c r="F706" i="5"/>
  <c r="H706" i="5"/>
  <c r="M706" i="5"/>
  <c r="C707" i="5"/>
  <c r="D707" i="5"/>
  <c r="E707" i="5"/>
  <c r="F707" i="5"/>
  <c r="H707" i="5"/>
  <c r="M707" i="5"/>
  <c r="C708" i="5"/>
  <c r="D708" i="5"/>
  <c r="E708" i="5"/>
  <c r="F708" i="5"/>
  <c r="H708" i="5"/>
  <c r="M708" i="5"/>
  <c r="C709" i="5"/>
  <c r="D709" i="5"/>
  <c r="E709" i="5"/>
  <c r="F709" i="5"/>
  <c r="H709" i="5"/>
  <c r="M709" i="5"/>
  <c r="C710" i="5"/>
  <c r="D710" i="5"/>
  <c r="E710" i="5"/>
  <c r="F710" i="5"/>
  <c r="H710" i="5"/>
  <c r="M710" i="5"/>
  <c r="A1" i="6"/>
  <c r="E4" i="6"/>
  <c r="A15" i="6"/>
  <c r="H15" i="6" s="1"/>
  <c r="B15" i="6"/>
  <c r="C15" i="6"/>
  <c r="E15" i="6"/>
  <c r="F15" i="6"/>
  <c r="G15" i="6"/>
  <c r="K15" i="6"/>
  <c r="L15" i="6"/>
  <c r="C14" i="5"/>
  <c r="D14" i="5"/>
  <c r="E14" i="5"/>
  <c r="F14" i="5"/>
  <c r="H14" i="5"/>
  <c r="M14" i="5"/>
  <c r="C15" i="5"/>
  <c r="D15" i="5"/>
  <c r="E15" i="5"/>
  <c r="F15" i="5"/>
  <c r="H15" i="5"/>
  <c r="M15" i="5"/>
  <c r="C16" i="5"/>
  <c r="D16" i="5"/>
  <c r="E16" i="5"/>
  <c r="F16" i="5"/>
  <c r="H16" i="5"/>
  <c r="M16" i="5"/>
  <c r="C2" i="5"/>
  <c r="J2" i="5" s="1"/>
  <c r="D2" i="5"/>
  <c r="E2" i="5"/>
  <c r="F2" i="5"/>
  <c r="H2" i="5"/>
  <c r="M2" i="5"/>
  <c r="C3" i="5"/>
  <c r="D3" i="5"/>
  <c r="E3" i="5"/>
  <c r="F3" i="5"/>
  <c r="H3" i="5"/>
  <c r="M3" i="5"/>
  <c r="C4" i="5"/>
  <c r="D4" i="5"/>
  <c r="E4" i="5"/>
  <c r="F4" i="5"/>
  <c r="H4" i="5"/>
  <c r="M4" i="5"/>
  <c r="C5" i="5"/>
  <c r="D5" i="5"/>
  <c r="E5" i="5"/>
  <c r="F5" i="5"/>
  <c r="H5" i="5"/>
  <c r="M5" i="5"/>
  <c r="C6" i="5"/>
  <c r="D6" i="5"/>
  <c r="E6" i="5"/>
  <c r="F6" i="5"/>
  <c r="H6" i="5"/>
  <c r="M6" i="5"/>
  <c r="C7" i="5"/>
  <c r="D7" i="5"/>
  <c r="E7" i="5"/>
  <c r="F7" i="5"/>
  <c r="H7" i="5"/>
  <c r="M7" i="5"/>
  <c r="C8" i="5"/>
  <c r="D8" i="5"/>
  <c r="E8" i="5"/>
  <c r="F8" i="5"/>
  <c r="H8" i="5"/>
  <c r="M8" i="5"/>
  <c r="C9" i="5"/>
  <c r="D9" i="5"/>
  <c r="E9" i="5"/>
  <c r="F9" i="5"/>
  <c r="H9" i="5"/>
  <c r="M9" i="5"/>
  <c r="C10" i="5"/>
  <c r="D10" i="5"/>
  <c r="E10" i="5"/>
  <c r="F10" i="5"/>
  <c r="H10" i="5"/>
  <c r="M10" i="5"/>
  <c r="C11" i="5"/>
  <c r="D11" i="5"/>
  <c r="E11" i="5"/>
  <c r="F11" i="5"/>
  <c r="H11" i="5"/>
  <c r="M11" i="5"/>
  <c r="C12" i="5"/>
  <c r="D12" i="5"/>
  <c r="E12" i="5"/>
  <c r="F12" i="5"/>
  <c r="H12" i="5"/>
  <c r="M12" i="5"/>
  <c r="C13" i="5"/>
  <c r="D13" i="5"/>
  <c r="E13" i="5"/>
  <c r="F13" i="5"/>
  <c r="H13" i="5"/>
  <c r="M13" i="5"/>
  <c r="E96" i="4"/>
  <c r="F96" i="4"/>
  <c r="G96" i="4"/>
  <c r="H96" i="4"/>
  <c r="P96" i="4"/>
  <c r="E97" i="4"/>
  <c r="F97" i="4"/>
  <c r="G97" i="4"/>
  <c r="H97" i="4"/>
  <c r="P97" i="4"/>
  <c r="E98" i="4"/>
  <c r="F98" i="4"/>
  <c r="G98" i="4"/>
  <c r="H98" i="4"/>
  <c r="P98" i="4"/>
  <c r="E99" i="4"/>
  <c r="F99" i="4"/>
  <c r="G99" i="4"/>
  <c r="H99" i="4"/>
  <c r="P99" i="4"/>
  <c r="E2" i="4"/>
  <c r="F2" i="4"/>
  <c r="G2" i="4"/>
  <c r="L2" i="4" s="1"/>
  <c r="H2" i="4"/>
  <c r="P2" i="4"/>
  <c r="E3" i="4"/>
  <c r="F3" i="4"/>
  <c r="G3" i="4"/>
  <c r="H3" i="4"/>
  <c r="P3" i="4"/>
  <c r="E4" i="4"/>
  <c r="F4" i="4"/>
  <c r="G4" i="4"/>
  <c r="H4" i="4"/>
  <c r="P4" i="4"/>
  <c r="E5" i="4"/>
  <c r="F5" i="4"/>
  <c r="G5" i="4"/>
  <c r="H5" i="4"/>
  <c r="P5" i="4"/>
  <c r="E6" i="4"/>
  <c r="F6" i="4"/>
  <c r="G6" i="4"/>
  <c r="H6" i="4"/>
  <c r="P6" i="4"/>
  <c r="E7" i="4"/>
  <c r="F7" i="4"/>
  <c r="G7" i="4"/>
  <c r="H7" i="4"/>
  <c r="P7" i="4"/>
  <c r="E8" i="4"/>
  <c r="F8" i="4"/>
  <c r="G8" i="4"/>
  <c r="H8" i="4"/>
  <c r="P8" i="4"/>
  <c r="E9" i="4"/>
  <c r="F9" i="4"/>
  <c r="G9" i="4"/>
  <c r="H9" i="4"/>
  <c r="P9" i="4"/>
  <c r="E10" i="4"/>
  <c r="F10" i="4"/>
  <c r="G10" i="4"/>
  <c r="H10" i="4"/>
  <c r="P10" i="4"/>
  <c r="E11" i="4"/>
  <c r="F11" i="4"/>
  <c r="G11" i="4"/>
  <c r="H11" i="4"/>
  <c r="P11" i="4"/>
  <c r="E12" i="4"/>
  <c r="F12" i="4"/>
  <c r="G12" i="4"/>
  <c r="H12" i="4"/>
  <c r="P12" i="4"/>
  <c r="E13" i="4"/>
  <c r="F13" i="4"/>
  <c r="G13" i="4"/>
  <c r="H13" i="4"/>
  <c r="P13" i="4"/>
  <c r="E14" i="4"/>
  <c r="F14" i="4"/>
  <c r="G14" i="4"/>
  <c r="H14" i="4"/>
  <c r="P14" i="4"/>
  <c r="E15" i="4"/>
  <c r="F15" i="4"/>
  <c r="G15" i="4"/>
  <c r="H15" i="4"/>
  <c r="P15" i="4"/>
  <c r="E16" i="4"/>
  <c r="F16" i="4"/>
  <c r="G16" i="4"/>
  <c r="H16" i="4"/>
  <c r="P16" i="4"/>
  <c r="E17" i="4"/>
  <c r="F17" i="4"/>
  <c r="G17" i="4"/>
  <c r="H17" i="4"/>
  <c r="P17" i="4"/>
  <c r="E18" i="4"/>
  <c r="F18" i="4"/>
  <c r="G18" i="4"/>
  <c r="H18" i="4"/>
  <c r="P18" i="4"/>
  <c r="E19" i="4"/>
  <c r="F19" i="4"/>
  <c r="G19" i="4"/>
  <c r="H19" i="4"/>
  <c r="P19" i="4"/>
  <c r="E20" i="4"/>
  <c r="F20" i="4"/>
  <c r="G20" i="4"/>
  <c r="H20" i="4"/>
  <c r="P20" i="4"/>
  <c r="E21" i="4"/>
  <c r="F21" i="4"/>
  <c r="G21" i="4"/>
  <c r="H21" i="4"/>
  <c r="P21" i="4"/>
  <c r="E22" i="4"/>
  <c r="F22" i="4"/>
  <c r="G22" i="4"/>
  <c r="H22" i="4"/>
  <c r="P22" i="4"/>
  <c r="E23" i="4"/>
  <c r="F23" i="4"/>
  <c r="G23" i="4"/>
  <c r="H23" i="4"/>
  <c r="P23" i="4"/>
  <c r="E24" i="4"/>
  <c r="F24" i="4"/>
  <c r="G24" i="4"/>
  <c r="H24" i="4"/>
  <c r="P24" i="4"/>
  <c r="E25" i="4"/>
  <c r="F25" i="4"/>
  <c r="G25" i="4"/>
  <c r="H25" i="4"/>
  <c r="P25" i="4"/>
  <c r="E26" i="4"/>
  <c r="F26" i="4"/>
  <c r="G26" i="4"/>
  <c r="H26" i="4"/>
  <c r="P26" i="4"/>
  <c r="E27" i="4"/>
  <c r="F27" i="4"/>
  <c r="G27" i="4"/>
  <c r="H27" i="4"/>
  <c r="P27" i="4"/>
  <c r="E28" i="4"/>
  <c r="F28" i="4"/>
  <c r="G28" i="4"/>
  <c r="H28" i="4"/>
  <c r="P28" i="4"/>
  <c r="E29" i="4"/>
  <c r="F29" i="4"/>
  <c r="G29" i="4"/>
  <c r="H29" i="4"/>
  <c r="P29" i="4"/>
  <c r="E30" i="4"/>
  <c r="F30" i="4"/>
  <c r="G30" i="4"/>
  <c r="H30" i="4"/>
  <c r="P30" i="4"/>
  <c r="E31" i="4"/>
  <c r="F31" i="4"/>
  <c r="G31" i="4"/>
  <c r="H31" i="4"/>
  <c r="P31" i="4"/>
  <c r="E32" i="4"/>
  <c r="F32" i="4"/>
  <c r="G32" i="4"/>
  <c r="H32" i="4"/>
  <c r="P32" i="4"/>
  <c r="E33" i="4"/>
  <c r="F33" i="4"/>
  <c r="G33" i="4"/>
  <c r="H33" i="4"/>
  <c r="P33" i="4"/>
  <c r="E34" i="4"/>
  <c r="F34" i="4"/>
  <c r="G34" i="4"/>
  <c r="H34" i="4"/>
  <c r="P34" i="4"/>
  <c r="E35" i="4"/>
  <c r="F35" i="4"/>
  <c r="G35" i="4"/>
  <c r="H35" i="4"/>
  <c r="P35" i="4"/>
  <c r="E36" i="4"/>
  <c r="F36" i="4"/>
  <c r="G36" i="4"/>
  <c r="H36" i="4"/>
  <c r="P36" i="4"/>
  <c r="E37" i="4"/>
  <c r="F37" i="4"/>
  <c r="G37" i="4"/>
  <c r="H37" i="4"/>
  <c r="P37" i="4"/>
  <c r="E38" i="4"/>
  <c r="F38" i="4"/>
  <c r="G38" i="4"/>
  <c r="H38" i="4"/>
  <c r="P38" i="4"/>
  <c r="E39" i="4"/>
  <c r="F39" i="4"/>
  <c r="G39" i="4"/>
  <c r="H39" i="4"/>
  <c r="P39" i="4"/>
  <c r="E40" i="4"/>
  <c r="F40" i="4"/>
  <c r="G40" i="4"/>
  <c r="H40" i="4"/>
  <c r="P40" i="4"/>
  <c r="E41" i="4"/>
  <c r="F41" i="4"/>
  <c r="G41" i="4"/>
  <c r="H41" i="4"/>
  <c r="P41" i="4"/>
  <c r="E42" i="4"/>
  <c r="F42" i="4"/>
  <c r="G42" i="4"/>
  <c r="H42" i="4"/>
  <c r="P42" i="4"/>
  <c r="E43" i="4"/>
  <c r="F43" i="4"/>
  <c r="G43" i="4"/>
  <c r="H43" i="4"/>
  <c r="P43" i="4"/>
  <c r="E44" i="4"/>
  <c r="F44" i="4"/>
  <c r="G44" i="4"/>
  <c r="H44" i="4"/>
  <c r="P44" i="4"/>
  <c r="E45" i="4"/>
  <c r="F45" i="4"/>
  <c r="G45" i="4"/>
  <c r="H45" i="4"/>
  <c r="P45" i="4"/>
  <c r="E46" i="4"/>
  <c r="F46" i="4"/>
  <c r="G46" i="4"/>
  <c r="H46" i="4"/>
  <c r="P46" i="4"/>
  <c r="E47" i="4"/>
  <c r="F47" i="4"/>
  <c r="G47" i="4"/>
  <c r="H47" i="4"/>
  <c r="P47" i="4"/>
  <c r="E48" i="4"/>
  <c r="F48" i="4"/>
  <c r="G48" i="4"/>
  <c r="H48" i="4"/>
  <c r="P48" i="4"/>
  <c r="E49" i="4"/>
  <c r="F49" i="4"/>
  <c r="G49" i="4"/>
  <c r="H49" i="4"/>
  <c r="P49" i="4"/>
  <c r="E50" i="4"/>
  <c r="F50" i="4"/>
  <c r="G50" i="4"/>
  <c r="H50" i="4"/>
  <c r="P50" i="4"/>
  <c r="E51" i="4"/>
  <c r="F51" i="4"/>
  <c r="G51" i="4"/>
  <c r="H51" i="4"/>
  <c r="P51" i="4"/>
  <c r="E52" i="4"/>
  <c r="F52" i="4"/>
  <c r="G52" i="4"/>
  <c r="H52" i="4"/>
  <c r="P52" i="4"/>
  <c r="E53" i="4"/>
  <c r="F53" i="4"/>
  <c r="G53" i="4"/>
  <c r="H53" i="4"/>
  <c r="P53" i="4"/>
  <c r="E54" i="4"/>
  <c r="F54" i="4"/>
  <c r="G54" i="4"/>
  <c r="H54" i="4"/>
  <c r="P54" i="4"/>
  <c r="E55" i="4"/>
  <c r="F55" i="4"/>
  <c r="G55" i="4"/>
  <c r="H55" i="4"/>
  <c r="P55" i="4"/>
  <c r="E56" i="4"/>
  <c r="F56" i="4"/>
  <c r="G56" i="4"/>
  <c r="H56" i="4"/>
  <c r="P56" i="4"/>
  <c r="E57" i="4"/>
  <c r="F57" i="4"/>
  <c r="G57" i="4"/>
  <c r="H57" i="4"/>
  <c r="P57" i="4"/>
  <c r="E58" i="4"/>
  <c r="F58" i="4"/>
  <c r="G58" i="4"/>
  <c r="H58" i="4"/>
  <c r="P58" i="4"/>
  <c r="E59" i="4"/>
  <c r="F59" i="4"/>
  <c r="G59" i="4"/>
  <c r="H59" i="4"/>
  <c r="P59" i="4"/>
  <c r="E60" i="4"/>
  <c r="F60" i="4"/>
  <c r="G60" i="4"/>
  <c r="H60" i="4"/>
  <c r="P60" i="4"/>
  <c r="E61" i="4"/>
  <c r="F61" i="4"/>
  <c r="G61" i="4"/>
  <c r="H61" i="4"/>
  <c r="P61" i="4"/>
  <c r="E62" i="4"/>
  <c r="F62" i="4"/>
  <c r="G62" i="4"/>
  <c r="H62" i="4"/>
  <c r="P62" i="4"/>
  <c r="E63" i="4"/>
  <c r="F63" i="4"/>
  <c r="G63" i="4"/>
  <c r="H63" i="4"/>
  <c r="P63" i="4"/>
  <c r="E64" i="4"/>
  <c r="F64" i="4"/>
  <c r="G64" i="4"/>
  <c r="H64" i="4"/>
  <c r="P64" i="4"/>
  <c r="E65" i="4"/>
  <c r="F65" i="4"/>
  <c r="G65" i="4"/>
  <c r="H65" i="4"/>
  <c r="P65" i="4"/>
  <c r="E66" i="4"/>
  <c r="F66" i="4"/>
  <c r="G66" i="4"/>
  <c r="H66" i="4"/>
  <c r="P66" i="4"/>
  <c r="E67" i="4"/>
  <c r="F67" i="4"/>
  <c r="G67" i="4"/>
  <c r="H67" i="4"/>
  <c r="P67" i="4"/>
  <c r="E68" i="4"/>
  <c r="F68" i="4"/>
  <c r="G68" i="4"/>
  <c r="H68" i="4"/>
  <c r="P68" i="4"/>
  <c r="E69" i="4"/>
  <c r="F69" i="4"/>
  <c r="G69" i="4"/>
  <c r="H69" i="4"/>
  <c r="P69" i="4"/>
  <c r="E70" i="4"/>
  <c r="F70" i="4"/>
  <c r="G70" i="4"/>
  <c r="H70" i="4"/>
  <c r="P70" i="4"/>
  <c r="E71" i="4"/>
  <c r="F71" i="4"/>
  <c r="G71" i="4"/>
  <c r="H71" i="4"/>
  <c r="P71" i="4"/>
  <c r="E72" i="4"/>
  <c r="F72" i="4"/>
  <c r="G72" i="4"/>
  <c r="H72" i="4"/>
  <c r="P72" i="4"/>
  <c r="E73" i="4"/>
  <c r="F73" i="4"/>
  <c r="G73" i="4"/>
  <c r="H73" i="4"/>
  <c r="P73" i="4"/>
  <c r="E74" i="4"/>
  <c r="F74" i="4"/>
  <c r="G74" i="4"/>
  <c r="H74" i="4"/>
  <c r="P74" i="4"/>
  <c r="E75" i="4"/>
  <c r="F75" i="4"/>
  <c r="G75" i="4"/>
  <c r="H75" i="4"/>
  <c r="P75" i="4"/>
  <c r="E76" i="4"/>
  <c r="F76" i="4"/>
  <c r="G76" i="4"/>
  <c r="H76" i="4"/>
  <c r="P76" i="4"/>
  <c r="E77" i="4"/>
  <c r="F77" i="4"/>
  <c r="G77" i="4"/>
  <c r="H77" i="4"/>
  <c r="P77" i="4"/>
  <c r="E78" i="4"/>
  <c r="F78" i="4"/>
  <c r="G78" i="4"/>
  <c r="H78" i="4"/>
  <c r="P78" i="4"/>
  <c r="E79" i="4"/>
  <c r="F79" i="4"/>
  <c r="G79" i="4"/>
  <c r="H79" i="4"/>
  <c r="P79" i="4"/>
  <c r="E80" i="4"/>
  <c r="F80" i="4"/>
  <c r="G80" i="4"/>
  <c r="H80" i="4"/>
  <c r="P80" i="4"/>
  <c r="E81" i="4"/>
  <c r="F81" i="4"/>
  <c r="G81" i="4"/>
  <c r="H81" i="4"/>
  <c r="P81" i="4"/>
  <c r="E82" i="4"/>
  <c r="F82" i="4"/>
  <c r="G82" i="4"/>
  <c r="H82" i="4"/>
  <c r="P82" i="4"/>
  <c r="E83" i="4"/>
  <c r="F83" i="4"/>
  <c r="G83" i="4"/>
  <c r="H83" i="4"/>
  <c r="P83" i="4"/>
  <c r="E84" i="4"/>
  <c r="F84" i="4"/>
  <c r="G84" i="4"/>
  <c r="H84" i="4"/>
  <c r="P84" i="4"/>
  <c r="E85" i="4"/>
  <c r="F85" i="4"/>
  <c r="G85" i="4"/>
  <c r="H85" i="4"/>
  <c r="P85" i="4"/>
  <c r="E86" i="4"/>
  <c r="F86" i="4"/>
  <c r="G86" i="4"/>
  <c r="H86" i="4"/>
  <c r="P86" i="4"/>
  <c r="E87" i="4"/>
  <c r="F87" i="4"/>
  <c r="G87" i="4"/>
  <c r="H87" i="4"/>
  <c r="P87" i="4"/>
  <c r="E88" i="4"/>
  <c r="F88" i="4"/>
  <c r="G88" i="4"/>
  <c r="H88" i="4"/>
  <c r="P88" i="4"/>
  <c r="E89" i="4"/>
  <c r="F89" i="4"/>
  <c r="G89" i="4"/>
  <c r="H89" i="4"/>
  <c r="P89" i="4"/>
  <c r="E90" i="4"/>
  <c r="F90" i="4"/>
  <c r="G90" i="4"/>
  <c r="H90" i="4"/>
  <c r="P90" i="4"/>
  <c r="E91" i="4"/>
  <c r="F91" i="4"/>
  <c r="G91" i="4"/>
  <c r="H91" i="4"/>
  <c r="P91" i="4"/>
  <c r="E92" i="4"/>
  <c r="F92" i="4"/>
  <c r="G92" i="4"/>
  <c r="H92" i="4"/>
  <c r="P92" i="4"/>
  <c r="E93" i="4"/>
  <c r="F93" i="4"/>
  <c r="G93" i="4"/>
  <c r="H93" i="4"/>
  <c r="P93" i="4"/>
  <c r="E94" i="4"/>
  <c r="F94" i="4"/>
  <c r="G94" i="4"/>
  <c r="H94" i="4"/>
  <c r="P94" i="4"/>
  <c r="E95" i="4"/>
  <c r="F95" i="4"/>
  <c r="G95" i="4"/>
  <c r="H95" i="4"/>
  <c r="P95" i="4"/>
  <c r="D1357" i="3"/>
  <c r="F1357" i="3" s="1"/>
  <c r="E1357" i="3"/>
  <c r="G1357" i="3" s="1"/>
  <c r="H1357" i="3"/>
  <c r="I1357" i="3"/>
  <c r="J1357" i="3"/>
  <c r="L1357" i="3"/>
  <c r="M1357" i="3"/>
  <c r="S1357" i="3"/>
  <c r="D1358" i="3"/>
  <c r="F1358" i="3" s="1"/>
  <c r="E1358" i="3"/>
  <c r="G1358" i="3" s="1"/>
  <c r="H1358" i="3"/>
  <c r="I1358" i="3"/>
  <c r="J1358" i="3"/>
  <c r="L1358" i="3"/>
  <c r="M1358" i="3"/>
  <c r="S1358" i="3"/>
  <c r="D1359" i="3"/>
  <c r="F1359" i="3" s="1"/>
  <c r="E1359" i="3"/>
  <c r="G1359" i="3" s="1"/>
  <c r="H1359" i="3"/>
  <c r="I1359" i="3"/>
  <c r="J1359" i="3"/>
  <c r="L1359" i="3"/>
  <c r="M1359" i="3"/>
  <c r="S1359" i="3"/>
  <c r="D1360" i="3"/>
  <c r="F1360" i="3" s="1"/>
  <c r="E1360" i="3"/>
  <c r="G1360" i="3" s="1"/>
  <c r="H1360" i="3"/>
  <c r="I1360" i="3"/>
  <c r="J1360" i="3"/>
  <c r="L1360" i="3"/>
  <c r="M1360" i="3"/>
  <c r="S1360" i="3"/>
  <c r="D1361" i="3"/>
  <c r="F1361" i="3" s="1"/>
  <c r="E1361" i="3"/>
  <c r="G1361" i="3" s="1"/>
  <c r="H1361" i="3"/>
  <c r="I1361" i="3"/>
  <c r="J1361" i="3"/>
  <c r="L1361" i="3"/>
  <c r="M1361" i="3"/>
  <c r="S1361" i="3"/>
  <c r="D1362" i="3"/>
  <c r="F1362" i="3" s="1"/>
  <c r="E1362" i="3"/>
  <c r="G1362" i="3" s="1"/>
  <c r="H1362" i="3"/>
  <c r="I1362" i="3"/>
  <c r="J1362" i="3"/>
  <c r="L1362" i="3"/>
  <c r="M1362" i="3"/>
  <c r="S1362" i="3"/>
  <c r="D1363" i="3"/>
  <c r="F1363" i="3" s="1"/>
  <c r="E1363" i="3"/>
  <c r="G1363" i="3" s="1"/>
  <c r="H1363" i="3"/>
  <c r="I1363" i="3"/>
  <c r="J1363" i="3"/>
  <c r="L1363" i="3"/>
  <c r="M1363" i="3"/>
  <c r="S1363" i="3"/>
  <c r="D1364" i="3"/>
  <c r="F1364" i="3" s="1"/>
  <c r="E1364" i="3"/>
  <c r="G1364" i="3" s="1"/>
  <c r="H1364" i="3"/>
  <c r="I1364" i="3"/>
  <c r="J1364" i="3"/>
  <c r="L1364" i="3"/>
  <c r="M1364" i="3"/>
  <c r="S1364" i="3"/>
  <c r="D1365" i="3"/>
  <c r="F1365" i="3" s="1"/>
  <c r="E1365" i="3"/>
  <c r="G1365" i="3" s="1"/>
  <c r="H1365" i="3"/>
  <c r="I1365" i="3"/>
  <c r="J1365" i="3"/>
  <c r="L1365" i="3"/>
  <c r="M1365" i="3"/>
  <c r="S1365" i="3"/>
  <c r="D1366" i="3"/>
  <c r="F1366" i="3" s="1"/>
  <c r="E1366" i="3"/>
  <c r="G1366" i="3" s="1"/>
  <c r="H1366" i="3"/>
  <c r="I1366" i="3"/>
  <c r="J1366" i="3"/>
  <c r="L1366" i="3"/>
  <c r="M1366" i="3"/>
  <c r="S1366" i="3"/>
  <c r="D1367" i="3"/>
  <c r="F1367" i="3" s="1"/>
  <c r="E1367" i="3"/>
  <c r="G1367" i="3" s="1"/>
  <c r="H1367" i="3"/>
  <c r="I1367" i="3"/>
  <c r="J1367" i="3"/>
  <c r="L1367" i="3"/>
  <c r="M1367" i="3"/>
  <c r="S1367" i="3"/>
  <c r="D1368" i="3"/>
  <c r="F1368" i="3" s="1"/>
  <c r="E1368" i="3"/>
  <c r="G1368" i="3" s="1"/>
  <c r="H1368" i="3"/>
  <c r="I1368" i="3"/>
  <c r="J1368" i="3"/>
  <c r="L1368" i="3"/>
  <c r="M1368" i="3"/>
  <c r="S1368" i="3"/>
  <c r="D1369" i="3"/>
  <c r="F1369" i="3" s="1"/>
  <c r="E1369" i="3"/>
  <c r="G1369" i="3" s="1"/>
  <c r="H1369" i="3"/>
  <c r="I1369" i="3"/>
  <c r="J1369" i="3"/>
  <c r="L1369" i="3"/>
  <c r="M1369" i="3"/>
  <c r="S1369" i="3"/>
  <c r="D1370" i="3"/>
  <c r="F1370" i="3" s="1"/>
  <c r="E1370" i="3"/>
  <c r="G1370" i="3" s="1"/>
  <c r="H1370" i="3"/>
  <c r="I1370" i="3"/>
  <c r="J1370" i="3"/>
  <c r="L1370" i="3"/>
  <c r="M1370" i="3"/>
  <c r="S1370" i="3"/>
  <c r="D1371" i="3"/>
  <c r="F1371" i="3" s="1"/>
  <c r="E1371" i="3"/>
  <c r="G1371" i="3" s="1"/>
  <c r="H1371" i="3"/>
  <c r="I1371" i="3"/>
  <c r="J1371" i="3"/>
  <c r="L1371" i="3"/>
  <c r="M1371" i="3"/>
  <c r="S1371" i="3"/>
  <c r="D1372" i="3"/>
  <c r="F1372" i="3" s="1"/>
  <c r="E1372" i="3"/>
  <c r="G1372" i="3" s="1"/>
  <c r="H1372" i="3"/>
  <c r="I1372" i="3"/>
  <c r="J1372" i="3"/>
  <c r="L1372" i="3"/>
  <c r="M1372" i="3"/>
  <c r="S1372" i="3"/>
  <c r="D1373" i="3"/>
  <c r="F1373" i="3" s="1"/>
  <c r="E1373" i="3"/>
  <c r="G1373" i="3" s="1"/>
  <c r="H1373" i="3"/>
  <c r="I1373" i="3"/>
  <c r="J1373" i="3"/>
  <c r="L1373" i="3"/>
  <c r="M1373" i="3"/>
  <c r="S1373" i="3"/>
  <c r="D1374" i="3"/>
  <c r="F1374" i="3" s="1"/>
  <c r="E1374" i="3"/>
  <c r="G1374" i="3"/>
  <c r="H1374" i="3"/>
  <c r="I1374" i="3"/>
  <c r="J1374" i="3"/>
  <c r="L1374" i="3"/>
  <c r="M1374" i="3"/>
  <c r="S1374" i="3"/>
  <c r="D1289" i="3"/>
  <c r="F1289" i="3" s="1"/>
  <c r="E1289" i="3"/>
  <c r="G1289" i="3" s="1"/>
  <c r="H1289" i="3"/>
  <c r="I1289" i="3"/>
  <c r="J1289" i="3"/>
  <c r="L1289" i="3"/>
  <c r="M1289" i="3"/>
  <c r="S1289" i="3"/>
  <c r="D1290" i="3"/>
  <c r="F1290" i="3" s="1"/>
  <c r="E1290" i="3"/>
  <c r="G1290" i="3" s="1"/>
  <c r="H1290" i="3"/>
  <c r="I1290" i="3"/>
  <c r="J1290" i="3"/>
  <c r="L1290" i="3"/>
  <c r="M1290" i="3"/>
  <c r="S1290" i="3"/>
  <c r="D1291" i="3"/>
  <c r="F1291" i="3" s="1"/>
  <c r="E1291" i="3"/>
  <c r="G1291" i="3" s="1"/>
  <c r="H1291" i="3"/>
  <c r="I1291" i="3"/>
  <c r="J1291" i="3"/>
  <c r="L1291" i="3"/>
  <c r="M1291" i="3"/>
  <c r="S1291" i="3"/>
  <c r="D1292" i="3"/>
  <c r="F1292" i="3" s="1"/>
  <c r="E1292" i="3"/>
  <c r="G1292" i="3" s="1"/>
  <c r="H1292" i="3"/>
  <c r="I1292" i="3"/>
  <c r="J1292" i="3"/>
  <c r="L1292" i="3"/>
  <c r="M1292" i="3"/>
  <c r="S1292" i="3"/>
  <c r="D1293" i="3"/>
  <c r="F1293" i="3" s="1"/>
  <c r="E1293" i="3"/>
  <c r="G1293" i="3" s="1"/>
  <c r="H1293" i="3"/>
  <c r="I1293" i="3"/>
  <c r="J1293" i="3"/>
  <c r="L1293" i="3"/>
  <c r="M1293" i="3"/>
  <c r="S1293" i="3"/>
  <c r="D1294" i="3"/>
  <c r="F1294" i="3" s="1"/>
  <c r="E1294" i="3"/>
  <c r="G1294" i="3" s="1"/>
  <c r="H1294" i="3"/>
  <c r="I1294" i="3"/>
  <c r="J1294" i="3"/>
  <c r="L1294" i="3"/>
  <c r="M1294" i="3"/>
  <c r="S1294" i="3"/>
  <c r="D1295" i="3"/>
  <c r="F1295" i="3" s="1"/>
  <c r="E1295" i="3"/>
  <c r="G1295" i="3" s="1"/>
  <c r="H1295" i="3"/>
  <c r="I1295" i="3"/>
  <c r="J1295" i="3"/>
  <c r="L1295" i="3"/>
  <c r="M1295" i="3"/>
  <c r="S1295" i="3"/>
  <c r="D1296" i="3"/>
  <c r="F1296" i="3" s="1"/>
  <c r="E1296" i="3"/>
  <c r="G1296" i="3" s="1"/>
  <c r="H1296" i="3"/>
  <c r="I1296" i="3"/>
  <c r="J1296" i="3"/>
  <c r="L1296" i="3"/>
  <c r="M1296" i="3"/>
  <c r="S1296" i="3"/>
  <c r="D1297" i="3"/>
  <c r="F1297" i="3" s="1"/>
  <c r="E1297" i="3"/>
  <c r="G1297" i="3" s="1"/>
  <c r="H1297" i="3"/>
  <c r="I1297" i="3"/>
  <c r="J1297" i="3"/>
  <c r="L1297" i="3"/>
  <c r="M1297" i="3"/>
  <c r="S1297" i="3"/>
  <c r="D1298" i="3"/>
  <c r="F1298" i="3" s="1"/>
  <c r="E1298" i="3"/>
  <c r="G1298" i="3" s="1"/>
  <c r="H1298" i="3"/>
  <c r="I1298" i="3"/>
  <c r="J1298" i="3"/>
  <c r="L1298" i="3"/>
  <c r="M1298" i="3"/>
  <c r="S1298" i="3"/>
  <c r="D1299" i="3"/>
  <c r="F1299" i="3" s="1"/>
  <c r="E1299" i="3"/>
  <c r="G1299" i="3" s="1"/>
  <c r="H1299" i="3"/>
  <c r="I1299" i="3"/>
  <c r="J1299" i="3"/>
  <c r="L1299" i="3"/>
  <c r="M1299" i="3"/>
  <c r="S1299" i="3"/>
  <c r="D1300" i="3"/>
  <c r="F1300" i="3" s="1"/>
  <c r="E1300" i="3"/>
  <c r="G1300" i="3" s="1"/>
  <c r="H1300" i="3"/>
  <c r="I1300" i="3"/>
  <c r="J1300" i="3"/>
  <c r="L1300" i="3"/>
  <c r="M1300" i="3"/>
  <c r="S1300" i="3"/>
  <c r="D1301" i="3"/>
  <c r="F1301" i="3" s="1"/>
  <c r="E1301" i="3"/>
  <c r="G1301" i="3" s="1"/>
  <c r="H1301" i="3"/>
  <c r="I1301" i="3"/>
  <c r="J1301" i="3"/>
  <c r="L1301" i="3"/>
  <c r="M1301" i="3"/>
  <c r="S1301" i="3"/>
  <c r="D1302" i="3"/>
  <c r="F1302" i="3" s="1"/>
  <c r="E1302" i="3"/>
  <c r="G1302" i="3" s="1"/>
  <c r="H1302" i="3"/>
  <c r="I1302" i="3"/>
  <c r="J1302" i="3"/>
  <c r="L1302" i="3"/>
  <c r="M1302" i="3"/>
  <c r="S1302" i="3"/>
  <c r="D1303" i="3"/>
  <c r="F1303" i="3" s="1"/>
  <c r="E1303" i="3"/>
  <c r="G1303" i="3" s="1"/>
  <c r="H1303" i="3"/>
  <c r="I1303" i="3"/>
  <c r="J1303" i="3"/>
  <c r="L1303" i="3"/>
  <c r="M1303" i="3"/>
  <c r="S1303" i="3"/>
  <c r="D1304" i="3"/>
  <c r="F1304" i="3" s="1"/>
  <c r="E1304" i="3"/>
  <c r="G1304" i="3" s="1"/>
  <c r="H1304" i="3"/>
  <c r="I1304" i="3"/>
  <c r="J1304" i="3"/>
  <c r="L1304" i="3"/>
  <c r="M1304" i="3"/>
  <c r="S1304" i="3"/>
  <c r="D1305" i="3"/>
  <c r="F1305" i="3" s="1"/>
  <c r="E1305" i="3"/>
  <c r="G1305" i="3" s="1"/>
  <c r="H1305" i="3"/>
  <c r="I1305" i="3"/>
  <c r="J1305" i="3"/>
  <c r="L1305" i="3"/>
  <c r="M1305" i="3"/>
  <c r="S1305" i="3"/>
  <c r="D1306" i="3"/>
  <c r="E1306" i="3"/>
  <c r="G1306" i="3" s="1"/>
  <c r="F1306" i="3"/>
  <c r="H1306" i="3"/>
  <c r="I1306" i="3"/>
  <c r="J1306" i="3"/>
  <c r="L1306" i="3"/>
  <c r="M1306" i="3"/>
  <c r="S1306" i="3"/>
  <c r="D1307" i="3"/>
  <c r="F1307" i="3" s="1"/>
  <c r="E1307" i="3"/>
  <c r="G1307" i="3" s="1"/>
  <c r="H1307" i="3"/>
  <c r="I1307" i="3"/>
  <c r="J1307" i="3"/>
  <c r="K1307" i="3"/>
  <c r="L1307" i="3"/>
  <c r="M1307" i="3"/>
  <c r="S1307" i="3"/>
  <c r="D1308" i="3"/>
  <c r="F1308" i="3" s="1"/>
  <c r="E1308" i="3"/>
  <c r="G1308" i="3" s="1"/>
  <c r="H1308" i="3"/>
  <c r="I1308" i="3"/>
  <c r="J1308" i="3"/>
  <c r="L1308" i="3"/>
  <c r="M1308" i="3"/>
  <c r="S1308" i="3"/>
  <c r="D1309" i="3"/>
  <c r="F1309" i="3" s="1"/>
  <c r="E1309" i="3"/>
  <c r="G1309" i="3" s="1"/>
  <c r="H1309" i="3"/>
  <c r="I1309" i="3"/>
  <c r="J1309" i="3"/>
  <c r="L1309" i="3"/>
  <c r="M1309" i="3"/>
  <c r="S1309" i="3"/>
  <c r="D1310" i="3"/>
  <c r="F1310" i="3" s="1"/>
  <c r="E1310" i="3"/>
  <c r="G1310" i="3" s="1"/>
  <c r="H1310" i="3"/>
  <c r="I1310" i="3"/>
  <c r="J1310" i="3"/>
  <c r="L1310" i="3"/>
  <c r="M1310" i="3"/>
  <c r="S1310" i="3"/>
  <c r="D1311" i="3"/>
  <c r="F1311" i="3" s="1"/>
  <c r="E1311" i="3"/>
  <c r="G1311" i="3" s="1"/>
  <c r="H1311" i="3"/>
  <c r="I1311" i="3"/>
  <c r="J1311" i="3"/>
  <c r="L1311" i="3"/>
  <c r="M1311" i="3"/>
  <c r="S1311" i="3"/>
  <c r="D1312" i="3"/>
  <c r="F1312" i="3" s="1"/>
  <c r="E1312" i="3"/>
  <c r="G1312" i="3" s="1"/>
  <c r="H1312" i="3"/>
  <c r="I1312" i="3"/>
  <c r="J1312" i="3"/>
  <c r="L1312" i="3"/>
  <c r="M1312" i="3"/>
  <c r="S1312" i="3"/>
  <c r="D1313" i="3"/>
  <c r="F1313" i="3" s="1"/>
  <c r="E1313" i="3"/>
  <c r="G1313" i="3" s="1"/>
  <c r="H1313" i="3"/>
  <c r="I1313" i="3"/>
  <c r="J1313" i="3"/>
  <c r="L1313" i="3"/>
  <c r="M1313" i="3"/>
  <c r="S1313" i="3"/>
  <c r="D1314" i="3"/>
  <c r="F1314" i="3" s="1"/>
  <c r="E1314" i="3"/>
  <c r="G1314" i="3" s="1"/>
  <c r="H1314" i="3"/>
  <c r="I1314" i="3"/>
  <c r="J1314" i="3"/>
  <c r="L1314" i="3"/>
  <c r="M1314" i="3"/>
  <c r="S1314" i="3"/>
  <c r="D1315" i="3"/>
  <c r="F1315" i="3" s="1"/>
  <c r="E1315" i="3"/>
  <c r="G1315" i="3" s="1"/>
  <c r="H1315" i="3"/>
  <c r="I1315" i="3"/>
  <c r="J1315" i="3"/>
  <c r="L1315" i="3"/>
  <c r="M1315" i="3"/>
  <c r="S1315" i="3"/>
  <c r="D1316" i="3"/>
  <c r="F1316" i="3" s="1"/>
  <c r="E1316" i="3"/>
  <c r="G1316" i="3" s="1"/>
  <c r="H1316" i="3"/>
  <c r="I1316" i="3"/>
  <c r="J1316" i="3"/>
  <c r="L1316" i="3"/>
  <c r="M1316" i="3"/>
  <c r="S1316" i="3"/>
  <c r="D1317" i="3"/>
  <c r="F1317" i="3" s="1"/>
  <c r="E1317" i="3"/>
  <c r="G1317" i="3" s="1"/>
  <c r="H1317" i="3"/>
  <c r="I1317" i="3"/>
  <c r="J1317" i="3"/>
  <c r="L1317" i="3"/>
  <c r="M1317" i="3"/>
  <c r="S1317" i="3"/>
  <c r="D1318" i="3"/>
  <c r="F1318" i="3" s="1"/>
  <c r="E1318" i="3"/>
  <c r="G1318" i="3" s="1"/>
  <c r="H1318" i="3"/>
  <c r="I1318" i="3"/>
  <c r="J1318" i="3"/>
  <c r="L1318" i="3"/>
  <c r="M1318" i="3"/>
  <c r="S1318" i="3"/>
  <c r="D1319" i="3"/>
  <c r="F1319" i="3" s="1"/>
  <c r="E1319" i="3"/>
  <c r="G1319" i="3" s="1"/>
  <c r="H1319" i="3"/>
  <c r="I1319" i="3"/>
  <c r="J1319" i="3"/>
  <c r="L1319" i="3"/>
  <c r="M1319" i="3"/>
  <c r="S1319" i="3"/>
  <c r="D1320" i="3"/>
  <c r="F1320" i="3" s="1"/>
  <c r="E1320" i="3"/>
  <c r="G1320" i="3" s="1"/>
  <c r="H1320" i="3"/>
  <c r="I1320" i="3"/>
  <c r="J1320" i="3"/>
  <c r="L1320" i="3"/>
  <c r="M1320" i="3"/>
  <c r="S1320" i="3"/>
  <c r="D1321" i="3"/>
  <c r="F1321" i="3" s="1"/>
  <c r="E1321" i="3"/>
  <c r="G1321" i="3" s="1"/>
  <c r="H1321" i="3"/>
  <c r="I1321" i="3"/>
  <c r="J1321" i="3"/>
  <c r="L1321" i="3"/>
  <c r="M1321" i="3"/>
  <c r="S1321" i="3"/>
  <c r="D1322" i="3"/>
  <c r="F1322" i="3" s="1"/>
  <c r="E1322" i="3"/>
  <c r="G1322" i="3" s="1"/>
  <c r="H1322" i="3"/>
  <c r="I1322" i="3"/>
  <c r="J1322" i="3"/>
  <c r="L1322" i="3"/>
  <c r="M1322" i="3"/>
  <c r="S1322" i="3"/>
  <c r="D1323" i="3"/>
  <c r="F1323" i="3" s="1"/>
  <c r="E1323" i="3"/>
  <c r="G1323" i="3" s="1"/>
  <c r="H1323" i="3"/>
  <c r="I1323" i="3"/>
  <c r="J1323" i="3"/>
  <c r="L1323" i="3"/>
  <c r="M1323" i="3"/>
  <c r="S1323" i="3"/>
  <c r="D1324" i="3"/>
  <c r="F1324" i="3" s="1"/>
  <c r="E1324" i="3"/>
  <c r="G1324" i="3" s="1"/>
  <c r="H1324" i="3"/>
  <c r="I1324" i="3"/>
  <c r="J1324" i="3"/>
  <c r="L1324" i="3"/>
  <c r="M1324" i="3"/>
  <c r="S1324" i="3"/>
  <c r="D1325" i="3"/>
  <c r="F1325" i="3" s="1"/>
  <c r="E1325" i="3"/>
  <c r="G1325" i="3" s="1"/>
  <c r="H1325" i="3"/>
  <c r="I1325" i="3"/>
  <c r="J1325" i="3"/>
  <c r="L1325" i="3"/>
  <c r="M1325" i="3"/>
  <c r="S1325" i="3"/>
  <c r="D1326" i="3"/>
  <c r="F1326" i="3" s="1"/>
  <c r="E1326" i="3"/>
  <c r="G1326" i="3" s="1"/>
  <c r="H1326" i="3"/>
  <c r="I1326" i="3"/>
  <c r="J1326" i="3"/>
  <c r="L1326" i="3"/>
  <c r="M1326" i="3"/>
  <c r="S1326" i="3"/>
  <c r="D1327" i="3"/>
  <c r="F1327" i="3" s="1"/>
  <c r="E1327" i="3"/>
  <c r="G1327" i="3" s="1"/>
  <c r="H1327" i="3"/>
  <c r="I1327" i="3"/>
  <c r="J1327" i="3"/>
  <c r="L1327" i="3"/>
  <c r="M1327" i="3"/>
  <c r="S1327" i="3"/>
  <c r="D1328" i="3"/>
  <c r="F1328" i="3" s="1"/>
  <c r="E1328" i="3"/>
  <c r="G1328" i="3" s="1"/>
  <c r="H1328" i="3"/>
  <c r="I1328" i="3"/>
  <c r="J1328" i="3"/>
  <c r="L1328" i="3"/>
  <c r="M1328" i="3"/>
  <c r="S1328" i="3"/>
  <c r="D1329" i="3"/>
  <c r="F1329" i="3" s="1"/>
  <c r="E1329" i="3"/>
  <c r="G1329" i="3" s="1"/>
  <c r="H1329" i="3"/>
  <c r="I1329" i="3"/>
  <c r="J1329" i="3"/>
  <c r="L1329" i="3"/>
  <c r="M1329" i="3"/>
  <c r="S1329" i="3"/>
  <c r="D1330" i="3"/>
  <c r="F1330" i="3" s="1"/>
  <c r="E1330" i="3"/>
  <c r="G1330" i="3" s="1"/>
  <c r="H1330" i="3"/>
  <c r="I1330" i="3"/>
  <c r="J1330" i="3"/>
  <c r="L1330" i="3"/>
  <c r="M1330" i="3"/>
  <c r="S1330" i="3"/>
  <c r="D1331" i="3"/>
  <c r="F1331" i="3" s="1"/>
  <c r="E1331" i="3"/>
  <c r="G1331" i="3" s="1"/>
  <c r="H1331" i="3"/>
  <c r="I1331" i="3"/>
  <c r="J1331" i="3"/>
  <c r="L1331" i="3"/>
  <c r="M1331" i="3"/>
  <c r="S1331" i="3"/>
  <c r="D1332" i="3"/>
  <c r="F1332" i="3" s="1"/>
  <c r="E1332" i="3"/>
  <c r="G1332" i="3" s="1"/>
  <c r="H1332" i="3"/>
  <c r="I1332" i="3"/>
  <c r="J1332" i="3"/>
  <c r="L1332" i="3"/>
  <c r="M1332" i="3"/>
  <c r="S1332" i="3"/>
  <c r="D1333" i="3"/>
  <c r="F1333" i="3" s="1"/>
  <c r="E1333" i="3"/>
  <c r="G1333" i="3" s="1"/>
  <c r="H1333" i="3"/>
  <c r="I1333" i="3"/>
  <c r="J1333" i="3"/>
  <c r="L1333" i="3"/>
  <c r="M1333" i="3"/>
  <c r="S1333" i="3"/>
  <c r="D1334" i="3"/>
  <c r="F1334" i="3" s="1"/>
  <c r="E1334" i="3"/>
  <c r="G1334" i="3"/>
  <c r="H1334" i="3"/>
  <c r="I1334" i="3"/>
  <c r="J1334" i="3"/>
  <c r="L1334" i="3"/>
  <c r="M1334" i="3"/>
  <c r="S1334" i="3"/>
  <c r="D1335" i="3"/>
  <c r="F1335" i="3" s="1"/>
  <c r="E1335" i="3"/>
  <c r="G1335" i="3" s="1"/>
  <c r="H1335" i="3"/>
  <c r="I1335" i="3"/>
  <c r="J1335" i="3"/>
  <c r="L1335" i="3"/>
  <c r="M1335" i="3"/>
  <c r="S1335" i="3"/>
  <c r="D1336" i="3"/>
  <c r="F1336" i="3" s="1"/>
  <c r="E1336" i="3"/>
  <c r="G1336" i="3" s="1"/>
  <c r="H1336" i="3"/>
  <c r="I1336" i="3"/>
  <c r="J1336" i="3"/>
  <c r="L1336" i="3"/>
  <c r="M1336" i="3"/>
  <c r="S1336" i="3"/>
  <c r="D1337" i="3"/>
  <c r="F1337" i="3" s="1"/>
  <c r="E1337" i="3"/>
  <c r="G1337" i="3" s="1"/>
  <c r="H1337" i="3"/>
  <c r="I1337" i="3"/>
  <c r="J1337" i="3"/>
  <c r="L1337" i="3"/>
  <c r="M1337" i="3"/>
  <c r="S1337" i="3"/>
  <c r="D1338" i="3"/>
  <c r="F1338" i="3" s="1"/>
  <c r="E1338" i="3"/>
  <c r="G1338" i="3" s="1"/>
  <c r="H1338" i="3"/>
  <c r="I1338" i="3"/>
  <c r="J1338" i="3"/>
  <c r="L1338" i="3"/>
  <c r="M1338" i="3"/>
  <c r="S1338" i="3"/>
  <c r="D1339" i="3"/>
  <c r="F1339" i="3" s="1"/>
  <c r="E1339" i="3"/>
  <c r="G1339" i="3" s="1"/>
  <c r="H1339" i="3"/>
  <c r="I1339" i="3"/>
  <c r="J1339" i="3"/>
  <c r="L1339" i="3"/>
  <c r="M1339" i="3"/>
  <c r="S1339" i="3"/>
  <c r="D1340" i="3"/>
  <c r="F1340" i="3" s="1"/>
  <c r="E1340" i="3"/>
  <c r="G1340" i="3" s="1"/>
  <c r="H1340" i="3"/>
  <c r="I1340" i="3"/>
  <c r="J1340" i="3"/>
  <c r="L1340" i="3"/>
  <c r="M1340" i="3"/>
  <c r="S1340" i="3"/>
  <c r="D1341" i="3"/>
  <c r="F1341" i="3" s="1"/>
  <c r="E1341" i="3"/>
  <c r="G1341" i="3" s="1"/>
  <c r="H1341" i="3"/>
  <c r="I1341" i="3"/>
  <c r="J1341" i="3"/>
  <c r="L1341" i="3"/>
  <c r="M1341" i="3"/>
  <c r="S1341" i="3"/>
  <c r="D1342" i="3"/>
  <c r="F1342" i="3" s="1"/>
  <c r="E1342" i="3"/>
  <c r="G1342" i="3" s="1"/>
  <c r="H1342" i="3"/>
  <c r="I1342" i="3"/>
  <c r="J1342" i="3"/>
  <c r="L1342" i="3"/>
  <c r="M1342" i="3"/>
  <c r="S1342" i="3"/>
  <c r="D1343" i="3"/>
  <c r="F1343" i="3" s="1"/>
  <c r="E1343" i="3"/>
  <c r="G1343" i="3" s="1"/>
  <c r="H1343" i="3"/>
  <c r="I1343" i="3"/>
  <c r="J1343" i="3"/>
  <c r="L1343" i="3"/>
  <c r="M1343" i="3"/>
  <c r="S1343" i="3"/>
  <c r="D1344" i="3"/>
  <c r="F1344" i="3" s="1"/>
  <c r="E1344" i="3"/>
  <c r="G1344" i="3" s="1"/>
  <c r="H1344" i="3"/>
  <c r="I1344" i="3"/>
  <c r="J1344" i="3"/>
  <c r="L1344" i="3"/>
  <c r="M1344" i="3"/>
  <c r="S1344" i="3"/>
  <c r="D1345" i="3"/>
  <c r="F1345" i="3" s="1"/>
  <c r="E1345" i="3"/>
  <c r="G1345" i="3" s="1"/>
  <c r="H1345" i="3"/>
  <c r="I1345" i="3"/>
  <c r="J1345" i="3"/>
  <c r="L1345" i="3"/>
  <c r="M1345" i="3"/>
  <c r="S1345" i="3"/>
  <c r="D1346" i="3"/>
  <c r="F1346" i="3" s="1"/>
  <c r="E1346" i="3"/>
  <c r="G1346" i="3" s="1"/>
  <c r="H1346" i="3"/>
  <c r="I1346" i="3"/>
  <c r="J1346" i="3"/>
  <c r="L1346" i="3"/>
  <c r="M1346" i="3"/>
  <c r="S1346" i="3"/>
  <c r="D1347" i="3"/>
  <c r="F1347" i="3" s="1"/>
  <c r="E1347" i="3"/>
  <c r="G1347" i="3" s="1"/>
  <c r="H1347" i="3"/>
  <c r="I1347" i="3"/>
  <c r="J1347" i="3"/>
  <c r="L1347" i="3"/>
  <c r="M1347" i="3"/>
  <c r="S1347" i="3"/>
  <c r="D1348" i="3"/>
  <c r="F1348" i="3" s="1"/>
  <c r="E1348" i="3"/>
  <c r="G1348" i="3" s="1"/>
  <c r="H1348" i="3"/>
  <c r="I1348" i="3"/>
  <c r="J1348" i="3"/>
  <c r="L1348" i="3"/>
  <c r="M1348" i="3"/>
  <c r="S1348" i="3"/>
  <c r="D1349" i="3"/>
  <c r="F1349" i="3" s="1"/>
  <c r="E1349" i="3"/>
  <c r="G1349" i="3" s="1"/>
  <c r="H1349" i="3"/>
  <c r="I1349" i="3"/>
  <c r="J1349" i="3"/>
  <c r="L1349" i="3"/>
  <c r="M1349" i="3"/>
  <c r="S1349" i="3"/>
  <c r="D1350" i="3"/>
  <c r="F1350" i="3" s="1"/>
  <c r="E1350" i="3"/>
  <c r="G1350" i="3" s="1"/>
  <c r="H1350" i="3"/>
  <c r="I1350" i="3"/>
  <c r="J1350" i="3"/>
  <c r="L1350" i="3"/>
  <c r="M1350" i="3"/>
  <c r="S1350" i="3"/>
  <c r="D1351" i="3"/>
  <c r="F1351" i="3" s="1"/>
  <c r="E1351" i="3"/>
  <c r="G1351" i="3" s="1"/>
  <c r="H1351" i="3"/>
  <c r="I1351" i="3"/>
  <c r="J1351" i="3"/>
  <c r="L1351" i="3"/>
  <c r="M1351" i="3"/>
  <c r="S1351" i="3"/>
  <c r="D1352" i="3"/>
  <c r="E1352" i="3"/>
  <c r="G1352" i="3" s="1"/>
  <c r="F1352" i="3"/>
  <c r="H1352" i="3"/>
  <c r="I1352" i="3"/>
  <c r="J1352" i="3"/>
  <c r="L1352" i="3"/>
  <c r="M1352" i="3"/>
  <c r="S1352" i="3"/>
  <c r="D1353" i="3"/>
  <c r="F1353" i="3" s="1"/>
  <c r="E1353" i="3"/>
  <c r="G1353" i="3" s="1"/>
  <c r="H1353" i="3"/>
  <c r="I1353" i="3"/>
  <c r="J1353" i="3"/>
  <c r="L1353" i="3"/>
  <c r="M1353" i="3"/>
  <c r="S1353" i="3"/>
  <c r="D1354" i="3"/>
  <c r="F1354" i="3" s="1"/>
  <c r="E1354" i="3"/>
  <c r="G1354" i="3" s="1"/>
  <c r="H1354" i="3"/>
  <c r="I1354" i="3"/>
  <c r="J1354" i="3"/>
  <c r="L1354" i="3"/>
  <c r="M1354" i="3"/>
  <c r="S1354" i="3"/>
  <c r="D1355" i="3"/>
  <c r="F1355" i="3" s="1"/>
  <c r="E1355" i="3"/>
  <c r="G1355" i="3" s="1"/>
  <c r="H1355" i="3"/>
  <c r="I1355" i="3"/>
  <c r="J1355" i="3"/>
  <c r="L1355" i="3"/>
  <c r="M1355" i="3"/>
  <c r="S1355" i="3"/>
  <c r="D1356" i="3"/>
  <c r="F1356" i="3" s="1"/>
  <c r="E1356" i="3"/>
  <c r="G1356" i="3" s="1"/>
  <c r="H1356" i="3"/>
  <c r="I1356" i="3"/>
  <c r="J1356" i="3"/>
  <c r="L1356" i="3"/>
  <c r="M1356" i="3"/>
  <c r="S1356" i="3"/>
  <c r="D1221" i="3"/>
  <c r="F1221" i="3" s="1"/>
  <c r="E1221" i="3"/>
  <c r="G1221" i="3" s="1"/>
  <c r="H1221" i="3"/>
  <c r="I1221" i="3"/>
  <c r="J1221" i="3"/>
  <c r="L1221" i="3"/>
  <c r="M1221" i="3"/>
  <c r="S1221" i="3"/>
  <c r="D1222" i="3"/>
  <c r="F1222" i="3" s="1"/>
  <c r="E1222" i="3"/>
  <c r="G1222" i="3" s="1"/>
  <c r="H1222" i="3"/>
  <c r="I1222" i="3"/>
  <c r="J1222" i="3"/>
  <c r="L1222" i="3"/>
  <c r="M1222" i="3"/>
  <c r="S1222" i="3"/>
  <c r="D1223" i="3"/>
  <c r="F1223" i="3" s="1"/>
  <c r="E1223" i="3"/>
  <c r="G1223" i="3" s="1"/>
  <c r="H1223" i="3"/>
  <c r="I1223" i="3"/>
  <c r="J1223" i="3"/>
  <c r="L1223" i="3"/>
  <c r="M1223" i="3"/>
  <c r="S1223" i="3"/>
  <c r="D1224" i="3"/>
  <c r="F1224" i="3" s="1"/>
  <c r="E1224" i="3"/>
  <c r="G1224" i="3" s="1"/>
  <c r="H1224" i="3"/>
  <c r="I1224" i="3"/>
  <c r="J1224" i="3"/>
  <c r="L1224" i="3"/>
  <c r="M1224" i="3"/>
  <c r="S1224" i="3"/>
  <c r="D1225" i="3"/>
  <c r="F1225" i="3" s="1"/>
  <c r="E1225" i="3"/>
  <c r="G1225" i="3" s="1"/>
  <c r="H1225" i="3"/>
  <c r="I1225" i="3"/>
  <c r="J1225" i="3"/>
  <c r="L1225" i="3"/>
  <c r="M1225" i="3"/>
  <c r="S1225" i="3"/>
  <c r="D1226" i="3"/>
  <c r="F1226" i="3" s="1"/>
  <c r="E1226" i="3"/>
  <c r="G1226" i="3" s="1"/>
  <c r="H1226" i="3"/>
  <c r="I1226" i="3"/>
  <c r="J1226" i="3"/>
  <c r="L1226" i="3"/>
  <c r="M1226" i="3"/>
  <c r="S1226" i="3"/>
  <c r="D1227" i="3"/>
  <c r="F1227" i="3" s="1"/>
  <c r="E1227" i="3"/>
  <c r="G1227" i="3" s="1"/>
  <c r="H1227" i="3"/>
  <c r="I1227" i="3"/>
  <c r="J1227" i="3"/>
  <c r="L1227" i="3"/>
  <c r="M1227" i="3"/>
  <c r="S1227" i="3"/>
  <c r="D1228" i="3"/>
  <c r="F1228" i="3" s="1"/>
  <c r="E1228" i="3"/>
  <c r="G1228" i="3" s="1"/>
  <c r="H1228" i="3"/>
  <c r="I1228" i="3"/>
  <c r="J1228" i="3"/>
  <c r="L1228" i="3"/>
  <c r="M1228" i="3"/>
  <c r="S1228" i="3"/>
  <c r="D1229" i="3"/>
  <c r="F1229" i="3" s="1"/>
  <c r="E1229" i="3"/>
  <c r="G1229" i="3" s="1"/>
  <c r="H1229" i="3"/>
  <c r="I1229" i="3"/>
  <c r="J1229" i="3"/>
  <c r="L1229" i="3"/>
  <c r="M1229" i="3"/>
  <c r="S1229" i="3"/>
  <c r="D1230" i="3"/>
  <c r="F1230" i="3" s="1"/>
  <c r="E1230" i="3"/>
  <c r="G1230" i="3" s="1"/>
  <c r="H1230" i="3"/>
  <c r="I1230" i="3"/>
  <c r="J1230" i="3"/>
  <c r="L1230" i="3"/>
  <c r="M1230" i="3"/>
  <c r="S1230" i="3"/>
  <c r="D1231" i="3"/>
  <c r="F1231" i="3" s="1"/>
  <c r="E1231" i="3"/>
  <c r="G1231" i="3" s="1"/>
  <c r="H1231" i="3"/>
  <c r="I1231" i="3"/>
  <c r="J1231" i="3"/>
  <c r="L1231" i="3"/>
  <c r="M1231" i="3"/>
  <c r="S1231" i="3"/>
  <c r="D1232" i="3"/>
  <c r="F1232" i="3" s="1"/>
  <c r="E1232" i="3"/>
  <c r="G1232" i="3" s="1"/>
  <c r="H1232" i="3"/>
  <c r="I1232" i="3"/>
  <c r="J1232" i="3"/>
  <c r="L1232" i="3"/>
  <c r="M1232" i="3"/>
  <c r="S1232" i="3"/>
  <c r="D1233" i="3"/>
  <c r="F1233" i="3" s="1"/>
  <c r="E1233" i="3"/>
  <c r="G1233" i="3" s="1"/>
  <c r="H1233" i="3"/>
  <c r="I1233" i="3"/>
  <c r="J1233" i="3"/>
  <c r="L1233" i="3"/>
  <c r="M1233" i="3"/>
  <c r="S1233" i="3"/>
  <c r="D1234" i="3"/>
  <c r="F1234" i="3" s="1"/>
  <c r="E1234" i="3"/>
  <c r="G1234" i="3" s="1"/>
  <c r="H1234" i="3"/>
  <c r="I1234" i="3"/>
  <c r="J1234" i="3"/>
  <c r="L1234" i="3"/>
  <c r="M1234" i="3"/>
  <c r="S1234" i="3"/>
  <c r="D1235" i="3"/>
  <c r="F1235" i="3" s="1"/>
  <c r="E1235" i="3"/>
  <c r="G1235" i="3" s="1"/>
  <c r="H1235" i="3"/>
  <c r="I1235" i="3"/>
  <c r="J1235" i="3"/>
  <c r="L1235" i="3"/>
  <c r="M1235" i="3"/>
  <c r="S1235" i="3"/>
  <c r="D1236" i="3"/>
  <c r="F1236" i="3" s="1"/>
  <c r="E1236" i="3"/>
  <c r="G1236" i="3" s="1"/>
  <c r="H1236" i="3"/>
  <c r="I1236" i="3"/>
  <c r="J1236" i="3"/>
  <c r="L1236" i="3"/>
  <c r="M1236" i="3"/>
  <c r="S1236" i="3"/>
  <c r="D1237" i="3"/>
  <c r="F1237" i="3" s="1"/>
  <c r="E1237" i="3"/>
  <c r="G1237" i="3" s="1"/>
  <c r="H1237" i="3"/>
  <c r="I1237" i="3"/>
  <c r="J1237" i="3"/>
  <c r="L1237" i="3"/>
  <c r="M1237" i="3"/>
  <c r="S1237" i="3"/>
  <c r="D1238" i="3"/>
  <c r="F1238" i="3" s="1"/>
  <c r="E1238" i="3"/>
  <c r="G1238" i="3" s="1"/>
  <c r="H1238" i="3"/>
  <c r="I1238" i="3"/>
  <c r="J1238" i="3"/>
  <c r="L1238" i="3"/>
  <c r="M1238" i="3"/>
  <c r="S1238" i="3"/>
  <c r="D1239" i="3"/>
  <c r="F1239" i="3" s="1"/>
  <c r="E1239" i="3"/>
  <c r="G1239" i="3" s="1"/>
  <c r="H1239" i="3"/>
  <c r="I1239" i="3"/>
  <c r="J1239" i="3"/>
  <c r="L1239" i="3"/>
  <c r="M1239" i="3"/>
  <c r="S1239" i="3"/>
  <c r="D1240" i="3"/>
  <c r="F1240" i="3" s="1"/>
  <c r="E1240" i="3"/>
  <c r="G1240" i="3" s="1"/>
  <c r="H1240" i="3"/>
  <c r="I1240" i="3"/>
  <c r="J1240" i="3"/>
  <c r="L1240" i="3"/>
  <c r="M1240" i="3"/>
  <c r="S1240" i="3"/>
  <c r="D1241" i="3"/>
  <c r="F1241" i="3" s="1"/>
  <c r="E1241" i="3"/>
  <c r="G1241" i="3" s="1"/>
  <c r="H1241" i="3"/>
  <c r="I1241" i="3"/>
  <c r="J1241" i="3"/>
  <c r="L1241" i="3"/>
  <c r="M1241" i="3"/>
  <c r="S1241" i="3"/>
  <c r="D1242" i="3"/>
  <c r="F1242" i="3" s="1"/>
  <c r="E1242" i="3"/>
  <c r="G1242" i="3" s="1"/>
  <c r="H1242" i="3"/>
  <c r="I1242" i="3"/>
  <c r="J1242" i="3"/>
  <c r="L1242" i="3"/>
  <c r="M1242" i="3"/>
  <c r="S1242" i="3"/>
  <c r="D1243" i="3"/>
  <c r="F1243" i="3" s="1"/>
  <c r="E1243" i="3"/>
  <c r="G1243" i="3" s="1"/>
  <c r="H1243" i="3"/>
  <c r="I1243" i="3"/>
  <c r="J1243" i="3"/>
  <c r="L1243" i="3"/>
  <c r="M1243" i="3"/>
  <c r="S1243" i="3"/>
  <c r="D1244" i="3"/>
  <c r="F1244" i="3" s="1"/>
  <c r="E1244" i="3"/>
  <c r="G1244" i="3" s="1"/>
  <c r="H1244" i="3"/>
  <c r="I1244" i="3"/>
  <c r="J1244" i="3"/>
  <c r="L1244" i="3"/>
  <c r="M1244" i="3"/>
  <c r="S1244" i="3"/>
  <c r="D1245" i="3"/>
  <c r="F1245" i="3" s="1"/>
  <c r="E1245" i="3"/>
  <c r="G1245" i="3" s="1"/>
  <c r="H1245" i="3"/>
  <c r="I1245" i="3"/>
  <c r="J1245" i="3"/>
  <c r="L1245" i="3"/>
  <c r="M1245" i="3"/>
  <c r="S1245" i="3"/>
  <c r="D1246" i="3"/>
  <c r="F1246" i="3" s="1"/>
  <c r="E1246" i="3"/>
  <c r="G1246" i="3" s="1"/>
  <c r="H1246" i="3"/>
  <c r="I1246" i="3"/>
  <c r="J1246" i="3"/>
  <c r="L1246" i="3"/>
  <c r="M1246" i="3"/>
  <c r="S1246" i="3"/>
  <c r="D1247" i="3"/>
  <c r="F1247" i="3" s="1"/>
  <c r="E1247" i="3"/>
  <c r="G1247" i="3" s="1"/>
  <c r="H1247" i="3"/>
  <c r="I1247" i="3"/>
  <c r="J1247" i="3"/>
  <c r="L1247" i="3"/>
  <c r="M1247" i="3"/>
  <c r="S1247" i="3"/>
  <c r="D1248" i="3"/>
  <c r="F1248" i="3" s="1"/>
  <c r="E1248" i="3"/>
  <c r="G1248" i="3" s="1"/>
  <c r="H1248" i="3"/>
  <c r="I1248" i="3"/>
  <c r="J1248" i="3"/>
  <c r="L1248" i="3"/>
  <c r="M1248" i="3"/>
  <c r="S1248" i="3"/>
  <c r="D1249" i="3"/>
  <c r="F1249" i="3" s="1"/>
  <c r="E1249" i="3"/>
  <c r="G1249" i="3" s="1"/>
  <c r="H1249" i="3"/>
  <c r="I1249" i="3"/>
  <c r="J1249" i="3"/>
  <c r="L1249" i="3"/>
  <c r="M1249" i="3"/>
  <c r="S1249" i="3"/>
  <c r="D1250" i="3"/>
  <c r="F1250" i="3" s="1"/>
  <c r="E1250" i="3"/>
  <c r="G1250" i="3" s="1"/>
  <c r="H1250" i="3"/>
  <c r="I1250" i="3"/>
  <c r="J1250" i="3"/>
  <c r="L1250" i="3"/>
  <c r="M1250" i="3"/>
  <c r="S1250" i="3"/>
  <c r="D1251" i="3"/>
  <c r="F1251" i="3" s="1"/>
  <c r="E1251" i="3"/>
  <c r="G1251" i="3" s="1"/>
  <c r="H1251" i="3"/>
  <c r="I1251" i="3"/>
  <c r="J1251" i="3"/>
  <c r="L1251" i="3"/>
  <c r="M1251" i="3"/>
  <c r="S1251" i="3"/>
  <c r="D1252" i="3"/>
  <c r="F1252" i="3" s="1"/>
  <c r="E1252" i="3"/>
  <c r="G1252" i="3" s="1"/>
  <c r="H1252" i="3"/>
  <c r="I1252" i="3"/>
  <c r="J1252" i="3"/>
  <c r="L1252" i="3"/>
  <c r="M1252" i="3"/>
  <c r="S1252" i="3"/>
  <c r="D1253" i="3"/>
  <c r="F1253" i="3" s="1"/>
  <c r="E1253" i="3"/>
  <c r="G1253" i="3" s="1"/>
  <c r="H1253" i="3"/>
  <c r="I1253" i="3"/>
  <c r="J1253" i="3"/>
  <c r="L1253" i="3"/>
  <c r="M1253" i="3"/>
  <c r="S1253" i="3"/>
  <c r="D1254" i="3"/>
  <c r="F1254" i="3" s="1"/>
  <c r="E1254" i="3"/>
  <c r="G1254" i="3" s="1"/>
  <c r="H1254" i="3"/>
  <c r="I1254" i="3"/>
  <c r="J1254" i="3"/>
  <c r="L1254" i="3"/>
  <c r="M1254" i="3"/>
  <c r="S1254" i="3"/>
  <c r="D1255" i="3"/>
  <c r="F1255" i="3" s="1"/>
  <c r="E1255" i="3"/>
  <c r="G1255" i="3" s="1"/>
  <c r="H1255" i="3"/>
  <c r="I1255" i="3"/>
  <c r="J1255" i="3"/>
  <c r="L1255" i="3"/>
  <c r="M1255" i="3"/>
  <c r="S1255" i="3"/>
  <c r="D1256" i="3"/>
  <c r="F1256" i="3" s="1"/>
  <c r="E1256" i="3"/>
  <c r="G1256" i="3" s="1"/>
  <c r="H1256" i="3"/>
  <c r="I1256" i="3"/>
  <c r="J1256" i="3"/>
  <c r="K1256" i="3"/>
  <c r="L1256" i="3"/>
  <c r="M1256" i="3"/>
  <c r="S1256" i="3"/>
  <c r="D1257" i="3"/>
  <c r="F1257" i="3" s="1"/>
  <c r="E1257" i="3"/>
  <c r="G1257" i="3" s="1"/>
  <c r="H1257" i="3"/>
  <c r="I1257" i="3"/>
  <c r="J1257" i="3"/>
  <c r="L1257" i="3"/>
  <c r="M1257" i="3"/>
  <c r="S1257" i="3"/>
  <c r="D1258" i="3"/>
  <c r="F1258" i="3" s="1"/>
  <c r="E1258" i="3"/>
  <c r="G1258" i="3" s="1"/>
  <c r="H1258" i="3"/>
  <c r="I1258" i="3"/>
  <c r="J1258" i="3"/>
  <c r="L1258" i="3"/>
  <c r="M1258" i="3"/>
  <c r="S1258" i="3"/>
  <c r="D1259" i="3"/>
  <c r="F1259" i="3" s="1"/>
  <c r="E1259" i="3"/>
  <c r="G1259" i="3" s="1"/>
  <c r="H1259" i="3"/>
  <c r="I1259" i="3"/>
  <c r="J1259" i="3"/>
  <c r="L1259" i="3"/>
  <c r="M1259" i="3"/>
  <c r="S1259" i="3"/>
  <c r="D1260" i="3"/>
  <c r="F1260" i="3" s="1"/>
  <c r="E1260" i="3"/>
  <c r="G1260" i="3" s="1"/>
  <c r="H1260" i="3"/>
  <c r="I1260" i="3"/>
  <c r="J1260" i="3"/>
  <c r="L1260" i="3"/>
  <c r="M1260" i="3"/>
  <c r="S1260" i="3"/>
  <c r="D1261" i="3"/>
  <c r="F1261" i="3" s="1"/>
  <c r="E1261" i="3"/>
  <c r="G1261" i="3" s="1"/>
  <c r="H1261" i="3"/>
  <c r="I1261" i="3"/>
  <c r="J1261" i="3"/>
  <c r="L1261" i="3"/>
  <c r="M1261" i="3"/>
  <c r="S1261" i="3"/>
  <c r="D1262" i="3"/>
  <c r="F1262" i="3" s="1"/>
  <c r="E1262" i="3"/>
  <c r="G1262" i="3" s="1"/>
  <c r="H1262" i="3"/>
  <c r="I1262" i="3"/>
  <c r="J1262" i="3"/>
  <c r="L1262" i="3"/>
  <c r="M1262" i="3"/>
  <c r="S1262" i="3"/>
  <c r="D1263" i="3"/>
  <c r="F1263" i="3" s="1"/>
  <c r="E1263" i="3"/>
  <c r="G1263" i="3" s="1"/>
  <c r="H1263" i="3"/>
  <c r="I1263" i="3"/>
  <c r="J1263" i="3"/>
  <c r="L1263" i="3"/>
  <c r="M1263" i="3"/>
  <c r="S1263" i="3"/>
  <c r="D1264" i="3"/>
  <c r="F1264" i="3" s="1"/>
  <c r="E1264" i="3"/>
  <c r="G1264" i="3" s="1"/>
  <c r="H1264" i="3"/>
  <c r="I1264" i="3"/>
  <c r="J1264" i="3"/>
  <c r="L1264" i="3"/>
  <c r="M1264" i="3"/>
  <c r="S1264" i="3"/>
  <c r="D1265" i="3"/>
  <c r="E1265" i="3"/>
  <c r="G1265" i="3" s="1"/>
  <c r="F1265" i="3"/>
  <c r="H1265" i="3"/>
  <c r="I1265" i="3"/>
  <c r="J1265" i="3"/>
  <c r="L1265" i="3"/>
  <c r="M1265" i="3"/>
  <c r="S1265" i="3"/>
  <c r="D1266" i="3"/>
  <c r="F1266" i="3" s="1"/>
  <c r="E1266" i="3"/>
  <c r="G1266" i="3" s="1"/>
  <c r="H1266" i="3"/>
  <c r="I1266" i="3"/>
  <c r="J1266" i="3"/>
  <c r="L1266" i="3"/>
  <c r="M1266" i="3"/>
  <c r="S1266" i="3"/>
  <c r="D1267" i="3"/>
  <c r="F1267" i="3" s="1"/>
  <c r="E1267" i="3"/>
  <c r="G1267" i="3" s="1"/>
  <c r="H1267" i="3"/>
  <c r="I1267" i="3"/>
  <c r="J1267" i="3"/>
  <c r="L1267" i="3"/>
  <c r="M1267" i="3"/>
  <c r="S1267" i="3"/>
  <c r="D1268" i="3"/>
  <c r="F1268" i="3" s="1"/>
  <c r="E1268" i="3"/>
  <c r="G1268" i="3" s="1"/>
  <c r="H1268" i="3"/>
  <c r="I1268" i="3"/>
  <c r="J1268" i="3"/>
  <c r="L1268" i="3"/>
  <c r="M1268" i="3"/>
  <c r="S1268" i="3"/>
  <c r="D1269" i="3"/>
  <c r="F1269" i="3" s="1"/>
  <c r="E1269" i="3"/>
  <c r="G1269" i="3" s="1"/>
  <c r="H1269" i="3"/>
  <c r="I1269" i="3"/>
  <c r="J1269" i="3"/>
  <c r="L1269" i="3"/>
  <c r="M1269" i="3"/>
  <c r="S1269" i="3"/>
  <c r="D1270" i="3"/>
  <c r="F1270" i="3" s="1"/>
  <c r="E1270" i="3"/>
  <c r="G1270" i="3" s="1"/>
  <c r="H1270" i="3"/>
  <c r="I1270" i="3"/>
  <c r="J1270" i="3"/>
  <c r="L1270" i="3"/>
  <c r="M1270" i="3"/>
  <c r="S1270" i="3"/>
  <c r="D1271" i="3"/>
  <c r="F1271" i="3" s="1"/>
  <c r="E1271" i="3"/>
  <c r="G1271" i="3" s="1"/>
  <c r="H1271" i="3"/>
  <c r="I1271" i="3"/>
  <c r="J1271" i="3"/>
  <c r="K1271" i="3"/>
  <c r="L1271" i="3"/>
  <c r="M1271" i="3"/>
  <c r="S1271" i="3"/>
  <c r="D1272" i="3"/>
  <c r="F1272" i="3" s="1"/>
  <c r="E1272" i="3"/>
  <c r="G1272" i="3" s="1"/>
  <c r="H1272" i="3"/>
  <c r="I1272" i="3"/>
  <c r="J1272" i="3"/>
  <c r="L1272" i="3"/>
  <c r="M1272" i="3"/>
  <c r="S1272" i="3"/>
  <c r="D1273" i="3"/>
  <c r="F1273" i="3" s="1"/>
  <c r="E1273" i="3"/>
  <c r="G1273" i="3" s="1"/>
  <c r="H1273" i="3"/>
  <c r="I1273" i="3"/>
  <c r="J1273" i="3"/>
  <c r="L1273" i="3"/>
  <c r="M1273" i="3"/>
  <c r="S1273" i="3"/>
  <c r="D1274" i="3"/>
  <c r="F1274" i="3" s="1"/>
  <c r="E1274" i="3"/>
  <c r="G1274" i="3" s="1"/>
  <c r="H1274" i="3"/>
  <c r="I1274" i="3"/>
  <c r="J1274" i="3"/>
  <c r="L1274" i="3"/>
  <c r="M1274" i="3"/>
  <c r="S1274" i="3"/>
  <c r="D1275" i="3"/>
  <c r="F1275" i="3" s="1"/>
  <c r="E1275" i="3"/>
  <c r="G1275" i="3" s="1"/>
  <c r="H1275" i="3"/>
  <c r="I1275" i="3"/>
  <c r="J1275" i="3"/>
  <c r="L1275" i="3"/>
  <c r="M1275" i="3"/>
  <c r="S1275" i="3"/>
  <c r="D1276" i="3"/>
  <c r="F1276" i="3" s="1"/>
  <c r="E1276" i="3"/>
  <c r="G1276" i="3" s="1"/>
  <c r="H1276" i="3"/>
  <c r="I1276" i="3"/>
  <c r="J1276" i="3"/>
  <c r="L1276" i="3"/>
  <c r="M1276" i="3"/>
  <c r="S1276" i="3"/>
  <c r="D1277" i="3"/>
  <c r="F1277" i="3" s="1"/>
  <c r="E1277" i="3"/>
  <c r="G1277" i="3" s="1"/>
  <c r="H1277" i="3"/>
  <c r="I1277" i="3"/>
  <c r="J1277" i="3"/>
  <c r="L1277" i="3"/>
  <c r="M1277" i="3"/>
  <c r="S1277" i="3"/>
  <c r="D1278" i="3"/>
  <c r="F1278" i="3" s="1"/>
  <c r="E1278" i="3"/>
  <c r="G1278" i="3" s="1"/>
  <c r="H1278" i="3"/>
  <c r="I1278" i="3"/>
  <c r="J1278" i="3"/>
  <c r="L1278" i="3"/>
  <c r="M1278" i="3"/>
  <c r="S1278" i="3"/>
  <c r="D1279" i="3"/>
  <c r="F1279" i="3" s="1"/>
  <c r="E1279" i="3"/>
  <c r="G1279" i="3" s="1"/>
  <c r="H1279" i="3"/>
  <c r="I1279" i="3"/>
  <c r="J1279" i="3"/>
  <c r="L1279" i="3"/>
  <c r="M1279" i="3"/>
  <c r="S1279" i="3"/>
  <c r="D1280" i="3"/>
  <c r="F1280" i="3" s="1"/>
  <c r="E1280" i="3"/>
  <c r="G1280" i="3" s="1"/>
  <c r="H1280" i="3"/>
  <c r="I1280" i="3"/>
  <c r="J1280" i="3"/>
  <c r="L1280" i="3"/>
  <c r="M1280" i="3"/>
  <c r="S1280" i="3"/>
  <c r="D1281" i="3"/>
  <c r="F1281" i="3" s="1"/>
  <c r="E1281" i="3"/>
  <c r="G1281" i="3" s="1"/>
  <c r="H1281" i="3"/>
  <c r="I1281" i="3"/>
  <c r="J1281" i="3"/>
  <c r="L1281" i="3"/>
  <c r="M1281" i="3"/>
  <c r="S1281" i="3"/>
  <c r="D1282" i="3"/>
  <c r="F1282" i="3" s="1"/>
  <c r="E1282" i="3"/>
  <c r="G1282" i="3" s="1"/>
  <c r="H1282" i="3"/>
  <c r="I1282" i="3"/>
  <c r="J1282" i="3"/>
  <c r="L1282" i="3"/>
  <c r="M1282" i="3"/>
  <c r="S1282" i="3"/>
  <c r="D1283" i="3"/>
  <c r="F1283" i="3" s="1"/>
  <c r="E1283" i="3"/>
  <c r="G1283" i="3" s="1"/>
  <c r="H1283" i="3"/>
  <c r="I1283" i="3"/>
  <c r="J1283" i="3"/>
  <c r="L1283" i="3"/>
  <c r="M1283" i="3"/>
  <c r="S1283" i="3"/>
  <c r="D1284" i="3"/>
  <c r="F1284" i="3" s="1"/>
  <c r="E1284" i="3"/>
  <c r="G1284" i="3" s="1"/>
  <c r="H1284" i="3"/>
  <c r="I1284" i="3"/>
  <c r="J1284" i="3"/>
  <c r="L1284" i="3"/>
  <c r="M1284" i="3"/>
  <c r="S1284" i="3"/>
  <c r="D1285" i="3"/>
  <c r="F1285" i="3" s="1"/>
  <c r="E1285" i="3"/>
  <c r="G1285" i="3" s="1"/>
  <c r="H1285" i="3"/>
  <c r="I1285" i="3"/>
  <c r="J1285" i="3"/>
  <c r="L1285" i="3"/>
  <c r="M1285" i="3"/>
  <c r="S1285" i="3"/>
  <c r="D1286" i="3"/>
  <c r="F1286" i="3" s="1"/>
  <c r="E1286" i="3"/>
  <c r="G1286" i="3" s="1"/>
  <c r="H1286" i="3"/>
  <c r="I1286" i="3"/>
  <c r="J1286" i="3"/>
  <c r="L1286" i="3"/>
  <c r="M1286" i="3"/>
  <c r="S1286" i="3"/>
  <c r="D1287" i="3"/>
  <c r="F1287" i="3" s="1"/>
  <c r="E1287" i="3"/>
  <c r="G1287" i="3" s="1"/>
  <c r="H1287" i="3"/>
  <c r="I1287" i="3"/>
  <c r="J1287" i="3"/>
  <c r="L1287" i="3"/>
  <c r="M1287" i="3"/>
  <c r="S1287" i="3"/>
  <c r="D1288" i="3"/>
  <c r="F1288" i="3" s="1"/>
  <c r="E1288" i="3"/>
  <c r="G1288" i="3" s="1"/>
  <c r="H1288" i="3"/>
  <c r="I1288" i="3"/>
  <c r="J1288" i="3"/>
  <c r="L1288" i="3"/>
  <c r="M1288" i="3"/>
  <c r="S1288" i="3"/>
  <c r="D1153" i="3"/>
  <c r="F1153" i="3" s="1"/>
  <c r="E1153" i="3"/>
  <c r="G1153" i="3" s="1"/>
  <c r="H1153" i="3"/>
  <c r="I1153" i="3"/>
  <c r="J1153" i="3"/>
  <c r="L1153" i="3"/>
  <c r="M1153" i="3"/>
  <c r="S1153" i="3"/>
  <c r="D1154" i="3"/>
  <c r="F1154" i="3" s="1"/>
  <c r="E1154" i="3"/>
  <c r="G1154" i="3" s="1"/>
  <c r="H1154" i="3"/>
  <c r="I1154" i="3"/>
  <c r="J1154" i="3"/>
  <c r="L1154" i="3"/>
  <c r="M1154" i="3"/>
  <c r="S1154" i="3"/>
  <c r="D1155" i="3"/>
  <c r="F1155" i="3" s="1"/>
  <c r="E1155" i="3"/>
  <c r="G1155" i="3" s="1"/>
  <c r="H1155" i="3"/>
  <c r="I1155" i="3"/>
  <c r="J1155" i="3"/>
  <c r="L1155" i="3"/>
  <c r="M1155" i="3"/>
  <c r="S1155" i="3"/>
  <c r="D1156" i="3"/>
  <c r="F1156" i="3" s="1"/>
  <c r="E1156" i="3"/>
  <c r="G1156" i="3" s="1"/>
  <c r="H1156" i="3"/>
  <c r="I1156" i="3"/>
  <c r="J1156" i="3"/>
  <c r="L1156" i="3"/>
  <c r="M1156" i="3"/>
  <c r="S1156" i="3"/>
  <c r="D1157" i="3"/>
  <c r="F1157" i="3" s="1"/>
  <c r="E1157" i="3"/>
  <c r="G1157" i="3" s="1"/>
  <c r="H1157" i="3"/>
  <c r="I1157" i="3"/>
  <c r="J1157" i="3"/>
  <c r="L1157" i="3"/>
  <c r="M1157" i="3"/>
  <c r="S1157" i="3"/>
  <c r="D1158" i="3"/>
  <c r="F1158" i="3" s="1"/>
  <c r="E1158" i="3"/>
  <c r="G1158" i="3" s="1"/>
  <c r="H1158" i="3"/>
  <c r="I1158" i="3"/>
  <c r="J1158" i="3"/>
  <c r="L1158" i="3"/>
  <c r="M1158" i="3"/>
  <c r="S1158" i="3"/>
  <c r="D1159" i="3"/>
  <c r="F1159" i="3" s="1"/>
  <c r="E1159" i="3"/>
  <c r="G1159" i="3" s="1"/>
  <c r="H1159" i="3"/>
  <c r="I1159" i="3"/>
  <c r="J1159" i="3"/>
  <c r="L1159" i="3"/>
  <c r="M1159" i="3"/>
  <c r="S1159" i="3"/>
  <c r="D1160" i="3"/>
  <c r="F1160" i="3" s="1"/>
  <c r="E1160" i="3"/>
  <c r="G1160" i="3" s="1"/>
  <c r="H1160" i="3"/>
  <c r="I1160" i="3"/>
  <c r="J1160" i="3"/>
  <c r="L1160" i="3"/>
  <c r="M1160" i="3"/>
  <c r="S1160" i="3"/>
  <c r="D1161" i="3"/>
  <c r="F1161" i="3" s="1"/>
  <c r="E1161" i="3"/>
  <c r="G1161" i="3" s="1"/>
  <c r="H1161" i="3"/>
  <c r="I1161" i="3"/>
  <c r="J1161" i="3"/>
  <c r="L1161" i="3"/>
  <c r="M1161" i="3"/>
  <c r="S1161" i="3"/>
  <c r="D1162" i="3"/>
  <c r="F1162" i="3" s="1"/>
  <c r="E1162" i="3"/>
  <c r="G1162" i="3" s="1"/>
  <c r="H1162" i="3"/>
  <c r="I1162" i="3"/>
  <c r="J1162" i="3"/>
  <c r="L1162" i="3"/>
  <c r="M1162" i="3"/>
  <c r="S1162" i="3"/>
  <c r="D1163" i="3"/>
  <c r="F1163" i="3" s="1"/>
  <c r="E1163" i="3"/>
  <c r="G1163" i="3" s="1"/>
  <c r="H1163" i="3"/>
  <c r="I1163" i="3"/>
  <c r="J1163" i="3"/>
  <c r="L1163" i="3"/>
  <c r="M1163" i="3"/>
  <c r="S1163" i="3"/>
  <c r="D1164" i="3"/>
  <c r="F1164" i="3" s="1"/>
  <c r="E1164" i="3"/>
  <c r="G1164" i="3" s="1"/>
  <c r="H1164" i="3"/>
  <c r="I1164" i="3"/>
  <c r="J1164" i="3"/>
  <c r="L1164" i="3"/>
  <c r="M1164" i="3"/>
  <c r="S1164" i="3"/>
  <c r="D1165" i="3"/>
  <c r="F1165" i="3" s="1"/>
  <c r="E1165" i="3"/>
  <c r="G1165" i="3" s="1"/>
  <c r="H1165" i="3"/>
  <c r="I1165" i="3"/>
  <c r="J1165" i="3"/>
  <c r="L1165" i="3"/>
  <c r="M1165" i="3"/>
  <c r="S1165" i="3"/>
  <c r="D1166" i="3"/>
  <c r="F1166" i="3" s="1"/>
  <c r="E1166" i="3"/>
  <c r="G1166" i="3" s="1"/>
  <c r="H1166" i="3"/>
  <c r="I1166" i="3"/>
  <c r="J1166" i="3"/>
  <c r="L1166" i="3"/>
  <c r="M1166" i="3"/>
  <c r="S1166" i="3"/>
  <c r="D1167" i="3"/>
  <c r="F1167" i="3" s="1"/>
  <c r="E1167" i="3"/>
  <c r="G1167" i="3" s="1"/>
  <c r="H1167" i="3"/>
  <c r="I1167" i="3"/>
  <c r="J1167" i="3"/>
  <c r="L1167" i="3"/>
  <c r="M1167" i="3"/>
  <c r="S1167" i="3"/>
  <c r="D1168" i="3"/>
  <c r="F1168" i="3" s="1"/>
  <c r="E1168" i="3"/>
  <c r="G1168" i="3" s="1"/>
  <c r="H1168" i="3"/>
  <c r="I1168" i="3"/>
  <c r="J1168" i="3"/>
  <c r="L1168" i="3"/>
  <c r="M1168" i="3"/>
  <c r="S1168" i="3"/>
  <c r="D1169" i="3"/>
  <c r="F1169" i="3" s="1"/>
  <c r="E1169" i="3"/>
  <c r="G1169" i="3" s="1"/>
  <c r="H1169" i="3"/>
  <c r="I1169" i="3"/>
  <c r="J1169" i="3"/>
  <c r="L1169" i="3"/>
  <c r="M1169" i="3"/>
  <c r="S1169" i="3"/>
  <c r="D1170" i="3"/>
  <c r="F1170" i="3" s="1"/>
  <c r="E1170" i="3"/>
  <c r="G1170" i="3" s="1"/>
  <c r="H1170" i="3"/>
  <c r="I1170" i="3"/>
  <c r="J1170" i="3"/>
  <c r="L1170" i="3"/>
  <c r="M1170" i="3"/>
  <c r="S1170" i="3"/>
  <c r="D1171" i="3"/>
  <c r="F1171" i="3" s="1"/>
  <c r="E1171" i="3"/>
  <c r="G1171" i="3" s="1"/>
  <c r="H1171" i="3"/>
  <c r="I1171" i="3"/>
  <c r="J1171" i="3"/>
  <c r="L1171" i="3"/>
  <c r="M1171" i="3"/>
  <c r="S1171" i="3"/>
  <c r="D1172" i="3"/>
  <c r="F1172" i="3" s="1"/>
  <c r="E1172" i="3"/>
  <c r="G1172" i="3" s="1"/>
  <c r="H1172" i="3"/>
  <c r="I1172" i="3"/>
  <c r="J1172" i="3"/>
  <c r="L1172" i="3"/>
  <c r="M1172" i="3"/>
  <c r="S1172" i="3"/>
  <c r="D1173" i="3"/>
  <c r="F1173" i="3" s="1"/>
  <c r="E1173" i="3"/>
  <c r="G1173" i="3" s="1"/>
  <c r="H1173" i="3"/>
  <c r="I1173" i="3"/>
  <c r="J1173" i="3"/>
  <c r="L1173" i="3"/>
  <c r="M1173" i="3"/>
  <c r="S1173" i="3"/>
  <c r="D1174" i="3"/>
  <c r="F1174" i="3" s="1"/>
  <c r="E1174" i="3"/>
  <c r="G1174" i="3" s="1"/>
  <c r="H1174" i="3"/>
  <c r="I1174" i="3"/>
  <c r="J1174" i="3"/>
  <c r="L1174" i="3"/>
  <c r="M1174" i="3"/>
  <c r="S1174" i="3"/>
  <c r="D1175" i="3"/>
  <c r="F1175" i="3" s="1"/>
  <c r="E1175" i="3"/>
  <c r="G1175" i="3" s="1"/>
  <c r="H1175" i="3"/>
  <c r="I1175" i="3"/>
  <c r="J1175" i="3"/>
  <c r="L1175" i="3"/>
  <c r="M1175" i="3"/>
  <c r="S1175" i="3"/>
  <c r="D1176" i="3"/>
  <c r="F1176" i="3" s="1"/>
  <c r="E1176" i="3"/>
  <c r="G1176" i="3" s="1"/>
  <c r="H1176" i="3"/>
  <c r="I1176" i="3"/>
  <c r="J1176" i="3"/>
  <c r="L1176" i="3"/>
  <c r="M1176" i="3"/>
  <c r="S1176" i="3"/>
  <c r="D1177" i="3"/>
  <c r="F1177" i="3" s="1"/>
  <c r="E1177" i="3"/>
  <c r="G1177" i="3" s="1"/>
  <c r="H1177" i="3"/>
  <c r="I1177" i="3"/>
  <c r="J1177" i="3"/>
  <c r="L1177" i="3"/>
  <c r="M1177" i="3"/>
  <c r="S1177" i="3"/>
  <c r="D1178" i="3"/>
  <c r="F1178" i="3" s="1"/>
  <c r="E1178" i="3"/>
  <c r="G1178" i="3" s="1"/>
  <c r="H1178" i="3"/>
  <c r="I1178" i="3"/>
  <c r="J1178" i="3"/>
  <c r="L1178" i="3"/>
  <c r="M1178" i="3"/>
  <c r="S1178" i="3"/>
  <c r="D1179" i="3"/>
  <c r="F1179" i="3" s="1"/>
  <c r="E1179" i="3"/>
  <c r="G1179" i="3" s="1"/>
  <c r="H1179" i="3"/>
  <c r="I1179" i="3"/>
  <c r="J1179" i="3"/>
  <c r="L1179" i="3"/>
  <c r="M1179" i="3"/>
  <c r="S1179" i="3"/>
  <c r="D1180" i="3"/>
  <c r="F1180" i="3" s="1"/>
  <c r="E1180" i="3"/>
  <c r="G1180" i="3" s="1"/>
  <c r="H1180" i="3"/>
  <c r="I1180" i="3"/>
  <c r="J1180" i="3"/>
  <c r="L1180" i="3"/>
  <c r="M1180" i="3"/>
  <c r="S1180" i="3"/>
  <c r="D1181" i="3"/>
  <c r="F1181" i="3" s="1"/>
  <c r="E1181" i="3"/>
  <c r="G1181" i="3" s="1"/>
  <c r="H1181" i="3"/>
  <c r="I1181" i="3"/>
  <c r="J1181" i="3"/>
  <c r="L1181" i="3"/>
  <c r="M1181" i="3"/>
  <c r="S1181" i="3"/>
  <c r="D1182" i="3"/>
  <c r="F1182" i="3" s="1"/>
  <c r="E1182" i="3"/>
  <c r="G1182" i="3" s="1"/>
  <c r="H1182" i="3"/>
  <c r="I1182" i="3"/>
  <c r="J1182" i="3"/>
  <c r="L1182" i="3"/>
  <c r="M1182" i="3"/>
  <c r="S1182" i="3"/>
  <c r="D1183" i="3"/>
  <c r="F1183" i="3" s="1"/>
  <c r="E1183" i="3"/>
  <c r="G1183" i="3" s="1"/>
  <c r="H1183" i="3"/>
  <c r="I1183" i="3"/>
  <c r="J1183" i="3"/>
  <c r="L1183" i="3"/>
  <c r="M1183" i="3"/>
  <c r="S1183" i="3"/>
  <c r="D1184" i="3"/>
  <c r="F1184" i="3" s="1"/>
  <c r="E1184" i="3"/>
  <c r="G1184" i="3" s="1"/>
  <c r="H1184" i="3"/>
  <c r="I1184" i="3"/>
  <c r="J1184" i="3"/>
  <c r="L1184" i="3"/>
  <c r="M1184" i="3"/>
  <c r="S1184" i="3"/>
  <c r="D1185" i="3"/>
  <c r="F1185" i="3" s="1"/>
  <c r="E1185" i="3"/>
  <c r="G1185" i="3" s="1"/>
  <c r="H1185" i="3"/>
  <c r="I1185" i="3"/>
  <c r="J1185" i="3"/>
  <c r="L1185" i="3"/>
  <c r="M1185" i="3"/>
  <c r="S1185" i="3"/>
  <c r="D1186" i="3"/>
  <c r="F1186" i="3" s="1"/>
  <c r="E1186" i="3"/>
  <c r="G1186" i="3" s="1"/>
  <c r="H1186" i="3"/>
  <c r="I1186" i="3"/>
  <c r="J1186" i="3"/>
  <c r="L1186" i="3"/>
  <c r="M1186" i="3"/>
  <c r="S1186" i="3"/>
  <c r="D1187" i="3"/>
  <c r="F1187" i="3" s="1"/>
  <c r="E1187" i="3"/>
  <c r="G1187" i="3" s="1"/>
  <c r="H1187" i="3"/>
  <c r="I1187" i="3"/>
  <c r="J1187" i="3"/>
  <c r="L1187" i="3"/>
  <c r="M1187" i="3"/>
  <c r="S1187" i="3"/>
  <c r="D1188" i="3"/>
  <c r="F1188" i="3" s="1"/>
  <c r="E1188" i="3"/>
  <c r="G1188" i="3" s="1"/>
  <c r="H1188" i="3"/>
  <c r="I1188" i="3"/>
  <c r="J1188" i="3"/>
  <c r="L1188" i="3"/>
  <c r="M1188" i="3"/>
  <c r="S1188" i="3"/>
  <c r="D1189" i="3"/>
  <c r="F1189" i="3" s="1"/>
  <c r="E1189" i="3"/>
  <c r="G1189" i="3" s="1"/>
  <c r="H1189" i="3"/>
  <c r="I1189" i="3"/>
  <c r="J1189" i="3"/>
  <c r="L1189" i="3"/>
  <c r="M1189" i="3"/>
  <c r="S1189" i="3"/>
  <c r="D1190" i="3"/>
  <c r="F1190" i="3" s="1"/>
  <c r="E1190" i="3"/>
  <c r="G1190" i="3" s="1"/>
  <c r="H1190" i="3"/>
  <c r="I1190" i="3"/>
  <c r="J1190" i="3"/>
  <c r="L1190" i="3"/>
  <c r="M1190" i="3"/>
  <c r="S1190" i="3"/>
  <c r="D1191" i="3"/>
  <c r="F1191" i="3" s="1"/>
  <c r="E1191" i="3"/>
  <c r="G1191" i="3" s="1"/>
  <c r="H1191" i="3"/>
  <c r="I1191" i="3"/>
  <c r="J1191" i="3"/>
  <c r="L1191" i="3"/>
  <c r="M1191" i="3"/>
  <c r="S1191" i="3"/>
  <c r="D1192" i="3"/>
  <c r="F1192" i="3" s="1"/>
  <c r="E1192" i="3"/>
  <c r="G1192" i="3" s="1"/>
  <c r="H1192" i="3"/>
  <c r="I1192" i="3"/>
  <c r="J1192" i="3"/>
  <c r="L1192" i="3"/>
  <c r="M1192" i="3"/>
  <c r="S1192" i="3"/>
  <c r="D1193" i="3"/>
  <c r="F1193" i="3" s="1"/>
  <c r="E1193" i="3"/>
  <c r="G1193" i="3" s="1"/>
  <c r="H1193" i="3"/>
  <c r="I1193" i="3"/>
  <c r="J1193" i="3"/>
  <c r="L1193" i="3"/>
  <c r="M1193" i="3"/>
  <c r="S1193" i="3"/>
  <c r="D1194" i="3"/>
  <c r="F1194" i="3" s="1"/>
  <c r="E1194" i="3"/>
  <c r="G1194" i="3" s="1"/>
  <c r="H1194" i="3"/>
  <c r="I1194" i="3"/>
  <c r="J1194" i="3"/>
  <c r="L1194" i="3"/>
  <c r="M1194" i="3"/>
  <c r="S1194" i="3"/>
  <c r="D1195" i="3"/>
  <c r="F1195" i="3" s="1"/>
  <c r="E1195" i="3"/>
  <c r="G1195" i="3" s="1"/>
  <c r="H1195" i="3"/>
  <c r="I1195" i="3"/>
  <c r="J1195" i="3"/>
  <c r="L1195" i="3"/>
  <c r="M1195" i="3"/>
  <c r="S1195" i="3"/>
  <c r="D1196" i="3"/>
  <c r="F1196" i="3" s="1"/>
  <c r="E1196" i="3"/>
  <c r="G1196" i="3" s="1"/>
  <c r="H1196" i="3"/>
  <c r="I1196" i="3"/>
  <c r="J1196" i="3"/>
  <c r="L1196" i="3"/>
  <c r="M1196" i="3"/>
  <c r="S1196" i="3"/>
  <c r="D1197" i="3"/>
  <c r="F1197" i="3" s="1"/>
  <c r="E1197" i="3"/>
  <c r="G1197" i="3" s="1"/>
  <c r="H1197" i="3"/>
  <c r="I1197" i="3"/>
  <c r="J1197" i="3"/>
  <c r="L1197" i="3"/>
  <c r="M1197" i="3"/>
  <c r="S1197" i="3"/>
  <c r="D1198" i="3"/>
  <c r="F1198" i="3" s="1"/>
  <c r="E1198" i="3"/>
  <c r="G1198" i="3" s="1"/>
  <c r="H1198" i="3"/>
  <c r="I1198" i="3"/>
  <c r="J1198" i="3"/>
  <c r="L1198" i="3"/>
  <c r="M1198" i="3"/>
  <c r="S1198" i="3"/>
  <c r="D1199" i="3"/>
  <c r="F1199" i="3" s="1"/>
  <c r="E1199" i="3"/>
  <c r="G1199" i="3" s="1"/>
  <c r="H1199" i="3"/>
  <c r="I1199" i="3"/>
  <c r="J1199" i="3"/>
  <c r="L1199" i="3"/>
  <c r="M1199" i="3"/>
  <c r="S1199" i="3"/>
  <c r="D1200" i="3"/>
  <c r="F1200" i="3" s="1"/>
  <c r="E1200" i="3"/>
  <c r="G1200" i="3" s="1"/>
  <c r="H1200" i="3"/>
  <c r="I1200" i="3"/>
  <c r="J1200" i="3"/>
  <c r="L1200" i="3"/>
  <c r="M1200" i="3"/>
  <c r="S1200" i="3"/>
  <c r="D1201" i="3"/>
  <c r="F1201" i="3" s="1"/>
  <c r="E1201" i="3"/>
  <c r="G1201" i="3" s="1"/>
  <c r="H1201" i="3"/>
  <c r="I1201" i="3"/>
  <c r="J1201" i="3"/>
  <c r="L1201" i="3"/>
  <c r="M1201" i="3"/>
  <c r="S1201" i="3"/>
  <c r="D1202" i="3"/>
  <c r="F1202" i="3" s="1"/>
  <c r="E1202" i="3"/>
  <c r="G1202" i="3" s="1"/>
  <c r="H1202" i="3"/>
  <c r="I1202" i="3"/>
  <c r="J1202" i="3"/>
  <c r="L1202" i="3"/>
  <c r="M1202" i="3"/>
  <c r="S1202" i="3"/>
  <c r="D1203" i="3"/>
  <c r="F1203" i="3" s="1"/>
  <c r="E1203" i="3"/>
  <c r="G1203" i="3" s="1"/>
  <c r="H1203" i="3"/>
  <c r="I1203" i="3"/>
  <c r="J1203" i="3"/>
  <c r="L1203" i="3"/>
  <c r="M1203" i="3"/>
  <c r="S1203" i="3"/>
  <c r="D1204" i="3"/>
  <c r="F1204" i="3" s="1"/>
  <c r="E1204" i="3"/>
  <c r="G1204" i="3" s="1"/>
  <c r="H1204" i="3"/>
  <c r="I1204" i="3"/>
  <c r="J1204" i="3"/>
  <c r="L1204" i="3"/>
  <c r="M1204" i="3"/>
  <c r="S1204" i="3"/>
  <c r="D1205" i="3"/>
  <c r="F1205" i="3" s="1"/>
  <c r="E1205" i="3"/>
  <c r="G1205" i="3" s="1"/>
  <c r="H1205" i="3"/>
  <c r="I1205" i="3"/>
  <c r="J1205" i="3"/>
  <c r="L1205" i="3"/>
  <c r="M1205" i="3"/>
  <c r="S1205" i="3"/>
  <c r="D1206" i="3"/>
  <c r="F1206" i="3" s="1"/>
  <c r="E1206" i="3"/>
  <c r="G1206" i="3" s="1"/>
  <c r="H1206" i="3"/>
  <c r="I1206" i="3"/>
  <c r="J1206" i="3"/>
  <c r="L1206" i="3"/>
  <c r="M1206" i="3"/>
  <c r="S1206" i="3"/>
  <c r="D1207" i="3"/>
  <c r="F1207" i="3" s="1"/>
  <c r="E1207" i="3"/>
  <c r="G1207" i="3" s="1"/>
  <c r="H1207" i="3"/>
  <c r="I1207" i="3"/>
  <c r="J1207" i="3"/>
  <c r="L1207" i="3"/>
  <c r="M1207" i="3"/>
  <c r="S1207" i="3"/>
  <c r="D1208" i="3"/>
  <c r="F1208" i="3" s="1"/>
  <c r="E1208" i="3"/>
  <c r="G1208" i="3" s="1"/>
  <c r="H1208" i="3"/>
  <c r="I1208" i="3"/>
  <c r="J1208" i="3"/>
  <c r="L1208" i="3"/>
  <c r="M1208" i="3"/>
  <c r="S1208" i="3"/>
  <c r="D1209" i="3"/>
  <c r="F1209" i="3" s="1"/>
  <c r="E1209" i="3"/>
  <c r="G1209" i="3" s="1"/>
  <c r="H1209" i="3"/>
  <c r="I1209" i="3"/>
  <c r="J1209" i="3"/>
  <c r="L1209" i="3"/>
  <c r="M1209" i="3"/>
  <c r="S1209" i="3"/>
  <c r="D1210" i="3"/>
  <c r="F1210" i="3" s="1"/>
  <c r="E1210" i="3"/>
  <c r="G1210" i="3"/>
  <c r="H1210" i="3"/>
  <c r="I1210" i="3"/>
  <c r="J1210" i="3"/>
  <c r="L1210" i="3"/>
  <c r="M1210" i="3"/>
  <c r="S1210" i="3"/>
  <c r="D1211" i="3"/>
  <c r="E1211" i="3"/>
  <c r="G1211" i="3" s="1"/>
  <c r="F1211" i="3"/>
  <c r="H1211" i="3"/>
  <c r="I1211" i="3"/>
  <c r="J1211" i="3"/>
  <c r="L1211" i="3"/>
  <c r="M1211" i="3"/>
  <c r="S1211" i="3"/>
  <c r="D1212" i="3"/>
  <c r="F1212" i="3" s="1"/>
  <c r="E1212" i="3"/>
  <c r="G1212" i="3" s="1"/>
  <c r="H1212" i="3"/>
  <c r="I1212" i="3"/>
  <c r="J1212" i="3"/>
  <c r="L1212" i="3"/>
  <c r="M1212" i="3"/>
  <c r="S1212" i="3"/>
  <c r="D1213" i="3"/>
  <c r="F1213" i="3" s="1"/>
  <c r="E1213" i="3"/>
  <c r="G1213" i="3" s="1"/>
  <c r="H1213" i="3"/>
  <c r="I1213" i="3"/>
  <c r="J1213" i="3"/>
  <c r="L1213" i="3"/>
  <c r="M1213" i="3"/>
  <c r="S1213" i="3"/>
  <c r="D1214" i="3"/>
  <c r="F1214" i="3" s="1"/>
  <c r="E1214" i="3"/>
  <c r="G1214" i="3" s="1"/>
  <c r="H1214" i="3"/>
  <c r="I1214" i="3"/>
  <c r="J1214" i="3"/>
  <c r="L1214" i="3"/>
  <c r="M1214" i="3"/>
  <c r="S1214" i="3"/>
  <c r="D1215" i="3"/>
  <c r="E1215" i="3"/>
  <c r="G1215" i="3" s="1"/>
  <c r="F1215" i="3"/>
  <c r="H1215" i="3"/>
  <c r="I1215" i="3"/>
  <c r="J1215" i="3"/>
  <c r="L1215" i="3"/>
  <c r="M1215" i="3"/>
  <c r="S1215" i="3"/>
  <c r="D1216" i="3"/>
  <c r="F1216" i="3" s="1"/>
  <c r="E1216" i="3"/>
  <c r="G1216" i="3" s="1"/>
  <c r="H1216" i="3"/>
  <c r="I1216" i="3"/>
  <c r="J1216" i="3"/>
  <c r="L1216" i="3"/>
  <c r="M1216" i="3"/>
  <c r="S1216" i="3"/>
  <c r="D1217" i="3"/>
  <c r="F1217" i="3" s="1"/>
  <c r="E1217" i="3"/>
  <c r="G1217" i="3" s="1"/>
  <c r="H1217" i="3"/>
  <c r="I1217" i="3"/>
  <c r="J1217" i="3"/>
  <c r="L1217" i="3"/>
  <c r="M1217" i="3"/>
  <c r="S1217" i="3"/>
  <c r="D1218" i="3"/>
  <c r="F1218" i="3" s="1"/>
  <c r="E1218" i="3"/>
  <c r="G1218" i="3" s="1"/>
  <c r="H1218" i="3"/>
  <c r="I1218" i="3"/>
  <c r="J1218" i="3"/>
  <c r="L1218" i="3"/>
  <c r="M1218" i="3"/>
  <c r="S1218" i="3"/>
  <c r="D1219" i="3"/>
  <c r="F1219" i="3" s="1"/>
  <c r="E1219" i="3"/>
  <c r="G1219" i="3" s="1"/>
  <c r="H1219" i="3"/>
  <c r="I1219" i="3"/>
  <c r="J1219" i="3"/>
  <c r="L1219" i="3"/>
  <c r="M1219" i="3"/>
  <c r="S1219" i="3"/>
  <c r="D1220" i="3"/>
  <c r="F1220" i="3" s="1"/>
  <c r="E1220" i="3"/>
  <c r="G1220" i="3" s="1"/>
  <c r="H1220" i="3"/>
  <c r="I1220" i="3"/>
  <c r="J1220" i="3"/>
  <c r="L1220" i="3"/>
  <c r="M1220" i="3"/>
  <c r="S1220" i="3"/>
  <c r="D1085" i="3"/>
  <c r="F1085" i="3" s="1"/>
  <c r="E1085" i="3"/>
  <c r="G1085" i="3" s="1"/>
  <c r="H1085" i="3"/>
  <c r="I1085" i="3"/>
  <c r="J1085" i="3"/>
  <c r="L1085" i="3"/>
  <c r="M1085" i="3"/>
  <c r="S1085" i="3"/>
  <c r="D1086" i="3"/>
  <c r="F1086" i="3" s="1"/>
  <c r="E1086" i="3"/>
  <c r="G1086" i="3" s="1"/>
  <c r="H1086" i="3"/>
  <c r="I1086" i="3"/>
  <c r="J1086" i="3"/>
  <c r="L1086" i="3"/>
  <c r="M1086" i="3"/>
  <c r="S1086" i="3"/>
  <c r="D1087" i="3"/>
  <c r="E1087" i="3"/>
  <c r="G1087" i="3" s="1"/>
  <c r="F1087" i="3"/>
  <c r="H1087" i="3"/>
  <c r="I1087" i="3"/>
  <c r="J1087" i="3"/>
  <c r="L1087" i="3"/>
  <c r="M1087" i="3"/>
  <c r="S1087" i="3"/>
  <c r="D1088" i="3"/>
  <c r="F1088" i="3" s="1"/>
  <c r="E1088" i="3"/>
  <c r="G1088" i="3" s="1"/>
  <c r="H1088" i="3"/>
  <c r="I1088" i="3"/>
  <c r="J1088" i="3"/>
  <c r="L1088" i="3"/>
  <c r="M1088" i="3"/>
  <c r="S1088" i="3"/>
  <c r="D1089" i="3"/>
  <c r="F1089" i="3" s="1"/>
  <c r="E1089" i="3"/>
  <c r="G1089" i="3" s="1"/>
  <c r="H1089" i="3"/>
  <c r="I1089" i="3"/>
  <c r="J1089" i="3"/>
  <c r="L1089" i="3"/>
  <c r="M1089" i="3"/>
  <c r="S1089" i="3"/>
  <c r="D1090" i="3"/>
  <c r="F1090" i="3" s="1"/>
  <c r="E1090" i="3"/>
  <c r="G1090" i="3" s="1"/>
  <c r="H1090" i="3"/>
  <c r="I1090" i="3"/>
  <c r="J1090" i="3"/>
  <c r="L1090" i="3"/>
  <c r="M1090" i="3"/>
  <c r="S1090" i="3"/>
  <c r="D1091" i="3"/>
  <c r="F1091" i="3" s="1"/>
  <c r="E1091" i="3"/>
  <c r="G1091" i="3" s="1"/>
  <c r="H1091" i="3"/>
  <c r="I1091" i="3"/>
  <c r="J1091" i="3"/>
  <c r="L1091" i="3"/>
  <c r="M1091" i="3"/>
  <c r="S1091" i="3"/>
  <c r="D1092" i="3"/>
  <c r="F1092" i="3" s="1"/>
  <c r="E1092" i="3"/>
  <c r="G1092" i="3" s="1"/>
  <c r="H1092" i="3"/>
  <c r="I1092" i="3"/>
  <c r="J1092" i="3"/>
  <c r="L1092" i="3"/>
  <c r="M1092" i="3"/>
  <c r="S1092" i="3"/>
  <c r="D1093" i="3"/>
  <c r="F1093" i="3" s="1"/>
  <c r="E1093" i="3"/>
  <c r="G1093" i="3" s="1"/>
  <c r="H1093" i="3"/>
  <c r="I1093" i="3"/>
  <c r="J1093" i="3"/>
  <c r="L1093" i="3"/>
  <c r="M1093" i="3"/>
  <c r="S1093" i="3"/>
  <c r="D1094" i="3"/>
  <c r="F1094" i="3" s="1"/>
  <c r="E1094" i="3"/>
  <c r="G1094" i="3" s="1"/>
  <c r="H1094" i="3"/>
  <c r="I1094" i="3"/>
  <c r="J1094" i="3"/>
  <c r="L1094" i="3"/>
  <c r="M1094" i="3"/>
  <c r="S1094" i="3"/>
  <c r="D1095" i="3"/>
  <c r="F1095" i="3" s="1"/>
  <c r="E1095" i="3"/>
  <c r="G1095" i="3" s="1"/>
  <c r="H1095" i="3"/>
  <c r="I1095" i="3"/>
  <c r="J1095" i="3"/>
  <c r="L1095" i="3"/>
  <c r="M1095" i="3"/>
  <c r="S1095" i="3"/>
  <c r="D1096" i="3"/>
  <c r="F1096" i="3" s="1"/>
  <c r="E1096" i="3"/>
  <c r="G1096" i="3" s="1"/>
  <c r="H1096" i="3"/>
  <c r="I1096" i="3"/>
  <c r="J1096" i="3"/>
  <c r="L1096" i="3"/>
  <c r="M1096" i="3"/>
  <c r="S1096" i="3"/>
  <c r="D1097" i="3"/>
  <c r="F1097" i="3" s="1"/>
  <c r="E1097" i="3"/>
  <c r="G1097" i="3" s="1"/>
  <c r="H1097" i="3"/>
  <c r="I1097" i="3"/>
  <c r="J1097" i="3"/>
  <c r="L1097" i="3"/>
  <c r="M1097" i="3"/>
  <c r="S1097" i="3"/>
  <c r="D1098" i="3"/>
  <c r="F1098" i="3" s="1"/>
  <c r="E1098" i="3"/>
  <c r="G1098" i="3" s="1"/>
  <c r="H1098" i="3"/>
  <c r="I1098" i="3"/>
  <c r="J1098" i="3"/>
  <c r="L1098" i="3"/>
  <c r="M1098" i="3"/>
  <c r="S1098" i="3"/>
  <c r="D1099" i="3"/>
  <c r="F1099" i="3" s="1"/>
  <c r="E1099" i="3"/>
  <c r="G1099" i="3" s="1"/>
  <c r="H1099" i="3"/>
  <c r="I1099" i="3"/>
  <c r="J1099" i="3"/>
  <c r="L1099" i="3"/>
  <c r="M1099" i="3"/>
  <c r="S1099" i="3"/>
  <c r="D1100" i="3"/>
  <c r="F1100" i="3" s="1"/>
  <c r="E1100" i="3"/>
  <c r="G1100" i="3" s="1"/>
  <c r="H1100" i="3"/>
  <c r="I1100" i="3"/>
  <c r="J1100" i="3"/>
  <c r="L1100" i="3"/>
  <c r="M1100" i="3"/>
  <c r="S1100" i="3"/>
  <c r="D1101" i="3"/>
  <c r="F1101" i="3" s="1"/>
  <c r="E1101" i="3"/>
  <c r="G1101" i="3" s="1"/>
  <c r="H1101" i="3"/>
  <c r="I1101" i="3"/>
  <c r="J1101" i="3"/>
  <c r="L1101" i="3"/>
  <c r="M1101" i="3"/>
  <c r="S1101" i="3"/>
  <c r="D1102" i="3"/>
  <c r="F1102" i="3" s="1"/>
  <c r="E1102" i="3"/>
  <c r="G1102" i="3" s="1"/>
  <c r="H1102" i="3"/>
  <c r="I1102" i="3"/>
  <c r="J1102" i="3"/>
  <c r="L1102" i="3"/>
  <c r="M1102" i="3"/>
  <c r="S1102" i="3"/>
  <c r="D1103" i="3"/>
  <c r="F1103" i="3" s="1"/>
  <c r="E1103" i="3"/>
  <c r="G1103" i="3" s="1"/>
  <c r="H1103" i="3"/>
  <c r="I1103" i="3"/>
  <c r="J1103" i="3"/>
  <c r="L1103" i="3"/>
  <c r="M1103" i="3"/>
  <c r="S1103" i="3"/>
  <c r="D1104" i="3"/>
  <c r="F1104" i="3" s="1"/>
  <c r="E1104" i="3"/>
  <c r="G1104" i="3" s="1"/>
  <c r="H1104" i="3"/>
  <c r="I1104" i="3"/>
  <c r="J1104" i="3"/>
  <c r="L1104" i="3"/>
  <c r="M1104" i="3"/>
  <c r="S1104" i="3"/>
  <c r="D1105" i="3"/>
  <c r="F1105" i="3" s="1"/>
  <c r="E1105" i="3"/>
  <c r="G1105" i="3" s="1"/>
  <c r="H1105" i="3"/>
  <c r="I1105" i="3"/>
  <c r="J1105" i="3"/>
  <c r="L1105" i="3"/>
  <c r="M1105" i="3"/>
  <c r="S1105" i="3"/>
  <c r="D1106" i="3"/>
  <c r="F1106" i="3" s="1"/>
  <c r="E1106" i="3"/>
  <c r="G1106" i="3" s="1"/>
  <c r="H1106" i="3"/>
  <c r="I1106" i="3"/>
  <c r="J1106" i="3"/>
  <c r="L1106" i="3"/>
  <c r="M1106" i="3"/>
  <c r="S1106" i="3"/>
  <c r="D1107" i="3"/>
  <c r="F1107" i="3" s="1"/>
  <c r="E1107" i="3"/>
  <c r="G1107" i="3" s="1"/>
  <c r="H1107" i="3"/>
  <c r="I1107" i="3"/>
  <c r="J1107" i="3"/>
  <c r="L1107" i="3"/>
  <c r="M1107" i="3"/>
  <c r="S1107" i="3"/>
  <c r="D1108" i="3"/>
  <c r="F1108" i="3" s="1"/>
  <c r="E1108" i="3"/>
  <c r="G1108" i="3" s="1"/>
  <c r="H1108" i="3"/>
  <c r="I1108" i="3"/>
  <c r="J1108" i="3"/>
  <c r="L1108" i="3"/>
  <c r="M1108" i="3"/>
  <c r="S1108" i="3"/>
  <c r="D1109" i="3"/>
  <c r="F1109" i="3" s="1"/>
  <c r="E1109" i="3"/>
  <c r="G1109" i="3" s="1"/>
  <c r="H1109" i="3"/>
  <c r="I1109" i="3"/>
  <c r="J1109" i="3"/>
  <c r="L1109" i="3"/>
  <c r="M1109" i="3"/>
  <c r="S1109" i="3"/>
  <c r="D1110" i="3"/>
  <c r="F1110" i="3" s="1"/>
  <c r="E1110" i="3"/>
  <c r="G1110" i="3" s="1"/>
  <c r="H1110" i="3"/>
  <c r="I1110" i="3"/>
  <c r="J1110" i="3"/>
  <c r="L1110" i="3"/>
  <c r="M1110" i="3"/>
  <c r="S1110" i="3"/>
  <c r="D1111" i="3"/>
  <c r="F1111" i="3" s="1"/>
  <c r="E1111" i="3"/>
  <c r="G1111" i="3" s="1"/>
  <c r="H1111" i="3"/>
  <c r="I1111" i="3"/>
  <c r="J1111" i="3"/>
  <c r="L1111" i="3"/>
  <c r="M1111" i="3"/>
  <c r="S1111" i="3"/>
  <c r="D1112" i="3"/>
  <c r="F1112" i="3" s="1"/>
  <c r="E1112" i="3"/>
  <c r="G1112" i="3" s="1"/>
  <c r="H1112" i="3"/>
  <c r="I1112" i="3"/>
  <c r="J1112" i="3"/>
  <c r="L1112" i="3"/>
  <c r="M1112" i="3"/>
  <c r="S1112" i="3"/>
  <c r="D1113" i="3"/>
  <c r="F1113" i="3" s="1"/>
  <c r="E1113" i="3"/>
  <c r="G1113" i="3" s="1"/>
  <c r="H1113" i="3"/>
  <c r="I1113" i="3"/>
  <c r="J1113" i="3"/>
  <c r="L1113" i="3"/>
  <c r="M1113" i="3"/>
  <c r="S1113" i="3"/>
  <c r="D1114" i="3"/>
  <c r="F1114" i="3" s="1"/>
  <c r="E1114" i="3"/>
  <c r="G1114" i="3" s="1"/>
  <c r="H1114" i="3"/>
  <c r="I1114" i="3"/>
  <c r="J1114" i="3"/>
  <c r="L1114" i="3"/>
  <c r="M1114" i="3"/>
  <c r="S1114" i="3"/>
  <c r="D1115" i="3"/>
  <c r="F1115" i="3" s="1"/>
  <c r="E1115" i="3"/>
  <c r="G1115" i="3" s="1"/>
  <c r="H1115" i="3"/>
  <c r="I1115" i="3"/>
  <c r="J1115" i="3"/>
  <c r="L1115" i="3"/>
  <c r="M1115" i="3"/>
  <c r="S1115" i="3"/>
  <c r="D1116" i="3"/>
  <c r="F1116" i="3" s="1"/>
  <c r="E1116" i="3"/>
  <c r="G1116" i="3" s="1"/>
  <c r="H1116" i="3"/>
  <c r="I1116" i="3"/>
  <c r="J1116" i="3"/>
  <c r="L1116" i="3"/>
  <c r="M1116" i="3"/>
  <c r="S1116" i="3"/>
  <c r="D1117" i="3"/>
  <c r="F1117" i="3" s="1"/>
  <c r="E1117" i="3"/>
  <c r="G1117" i="3" s="1"/>
  <c r="H1117" i="3"/>
  <c r="I1117" i="3"/>
  <c r="J1117" i="3"/>
  <c r="L1117" i="3"/>
  <c r="M1117" i="3"/>
  <c r="S1117" i="3"/>
  <c r="D1118" i="3"/>
  <c r="F1118" i="3" s="1"/>
  <c r="E1118" i="3"/>
  <c r="G1118" i="3" s="1"/>
  <c r="H1118" i="3"/>
  <c r="I1118" i="3"/>
  <c r="J1118" i="3"/>
  <c r="K1118" i="3"/>
  <c r="L1118" i="3"/>
  <c r="M1118" i="3"/>
  <c r="S1118" i="3"/>
  <c r="D1119" i="3"/>
  <c r="F1119" i="3" s="1"/>
  <c r="E1119" i="3"/>
  <c r="G1119" i="3" s="1"/>
  <c r="H1119" i="3"/>
  <c r="I1119" i="3"/>
  <c r="J1119" i="3"/>
  <c r="L1119" i="3"/>
  <c r="M1119" i="3"/>
  <c r="S1119" i="3"/>
  <c r="D1120" i="3"/>
  <c r="F1120" i="3" s="1"/>
  <c r="E1120" i="3"/>
  <c r="G1120" i="3" s="1"/>
  <c r="H1120" i="3"/>
  <c r="I1120" i="3"/>
  <c r="J1120" i="3"/>
  <c r="L1120" i="3"/>
  <c r="M1120" i="3"/>
  <c r="S1120" i="3"/>
  <c r="D1121" i="3"/>
  <c r="F1121" i="3" s="1"/>
  <c r="E1121" i="3"/>
  <c r="G1121" i="3" s="1"/>
  <c r="H1121" i="3"/>
  <c r="I1121" i="3"/>
  <c r="J1121" i="3"/>
  <c r="L1121" i="3"/>
  <c r="M1121" i="3"/>
  <c r="S1121" i="3"/>
  <c r="D1122" i="3"/>
  <c r="F1122" i="3" s="1"/>
  <c r="E1122" i="3"/>
  <c r="G1122" i="3" s="1"/>
  <c r="H1122" i="3"/>
  <c r="I1122" i="3"/>
  <c r="J1122" i="3"/>
  <c r="L1122" i="3"/>
  <c r="M1122" i="3"/>
  <c r="S1122" i="3"/>
  <c r="D1123" i="3"/>
  <c r="F1123" i="3" s="1"/>
  <c r="E1123" i="3"/>
  <c r="G1123" i="3" s="1"/>
  <c r="H1123" i="3"/>
  <c r="I1123" i="3"/>
  <c r="J1123" i="3"/>
  <c r="L1123" i="3"/>
  <c r="M1123" i="3"/>
  <c r="S1123" i="3"/>
  <c r="D1124" i="3"/>
  <c r="F1124" i="3" s="1"/>
  <c r="E1124" i="3"/>
  <c r="G1124" i="3" s="1"/>
  <c r="H1124" i="3"/>
  <c r="I1124" i="3"/>
  <c r="J1124" i="3"/>
  <c r="L1124" i="3"/>
  <c r="M1124" i="3"/>
  <c r="S1124" i="3"/>
  <c r="D1125" i="3"/>
  <c r="F1125" i="3" s="1"/>
  <c r="E1125" i="3"/>
  <c r="G1125" i="3" s="1"/>
  <c r="H1125" i="3"/>
  <c r="I1125" i="3"/>
  <c r="J1125" i="3"/>
  <c r="L1125" i="3"/>
  <c r="M1125" i="3"/>
  <c r="S1125" i="3"/>
  <c r="D1126" i="3"/>
  <c r="F1126" i="3" s="1"/>
  <c r="E1126" i="3"/>
  <c r="G1126" i="3" s="1"/>
  <c r="H1126" i="3"/>
  <c r="I1126" i="3"/>
  <c r="J1126" i="3"/>
  <c r="L1126" i="3"/>
  <c r="M1126" i="3"/>
  <c r="S1126" i="3"/>
  <c r="D1127" i="3"/>
  <c r="F1127" i="3" s="1"/>
  <c r="E1127" i="3"/>
  <c r="G1127" i="3" s="1"/>
  <c r="H1127" i="3"/>
  <c r="I1127" i="3"/>
  <c r="J1127" i="3"/>
  <c r="L1127" i="3"/>
  <c r="M1127" i="3"/>
  <c r="S1127" i="3"/>
  <c r="D1128" i="3"/>
  <c r="F1128" i="3" s="1"/>
  <c r="E1128" i="3"/>
  <c r="G1128" i="3" s="1"/>
  <c r="H1128" i="3"/>
  <c r="I1128" i="3"/>
  <c r="J1128" i="3"/>
  <c r="L1128" i="3"/>
  <c r="M1128" i="3"/>
  <c r="S1128" i="3"/>
  <c r="D1129" i="3"/>
  <c r="F1129" i="3" s="1"/>
  <c r="E1129" i="3"/>
  <c r="G1129" i="3" s="1"/>
  <c r="H1129" i="3"/>
  <c r="I1129" i="3"/>
  <c r="J1129" i="3"/>
  <c r="L1129" i="3"/>
  <c r="M1129" i="3"/>
  <c r="S1129" i="3"/>
  <c r="D1130" i="3"/>
  <c r="F1130" i="3" s="1"/>
  <c r="E1130" i="3"/>
  <c r="G1130" i="3" s="1"/>
  <c r="H1130" i="3"/>
  <c r="I1130" i="3"/>
  <c r="J1130" i="3"/>
  <c r="L1130" i="3"/>
  <c r="M1130" i="3"/>
  <c r="S1130" i="3"/>
  <c r="D1131" i="3"/>
  <c r="F1131" i="3" s="1"/>
  <c r="E1131" i="3"/>
  <c r="G1131" i="3" s="1"/>
  <c r="H1131" i="3"/>
  <c r="I1131" i="3"/>
  <c r="J1131" i="3"/>
  <c r="L1131" i="3"/>
  <c r="M1131" i="3"/>
  <c r="S1131" i="3"/>
  <c r="D1132" i="3"/>
  <c r="F1132" i="3" s="1"/>
  <c r="E1132" i="3"/>
  <c r="G1132" i="3" s="1"/>
  <c r="H1132" i="3"/>
  <c r="I1132" i="3"/>
  <c r="J1132" i="3"/>
  <c r="L1132" i="3"/>
  <c r="M1132" i="3"/>
  <c r="S1132" i="3"/>
  <c r="D1133" i="3"/>
  <c r="F1133" i="3" s="1"/>
  <c r="E1133" i="3"/>
  <c r="G1133" i="3" s="1"/>
  <c r="H1133" i="3"/>
  <c r="I1133" i="3"/>
  <c r="J1133" i="3"/>
  <c r="L1133" i="3"/>
  <c r="M1133" i="3"/>
  <c r="S1133" i="3"/>
  <c r="D1134" i="3"/>
  <c r="F1134" i="3" s="1"/>
  <c r="E1134" i="3"/>
  <c r="G1134" i="3" s="1"/>
  <c r="H1134" i="3"/>
  <c r="I1134" i="3"/>
  <c r="J1134" i="3"/>
  <c r="L1134" i="3"/>
  <c r="M1134" i="3"/>
  <c r="S1134" i="3"/>
  <c r="D1135" i="3"/>
  <c r="F1135" i="3" s="1"/>
  <c r="E1135" i="3"/>
  <c r="G1135" i="3" s="1"/>
  <c r="H1135" i="3"/>
  <c r="I1135" i="3"/>
  <c r="J1135" i="3"/>
  <c r="L1135" i="3"/>
  <c r="M1135" i="3"/>
  <c r="S1135" i="3"/>
  <c r="D1136" i="3"/>
  <c r="E1136" i="3"/>
  <c r="G1136" i="3" s="1"/>
  <c r="F1136" i="3"/>
  <c r="H1136" i="3"/>
  <c r="I1136" i="3"/>
  <c r="J1136" i="3"/>
  <c r="L1136" i="3"/>
  <c r="M1136" i="3"/>
  <c r="S1136" i="3"/>
  <c r="D1137" i="3"/>
  <c r="F1137" i="3" s="1"/>
  <c r="E1137" i="3"/>
  <c r="G1137" i="3" s="1"/>
  <c r="H1137" i="3"/>
  <c r="I1137" i="3"/>
  <c r="J1137" i="3"/>
  <c r="L1137" i="3"/>
  <c r="M1137" i="3"/>
  <c r="S1137" i="3"/>
  <c r="D1138" i="3"/>
  <c r="F1138" i="3" s="1"/>
  <c r="E1138" i="3"/>
  <c r="G1138" i="3" s="1"/>
  <c r="H1138" i="3"/>
  <c r="I1138" i="3"/>
  <c r="J1138" i="3"/>
  <c r="L1138" i="3"/>
  <c r="M1138" i="3"/>
  <c r="S1138" i="3"/>
  <c r="D1139" i="3"/>
  <c r="F1139" i="3" s="1"/>
  <c r="E1139" i="3"/>
  <c r="G1139" i="3" s="1"/>
  <c r="H1139" i="3"/>
  <c r="I1139" i="3"/>
  <c r="J1139" i="3"/>
  <c r="L1139" i="3"/>
  <c r="M1139" i="3"/>
  <c r="S1139" i="3"/>
  <c r="D1140" i="3"/>
  <c r="F1140" i="3" s="1"/>
  <c r="E1140" i="3"/>
  <c r="G1140" i="3" s="1"/>
  <c r="H1140" i="3"/>
  <c r="I1140" i="3"/>
  <c r="J1140" i="3"/>
  <c r="L1140" i="3"/>
  <c r="M1140" i="3"/>
  <c r="S1140" i="3"/>
  <c r="D1141" i="3"/>
  <c r="F1141" i="3" s="1"/>
  <c r="E1141" i="3"/>
  <c r="G1141" i="3" s="1"/>
  <c r="H1141" i="3"/>
  <c r="I1141" i="3"/>
  <c r="J1141" i="3"/>
  <c r="L1141" i="3"/>
  <c r="M1141" i="3"/>
  <c r="S1141" i="3"/>
  <c r="D1142" i="3"/>
  <c r="F1142" i="3" s="1"/>
  <c r="E1142" i="3"/>
  <c r="G1142" i="3" s="1"/>
  <c r="H1142" i="3"/>
  <c r="I1142" i="3"/>
  <c r="J1142" i="3"/>
  <c r="L1142" i="3"/>
  <c r="M1142" i="3"/>
  <c r="S1142" i="3"/>
  <c r="D1143" i="3"/>
  <c r="F1143" i="3" s="1"/>
  <c r="E1143" i="3"/>
  <c r="G1143" i="3" s="1"/>
  <c r="H1143" i="3"/>
  <c r="I1143" i="3"/>
  <c r="J1143" i="3"/>
  <c r="L1143" i="3"/>
  <c r="M1143" i="3"/>
  <c r="S1143" i="3"/>
  <c r="D1144" i="3"/>
  <c r="F1144" i="3" s="1"/>
  <c r="E1144" i="3"/>
  <c r="G1144" i="3" s="1"/>
  <c r="H1144" i="3"/>
  <c r="I1144" i="3"/>
  <c r="J1144" i="3"/>
  <c r="L1144" i="3"/>
  <c r="M1144" i="3"/>
  <c r="S1144" i="3"/>
  <c r="D1145" i="3"/>
  <c r="F1145" i="3" s="1"/>
  <c r="E1145" i="3"/>
  <c r="G1145" i="3"/>
  <c r="H1145" i="3"/>
  <c r="I1145" i="3"/>
  <c r="J1145" i="3"/>
  <c r="L1145" i="3"/>
  <c r="M1145" i="3"/>
  <c r="S1145" i="3"/>
  <c r="D1146" i="3"/>
  <c r="F1146" i="3" s="1"/>
  <c r="E1146" i="3"/>
  <c r="G1146" i="3" s="1"/>
  <c r="H1146" i="3"/>
  <c r="I1146" i="3"/>
  <c r="J1146" i="3"/>
  <c r="L1146" i="3"/>
  <c r="M1146" i="3"/>
  <c r="S1146" i="3"/>
  <c r="D1147" i="3"/>
  <c r="F1147" i="3" s="1"/>
  <c r="E1147" i="3"/>
  <c r="G1147" i="3" s="1"/>
  <c r="H1147" i="3"/>
  <c r="I1147" i="3"/>
  <c r="J1147" i="3"/>
  <c r="L1147" i="3"/>
  <c r="M1147" i="3"/>
  <c r="S1147" i="3"/>
  <c r="D1148" i="3"/>
  <c r="F1148" i="3" s="1"/>
  <c r="E1148" i="3"/>
  <c r="G1148" i="3" s="1"/>
  <c r="H1148" i="3"/>
  <c r="I1148" i="3"/>
  <c r="J1148" i="3"/>
  <c r="L1148" i="3"/>
  <c r="M1148" i="3"/>
  <c r="S1148" i="3"/>
  <c r="D1149" i="3"/>
  <c r="F1149" i="3" s="1"/>
  <c r="E1149" i="3"/>
  <c r="G1149" i="3" s="1"/>
  <c r="H1149" i="3"/>
  <c r="I1149" i="3"/>
  <c r="J1149" i="3"/>
  <c r="L1149" i="3"/>
  <c r="M1149" i="3"/>
  <c r="S1149" i="3"/>
  <c r="D1150" i="3"/>
  <c r="F1150" i="3" s="1"/>
  <c r="E1150" i="3"/>
  <c r="G1150" i="3" s="1"/>
  <c r="H1150" i="3"/>
  <c r="I1150" i="3"/>
  <c r="J1150" i="3"/>
  <c r="L1150" i="3"/>
  <c r="M1150" i="3"/>
  <c r="S1150" i="3"/>
  <c r="D1151" i="3"/>
  <c r="F1151" i="3" s="1"/>
  <c r="E1151" i="3"/>
  <c r="G1151" i="3" s="1"/>
  <c r="H1151" i="3"/>
  <c r="I1151" i="3"/>
  <c r="J1151" i="3"/>
  <c r="L1151" i="3"/>
  <c r="M1151" i="3"/>
  <c r="S1151" i="3"/>
  <c r="D1152" i="3"/>
  <c r="F1152" i="3" s="1"/>
  <c r="E1152" i="3"/>
  <c r="G1152" i="3" s="1"/>
  <c r="H1152" i="3"/>
  <c r="I1152" i="3"/>
  <c r="J1152" i="3"/>
  <c r="L1152" i="3"/>
  <c r="M1152" i="3"/>
  <c r="S1152" i="3"/>
  <c r="D1017" i="3"/>
  <c r="F1017" i="3" s="1"/>
  <c r="E1017" i="3"/>
  <c r="G1017" i="3" s="1"/>
  <c r="H1017" i="3"/>
  <c r="I1017" i="3"/>
  <c r="J1017" i="3"/>
  <c r="L1017" i="3"/>
  <c r="M1017" i="3"/>
  <c r="S1017" i="3"/>
  <c r="D1018" i="3"/>
  <c r="F1018" i="3" s="1"/>
  <c r="E1018" i="3"/>
  <c r="G1018" i="3" s="1"/>
  <c r="H1018" i="3"/>
  <c r="I1018" i="3"/>
  <c r="J1018" i="3"/>
  <c r="L1018" i="3"/>
  <c r="M1018" i="3"/>
  <c r="S1018" i="3"/>
  <c r="D1019" i="3"/>
  <c r="F1019" i="3" s="1"/>
  <c r="E1019" i="3"/>
  <c r="G1019" i="3" s="1"/>
  <c r="H1019" i="3"/>
  <c r="I1019" i="3"/>
  <c r="J1019" i="3"/>
  <c r="L1019" i="3"/>
  <c r="M1019" i="3"/>
  <c r="S1019" i="3"/>
  <c r="D1020" i="3"/>
  <c r="F1020" i="3" s="1"/>
  <c r="E1020" i="3"/>
  <c r="G1020" i="3" s="1"/>
  <c r="H1020" i="3"/>
  <c r="I1020" i="3"/>
  <c r="J1020" i="3"/>
  <c r="L1020" i="3"/>
  <c r="M1020" i="3"/>
  <c r="S1020" i="3"/>
  <c r="D1021" i="3"/>
  <c r="F1021" i="3" s="1"/>
  <c r="E1021" i="3"/>
  <c r="G1021" i="3" s="1"/>
  <c r="H1021" i="3"/>
  <c r="I1021" i="3"/>
  <c r="J1021" i="3"/>
  <c r="L1021" i="3"/>
  <c r="M1021" i="3"/>
  <c r="S1021" i="3"/>
  <c r="D1022" i="3"/>
  <c r="F1022" i="3" s="1"/>
  <c r="E1022" i="3"/>
  <c r="G1022" i="3" s="1"/>
  <c r="H1022" i="3"/>
  <c r="I1022" i="3"/>
  <c r="J1022" i="3"/>
  <c r="L1022" i="3"/>
  <c r="M1022" i="3"/>
  <c r="S1022" i="3"/>
  <c r="D1023" i="3"/>
  <c r="F1023" i="3" s="1"/>
  <c r="E1023" i="3"/>
  <c r="G1023" i="3" s="1"/>
  <c r="H1023" i="3"/>
  <c r="I1023" i="3"/>
  <c r="J1023" i="3"/>
  <c r="L1023" i="3"/>
  <c r="M1023" i="3"/>
  <c r="S1023" i="3"/>
  <c r="D1024" i="3"/>
  <c r="F1024" i="3" s="1"/>
  <c r="E1024" i="3"/>
  <c r="G1024" i="3" s="1"/>
  <c r="H1024" i="3"/>
  <c r="I1024" i="3"/>
  <c r="J1024" i="3"/>
  <c r="L1024" i="3"/>
  <c r="M1024" i="3"/>
  <c r="S1024" i="3"/>
  <c r="D1025" i="3"/>
  <c r="F1025" i="3" s="1"/>
  <c r="E1025" i="3"/>
  <c r="G1025" i="3" s="1"/>
  <c r="H1025" i="3"/>
  <c r="I1025" i="3"/>
  <c r="J1025" i="3"/>
  <c r="L1025" i="3"/>
  <c r="M1025" i="3"/>
  <c r="S1025" i="3"/>
  <c r="D1026" i="3"/>
  <c r="E1026" i="3"/>
  <c r="G1026" i="3" s="1"/>
  <c r="F1026" i="3"/>
  <c r="H1026" i="3"/>
  <c r="I1026" i="3"/>
  <c r="J1026" i="3"/>
  <c r="L1026" i="3"/>
  <c r="M1026" i="3"/>
  <c r="S1026" i="3"/>
  <c r="D1027" i="3"/>
  <c r="F1027" i="3" s="1"/>
  <c r="E1027" i="3"/>
  <c r="G1027" i="3" s="1"/>
  <c r="H1027" i="3"/>
  <c r="I1027" i="3"/>
  <c r="J1027" i="3"/>
  <c r="L1027" i="3"/>
  <c r="M1027" i="3"/>
  <c r="S1027" i="3"/>
  <c r="D1028" i="3"/>
  <c r="F1028" i="3" s="1"/>
  <c r="E1028" i="3"/>
  <c r="G1028" i="3" s="1"/>
  <c r="H1028" i="3"/>
  <c r="I1028" i="3"/>
  <c r="J1028" i="3"/>
  <c r="L1028" i="3"/>
  <c r="M1028" i="3"/>
  <c r="S1028" i="3"/>
  <c r="D1029" i="3"/>
  <c r="F1029" i="3" s="1"/>
  <c r="E1029" i="3"/>
  <c r="G1029" i="3" s="1"/>
  <c r="H1029" i="3"/>
  <c r="I1029" i="3"/>
  <c r="J1029" i="3"/>
  <c r="L1029" i="3"/>
  <c r="M1029" i="3"/>
  <c r="S1029" i="3"/>
  <c r="D1030" i="3"/>
  <c r="F1030" i="3" s="1"/>
  <c r="E1030" i="3"/>
  <c r="G1030" i="3" s="1"/>
  <c r="H1030" i="3"/>
  <c r="I1030" i="3"/>
  <c r="J1030" i="3"/>
  <c r="L1030" i="3"/>
  <c r="M1030" i="3"/>
  <c r="S1030" i="3"/>
  <c r="D1031" i="3"/>
  <c r="F1031" i="3" s="1"/>
  <c r="E1031" i="3"/>
  <c r="G1031" i="3" s="1"/>
  <c r="H1031" i="3"/>
  <c r="I1031" i="3"/>
  <c r="J1031" i="3"/>
  <c r="L1031" i="3"/>
  <c r="M1031" i="3"/>
  <c r="S1031" i="3"/>
  <c r="D1032" i="3"/>
  <c r="F1032" i="3" s="1"/>
  <c r="E1032" i="3"/>
  <c r="G1032" i="3" s="1"/>
  <c r="H1032" i="3"/>
  <c r="I1032" i="3"/>
  <c r="J1032" i="3"/>
  <c r="L1032" i="3"/>
  <c r="M1032" i="3"/>
  <c r="S1032" i="3"/>
  <c r="D1033" i="3"/>
  <c r="F1033" i="3" s="1"/>
  <c r="E1033" i="3"/>
  <c r="G1033" i="3" s="1"/>
  <c r="H1033" i="3"/>
  <c r="I1033" i="3"/>
  <c r="J1033" i="3"/>
  <c r="L1033" i="3"/>
  <c r="M1033" i="3"/>
  <c r="S1033" i="3"/>
  <c r="D1034" i="3"/>
  <c r="F1034" i="3" s="1"/>
  <c r="E1034" i="3"/>
  <c r="G1034" i="3" s="1"/>
  <c r="H1034" i="3"/>
  <c r="I1034" i="3"/>
  <c r="J1034" i="3"/>
  <c r="L1034" i="3"/>
  <c r="M1034" i="3"/>
  <c r="S1034" i="3"/>
  <c r="D1035" i="3"/>
  <c r="F1035" i="3" s="1"/>
  <c r="E1035" i="3"/>
  <c r="G1035" i="3" s="1"/>
  <c r="H1035" i="3"/>
  <c r="I1035" i="3"/>
  <c r="J1035" i="3"/>
  <c r="L1035" i="3"/>
  <c r="M1035" i="3"/>
  <c r="S1035" i="3"/>
  <c r="D1036" i="3"/>
  <c r="F1036" i="3" s="1"/>
  <c r="E1036" i="3"/>
  <c r="G1036" i="3" s="1"/>
  <c r="H1036" i="3"/>
  <c r="I1036" i="3"/>
  <c r="J1036" i="3"/>
  <c r="L1036" i="3"/>
  <c r="M1036" i="3"/>
  <c r="S1036" i="3"/>
  <c r="D1037" i="3"/>
  <c r="F1037" i="3" s="1"/>
  <c r="E1037" i="3"/>
  <c r="G1037" i="3" s="1"/>
  <c r="H1037" i="3"/>
  <c r="I1037" i="3"/>
  <c r="J1037" i="3"/>
  <c r="L1037" i="3"/>
  <c r="M1037" i="3"/>
  <c r="S1037" i="3"/>
  <c r="D1038" i="3"/>
  <c r="F1038" i="3" s="1"/>
  <c r="E1038" i="3"/>
  <c r="G1038" i="3" s="1"/>
  <c r="H1038" i="3"/>
  <c r="I1038" i="3"/>
  <c r="J1038" i="3"/>
  <c r="L1038" i="3"/>
  <c r="M1038" i="3"/>
  <c r="S1038" i="3"/>
  <c r="D1039" i="3"/>
  <c r="F1039" i="3" s="1"/>
  <c r="E1039" i="3"/>
  <c r="G1039" i="3" s="1"/>
  <c r="H1039" i="3"/>
  <c r="I1039" i="3"/>
  <c r="J1039" i="3"/>
  <c r="L1039" i="3"/>
  <c r="M1039" i="3"/>
  <c r="S1039" i="3"/>
  <c r="D1040" i="3"/>
  <c r="F1040" i="3" s="1"/>
  <c r="E1040" i="3"/>
  <c r="G1040" i="3" s="1"/>
  <c r="H1040" i="3"/>
  <c r="I1040" i="3"/>
  <c r="J1040" i="3"/>
  <c r="L1040" i="3"/>
  <c r="M1040" i="3"/>
  <c r="S1040" i="3"/>
  <c r="D1041" i="3"/>
  <c r="F1041" i="3" s="1"/>
  <c r="E1041" i="3"/>
  <c r="G1041" i="3" s="1"/>
  <c r="H1041" i="3"/>
  <c r="I1041" i="3"/>
  <c r="J1041" i="3"/>
  <c r="L1041" i="3"/>
  <c r="M1041" i="3"/>
  <c r="S1041" i="3"/>
  <c r="D1042" i="3"/>
  <c r="F1042" i="3" s="1"/>
  <c r="E1042" i="3"/>
  <c r="G1042" i="3" s="1"/>
  <c r="H1042" i="3"/>
  <c r="I1042" i="3"/>
  <c r="J1042" i="3"/>
  <c r="L1042" i="3"/>
  <c r="M1042" i="3"/>
  <c r="S1042" i="3"/>
  <c r="D1043" i="3"/>
  <c r="F1043" i="3" s="1"/>
  <c r="E1043" i="3"/>
  <c r="G1043" i="3" s="1"/>
  <c r="H1043" i="3"/>
  <c r="I1043" i="3"/>
  <c r="J1043" i="3"/>
  <c r="L1043" i="3"/>
  <c r="M1043" i="3"/>
  <c r="S1043" i="3"/>
  <c r="D1044" i="3"/>
  <c r="F1044" i="3" s="1"/>
  <c r="E1044" i="3"/>
  <c r="G1044" i="3" s="1"/>
  <c r="H1044" i="3"/>
  <c r="I1044" i="3"/>
  <c r="J1044" i="3"/>
  <c r="L1044" i="3"/>
  <c r="M1044" i="3"/>
  <c r="S1044" i="3"/>
  <c r="D1045" i="3"/>
  <c r="F1045" i="3" s="1"/>
  <c r="E1045" i="3"/>
  <c r="G1045" i="3" s="1"/>
  <c r="H1045" i="3"/>
  <c r="I1045" i="3"/>
  <c r="J1045" i="3"/>
  <c r="L1045" i="3"/>
  <c r="M1045" i="3"/>
  <c r="S1045" i="3"/>
  <c r="D1046" i="3"/>
  <c r="F1046" i="3" s="1"/>
  <c r="E1046" i="3"/>
  <c r="G1046" i="3" s="1"/>
  <c r="H1046" i="3"/>
  <c r="I1046" i="3"/>
  <c r="J1046" i="3"/>
  <c r="L1046" i="3"/>
  <c r="M1046" i="3"/>
  <c r="S1046" i="3"/>
  <c r="D1047" i="3"/>
  <c r="F1047" i="3" s="1"/>
  <c r="E1047" i="3"/>
  <c r="G1047" i="3" s="1"/>
  <c r="H1047" i="3"/>
  <c r="I1047" i="3"/>
  <c r="J1047" i="3"/>
  <c r="L1047" i="3"/>
  <c r="M1047" i="3"/>
  <c r="S1047" i="3"/>
  <c r="D1048" i="3"/>
  <c r="F1048" i="3" s="1"/>
  <c r="E1048" i="3"/>
  <c r="G1048" i="3" s="1"/>
  <c r="H1048" i="3"/>
  <c r="I1048" i="3"/>
  <c r="J1048" i="3"/>
  <c r="L1048" i="3"/>
  <c r="M1048" i="3"/>
  <c r="S1048" i="3"/>
  <c r="D1049" i="3"/>
  <c r="F1049" i="3" s="1"/>
  <c r="E1049" i="3"/>
  <c r="G1049" i="3" s="1"/>
  <c r="H1049" i="3"/>
  <c r="I1049" i="3"/>
  <c r="J1049" i="3"/>
  <c r="L1049" i="3"/>
  <c r="M1049" i="3"/>
  <c r="S1049" i="3"/>
  <c r="D1050" i="3"/>
  <c r="F1050" i="3" s="1"/>
  <c r="E1050" i="3"/>
  <c r="G1050" i="3" s="1"/>
  <c r="H1050" i="3"/>
  <c r="I1050" i="3"/>
  <c r="J1050" i="3"/>
  <c r="L1050" i="3"/>
  <c r="M1050" i="3"/>
  <c r="S1050" i="3"/>
  <c r="D1051" i="3"/>
  <c r="F1051" i="3" s="1"/>
  <c r="E1051" i="3"/>
  <c r="G1051" i="3" s="1"/>
  <c r="H1051" i="3"/>
  <c r="I1051" i="3"/>
  <c r="J1051" i="3"/>
  <c r="L1051" i="3"/>
  <c r="M1051" i="3"/>
  <c r="S1051" i="3"/>
  <c r="D1052" i="3"/>
  <c r="F1052" i="3" s="1"/>
  <c r="E1052" i="3"/>
  <c r="G1052" i="3"/>
  <c r="H1052" i="3"/>
  <c r="I1052" i="3"/>
  <c r="J1052" i="3"/>
  <c r="L1052" i="3"/>
  <c r="M1052" i="3"/>
  <c r="S1052" i="3"/>
  <c r="D1053" i="3"/>
  <c r="F1053" i="3" s="1"/>
  <c r="E1053" i="3"/>
  <c r="G1053" i="3" s="1"/>
  <c r="H1053" i="3"/>
  <c r="I1053" i="3"/>
  <c r="J1053" i="3"/>
  <c r="L1053" i="3"/>
  <c r="M1053" i="3"/>
  <c r="S1053" i="3"/>
  <c r="D1054" i="3"/>
  <c r="F1054" i="3" s="1"/>
  <c r="E1054" i="3"/>
  <c r="G1054" i="3" s="1"/>
  <c r="H1054" i="3"/>
  <c r="I1054" i="3"/>
  <c r="J1054" i="3"/>
  <c r="L1054" i="3"/>
  <c r="M1054" i="3"/>
  <c r="S1054" i="3"/>
  <c r="D1055" i="3"/>
  <c r="F1055" i="3" s="1"/>
  <c r="E1055" i="3"/>
  <c r="G1055" i="3" s="1"/>
  <c r="H1055" i="3"/>
  <c r="I1055" i="3"/>
  <c r="J1055" i="3"/>
  <c r="L1055" i="3"/>
  <c r="M1055" i="3"/>
  <c r="S1055" i="3"/>
  <c r="D1056" i="3"/>
  <c r="F1056" i="3" s="1"/>
  <c r="E1056" i="3"/>
  <c r="G1056" i="3" s="1"/>
  <c r="H1056" i="3"/>
  <c r="I1056" i="3"/>
  <c r="J1056" i="3"/>
  <c r="L1056" i="3"/>
  <c r="M1056" i="3"/>
  <c r="S1056" i="3"/>
  <c r="D1057" i="3"/>
  <c r="F1057" i="3" s="1"/>
  <c r="E1057" i="3"/>
  <c r="G1057" i="3" s="1"/>
  <c r="H1057" i="3"/>
  <c r="I1057" i="3"/>
  <c r="J1057" i="3"/>
  <c r="L1057" i="3"/>
  <c r="M1057" i="3"/>
  <c r="S1057" i="3"/>
  <c r="D1058" i="3"/>
  <c r="F1058" i="3" s="1"/>
  <c r="E1058" i="3"/>
  <c r="G1058" i="3" s="1"/>
  <c r="H1058" i="3"/>
  <c r="I1058" i="3"/>
  <c r="J1058" i="3"/>
  <c r="L1058" i="3"/>
  <c r="M1058" i="3"/>
  <c r="S1058" i="3"/>
  <c r="D1059" i="3"/>
  <c r="F1059" i="3" s="1"/>
  <c r="E1059" i="3"/>
  <c r="G1059" i="3" s="1"/>
  <c r="H1059" i="3"/>
  <c r="I1059" i="3"/>
  <c r="J1059" i="3"/>
  <c r="L1059" i="3"/>
  <c r="M1059" i="3"/>
  <c r="S1059" i="3"/>
  <c r="D1060" i="3"/>
  <c r="F1060" i="3" s="1"/>
  <c r="E1060" i="3"/>
  <c r="G1060" i="3" s="1"/>
  <c r="H1060" i="3"/>
  <c r="I1060" i="3"/>
  <c r="J1060" i="3"/>
  <c r="L1060" i="3"/>
  <c r="M1060" i="3"/>
  <c r="S1060" i="3"/>
  <c r="D1061" i="3"/>
  <c r="F1061" i="3" s="1"/>
  <c r="E1061" i="3"/>
  <c r="G1061" i="3" s="1"/>
  <c r="H1061" i="3"/>
  <c r="I1061" i="3"/>
  <c r="J1061" i="3"/>
  <c r="L1061" i="3"/>
  <c r="M1061" i="3"/>
  <c r="S1061" i="3"/>
  <c r="D1062" i="3"/>
  <c r="F1062" i="3" s="1"/>
  <c r="E1062" i="3"/>
  <c r="G1062" i="3" s="1"/>
  <c r="H1062" i="3"/>
  <c r="I1062" i="3"/>
  <c r="J1062" i="3"/>
  <c r="L1062" i="3"/>
  <c r="M1062" i="3"/>
  <c r="S1062" i="3"/>
  <c r="D1063" i="3"/>
  <c r="F1063" i="3" s="1"/>
  <c r="E1063" i="3"/>
  <c r="G1063" i="3" s="1"/>
  <c r="H1063" i="3"/>
  <c r="I1063" i="3"/>
  <c r="J1063" i="3"/>
  <c r="L1063" i="3"/>
  <c r="M1063" i="3"/>
  <c r="S1063" i="3"/>
  <c r="D1064" i="3"/>
  <c r="F1064" i="3" s="1"/>
  <c r="E1064" i="3"/>
  <c r="G1064" i="3" s="1"/>
  <c r="H1064" i="3"/>
  <c r="I1064" i="3"/>
  <c r="J1064" i="3"/>
  <c r="L1064" i="3"/>
  <c r="M1064" i="3"/>
  <c r="S1064" i="3"/>
  <c r="D1065" i="3"/>
  <c r="F1065" i="3" s="1"/>
  <c r="E1065" i="3"/>
  <c r="G1065" i="3" s="1"/>
  <c r="H1065" i="3"/>
  <c r="I1065" i="3"/>
  <c r="J1065" i="3"/>
  <c r="L1065" i="3"/>
  <c r="M1065" i="3"/>
  <c r="S1065" i="3"/>
  <c r="D1066" i="3"/>
  <c r="F1066" i="3" s="1"/>
  <c r="E1066" i="3"/>
  <c r="G1066" i="3" s="1"/>
  <c r="H1066" i="3"/>
  <c r="I1066" i="3"/>
  <c r="J1066" i="3"/>
  <c r="L1066" i="3"/>
  <c r="M1066" i="3"/>
  <c r="S1066" i="3"/>
  <c r="D1067" i="3"/>
  <c r="F1067" i="3" s="1"/>
  <c r="E1067" i="3"/>
  <c r="G1067" i="3" s="1"/>
  <c r="H1067" i="3"/>
  <c r="I1067" i="3"/>
  <c r="J1067" i="3"/>
  <c r="L1067" i="3"/>
  <c r="M1067" i="3"/>
  <c r="S1067" i="3"/>
  <c r="D1068" i="3"/>
  <c r="F1068" i="3" s="1"/>
  <c r="E1068" i="3"/>
  <c r="G1068" i="3" s="1"/>
  <c r="H1068" i="3"/>
  <c r="I1068" i="3"/>
  <c r="J1068" i="3"/>
  <c r="L1068" i="3"/>
  <c r="M1068" i="3"/>
  <c r="S1068" i="3"/>
  <c r="D1069" i="3"/>
  <c r="F1069" i="3" s="1"/>
  <c r="E1069" i="3"/>
  <c r="G1069" i="3" s="1"/>
  <c r="H1069" i="3"/>
  <c r="I1069" i="3"/>
  <c r="J1069" i="3"/>
  <c r="L1069" i="3"/>
  <c r="M1069" i="3"/>
  <c r="S1069" i="3"/>
  <c r="D1070" i="3"/>
  <c r="F1070" i="3" s="1"/>
  <c r="E1070" i="3"/>
  <c r="G1070" i="3" s="1"/>
  <c r="H1070" i="3"/>
  <c r="I1070" i="3"/>
  <c r="J1070" i="3"/>
  <c r="L1070" i="3"/>
  <c r="M1070" i="3"/>
  <c r="S1070" i="3"/>
  <c r="D1071" i="3"/>
  <c r="F1071" i="3" s="1"/>
  <c r="E1071" i="3"/>
  <c r="G1071" i="3" s="1"/>
  <c r="H1071" i="3"/>
  <c r="I1071" i="3"/>
  <c r="J1071" i="3"/>
  <c r="L1071" i="3"/>
  <c r="M1071" i="3"/>
  <c r="S1071" i="3"/>
  <c r="D1072" i="3"/>
  <c r="F1072" i="3" s="1"/>
  <c r="E1072" i="3"/>
  <c r="G1072" i="3" s="1"/>
  <c r="H1072" i="3"/>
  <c r="I1072" i="3"/>
  <c r="J1072" i="3"/>
  <c r="L1072" i="3"/>
  <c r="M1072" i="3"/>
  <c r="S1072" i="3"/>
  <c r="D1073" i="3"/>
  <c r="F1073" i="3" s="1"/>
  <c r="E1073" i="3"/>
  <c r="G1073" i="3" s="1"/>
  <c r="H1073" i="3"/>
  <c r="I1073" i="3"/>
  <c r="J1073" i="3"/>
  <c r="L1073" i="3"/>
  <c r="M1073" i="3"/>
  <c r="S1073" i="3"/>
  <c r="D1074" i="3"/>
  <c r="F1074" i="3" s="1"/>
  <c r="E1074" i="3"/>
  <c r="G1074" i="3" s="1"/>
  <c r="H1074" i="3"/>
  <c r="I1074" i="3"/>
  <c r="J1074" i="3"/>
  <c r="L1074" i="3"/>
  <c r="M1074" i="3"/>
  <c r="S1074" i="3"/>
  <c r="D1075" i="3"/>
  <c r="F1075" i="3" s="1"/>
  <c r="E1075" i="3"/>
  <c r="G1075" i="3" s="1"/>
  <c r="H1075" i="3"/>
  <c r="I1075" i="3"/>
  <c r="J1075" i="3"/>
  <c r="L1075" i="3"/>
  <c r="M1075" i="3"/>
  <c r="S1075" i="3"/>
  <c r="D1076" i="3"/>
  <c r="F1076" i="3" s="1"/>
  <c r="E1076" i="3"/>
  <c r="G1076" i="3" s="1"/>
  <c r="H1076" i="3"/>
  <c r="I1076" i="3"/>
  <c r="J1076" i="3"/>
  <c r="L1076" i="3"/>
  <c r="M1076" i="3"/>
  <c r="S1076" i="3"/>
  <c r="D1077" i="3"/>
  <c r="F1077" i="3" s="1"/>
  <c r="E1077" i="3"/>
  <c r="G1077" i="3" s="1"/>
  <c r="H1077" i="3"/>
  <c r="I1077" i="3"/>
  <c r="J1077" i="3"/>
  <c r="L1077" i="3"/>
  <c r="M1077" i="3"/>
  <c r="S1077" i="3"/>
  <c r="D1078" i="3"/>
  <c r="F1078" i="3" s="1"/>
  <c r="E1078" i="3"/>
  <c r="G1078" i="3" s="1"/>
  <c r="H1078" i="3"/>
  <c r="I1078" i="3"/>
  <c r="J1078" i="3"/>
  <c r="L1078" i="3"/>
  <c r="M1078" i="3"/>
  <c r="S1078" i="3"/>
  <c r="D1079" i="3"/>
  <c r="E1079" i="3"/>
  <c r="G1079" i="3" s="1"/>
  <c r="F1079" i="3"/>
  <c r="H1079" i="3"/>
  <c r="I1079" i="3"/>
  <c r="J1079" i="3"/>
  <c r="L1079" i="3"/>
  <c r="M1079" i="3"/>
  <c r="S1079" i="3"/>
  <c r="D1080" i="3"/>
  <c r="F1080" i="3" s="1"/>
  <c r="E1080" i="3"/>
  <c r="G1080" i="3" s="1"/>
  <c r="H1080" i="3"/>
  <c r="I1080" i="3"/>
  <c r="J1080" i="3"/>
  <c r="L1080" i="3"/>
  <c r="M1080" i="3"/>
  <c r="S1080" i="3"/>
  <c r="D1081" i="3"/>
  <c r="F1081" i="3" s="1"/>
  <c r="E1081" i="3"/>
  <c r="G1081" i="3" s="1"/>
  <c r="H1081" i="3"/>
  <c r="I1081" i="3"/>
  <c r="J1081" i="3"/>
  <c r="L1081" i="3"/>
  <c r="M1081" i="3"/>
  <c r="S1081" i="3"/>
  <c r="D1082" i="3"/>
  <c r="F1082" i="3" s="1"/>
  <c r="E1082" i="3"/>
  <c r="G1082" i="3" s="1"/>
  <c r="H1082" i="3"/>
  <c r="I1082" i="3"/>
  <c r="J1082" i="3"/>
  <c r="L1082" i="3"/>
  <c r="M1082" i="3"/>
  <c r="S1082" i="3"/>
  <c r="D1083" i="3"/>
  <c r="F1083" i="3" s="1"/>
  <c r="E1083" i="3"/>
  <c r="G1083" i="3" s="1"/>
  <c r="H1083" i="3"/>
  <c r="I1083" i="3"/>
  <c r="J1083" i="3"/>
  <c r="L1083" i="3"/>
  <c r="M1083" i="3"/>
  <c r="S1083" i="3"/>
  <c r="D1084" i="3"/>
  <c r="E1084" i="3"/>
  <c r="G1084" i="3" s="1"/>
  <c r="F1084" i="3"/>
  <c r="H1084" i="3"/>
  <c r="I1084" i="3"/>
  <c r="J1084" i="3"/>
  <c r="L1084" i="3"/>
  <c r="M1084" i="3"/>
  <c r="S1084" i="3"/>
  <c r="D949" i="3"/>
  <c r="F949" i="3" s="1"/>
  <c r="E949" i="3"/>
  <c r="G949" i="3" s="1"/>
  <c r="H949" i="3"/>
  <c r="I949" i="3"/>
  <c r="J949" i="3"/>
  <c r="L949" i="3"/>
  <c r="M949" i="3"/>
  <c r="S949" i="3"/>
  <c r="D950" i="3"/>
  <c r="F950" i="3" s="1"/>
  <c r="E950" i="3"/>
  <c r="G950" i="3" s="1"/>
  <c r="H950" i="3"/>
  <c r="I950" i="3"/>
  <c r="J950" i="3"/>
  <c r="L950" i="3"/>
  <c r="M950" i="3"/>
  <c r="S950" i="3"/>
  <c r="D951" i="3"/>
  <c r="F951" i="3" s="1"/>
  <c r="E951" i="3"/>
  <c r="G951" i="3" s="1"/>
  <c r="H951" i="3"/>
  <c r="I951" i="3"/>
  <c r="J951" i="3"/>
  <c r="L951" i="3"/>
  <c r="M951" i="3"/>
  <c r="S951" i="3"/>
  <c r="D952" i="3"/>
  <c r="F952" i="3" s="1"/>
  <c r="E952" i="3"/>
  <c r="G952" i="3" s="1"/>
  <c r="H952" i="3"/>
  <c r="I952" i="3"/>
  <c r="J952" i="3"/>
  <c r="L952" i="3"/>
  <c r="M952" i="3"/>
  <c r="S952" i="3"/>
  <c r="D953" i="3"/>
  <c r="F953" i="3" s="1"/>
  <c r="E953" i="3"/>
  <c r="G953" i="3" s="1"/>
  <c r="H953" i="3"/>
  <c r="I953" i="3"/>
  <c r="J953" i="3"/>
  <c r="L953" i="3"/>
  <c r="M953" i="3"/>
  <c r="S953" i="3"/>
  <c r="D954" i="3"/>
  <c r="F954" i="3" s="1"/>
  <c r="E954" i="3"/>
  <c r="G954" i="3" s="1"/>
  <c r="H954" i="3"/>
  <c r="I954" i="3"/>
  <c r="J954" i="3"/>
  <c r="L954" i="3"/>
  <c r="M954" i="3"/>
  <c r="S954" i="3"/>
  <c r="D955" i="3"/>
  <c r="F955" i="3" s="1"/>
  <c r="E955" i="3"/>
  <c r="G955" i="3" s="1"/>
  <c r="H955" i="3"/>
  <c r="I955" i="3"/>
  <c r="J955" i="3"/>
  <c r="L955" i="3"/>
  <c r="M955" i="3"/>
  <c r="S955" i="3"/>
  <c r="D956" i="3"/>
  <c r="F956" i="3" s="1"/>
  <c r="E956" i="3"/>
  <c r="G956" i="3" s="1"/>
  <c r="H956" i="3"/>
  <c r="I956" i="3"/>
  <c r="J956" i="3"/>
  <c r="L956" i="3"/>
  <c r="M956" i="3"/>
  <c r="S956" i="3"/>
  <c r="D957" i="3"/>
  <c r="F957" i="3" s="1"/>
  <c r="E957" i="3"/>
  <c r="G957" i="3" s="1"/>
  <c r="H957" i="3"/>
  <c r="I957" i="3"/>
  <c r="J957" i="3"/>
  <c r="L957" i="3"/>
  <c r="M957" i="3"/>
  <c r="S957" i="3"/>
  <c r="D958" i="3"/>
  <c r="F958" i="3" s="1"/>
  <c r="E958" i="3"/>
  <c r="G958" i="3" s="1"/>
  <c r="H958" i="3"/>
  <c r="I958" i="3"/>
  <c r="J958" i="3"/>
  <c r="L958" i="3"/>
  <c r="M958" i="3"/>
  <c r="S958" i="3"/>
  <c r="D959" i="3"/>
  <c r="F959" i="3" s="1"/>
  <c r="E959" i="3"/>
  <c r="G959" i="3" s="1"/>
  <c r="H959" i="3"/>
  <c r="I959" i="3"/>
  <c r="J959" i="3"/>
  <c r="L959" i="3"/>
  <c r="M959" i="3"/>
  <c r="S959" i="3"/>
  <c r="D960" i="3"/>
  <c r="F960" i="3" s="1"/>
  <c r="E960" i="3"/>
  <c r="G960" i="3" s="1"/>
  <c r="H960" i="3"/>
  <c r="I960" i="3"/>
  <c r="J960" i="3"/>
  <c r="L960" i="3"/>
  <c r="M960" i="3"/>
  <c r="S960" i="3"/>
  <c r="D961" i="3"/>
  <c r="F961" i="3" s="1"/>
  <c r="E961" i="3"/>
  <c r="G961" i="3" s="1"/>
  <c r="H961" i="3"/>
  <c r="I961" i="3"/>
  <c r="J961" i="3"/>
  <c r="L961" i="3"/>
  <c r="M961" i="3"/>
  <c r="S961" i="3"/>
  <c r="D962" i="3"/>
  <c r="F962" i="3" s="1"/>
  <c r="E962" i="3"/>
  <c r="G962" i="3" s="1"/>
  <c r="H962" i="3"/>
  <c r="I962" i="3"/>
  <c r="J962" i="3"/>
  <c r="L962" i="3"/>
  <c r="M962" i="3"/>
  <c r="S962" i="3"/>
  <c r="D963" i="3"/>
  <c r="F963" i="3" s="1"/>
  <c r="E963" i="3"/>
  <c r="G963" i="3" s="1"/>
  <c r="H963" i="3"/>
  <c r="I963" i="3"/>
  <c r="J963" i="3"/>
  <c r="L963" i="3"/>
  <c r="M963" i="3"/>
  <c r="S963" i="3"/>
  <c r="D964" i="3"/>
  <c r="F964" i="3" s="1"/>
  <c r="E964" i="3"/>
  <c r="G964" i="3" s="1"/>
  <c r="H964" i="3"/>
  <c r="I964" i="3"/>
  <c r="J964" i="3"/>
  <c r="L964" i="3"/>
  <c r="M964" i="3"/>
  <c r="S964" i="3"/>
  <c r="D965" i="3"/>
  <c r="F965" i="3" s="1"/>
  <c r="E965" i="3"/>
  <c r="G965" i="3" s="1"/>
  <c r="H965" i="3"/>
  <c r="I965" i="3"/>
  <c r="J965" i="3"/>
  <c r="L965" i="3"/>
  <c r="M965" i="3"/>
  <c r="S965" i="3"/>
  <c r="D966" i="3"/>
  <c r="F966" i="3" s="1"/>
  <c r="E966" i="3"/>
  <c r="G966" i="3" s="1"/>
  <c r="H966" i="3"/>
  <c r="I966" i="3"/>
  <c r="J966" i="3"/>
  <c r="L966" i="3"/>
  <c r="M966" i="3"/>
  <c r="S966" i="3"/>
  <c r="D967" i="3"/>
  <c r="F967" i="3" s="1"/>
  <c r="E967" i="3"/>
  <c r="G967" i="3" s="1"/>
  <c r="H967" i="3"/>
  <c r="I967" i="3"/>
  <c r="J967" i="3"/>
  <c r="L967" i="3"/>
  <c r="M967" i="3"/>
  <c r="S967" i="3"/>
  <c r="D968" i="3"/>
  <c r="F968" i="3" s="1"/>
  <c r="E968" i="3"/>
  <c r="G968" i="3" s="1"/>
  <c r="H968" i="3"/>
  <c r="I968" i="3"/>
  <c r="J968" i="3"/>
  <c r="L968" i="3"/>
  <c r="M968" i="3"/>
  <c r="S968" i="3"/>
  <c r="D969" i="3"/>
  <c r="F969" i="3" s="1"/>
  <c r="E969" i="3"/>
  <c r="G969" i="3" s="1"/>
  <c r="H969" i="3"/>
  <c r="I969" i="3"/>
  <c r="J969" i="3"/>
  <c r="L969" i="3"/>
  <c r="M969" i="3"/>
  <c r="S969" i="3"/>
  <c r="D970" i="3"/>
  <c r="F970" i="3" s="1"/>
  <c r="E970" i="3"/>
  <c r="G970" i="3" s="1"/>
  <c r="H970" i="3"/>
  <c r="I970" i="3"/>
  <c r="J970" i="3"/>
  <c r="L970" i="3"/>
  <c r="M970" i="3"/>
  <c r="S970" i="3"/>
  <c r="D971" i="3"/>
  <c r="F971" i="3" s="1"/>
  <c r="E971" i="3"/>
  <c r="G971" i="3" s="1"/>
  <c r="H971" i="3"/>
  <c r="I971" i="3"/>
  <c r="J971" i="3"/>
  <c r="L971" i="3"/>
  <c r="M971" i="3"/>
  <c r="S971" i="3"/>
  <c r="D972" i="3"/>
  <c r="F972" i="3" s="1"/>
  <c r="E972" i="3"/>
  <c r="G972" i="3" s="1"/>
  <c r="H972" i="3"/>
  <c r="I972" i="3"/>
  <c r="J972" i="3"/>
  <c r="L972" i="3"/>
  <c r="M972" i="3"/>
  <c r="S972" i="3"/>
  <c r="D973" i="3"/>
  <c r="F973" i="3" s="1"/>
  <c r="E973" i="3"/>
  <c r="G973" i="3" s="1"/>
  <c r="H973" i="3"/>
  <c r="I973" i="3"/>
  <c r="J973" i="3"/>
  <c r="L973" i="3"/>
  <c r="M973" i="3"/>
  <c r="S973" i="3"/>
  <c r="D974" i="3"/>
  <c r="F974" i="3" s="1"/>
  <c r="E974" i="3"/>
  <c r="G974" i="3" s="1"/>
  <c r="H974" i="3"/>
  <c r="I974" i="3"/>
  <c r="J974" i="3"/>
  <c r="L974" i="3"/>
  <c r="M974" i="3"/>
  <c r="S974" i="3"/>
  <c r="D975" i="3"/>
  <c r="F975" i="3" s="1"/>
  <c r="E975" i="3"/>
  <c r="G975" i="3" s="1"/>
  <c r="H975" i="3"/>
  <c r="I975" i="3"/>
  <c r="J975" i="3"/>
  <c r="L975" i="3"/>
  <c r="M975" i="3"/>
  <c r="S975" i="3"/>
  <c r="D976" i="3"/>
  <c r="F976" i="3" s="1"/>
  <c r="E976" i="3"/>
  <c r="G976" i="3" s="1"/>
  <c r="H976" i="3"/>
  <c r="I976" i="3"/>
  <c r="J976" i="3"/>
  <c r="L976" i="3"/>
  <c r="M976" i="3"/>
  <c r="S976" i="3"/>
  <c r="D977" i="3"/>
  <c r="F977" i="3" s="1"/>
  <c r="E977" i="3"/>
  <c r="G977" i="3" s="1"/>
  <c r="H977" i="3"/>
  <c r="I977" i="3"/>
  <c r="J977" i="3"/>
  <c r="L977" i="3"/>
  <c r="M977" i="3"/>
  <c r="S977" i="3"/>
  <c r="D978" i="3"/>
  <c r="F978" i="3" s="1"/>
  <c r="E978" i="3"/>
  <c r="G978" i="3" s="1"/>
  <c r="H978" i="3"/>
  <c r="I978" i="3"/>
  <c r="J978" i="3"/>
  <c r="L978" i="3"/>
  <c r="M978" i="3"/>
  <c r="S978" i="3"/>
  <c r="D979" i="3"/>
  <c r="F979" i="3" s="1"/>
  <c r="E979" i="3"/>
  <c r="G979" i="3" s="1"/>
  <c r="H979" i="3"/>
  <c r="I979" i="3"/>
  <c r="J979" i="3"/>
  <c r="L979" i="3"/>
  <c r="M979" i="3"/>
  <c r="S979" i="3"/>
  <c r="D980" i="3"/>
  <c r="F980" i="3" s="1"/>
  <c r="E980" i="3"/>
  <c r="G980" i="3" s="1"/>
  <c r="H980" i="3"/>
  <c r="I980" i="3"/>
  <c r="J980" i="3"/>
  <c r="L980" i="3"/>
  <c r="M980" i="3"/>
  <c r="S980" i="3"/>
  <c r="D981" i="3"/>
  <c r="F981" i="3" s="1"/>
  <c r="E981" i="3"/>
  <c r="G981" i="3" s="1"/>
  <c r="H981" i="3"/>
  <c r="I981" i="3"/>
  <c r="J981" i="3"/>
  <c r="L981" i="3"/>
  <c r="M981" i="3"/>
  <c r="S981" i="3"/>
  <c r="D982" i="3"/>
  <c r="F982" i="3" s="1"/>
  <c r="E982" i="3"/>
  <c r="G982" i="3" s="1"/>
  <c r="H982" i="3"/>
  <c r="I982" i="3"/>
  <c r="J982" i="3"/>
  <c r="L982" i="3"/>
  <c r="M982" i="3"/>
  <c r="S982" i="3"/>
  <c r="D983" i="3"/>
  <c r="F983" i="3" s="1"/>
  <c r="E983" i="3"/>
  <c r="G983" i="3" s="1"/>
  <c r="H983" i="3"/>
  <c r="I983" i="3"/>
  <c r="J983" i="3"/>
  <c r="L983" i="3"/>
  <c r="M983" i="3"/>
  <c r="S983" i="3"/>
  <c r="D984" i="3"/>
  <c r="F984" i="3" s="1"/>
  <c r="E984" i="3"/>
  <c r="G984" i="3" s="1"/>
  <c r="H984" i="3"/>
  <c r="I984" i="3"/>
  <c r="J984" i="3"/>
  <c r="L984" i="3"/>
  <c r="M984" i="3"/>
  <c r="S984" i="3"/>
  <c r="D985" i="3"/>
  <c r="F985" i="3" s="1"/>
  <c r="E985" i="3"/>
  <c r="G985" i="3" s="1"/>
  <c r="H985" i="3"/>
  <c r="I985" i="3"/>
  <c r="J985" i="3"/>
  <c r="L985" i="3"/>
  <c r="M985" i="3"/>
  <c r="S985" i="3"/>
  <c r="D986" i="3"/>
  <c r="F986" i="3" s="1"/>
  <c r="E986" i="3"/>
  <c r="G986" i="3" s="1"/>
  <c r="H986" i="3"/>
  <c r="I986" i="3"/>
  <c r="J986" i="3"/>
  <c r="L986" i="3"/>
  <c r="M986" i="3"/>
  <c r="S986" i="3"/>
  <c r="D987" i="3"/>
  <c r="F987" i="3" s="1"/>
  <c r="E987" i="3"/>
  <c r="G987" i="3" s="1"/>
  <c r="H987" i="3"/>
  <c r="I987" i="3"/>
  <c r="J987" i="3"/>
  <c r="L987" i="3"/>
  <c r="M987" i="3"/>
  <c r="S987" i="3"/>
  <c r="D988" i="3"/>
  <c r="F988" i="3" s="1"/>
  <c r="E988" i="3"/>
  <c r="G988" i="3" s="1"/>
  <c r="H988" i="3"/>
  <c r="I988" i="3"/>
  <c r="J988" i="3"/>
  <c r="L988" i="3"/>
  <c r="M988" i="3"/>
  <c r="S988" i="3"/>
  <c r="D989" i="3"/>
  <c r="F989" i="3" s="1"/>
  <c r="E989" i="3"/>
  <c r="G989" i="3" s="1"/>
  <c r="H989" i="3"/>
  <c r="I989" i="3"/>
  <c r="J989" i="3"/>
  <c r="L989" i="3"/>
  <c r="M989" i="3"/>
  <c r="S989" i="3"/>
  <c r="D990" i="3"/>
  <c r="F990" i="3" s="1"/>
  <c r="E990" i="3"/>
  <c r="G990" i="3" s="1"/>
  <c r="H990" i="3"/>
  <c r="I990" i="3"/>
  <c r="J990" i="3"/>
  <c r="L990" i="3"/>
  <c r="M990" i="3"/>
  <c r="S990" i="3"/>
  <c r="D991" i="3"/>
  <c r="F991" i="3" s="1"/>
  <c r="E991" i="3"/>
  <c r="G991" i="3" s="1"/>
  <c r="H991" i="3"/>
  <c r="I991" i="3"/>
  <c r="J991" i="3"/>
  <c r="L991" i="3"/>
  <c r="M991" i="3"/>
  <c r="S991" i="3"/>
  <c r="D992" i="3"/>
  <c r="F992" i="3" s="1"/>
  <c r="E992" i="3"/>
  <c r="G992" i="3" s="1"/>
  <c r="H992" i="3"/>
  <c r="I992" i="3"/>
  <c r="J992" i="3"/>
  <c r="L992" i="3"/>
  <c r="M992" i="3"/>
  <c r="S992" i="3"/>
  <c r="D993" i="3"/>
  <c r="F993" i="3" s="1"/>
  <c r="E993" i="3"/>
  <c r="G993" i="3" s="1"/>
  <c r="H993" i="3"/>
  <c r="I993" i="3"/>
  <c r="J993" i="3"/>
  <c r="L993" i="3"/>
  <c r="M993" i="3"/>
  <c r="S993" i="3"/>
  <c r="D994" i="3"/>
  <c r="F994" i="3" s="1"/>
  <c r="E994" i="3"/>
  <c r="G994" i="3" s="1"/>
  <c r="H994" i="3"/>
  <c r="I994" i="3"/>
  <c r="J994" i="3"/>
  <c r="L994" i="3"/>
  <c r="M994" i="3"/>
  <c r="S994" i="3"/>
  <c r="D995" i="3"/>
  <c r="F995" i="3" s="1"/>
  <c r="E995" i="3"/>
  <c r="G995" i="3" s="1"/>
  <c r="H995" i="3"/>
  <c r="I995" i="3"/>
  <c r="J995" i="3"/>
  <c r="L995" i="3"/>
  <c r="M995" i="3"/>
  <c r="S995" i="3"/>
  <c r="D996" i="3"/>
  <c r="F996" i="3" s="1"/>
  <c r="E996" i="3"/>
  <c r="G996" i="3" s="1"/>
  <c r="H996" i="3"/>
  <c r="I996" i="3"/>
  <c r="J996" i="3"/>
  <c r="L996" i="3"/>
  <c r="M996" i="3"/>
  <c r="S996" i="3"/>
  <c r="D997" i="3"/>
  <c r="F997" i="3" s="1"/>
  <c r="E997" i="3"/>
  <c r="G997" i="3" s="1"/>
  <c r="H997" i="3"/>
  <c r="I997" i="3"/>
  <c r="J997" i="3"/>
  <c r="L997" i="3"/>
  <c r="M997" i="3"/>
  <c r="S997" i="3"/>
  <c r="D998" i="3"/>
  <c r="F998" i="3" s="1"/>
  <c r="E998" i="3"/>
  <c r="G998" i="3" s="1"/>
  <c r="H998" i="3"/>
  <c r="I998" i="3"/>
  <c r="J998" i="3"/>
  <c r="L998" i="3"/>
  <c r="M998" i="3"/>
  <c r="S998" i="3"/>
  <c r="D999" i="3"/>
  <c r="F999" i="3" s="1"/>
  <c r="E999" i="3"/>
  <c r="G999" i="3" s="1"/>
  <c r="H999" i="3"/>
  <c r="I999" i="3"/>
  <c r="J999" i="3"/>
  <c r="L999" i="3"/>
  <c r="M999" i="3"/>
  <c r="S999" i="3"/>
  <c r="D1000" i="3"/>
  <c r="F1000" i="3" s="1"/>
  <c r="E1000" i="3"/>
  <c r="G1000" i="3" s="1"/>
  <c r="H1000" i="3"/>
  <c r="I1000" i="3"/>
  <c r="J1000" i="3"/>
  <c r="L1000" i="3"/>
  <c r="M1000" i="3"/>
  <c r="S1000" i="3"/>
  <c r="D1001" i="3"/>
  <c r="F1001" i="3" s="1"/>
  <c r="E1001" i="3"/>
  <c r="G1001" i="3" s="1"/>
  <c r="H1001" i="3"/>
  <c r="I1001" i="3"/>
  <c r="J1001" i="3"/>
  <c r="L1001" i="3"/>
  <c r="M1001" i="3"/>
  <c r="S1001" i="3"/>
  <c r="D1002" i="3"/>
  <c r="F1002" i="3" s="1"/>
  <c r="E1002" i="3"/>
  <c r="G1002" i="3" s="1"/>
  <c r="H1002" i="3"/>
  <c r="I1002" i="3"/>
  <c r="J1002" i="3"/>
  <c r="L1002" i="3"/>
  <c r="M1002" i="3"/>
  <c r="S1002" i="3"/>
  <c r="D1003" i="3"/>
  <c r="F1003" i="3" s="1"/>
  <c r="E1003" i="3"/>
  <c r="G1003" i="3" s="1"/>
  <c r="H1003" i="3"/>
  <c r="I1003" i="3"/>
  <c r="J1003" i="3"/>
  <c r="L1003" i="3"/>
  <c r="M1003" i="3"/>
  <c r="S1003" i="3"/>
  <c r="D1004" i="3"/>
  <c r="F1004" i="3" s="1"/>
  <c r="E1004" i="3"/>
  <c r="G1004" i="3" s="1"/>
  <c r="H1004" i="3"/>
  <c r="I1004" i="3"/>
  <c r="J1004" i="3"/>
  <c r="L1004" i="3"/>
  <c r="M1004" i="3"/>
  <c r="S1004" i="3"/>
  <c r="D1005" i="3"/>
  <c r="F1005" i="3" s="1"/>
  <c r="E1005" i="3"/>
  <c r="G1005" i="3" s="1"/>
  <c r="H1005" i="3"/>
  <c r="I1005" i="3"/>
  <c r="J1005" i="3"/>
  <c r="L1005" i="3"/>
  <c r="M1005" i="3"/>
  <c r="S1005" i="3"/>
  <c r="D1006" i="3"/>
  <c r="F1006" i="3" s="1"/>
  <c r="E1006" i="3"/>
  <c r="G1006" i="3" s="1"/>
  <c r="H1006" i="3"/>
  <c r="I1006" i="3"/>
  <c r="J1006" i="3"/>
  <c r="L1006" i="3"/>
  <c r="M1006" i="3"/>
  <c r="S1006" i="3"/>
  <c r="D1007" i="3"/>
  <c r="F1007" i="3" s="1"/>
  <c r="E1007" i="3"/>
  <c r="G1007" i="3" s="1"/>
  <c r="H1007" i="3"/>
  <c r="I1007" i="3"/>
  <c r="J1007" i="3"/>
  <c r="L1007" i="3"/>
  <c r="M1007" i="3"/>
  <c r="S1007" i="3"/>
  <c r="D1008" i="3"/>
  <c r="F1008" i="3" s="1"/>
  <c r="E1008" i="3"/>
  <c r="G1008" i="3" s="1"/>
  <c r="H1008" i="3"/>
  <c r="I1008" i="3"/>
  <c r="J1008" i="3"/>
  <c r="L1008" i="3"/>
  <c r="M1008" i="3"/>
  <c r="S1008" i="3"/>
  <c r="D1009" i="3"/>
  <c r="F1009" i="3" s="1"/>
  <c r="E1009" i="3"/>
  <c r="G1009" i="3" s="1"/>
  <c r="H1009" i="3"/>
  <c r="I1009" i="3"/>
  <c r="J1009" i="3"/>
  <c r="L1009" i="3"/>
  <c r="M1009" i="3"/>
  <c r="S1009" i="3"/>
  <c r="D1010" i="3"/>
  <c r="F1010" i="3" s="1"/>
  <c r="E1010" i="3"/>
  <c r="G1010" i="3" s="1"/>
  <c r="H1010" i="3"/>
  <c r="I1010" i="3"/>
  <c r="J1010" i="3"/>
  <c r="L1010" i="3"/>
  <c r="M1010" i="3"/>
  <c r="S1010" i="3"/>
  <c r="D1011" i="3"/>
  <c r="F1011" i="3" s="1"/>
  <c r="E1011" i="3"/>
  <c r="G1011" i="3" s="1"/>
  <c r="H1011" i="3"/>
  <c r="I1011" i="3"/>
  <c r="J1011" i="3"/>
  <c r="L1011" i="3"/>
  <c r="M1011" i="3"/>
  <c r="S1011" i="3"/>
  <c r="D1012" i="3"/>
  <c r="F1012" i="3" s="1"/>
  <c r="E1012" i="3"/>
  <c r="G1012" i="3" s="1"/>
  <c r="H1012" i="3"/>
  <c r="I1012" i="3"/>
  <c r="J1012" i="3"/>
  <c r="L1012" i="3"/>
  <c r="M1012" i="3"/>
  <c r="S1012" i="3"/>
  <c r="D1013" i="3"/>
  <c r="F1013" i="3" s="1"/>
  <c r="E1013" i="3"/>
  <c r="G1013" i="3" s="1"/>
  <c r="H1013" i="3"/>
  <c r="I1013" i="3"/>
  <c r="J1013" i="3"/>
  <c r="L1013" i="3"/>
  <c r="M1013" i="3"/>
  <c r="S1013" i="3"/>
  <c r="D1014" i="3"/>
  <c r="F1014" i="3" s="1"/>
  <c r="E1014" i="3"/>
  <c r="G1014" i="3" s="1"/>
  <c r="H1014" i="3"/>
  <c r="I1014" i="3"/>
  <c r="J1014" i="3"/>
  <c r="L1014" i="3"/>
  <c r="M1014" i="3"/>
  <c r="S1014" i="3"/>
  <c r="D1015" i="3"/>
  <c r="F1015" i="3" s="1"/>
  <c r="E1015" i="3"/>
  <c r="G1015" i="3" s="1"/>
  <c r="H1015" i="3"/>
  <c r="I1015" i="3"/>
  <c r="J1015" i="3"/>
  <c r="L1015" i="3"/>
  <c r="M1015" i="3"/>
  <c r="S1015" i="3"/>
  <c r="D1016" i="3"/>
  <c r="E1016" i="3"/>
  <c r="G1016" i="3" s="1"/>
  <c r="F1016" i="3"/>
  <c r="H1016" i="3"/>
  <c r="I1016" i="3"/>
  <c r="J1016" i="3"/>
  <c r="L1016" i="3"/>
  <c r="M1016" i="3"/>
  <c r="S1016" i="3"/>
  <c r="D881" i="3"/>
  <c r="F881" i="3" s="1"/>
  <c r="E881" i="3"/>
  <c r="G881" i="3" s="1"/>
  <c r="H881" i="3"/>
  <c r="I881" i="3"/>
  <c r="J881" i="3"/>
  <c r="L881" i="3"/>
  <c r="M881" i="3"/>
  <c r="S881" i="3"/>
  <c r="D882" i="3"/>
  <c r="F882" i="3" s="1"/>
  <c r="E882" i="3"/>
  <c r="G882" i="3" s="1"/>
  <c r="H882" i="3"/>
  <c r="I882" i="3"/>
  <c r="J882" i="3"/>
  <c r="L882" i="3"/>
  <c r="M882" i="3"/>
  <c r="S882" i="3"/>
  <c r="D883" i="3"/>
  <c r="E883" i="3"/>
  <c r="G883" i="3" s="1"/>
  <c r="F883" i="3"/>
  <c r="H883" i="3"/>
  <c r="I883" i="3"/>
  <c r="J883" i="3"/>
  <c r="L883" i="3"/>
  <c r="M883" i="3"/>
  <c r="S883" i="3"/>
  <c r="D884" i="3"/>
  <c r="F884" i="3" s="1"/>
  <c r="E884" i="3"/>
  <c r="G884" i="3" s="1"/>
  <c r="H884" i="3"/>
  <c r="I884" i="3"/>
  <c r="J884" i="3"/>
  <c r="L884" i="3"/>
  <c r="M884" i="3"/>
  <c r="S884" i="3"/>
  <c r="D885" i="3"/>
  <c r="F885" i="3" s="1"/>
  <c r="E885" i="3"/>
  <c r="G885" i="3" s="1"/>
  <c r="H885" i="3"/>
  <c r="I885" i="3"/>
  <c r="J885" i="3"/>
  <c r="L885" i="3"/>
  <c r="M885" i="3"/>
  <c r="S885" i="3"/>
  <c r="D886" i="3"/>
  <c r="F886" i="3" s="1"/>
  <c r="E886" i="3"/>
  <c r="G886" i="3" s="1"/>
  <c r="H886" i="3"/>
  <c r="I886" i="3"/>
  <c r="J886" i="3"/>
  <c r="L886" i="3"/>
  <c r="M886" i="3"/>
  <c r="S886" i="3"/>
  <c r="D887" i="3"/>
  <c r="F887" i="3" s="1"/>
  <c r="E887" i="3"/>
  <c r="G887" i="3" s="1"/>
  <c r="H887" i="3"/>
  <c r="I887" i="3"/>
  <c r="J887" i="3"/>
  <c r="L887" i="3"/>
  <c r="M887" i="3"/>
  <c r="S887" i="3"/>
  <c r="D888" i="3"/>
  <c r="F888" i="3" s="1"/>
  <c r="E888" i="3"/>
  <c r="G888" i="3" s="1"/>
  <c r="H888" i="3"/>
  <c r="I888" i="3"/>
  <c r="J888" i="3"/>
  <c r="L888" i="3"/>
  <c r="M888" i="3"/>
  <c r="S888" i="3"/>
  <c r="D889" i="3"/>
  <c r="F889" i="3" s="1"/>
  <c r="E889" i="3"/>
  <c r="G889" i="3" s="1"/>
  <c r="H889" i="3"/>
  <c r="I889" i="3"/>
  <c r="J889" i="3"/>
  <c r="L889" i="3"/>
  <c r="M889" i="3"/>
  <c r="S889" i="3"/>
  <c r="D890" i="3"/>
  <c r="F890" i="3" s="1"/>
  <c r="E890" i="3"/>
  <c r="G890" i="3" s="1"/>
  <c r="H890" i="3"/>
  <c r="I890" i="3"/>
  <c r="J890" i="3"/>
  <c r="L890" i="3"/>
  <c r="M890" i="3"/>
  <c r="S890" i="3"/>
  <c r="D891" i="3"/>
  <c r="F891" i="3" s="1"/>
  <c r="E891" i="3"/>
  <c r="G891" i="3" s="1"/>
  <c r="H891" i="3"/>
  <c r="I891" i="3"/>
  <c r="J891" i="3"/>
  <c r="L891" i="3"/>
  <c r="M891" i="3"/>
  <c r="S891" i="3"/>
  <c r="D892" i="3"/>
  <c r="E892" i="3"/>
  <c r="G892" i="3" s="1"/>
  <c r="F892" i="3"/>
  <c r="H892" i="3"/>
  <c r="I892" i="3"/>
  <c r="J892" i="3"/>
  <c r="L892" i="3"/>
  <c r="M892" i="3"/>
  <c r="S892" i="3"/>
  <c r="D893" i="3"/>
  <c r="F893" i="3" s="1"/>
  <c r="E893" i="3"/>
  <c r="G893" i="3" s="1"/>
  <c r="H893" i="3"/>
  <c r="I893" i="3"/>
  <c r="J893" i="3"/>
  <c r="L893" i="3"/>
  <c r="M893" i="3"/>
  <c r="S893" i="3"/>
  <c r="D894" i="3"/>
  <c r="F894" i="3" s="1"/>
  <c r="E894" i="3"/>
  <c r="G894" i="3" s="1"/>
  <c r="H894" i="3"/>
  <c r="I894" i="3"/>
  <c r="J894" i="3"/>
  <c r="L894" i="3"/>
  <c r="M894" i="3"/>
  <c r="S894" i="3"/>
  <c r="D895" i="3"/>
  <c r="F895" i="3" s="1"/>
  <c r="E895" i="3"/>
  <c r="G895" i="3" s="1"/>
  <c r="H895" i="3"/>
  <c r="I895" i="3"/>
  <c r="J895" i="3"/>
  <c r="L895" i="3"/>
  <c r="M895" i="3"/>
  <c r="S895" i="3"/>
  <c r="D896" i="3"/>
  <c r="F896" i="3" s="1"/>
  <c r="E896" i="3"/>
  <c r="G896" i="3" s="1"/>
  <c r="H896" i="3"/>
  <c r="I896" i="3"/>
  <c r="J896" i="3"/>
  <c r="L896" i="3"/>
  <c r="M896" i="3"/>
  <c r="S896" i="3"/>
  <c r="D897" i="3"/>
  <c r="F897" i="3" s="1"/>
  <c r="E897" i="3"/>
  <c r="G897" i="3" s="1"/>
  <c r="H897" i="3"/>
  <c r="I897" i="3"/>
  <c r="J897" i="3"/>
  <c r="L897" i="3"/>
  <c r="M897" i="3"/>
  <c r="S897" i="3"/>
  <c r="D898" i="3"/>
  <c r="F898" i="3" s="1"/>
  <c r="E898" i="3"/>
  <c r="G898" i="3" s="1"/>
  <c r="H898" i="3"/>
  <c r="I898" i="3"/>
  <c r="J898" i="3"/>
  <c r="L898" i="3"/>
  <c r="M898" i="3"/>
  <c r="S898" i="3"/>
  <c r="D899" i="3"/>
  <c r="F899" i="3" s="1"/>
  <c r="E899" i="3"/>
  <c r="G899" i="3" s="1"/>
  <c r="H899" i="3"/>
  <c r="I899" i="3"/>
  <c r="J899" i="3"/>
  <c r="L899" i="3"/>
  <c r="M899" i="3"/>
  <c r="S899" i="3"/>
  <c r="D900" i="3"/>
  <c r="F900" i="3" s="1"/>
  <c r="E900" i="3"/>
  <c r="G900" i="3" s="1"/>
  <c r="H900" i="3"/>
  <c r="I900" i="3"/>
  <c r="J900" i="3"/>
  <c r="L900" i="3"/>
  <c r="M900" i="3"/>
  <c r="S900" i="3"/>
  <c r="D901" i="3"/>
  <c r="F901" i="3" s="1"/>
  <c r="E901" i="3"/>
  <c r="G901" i="3" s="1"/>
  <c r="H901" i="3"/>
  <c r="I901" i="3"/>
  <c r="J901" i="3"/>
  <c r="L901" i="3"/>
  <c r="M901" i="3"/>
  <c r="S901" i="3"/>
  <c r="D902" i="3"/>
  <c r="F902" i="3" s="1"/>
  <c r="E902" i="3"/>
  <c r="G902" i="3" s="1"/>
  <c r="H902" i="3"/>
  <c r="I902" i="3"/>
  <c r="J902" i="3"/>
  <c r="L902" i="3"/>
  <c r="M902" i="3"/>
  <c r="S902" i="3"/>
  <c r="D903" i="3"/>
  <c r="F903" i="3" s="1"/>
  <c r="E903" i="3"/>
  <c r="G903" i="3" s="1"/>
  <c r="H903" i="3"/>
  <c r="I903" i="3"/>
  <c r="J903" i="3"/>
  <c r="L903" i="3"/>
  <c r="M903" i="3"/>
  <c r="S903" i="3"/>
  <c r="D904" i="3"/>
  <c r="F904" i="3" s="1"/>
  <c r="E904" i="3"/>
  <c r="G904" i="3" s="1"/>
  <c r="H904" i="3"/>
  <c r="I904" i="3"/>
  <c r="J904" i="3"/>
  <c r="L904" i="3"/>
  <c r="M904" i="3"/>
  <c r="S904" i="3"/>
  <c r="D905" i="3"/>
  <c r="F905" i="3" s="1"/>
  <c r="E905" i="3"/>
  <c r="G905" i="3" s="1"/>
  <c r="H905" i="3"/>
  <c r="I905" i="3"/>
  <c r="J905" i="3"/>
  <c r="L905" i="3"/>
  <c r="M905" i="3"/>
  <c r="S905" i="3"/>
  <c r="D906" i="3"/>
  <c r="F906" i="3" s="1"/>
  <c r="E906" i="3"/>
  <c r="G906" i="3" s="1"/>
  <c r="H906" i="3"/>
  <c r="I906" i="3"/>
  <c r="J906" i="3"/>
  <c r="L906" i="3"/>
  <c r="M906" i="3"/>
  <c r="S906" i="3"/>
  <c r="D907" i="3"/>
  <c r="F907" i="3" s="1"/>
  <c r="E907" i="3"/>
  <c r="G907" i="3" s="1"/>
  <c r="H907" i="3"/>
  <c r="I907" i="3"/>
  <c r="J907" i="3"/>
  <c r="L907" i="3"/>
  <c r="M907" i="3"/>
  <c r="S907" i="3"/>
  <c r="D908" i="3"/>
  <c r="F908" i="3" s="1"/>
  <c r="E908" i="3"/>
  <c r="G908" i="3" s="1"/>
  <c r="H908" i="3"/>
  <c r="I908" i="3"/>
  <c r="J908" i="3"/>
  <c r="L908" i="3"/>
  <c r="M908" i="3"/>
  <c r="S908" i="3"/>
  <c r="D909" i="3"/>
  <c r="F909" i="3" s="1"/>
  <c r="E909" i="3"/>
  <c r="G909" i="3" s="1"/>
  <c r="H909" i="3"/>
  <c r="I909" i="3"/>
  <c r="J909" i="3"/>
  <c r="L909" i="3"/>
  <c r="M909" i="3"/>
  <c r="S909" i="3"/>
  <c r="D910" i="3"/>
  <c r="F910" i="3" s="1"/>
  <c r="E910" i="3"/>
  <c r="G910" i="3" s="1"/>
  <c r="H910" i="3"/>
  <c r="I910" i="3"/>
  <c r="J910" i="3"/>
  <c r="L910" i="3"/>
  <c r="M910" i="3"/>
  <c r="S910" i="3"/>
  <c r="D911" i="3"/>
  <c r="F911" i="3" s="1"/>
  <c r="E911" i="3"/>
  <c r="G911" i="3" s="1"/>
  <c r="H911" i="3"/>
  <c r="I911" i="3"/>
  <c r="J911" i="3"/>
  <c r="L911" i="3"/>
  <c r="M911" i="3"/>
  <c r="S911" i="3"/>
  <c r="D912" i="3"/>
  <c r="F912" i="3" s="1"/>
  <c r="E912" i="3"/>
  <c r="G912" i="3" s="1"/>
  <c r="H912" i="3"/>
  <c r="I912" i="3"/>
  <c r="J912" i="3"/>
  <c r="L912" i="3"/>
  <c r="M912" i="3"/>
  <c r="S912" i="3"/>
  <c r="D913" i="3"/>
  <c r="F913" i="3" s="1"/>
  <c r="E913" i="3"/>
  <c r="G913" i="3" s="1"/>
  <c r="H913" i="3"/>
  <c r="I913" i="3"/>
  <c r="J913" i="3"/>
  <c r="L913" i="3"/>
  <c r="M913" i="3"/>
  <c r="S913" i="3"/>
  <c r="D914" i="3"/>
  <c r="F914" i="3" s="1"/>
  <c r="E914" i="3"/>
  <c r="G914" i="3" s="1"/>
  <c r="H914" i="3"/>
  <c r="I914" i="3"/>
  <c r="J914" i="3"/>
  <c r="L914" i="3"/>
  <c r="M914" i="3"/>
  <c r="S914" i="3"/>
  <c r="D915" i="3"/>
  <c r="F915" i="3" s="1"/>
  <c r="E915" i="3"/>
  <c r="G915" i="3" s="1"/>
  <c r="H915" i="3"/>
  <c r="I915" i="3"/>
  <c r="J915" i="3"/>
  <c r="L915" i="3"/>
  <c r="M915" i="3"/>
  <c r="S915" i="3"/>
  <c r="D916" i="3"/>
  <c r="F916" i="3" s="1"/>
  <c r="E916" i="3"/>
  <c r="G916" i="3" s="1"/>
  <c r="H916" i="3"/>
  <c r="I916" i="3"/>
  <c r="J916" i="3"/>
  <c r="L916" i="3"/>
  <c r="M916" i="3"/>
  <c r="S916" i="3"/>
  <c r="D917" i="3"/>
  <c r="F917" i="3" s="1"/>
  <c r="E917" i="3"/>
  <c r="G917" i="3" s="1"/>
  <c r="H917" i="3"/>
  <c r="I917" i="3"/>
  <c r="J917" i="3"/>
  <c r="L917" i="3"/>
  <c r="M917" i="3"/>
  <c r="S917" i="3"/>
  <c r="D918" i="3"/>
  <c r="F918" i="3" s="1"/>
  <c r="E918" i="3"/>
  <c r="G918" i="3" s="1"/>
  <c r="H918" i="3"/>
  <c r="I918" i="3"/>
  <c r="J918" i="3"/>
  <c r="L918" i="3"/>
  <c r="M918" i="3"/>
  <c r="S918" i="3"/>
  <c r="D919" i="3"/>
  <c r="F919" i="3" s="1"/>
  <c r="E919" i="3"/>
  <c r="G919" i="3" s="1"/>
  <c r="H919" i="3"/>
  <c r="I919" i="3"/>
  <c r="J919" i="3"/>
  <c r="L919" i="3"/>
  <c r="M919" i="3"/>
  <c r="S919" i="3"/>
  <c r="D920" i="3"/>
  <c r="F920" i="3" s="1"/>
  <c r="E920" i="3"/>
  <c r="G920" i="3" s="1"/>
  <c r="H920" i="3"/>
  <c r="I920" i="3"/>
  <c r="J920" i="3"/>
  <c r="L920" i="3"/>
  <c r="M920" i="3"/>
  <c r="S920" i="3"/>
  <c r="D921" i="3"/>
  <c r="F921" i="3" s="1"/>
  <c r="E921" i="3"/>
  <c r="G921" i="3" s="1"/>
  <c r="H921" i="3"/>
  <c r="I921" i="3"/>
  <c r="J921" i="3"/>
  <c r="L921" i="3"/>
  <c r="M921" i="3"/>
  <c r="S921" i="3"/>
  <c r="D922" i="3"/>
  <c r="F922" i="3" s="1"/>
  <c r="E922" i="3"/>
  <c r="G922" i="3" s="1"/>
  <c r="H922" i="3"/>
  <c r="I922" i="3"/>
  <c r="J922" i="3"/>
  <c r="L922" i="3"/>
  <c r="M922" i="3"/>
  <c r="S922" i="3"/>
  <c r="D923" i="3"/>
  <c r="F923" i="3" s="1"/>
  <c r="E923" i="3"/>
  <c r="G923" i="3" s="1"/>
  <c r="H923" i="3"/>
  <c r="I923" i="3"/>
  <c r="J923" i="3"/>
  <c r="L923" i="3"/>
  <c r="M923" i="3"/>
  <c r="S923" i="3"/>
  <c r="D924" i="3"/>
  <c r="F924" i="3" s="1"/>
  <c r="E924" i="3"/>
  <c r="G924" i="3" s="1"/>
  <c r="H924" i="3"/>
  <c r="I924" i="3"/>
  <c r="J924" i="3"/>
  <c r="L924" i="3"/>
  <c r="M924" i="3"/>
  <c r="S924" i="3"/>
  <c r="D925" i="3"/>
  <c r="F925" i="3" s="1"/>
  <c r="E925" i="3"/>
  <c r="G925" i="3" s="1"/>
  <c r="H925" i="3"/>
  <c r="I925" i="3"/>
  <c r="J925" i="3"/>
  <c r="L925" i="3"/>
  <c r="M925" i="3"/>
  <c r="S925" i="3"/>
  <c r="D926" i="3"/>
  <c r="F926" i="3" s="1"/>
  <c r="E926" i="3"/>
  <c r="G926" i="3" s="1"/>
  <c r="H926" i="3"/>
  <c r="I926" i="3"/>
  <c r="J926" i="3"/>
  <c r="L926" i="3"/>
  <c r="M926" i="3"/>
  <c r="S926" i="3"/>
  <c r="D927" i="3"/>
  <c r="F927" i="3" s="1"/>
  <c r="E927" i="3"/>
  <c r="G927" i="3" s="1"/>
  <c r="H927" i="3"/>
  <c r="I927" i="3"/>
  <c r="J927" i="3"/>
  <c r="K927" i="3"/>
  <c r="L927" i="3"/>
  <c r="M927" i="3"/>
  <c r="S927" i="3"/>
  <c r="D928" i="3"/>
  <c r="F928" i="3" s="1"/>
  <c r="E928" i="3"/>
  <c r="G928" i="3" s="1"/>
  <c r="H928" i="3"/>
  <c r="I928" i="3"/>
  <c r="J928" i="3"/>
  <c r="L928" i="3"/>
  <c r="M928" i="3"/>
  <c r="S928" i="3"/>
  <c r="D929" i="3"/>
  <c r="F929" i="3" s="1"/>
  <c r="E929" i="3"/>
  <c r="G929" i="3" s="1"/>
  <c r="H929" i="3"/>
  <c r="I929" i="3"/>
  <c r="J929" i="3"/>
  <c r="L929" i="3"/>
  <c r="M929" i="3"/>
  <c r="S929" i="3"/>
  <c r="D930" i="3"/>
  <c r="F930" i="3" s="1"/>
  <c r="E930" i="3"/>
  <c r="G930" i="3" s="1"/>
  <c r="H930" i="3"/>
  <c r="I930" i="3"/>
  <c r="J930" i="3"/>
  <c r="L930" i="3"/>
  <c r="M930" i="3"/>
  <c r="S930" i="3"/>
  <c r="D931" i="3"/>
  <c r="F931" i="3" s="1"/>
  <c r="E931" i="3"/>
  <c r="G931" i="3" s="1"/>
  <c r="H931" i="3"/>
  <c r="I931" i="3"/>
  <c r="J931" i="3"/>
  <c r="L931" i="3"/>
  <c r="M931" i="3"/>
  <c r="S931" i="3"/>
  <c r="D932" i="3"/>
  <c r="F932" i="3" s="1"/>
  <c r="E932" i="3"/>
  <c r="G932" i="3" s="1"/>
  <c r="H932" i="3"/>
  <c r="I932" i="3"/>
  <c r="J932" i="3"/>
  <c r="L932" i="3"/>
  <c r="M932" i="3"/>
  <c r="S932" i="3"/>
  <c r="D933" i="3"/>
  <c r="F933" i="3" s="1"/>
  <c r="E933" i="3"/>
  <c r="G933" i="3" s="1"/>
  <c r="H933" i="3"/>
  <c r="I933" i="3"/>
  <c r="J933" i="3"/>
  <c r="L933" i="3"/>
  <c r="M933" i="3"/>
  <c r="S933" i="3"/>
  <c r="D934" i="3"/>
  <c r="F934" i="3" s="1"/>
  <c r="E934" i="3"/>
  <c r="G934" i="3" s="1"/>
  <c r="H934" i="3"/>
  <c r="I934" i="3"/>
  <c r="J934" i="3"/>
  <c r="L934" i="3"/>
  <c r="M934" i="3"/>
  <c r="S934" i="3"/>
  <c r="D935" i="3"/>
  <c r="F935" i="3" s="1"/>
  <c r="E935" i="3"/>
  <c r="G935" i="3" s="1"/>
  <c r="H935" i="3"/>
  <c r="I935" i="3"/>
  <c r="J935" i="3"/>
  <c r="L935" i="3"/>
  <c r="M935" i="3"/>
  <c r="S935" i="3"/>
  <c r="D936" i="3"/>
  <c r="F936" i="3" s="1"/>
  <c r="E936" i="3"/>
  <c r="G936" i="3" s="1"/>
  <c r="H936" i="3"/>
  <c r="I936" i="3"/>
  <c r="J936" i="3"/>
  <c r="L936" i="3"/>
  <c r="M936" i="3"/>
  <c r="S936" i="3"/>
  <c r="D937" i="3"/>
  <c r="F937" i="3" s="1"/>
  <c r="E937" i="3"/>
  <c r="G937" i="3" s="1"/>
  <c r="H937" i="3"/>
  <c r="I937" i="3"/>
  <c r="J937" i="3"/>
  <c r="L937" i="3"/>
  <c r="M937" i="3"/>
  <c r="S937" i="3"/>
  <c r="D938" i="3"/>
  <c r="F938" i="3" s="1"/>
  <c r="E938" i="3"/>
  <c r="G938" i="3" s="1"/>
  <c r="H938" i="3"/>
  <c r="I938" i="3"/>
  <c r="J938" i="3"/>
  <c r="L938" i="3"/>
  <c r="M938" i="3"/>
  <c r="S938" i="3"/>
  <c r="D939" i="3"/>
  <c r="F939" i="3" s="1"/>
  <c r="E939" i="3"/>
  <c r="G939" i="3" s="1"/>
  <c r="H939" i="3"/>
  <c r="I939" i="3"/>
  <c r="J939" i="3"/>
  <c r="L939" i="3"/>
  <c r="M939" i="3"/>
  <c r="S939" i="3"/>
  <c r="D940" i="3"/>
  <c r="F940" i="3" s="1"/>
  <c r="E940" i="3"/>
  <c r="G940" i="3" s="1"/>
  <c r="H940" i="3"/>
  <c r="I940" i="3"/>
  <c r="J940" i="3"/>
  <c r="L940" i="3"/>
  <c r="M940" i="3"/>
  <c r="S940" i="3"/>
  <c r="D941" i="3"/>
  <c r="F941" i="3" s="1"/>
  <c r="E941" i="3"/>
  <c r="G941" i="3" s="1"/>
  <c r="H941" i="3"/>
  <c r="I941" i="3"/>
  <c r="J941" i="3"/>
  <c r="L941" i="3"/>
  <c r="M941" i="3"/>
  <c r="S941" i="3"/>
  <c r="D942" i="3"/>
  <c r="F942" i="3" s="1"/>
  <c r="E942" i="3"/>
  <c r="G942" i="3" s="1"/>
  <c r="H942" i="3"/>
  <c r="I942" i="3"/>
  <c r="J942" i="3"/>
  <c r="L942" i="3"/>
  <c r="M942" i="3"/>
  <c r="S942" i="3"/>
  <c r="D943" i="3"/>
  <c r="F943" i="3" s="1"/>
  <c r="E943" i="3"/>
  <c r="G943" i="3" s="1"/>
  <c r="H943" i="3"/>
  <c r="I943" i="3"/>
  <c r="J943" i="3"/>
  <c r="L943" i="3"/>
  <c r="M943" i="3"/>
  <c r="S943" i="3"/>
  <c r="D944" i="3"/>
  <c r="F944" i="3" s="1"/>
  <c r="E944" i="3"/>
  <c r="G944" i="3" s="1"/>
  <c r="H944" i="3"/>
  <c r="I944" i="3"/>
  <c r="J944" i="3"/>
  <c r="L944" i="3"/>
  <c r="M944" i="3"/>
  <c r="S944" i="3"/>
  <c r="D945" i="3"/>
  <c r="F945" i="3" s="1"/>
  <c r="E945" i="3"/>
  <c r="G945" i="3" s="1"/>
  <c r="H945" i="3"/>
  <c r="I945" i="3"/>
  <c r="J945" i="3"/>
  <c r="L945" i="3"/>
  <c r="M945" i="3"/>
  <c r="S945" i="3"/>
  <c r="D946" i="3"/>
  <c r="F946" i="3" s="1"/>
  <c r="E946" i="3"/>
  <c r="G946" i="3" s="1"/>
  <c r="H946" i="3"/>
  <c r="I946" i="3"/>
  <c r="J946" i="3"/>
  <c r="L946" i="3"/>
  <c r="M946" i="3"/>
  <c r="S946" i="3"/>
  <c r="D947" i="3"/>
  <c r="F947" i="3" s="1"/>
  <c r="E947" i="3"/>
  <c r="G947" i="3" s="1"/>
  <c r="H947" i="3"/>
  <c r="I947" i="3"/>
  <c r="J947" i="3"/>
  <c r="L947" i="3"/>
  <c r="M947" i="3"/>
  <c r="S947" i="3"/>
  <c r="D948" i="3"/>
  <c r="F948" i="3" s="1"/>
  <c r="E948" i="3"/>
  <c r="G948" i="3" s="1"/>
  <c r="H948" i="3"/>
  <c r="I948" i="3"/>
  <c r="J948" i="3"/>
  <c r="L948" i="3"/>
  <c r="M948" i="3"/>
  <c r="S948" i="3"/>
  <c r="D813" i="3"/>
  <c r="F813" i="3" s="1"/>
  <c r="E813" i="3"/>
  <c r="G813" i="3" s="1"/>
  <c r="H813" i="3"/>
  <c r="I813" i="3"/>
  <c r="J813" i="3"/>
  <c r="L813" i="3"/>
  <c r="M813" i="3"/>
  <c r="S813" i="3"/>
  <c r="D814" i="3"/>
  <c r="F814" i="3" s="1"/>
  <c r="E814" i="3"/>
  <c r="G814" i="3" s="1"/>
  <c r="H814" i="3"/>
  <c r="I814" i="3"/>
  <c r="J814" i="3"/>
  <c r="L814" i="3"/>
  <c r="M814" i="3"/>
  <c r="S814" i="3"/>
  <c r="D815" i="3"/>
  <c r="F815" i="3" s="1"/>
  <c r="E815" i="3"/>
  <c r="G815" i="3" s="1"/>
  <c r="H815" i="3"/>
  <c r="I815" i="3"/>
  <c r="J815" i="3"/>
  <c r="L815" i="3"/>
  <c r="M815" i="3"/>
  <c r="S815" i="3"/>
  <c r="D816" i="3"/>
  <c r="F816" i="3" s="1"/>
  <c r="E816" i="3"/>
  <c r="G816" i="3" s="1"/>
  <c r="H816" i="3"/>
  <c r="I816" i="3"/>
  <c r="J816" i="3"/>
  <c r="L816" i="3"/>
  <c r="M816" i="3"/>
  <c r="S816" i="3"/>
  <c r="D817" i="3"/>
  <c r="F817" i="3" s="1"/>
  <c r="E817" i="3"/>
  <c r="G817" i="3" s="1"/>
  <c r="H817" i="3"/>
  <c r="I817" i="3"/>
  <c r="J817" i="3"/>
  <c r="L817" i="3"/>
  <c r="M817" i="3"/>
  <c r="S817" i="3"/>
  <c r="D818" i="3"/>
  <c r="F818" i="3" s="1"/>
  <c r="E818" i="3"/>
  <c r="G818" i="3" s="1"/>
  <c r="H818" i="3"/>
  <c r="I818" i="3"/>
  <c r="J818" i="3"/>
  <c r="L818" i="3"/>
  <c r="M818" i="3"/>
  <c r="S818" i="3"/>
  <c r="D819" i="3"/>
  <c r="F819" i="3" s="1"/>
  <c r="E819" i="3"/>
  <c r="G819" i="3" s="1"/>
  <c r="H819" i="3"/>
  <c r="I819" i="3"/>
  <c r="J819" i="3"/>
  <c r="L819" i="3"/>
  <c r="M819" i="3"/>
  <c r="S819" i="3"/>
  <c r="D820" i="3"/>
  <c r="F820" i="3" s="1"/>
  <c r="E820" i="3"/>
  <c r="G820" i="3" s="1"/>
  <c r="H820" i="3"/>
  <c r="I820" i="3"/>
  <c r="J820" i="3"/>
  <c r="L820" i="3"/>
  <c r="M820" i="3"/>
  <c r="S820" i="3"/>
  <c r="D821" i="3"/>
  <c r="F821" i="3" s="1"/>
  <c r="E821" i="3"/>
  <c r="G821" i="3" s="1"/>
  <c r="H821" i="3"/>
  <c r="I821" i="3"/>
  <c r="J821" i="3"/>
  <c r="L821" i="3"/>
  <c r="M821" i="3"/>
  <c r="S821" i="3"/>
  <c r="D822" i="3"/>
  <c r="F822" i="3" s="1"/>
  <c r="E822" i="3"/>
  <c r="G822" i="3" s="1"/>
  <c r="H822" i="3"/>
  <c r="I822" i="3"/>
  <c r="J822" i="3"/>
  <c r="L822" i="3"/>
  <c r="M822" i="3"/>
  <c r="S822" i="3"/>
  <c r="D823" i="3"/>
  <c r="F823" i="3" s="1"/>
  <c r="E823" i="3"/>
  <c r="G823" i="3" s="1"/>
  <c r="H823" i="3"/>
  <c r="I823" i="3"/>
  <c r="J823" i="3"/>
  <c r="L823" i="3"/>
  <c r="M823" i="3"/>
  <c r="S823" i="3"/>
  <c r="D824" i="3"/>
  <c r="F824" i="3" s="1"/>
  <c r="E824" i="3"/>
  <c r="G824" i="3" s="1"/>
  <c r="H824" i="3"/>
  <c r="I824" i="3"/>
  <c r="J824" i="3"/>
  <c r="L824" i="3"/>
  <c r="M824" i="3"/>
  <c r="S824" i="3"/>
  <c r="D825" i="3"/>
  <c r="F825" i="3" s="1"/>
  <c r="E825" i="3"/>
  <c r="G825" i="3" s="1"/>
  <c r="H825" i="3"/>
  <c r="I825" i="3"/>
  <c r="J825" i="3"/>
  <c r="L825" i="3"/>
  <c r="M825" i="3"/>
  <c r="S825" i="3"/>
  <c r="D826" i="3"/>
  <c r="F826" i="3" s="1"/>
  <c r="E826" i="3"/>
  <c r="G826" i="3" s="1"/>
  <c r="H826" i="3"/>
  <c r="I826" i="3"/>
  <c r="J826" i="3"/>
  <c r="L826" i="3"/>
  <c r="M826" i="3"/>
  <c r="S826" i="3"/>
  <c r="D827" i="3"/>
  <c r="F827" i="3" s="1"/>
  <c r="E827" i="3"/>
  <c r="G827" i="3" s="1"/>
  <c r="H827" i="3"/>
  <c r="I827" i="3"/>
  <c r="J827" i="3"/>
  <c r="L827" i="3"/>
  <c r="M827" i="3"/>
  <c r="S827" i="3"/>
  <c r="D828" i="3"/>
  <c r="F828" i="3" s="1"/>
  <c r="E828" i="3"/>
  <c r="G828" i="3" s="1"/>
  <c r="H828" i="3"/>
  <c r="I828" i="3"/>
  <c r="J828" i="3"/>
  <c r="L828" i="3"/>
  <c r="M828" i="3"/>
  <c r="S828" i="3"/>
  <c r="D829" i="3"/>
  <c r="F829" i="3" s="1"/>
  <c r="E829" i="3"/>
  <c r="G829" i="3" s="1"/>
  <c r="H829" i="3"/>
  <c r="I829" i="3"/>
  <c r="J829" i="3"/>
  <c r="L829" i="3"/>
  <c r="M829" i="3"/>
  <c r="S829" i="3"/>
  <c r="D830" i="3"/>
  <c r="E830" i="3"/>
  <c r="G830" i="3" s="1"/>
  <c r="F830" i="3"/>
  <c r="H830" i="3"/>
  <c r="I830" i="3"/>
  <c r="J830" i="3"/>
  <c r="L830" i="3"/>
  <c r="M830" i="3"/>
  <c r="S830" i="3"/>
  <c r="D831" i="3"/>
  <c r="F831" i="3" s="1"/>
  <c r="E831" i="3"/>
  <c r="G831" i="3" s="1"/>
  <c r="H831" i="3"/>
  <c r="I831" i="3"/>
  <c r="J831" i="3"/>
  <c r="L831" i="3"/>
  <c r="M831" i="3"/>
  <c r="S831" i="3"/>
  <c r="D832" i="3"/>
  <c r="F832" i="3" s="1"/>
  <c r="E832" i="3"/>
  <c r="G832" i="3" s="1"/>
  <c r="H832" i="3"/>
  <c r="I832" i="3"/>
  <c r="J832" i="3"/>
  <c r="L832" i="3"/>
  <c r="M832" i="3"/>
  <c r="S832" i="3"/>
  <c r="D833" i="3"/>
  <c r="F833" i="3" s="1"/>
  <c r="E833" i="3"/>
  <c r="G833" i="3" s="1"/>
  <c r="H833" i="3"/>
  <c r="I833" i="3"/>
  <c r="J833" i="3"/>
  <c r="L833" i="3"/>
  <c r="M833" i="3"/>
  <c r="S833" i="3"/>
  <c r="D834" i="3"/>
  <c r="F834" i="3" s="1"/>
  <c r="E834" i="3"/>
  <c r="G834" i="3" s="1"/>
  <c r="H834" i="3"/>
  <c r="I834" i="3"/>
  <c r="J834" i="3"/>
  <c r="L834" i="3"/>
  <c r="M834" i="3"/>
  <c r="S834" i="3"/>
  <c r="D835" i="3"/>
  <c r="F835" i="3" s="1"/>
  <c r="E835" i="3"/>
  <c r="G835" i="3" s="1"/>
  <c r="H835" i="3"/>
  <c r="I835" i="3"/>
  <c r="J835" i="3"/>
  <c r="L835" i="3"/>
  <c r="M835" i="3"/>
  <c r="S835" i="3"/>
  <c r="D836" i="3"/>
  <c r="F836" i="3" s="1"/>
  <c r="E836" i="3"/>
  <c r="G836" i="3" s="1"/>
  <c r="H836" i="3"/>
  <c r="I836" i="3"/>
  <c r="J836" i="3"/>
  <c r="L836" i="3"/>
  <c r="M836" i="3"/>
  <c r="S836" i="3"/>
  <c r="D837" i="3"/>
  <c r="F837" i="3" s="1"/>
  <c r="E837" i="3"/>
  <c r="G837" i="3" s="1"/>
  <c r="H837" i="3"/>
  <c r="I837" i="3"/>
  <c r="J837" i="3"/>
  <c r="L837" i="3"/>
  <c r="M837" i="3"/>
  <c r="S837" i="3"/>
  <c r="D838" i="3"/>
  <c r="F838" i="3" s="1"/>
  <c r="E838" i="3"/>
  <c r="G838" i="3" s="1"/>
  <c r="H838" i="3"/>
  <c r="I838" i="3"/>
  <c r="J838" i="3"/>
  <c r="L838" i="3"/>
  <c r="M838" i="3"/>
  <c r="S838" i="3"/>
  <c r="D839" i="3"/>
  <c r="F839" i="3" s="1"/>
  <c r="E839" i="3"/>
  <c r="G839" i="3" s="1"/>
  <c r="H839" i="3"/>
  <c r="I839" i="3"/>
  <c r="J839" i="3"/>
  <c r="L839" i="3"/>
  <c r="M839" i="3"/>
  <c r="S839" i="3"/>
  <c r="D840" i="3"/>
  <c r="F840" i="3" s="1"/>
  <c r="E840" i="3"/>
  <c r="G840" i="3"/>
  <c r="H840" i="3"/>
  <c r="I840" i="3"/>
  <c r="J840" i="3"/>
  <c r="L840" i="3"/>
  <c r="M840" i="3"/>
  <c r="S840" i="3"/>
  <c r="D841" i="3"/>
  <c r="F841" i="3" s="1"/>
  <c r="E841" i="3"/>
  <c r="G841" i="3" s="1"/>
  <c r="H841" i="3"/>
  <c r="I841" i="3"/>
  <c r="J841" i="3"/>
  <c r="L841" i="3"/>
  <c r="M841" i="3"/>
  <c r="S841" i="3"/>
  <c r="D842" i="3"/>
  <c r="F842" i="3" s="1"/>
  <c r="E842" i="3"/>
  <c r="G842" i="3" s="1"/>
  <c r="H842" i="3"/>
  <c r="I842" i="3"/>
  <c r="J842" i="3"/>
  <c r="L842" i="3"/>
  <c r="M842" i="3"/>
  <c r="S842" i="3"/>
  <c r="D843" i="3"/>
  <c r="F843" i="3" s="1"/>
  <c r="E843" i="3"/>
  <c r="G843" i="3" s="1"/>
  <c r="H843" i="3"/>
  <c r="I843" i="3"/>
  <c r="J843" i="3"/>
  <c r="L843" i="3"/>
  <c r="M843" i="3"/>
  <c r="S843" i="3"/>
  <c r="D844" i="3"/>
  <c r="F844" i="3" s="1"/>
  <c r="E844" i="3"/>
  <c r="G844" i="3" s="1"/>
  <c r="H844" i="3"/>
  <c r="I844" i="3"/>
  <c r="J844" i="3"/>
  <c r="L844" i="3"/>
  <c r="M844" i="3"/>
  <c r="S844" i="3"/>
  <c r="D845" i="3"/>
  <c r="F845" i="3" s="1"/>
  <c r="E845" i="3"/>
  <c r="G845" i="3" s="1"/>
  <c r="H845" i="3"/>
  <c r="I845" i="3"/>
  <c r="J845" i="3"/>
  <c r="L845" i="3"/>
  <c r="M845" i="3"/>
  <c r="S845" i="3"/>
  <c r="D846" i="3"/>
  <c r="F846" i="3" s="1"/>
  <c r="E846" i="3"/>
  <c r="G846" i="3" s="1"/>
  <c r="H846" i="3"/>
  <c r="I846" i="3"/>
  <c r="J846" i="3"/>
  <c r="L846" i="3"/>
  <c r="M846" i="3"/>
  <c r="S846" i="3"/>
  <c r="D847" i="3"/>
  <c r="F847" i="3" s="1"/>
  <c r="E847" i="3"/>
  <c r="G847" i="3" s="1"/>
  <c r="H847" i="3"/>
  <c r="I847" i="3"/>
  <c r="J847" i="3"/>
  <c r="L847" i="3"/>
  <c r="M847" i="3"/>
  <c r="S847" i="3"/>
  <c r="D848" i="3"/>
  <c r="F848" i="3" s="1"/>
  <c r="E848" i="3"/>
  <c r="G848" i="3" s="1"/>
  <c r="H848" i="3"/>
  <c r="I848" i="3"/>
  <c r="J848" i="3"/>
  <c r="L848" i="3"/>
  <c r="M848" i="3"/>
  <c r="S848" i="3"/>
  <c r="D849" i="3"/>
  <c r="F849" i="3" s="1"/>
  <c r="E849" i="3"/>
  <c r="G849" i="3" s="1"/>
  <c r="H849" i="3"/>
  <c r="I849" i="3"/>
  <c r="J849" i="3"/>
  <c r="L849" i="3"/>
  <c r="M849" i="3"/>
  <c r="S849" i="3"/>
  <c r="D850" i="3"/>
  <c r="F850" i="3" s="1"/>
  <c r="E850" i="3"/>
  <c r="G850" i="3" s="1"/>
  <c r="H850" i="3"/>
  <c r="I850" i="3"/>
  <c r="J850" i="3"/>
  <c r="L850" i="3"/>
  <c r="M850" i="3"/>
  <c r="S850" i="3"/>
  <c r="D851" i="3"/>
  <c r="F851" i="3" s="1"/>
  <c r="E851" i="3"/>
  <c r="G851" i="3" s="1"/>
  <c r="H851" i="3"/>
  <c r="I851" i="3"/>
  <c r="J851" i="3"/>
  <c r="L851" i="3"/>
  <c r="M851" i="3"/>
  <c r="S851" i="3"/>
  <c r="D852" i="3"/>
  <c r="F852" i="3" s="1"/>
  <c r="E852" i="3"/>
  <c r="G852" i="3" s="1"/>
  <c r="H852" i="3"/>
  <c r="I852" i="3"/>
  <c r="J852" i="3"/>
  <c r="L852" i="3"/>
  <c r="M852" i="3"/>
  <c r="S852" i="3"/>
  <c r="D853" i="3"/>
  <c r="F853" i="3" s="1"/>
  <c r="E853" i="3"/>
  <c r="G853" i="3" s="1"/>
  <c r="H853" i="3"/>
  <c r="I853" i="3"/>
  <c r="J853" i="3"/>
  <c r="L853" i="3"/>
  <c r="M853" i="3"/>
  <c r="S853" i="3"/>
  <c r="D854" i="3"/>
  <c r="F854" i="3" s="1"/>
  <c r="E854" i="3"/>
  <c r="G854" i="3" s="1"/>
  <c r="H854" i="3"/>
  <c r="I854" i="3"/>
  <c r="J854" i="3"/>
  <c r="L854" i="3"/>
  <c r="M854" i="3"/>
  <c r="S854" i="3"/>
  <c r="D855" i="3"/>
  <c r="F855" i="3" s="1"/>
  <c r="E855" i="3"/>
  <c r="G855" i="3" s="1"/>
  <c r="H855" i="3"/>
  <c r="I855" i="3"/>
  <c r="J855" i="3"/>
  <c r="L855" i="3"/>
  <c r="M855" i="3"/>
  <c r="S855" i="3"/>
  <c r="D856" i="3"/>
  <c r="F856" i="3" s="1"/>
  <c r="E856" i="3"/>
  <c r="G856" i="3" s="1"/>
  <c r="H856" i="3"/>
  <c r="I856" i="3"/>
  <c r="J856" i="3"/>
  <c r="L856" i="3"/>
  <c r="M856" i="3"/>
  <c r="S856" i="3"/>
  <c r="D857" i="3"/>
  <c r="F857" i="3" s="1"/>
  <c r="E857" i="3"/>
  <c r="G857" i="3" s="1"/>
  <c r="H857" i="3"/>
  <c r="I857" i="3"/>
  <c r="J857" i="3"/>
  <c r="L857" i="3"/>
  <c r="M857" i="3"/>
  <c r="S857" i="3"/>
  <c r="D858" i="3"/>
  <c r="F858" i="3" s="1"/>
  <c r="E858" i="3"/>
  <c r="G858" i="3" s="1"/>
  <c r="H858" i="3"/>
  <c r="I858" i="3"/>
  <c r="J858" i="3"/>
  <c r="L858" i="3"/>
  <c r="M858" i="3"/>
  <c r="S858" i="3"/>
  <c r="D859" i="3"/>
  <c r="F859" i="3" s="1"/>
  <c r="E859" i="3"/>
  <c r="G859" i="3" s="1"/>
  <c r="H859" i="3"/>
  <c r="I859" i="3"/>
  <c r="J859" i="3"/>
  <c r="L859" i="3"/>
  <c r="M859" i="3"/>
  <c r="S859" i="3"/>
  <c r="D860" i="3"/>
  <c r="F860" i="3" s="1"/>
  <c r="E860" i="3"/>
  <c r="G860" i="3" s="1"/>
  <c r="H860" i="3"/>
  <c r="I860" i="3"/>
  <c r="J860" i="3"/>
  <c r="L860" i="3"/>
  <c r="M860" i="3"/>
  <c r="S860" i="3"/>
  <c r="D861" i="3"/>
  <c r="F861" i="3" s="1"/>
  <c r="E861" i="3"/>
  <c r="G861" i="3" s="1"/>
  <c r="H861" i="3"/>
  <c r="I861" i="3"/>
  <c r="J861" i="3"/>
  <c r="L861" i="3"/>
  <c r="M861" i="3"/>
  <c r="S861" i="3"/>
  <c r="D862" i="3"/>
  <c r="F862" i="3" s="1"/>
  <c r="E862" i="3"/>
  <c r="G862" i="3" s="1"/>
  <c r="H862" i="3"/>
  <c r="I862" i="3"/>
  <c r="J862" i="3"/>
  <c r="L862" i="3"/>
  <c r="M862" i="3"/>
  <c r="S862" i="3"/>
  <c r="D863" i="3"/>
  <c r="F863" i="3" s="1"/>
  <c r="E863" i="3"/>
  <c r="G863" i="3" s="1"/>
  <c r="H863" i="3"/>
  <c r="I863" i="3"/>
  <c r="J863" i="3"/>
  <c r="L863" i="3"/>
  <c r="M863" i="3"/>
  <c r="S863" i="3"/>
  <c r="D864" i="3"/>
  <c r="F864" i="3" s="1"/>
  <c r="E864" i="3"/>
  <c r="G864" i="3" s="1"/>
  <c r="H864" i="3"/>
  <c r="I864" i="3"/>
  <c r="J864" i="3"/>
  <c r="L864" i="3"/>
  <c r="M864" i="3"/>
  <c r="S864" i="3"/>
  <c r="D865" i="3"/>
  <c r="F865" i="3" s="1"/>
  <c r="E865" i="3"/>
  <c r="G865" i="3" s="1"/>
  <c r="H865" i="3"/>
  <c r="I865" i="3"/>
  <c r="J865" i="3"/>
  <c r="L865" i="3"/>
  <c r="M865" i="3"/>
  <c r="S865" i="3"/>
  <c r="D866" i="3"/>
  <c r="F866" i="3" s="1"/>
  <c r="E866" i="3"/>
  <c r="G866" i="3"/>
  <c r="H866" i="3"/>
  <c r="I866" i="3"/>
  <c r="J866" i="3"/>
  <c r="L866" i="3"/>
  <c r="M866" i="3"/>
  <c r="S866" i="3"/>
  <c r="D867" i="3"/>
  <c r="F867" i="3" s="1"/>
  <c r="E867" i="3"/>
  <c r="G867" i="3" s="1"/>
  <c r="H867" i="3"/>
  <c r="I867" i="3"/>
  <c r="J867" i="3"/>
  <c r="L867" i="3"/>
  <c r="M867" i="3"/>
  <c r="S867" i="3"/>
  <c r="D868" i="3"/>
  <c r="F868" i="3" s="1"/>
  <c r="E868" i="3"/>
  <c r="G868" i="3" s="1"/>
  <c r="H868" i="3"/>
  <c r="I868" i="3"/>
  <c r="J868" i="3"/>
  <c r="L868" i="3"/>
  <c r="M868" i="3"/>
  <c r="S868" i="3"/>
  <c r="D869" i="3"/>
  <c r="F869" i="3" s="1"/>
  <c r="E869" i="3"/>
  <c r="G869" i="3" s="1"/>
  <c r="H869" i="3"/>
  <c r="I869" i="3"/>
  <c r="J869" i="3"/>
  <c r="L869" i="3"/>
  <c r="M869" i="3"/>
  <c r="S869" i="3"/>
  <c r="D870" i="3"/>
  <c r="F870" i="3" s="1"/>
  <c r="E870" i="3"/>
  <c r="G870" i="3" s="1"/>
  <c r="H870" i="3"/>
  <c r="I870" i="3"/>
  <c r="J870" i="3"/>
  <c r="L870" i="3"/>
  <c r="M870" i="3"/>
  <c r="S870" i="3"/>
  <c r="D871" i="3"/>
  <c r="F871" i="3" s="1"/>
  <c r="E871" i="3"/>
  <c r="G871" i="3" s="1"/>
  <c r="H871" i="3"/>
  <c r="I871" i="3"/>
  <c r="J871" i="3"/>
  <c r="L871" i="3"/>
  <c r="M871" i="3"/>
  <c r="S871" i="3"/>
  <c r="D872" i="3"/>
  <c r="F872" i="3" s="1"/>
  <c r="E872" i="3"/>
  <c r="G872" i="3" s="1"/>
  <c r="H872" i="3"/>
  <c r="I872" i="3"/>
  <c r="J872" i="3"/>
  <c r="L872" i="3"/>
  <c r="M872" i="3"/>
  <c r="S872" i="3"/>
  <c r="D873" i="3"/>
  <c r="F873" i="3" s="1"/>
  <c r="E873" i="3"/>
  <c r="G873" i="3" s="1"/>
  <c r="H873" i="3"/>
  <c r="I873" i="3"/>
  <c r="J873" i="3"/>
  <c r="L873" i="3"/>
  <c r="M873" i="3"/>
  <c r="S873" i="3"/>
  <c r="D874" i="3"/>
  <c r="F874" i="3" s="1"/>
  <c r="E874" i="3"/>
  <c r="G874" i="3" s="1"/>
  <c r="H874" i="3"/>
  <c r="I874" i="3"/>
  <c r="J874" i="3"/>
  <c r="L874" i="3"/>
  <c r="M874" i="3"/>
  <c r="S874" i="3"/>
  <c r="D875" i="3"/>
  <c r="F875" i="3" s="1"/>
  <c r="E875" i="3"/>
  <c r="G875" i="3"/>
  <c r="H875" i="3"/>
  <c r="I875" i="3"/>
  <c r="J875" i="3"/>
  <c r="L875" i="3"/>
  <c r="M875" i="3"/>
  <c r="S875" i="3"/>
  <c r="D876" i="3"/>
  <c r="F876" i="3" s="1"/>
  <c r="E876" i="3"/>
  <c r="G876" i="3" s="1"/>
  <c r="H876" i="3"/>
  <c r="I876" i="3"/>
  <c r="J876" i="3"/>
  <c r="L876" i="3"/>
  <c r="M876" i="3"/>
  <c r="S876" i="3"/>
  <c r="D877" i="3"/>
  <c r="F877" i="3" s="1"/>
  <c r="E877" i="3"/>
  <c r="G877" i="3" s="1"/>
  <c r="H877" i="3"/>
  <c r="I877" i="3"/>
  <c r="J877" i="3"/>
  <c r="L877" i="3"/>
  <c r="M877" i="3"/>
  <c r="S877" i="3"/>
  <c r="D878" i="3"/>
  <c r="F878" i="3" s="1"/>
  <c r="E878" i="3"/>
  <c r="G878" i="3" s="1"/>
  <c r="H878" i="3"/>
  <c r="I878" i="3"/>
  <c r="J878" i="3"/>
  <c r="L878" i="3"/>
  <c r="M878" i="3"/>
  <c r="S878" i="3"/>
  <c r="D879" i="3"/>
  <c r="F879" i="3" s="1"/>
  <c r="E879" i="3"/>
  <c r="G879" i="3" s="1"/>
  <c r="H879" i="3"/>
  <c r="I879" i="3"/>
  <c r="J879" i="3"/>
  <c r="L879" i="3"/>
  <c r="M879" i="3"/>
  <c r="S879" i="3"/>
  <c r="D880" i="3"/>
  <c r="F880" i="3" s="1"/>
  <c r="E880" i="3"/>
  <c r="G880" i="3" s="1"/>
  <c r="H880" i="3"/>
  <c r="I880" i="3"/>
  <c r="J880" i="3"/>
  <c r="L880" i="3"/>
  <c r="M880" i="3"/>
  <c r="S880" i="3"/>
  <c r="D745" i="3"/>
  <c r="F745" i="3" s="1"/>
  <c r="E745" i="3"/>
  <c r="G745" i="3" s="1"/>
  <c r="H745" i="3"/>
  <c r="I745" i="3"/>
  <c r="J745" i="3"/>
  <c r="L745" i="3"/>
  <c r="M745" i="3"/>
  <c r="S745" i="3"/>
  <c r="D746" i="3"/>
  <c r="F746" i="3" s="1"/>
  <c r="E746" i="3"/>
  <c r="G746" i="3" s="1"/>
  <c r="H746" i="3"/>
  <c r="I746" i="3"/>
  <c r="J746" i="3"/>
  <c r="L746" i="3"/>
  <c r="M746" i="3"/>
  <c r="S746" i="3"/>
  <c r="D747" i="3"/>
  <c r="F747" i="3" s="1"/>
  <c r="E747" i="3"/>
  <c r="G747" i="3" s="1"/>
  <c r="H747" i="3"/>
  <c r="I747" i="3"/>
  <c r="J747" i="3"/>
  <c r="L747" i="3"/>
  <c r="M747" i="3"/>
  <c r="S747" i="3"/>
  <c r="D748" i="3"/>
  <c r="F748" i="3" s="1"/>
  <c r="E748" i="3"/>
  <c r="G748" i="3" s="1"/>
  <c r="H748" i="3"/>
  <c r="I748" i="3"/>
  <c r="J748" i="3"/>
  <c r="L748" i="3"/>
  <c r="M748" i="3"/>
  <c r="S748" i="3"/>
  <c r="D749" i="3"/>
  <c r="F749" i="3" s="1"/>
  <c r="E749" i="3"/>
  <c r="G749" i="3" s="1"/>
  <c r="H749" i="3"/>
  <c r="I749" i="3"/>
  <c r="J749" i="3"/>
  <c r="L749" i="3"/>
  <c r="M749" i="3"/>
  <c r="S749" i="3"/>
  <c r="D750" i="3"/>
  <c r="F750" i="3" s="1"/>
  <c r="E750" i="3"/>
  <c r="G750" i="3" s="1"/>
  <c r="H750" i="3"/>
  <c r="I750" i="3"/>
  <c r="J750" i="3"/>
  <c r="L750" i="3"/>
  <c r="M750" i="3"/>
  <c r="S750" i="3"/>
  <c r="D751" i="3"/>
  <c r="F751" i="3" s="1"/>
  <c r="E751" i="3"/>
  <c r="G751" i="3" s="1"/>
  <c r="H751" i="3"/>
  <c r="I751" i="3"/>
  <c r="J751" i="3"/>
  <c r="L751" i="3"/>
  <c r="M751" i="3"/>
  <c r="S751" i="3"/>
  <c r="D752" i="3"/>
  <c r="F752" i="3" s="1"/>
  <c r="E752" i="3"/>
  <c r="G752" i="3" s="1"/>
  <c r="H752" i="3"/>
  <c r="I752" i="3"/>
  <c r="J752" i="3"/>
  <c r="K752" i="3"/>
  <c r="L752" i="3"/>
  <c r="M752" i="3"/>
  <c r="S752" i="3"/>
  <c r="D753" i="3"/>
  <c r="F753" i="3" s="1"/>
  <c r="E753" i="3"/>
  <c r="G753" i="3" s="1"/>
  <c r="H753" i="3"/>
  <c r="I753" i="3"/>
  <c r="J753" i="3"/>
  <c r="L753" i="3"/>
  <c r="M753" i="3"/>
  <c r="S753" i="3"/>
  <c r="D754" i="3"/>
  <c r="F754" i="3" s="1"/>
  <c r="E754" i="3"/>
  <c r="G754" i="3" s="1"/>
  <c r="H754" i="3"/>
  <c r="I754" i="3"/>
  <c r="J754" i="3"/>
  <c r="L754" i="3"/>
  <c r="M754" i="3"/>
  <c r="S754" i="3"/>
  <c r="D755" i="3"/>
  <c r="F755" i="3" s="1"/>
  <c r="E755" i="3"/>
  <c r="G755" i="3" s="1"/>
  <c r="H755" i="3"/>
  <c r="I755" i="3"/>
  <c r="J755" i="3"/>
  <c r="L755" i="3"/>
  <c r="M755" i="3"/>
  <c r="S755" i="3"/>
  <c r="D756" i="3"/>
  <c r="F756" i="3" s="1"/>
  <c r="E756" i="3"/>
  <c r="G756" i="3" s="1"/>
  <c r="H756" i="3"/>
  <c r="I756" i="3"/>
  <c r="J756" i="3"/>
  <c r="L756" i="3"/>
  <c r="M756" i="3"/>
  <c r="S756" i="3"/>
  <c r="D757" i="3"/>
  <c r="F757" i="3" s="1"/>
  <c r="E757" i="3"/>
  <c r="G757" i="3" s="1"/>
  <c r="H757" i="3"/>
  <c r="I757" i="3"/>
  <c r="J757" i="3"/>
  <c r="L757" i="3"/>
  <c r="M757" i="3"/>
  <c r="S757" i="3"/>
  <c r="D758" i="3"/>
  <c r="F758" i="3" s="1"/>
  <c r="E758" i="3"/>
  <c r="G758" i="3" s="1"/>
  <c r="H758" i="3"/>
  <c r="I758" i="3"/>
  <c r="J758" i="3"/>
  <c r="L758" i="3"/>
  <c r="M758" i="3"/>
  <c r="S758" i="3"/>
  <c r="D759" i="3"/>
  <c r="F759" i="3" s="1"/>
  <c r="E759" i="3"/>
  <c r="G759" i="3" s="1"/>
  <c r="H759" i="3"/>
  <c r="I759" i="3"/>
  <c r="J759" i="3"/>
  <c r="L759" i="3"/>
  <c r="M759" i="3"/>
  <c r="S759" i="3"/>
  <c r="D760" i="3"/>
  <c r="F760" i="3" s="1"/>
  <c r="E760" i="3"/>
  <c r="G760" i="3" s="1"/>
  <c r="H760" i="3"/>
  <c r="I760" i="3"/>
  <c r="J760" i="3"/>
  <c r="L760" i="3"/>
  <c r="M760" i="3"/>
  <c r="S760" i="3"/>
  <c r="D761" i="3"/>
  <c r="F761" i="3" s="1"/>
  <c r="E761" i="3"/>
  <c r="G761" i="3" s="1"/>
  <c r="H761" i="3"/>
  <c r="I761" i="3"/>
  <c r="J761" i="3"/>
  <c r="L761" i="3"/>
  <c r="M761" i="3"/>
  <c r="S761" i="3"/>
  <c r="D762" i="3"/>
  <c r="F762" i="3" s="1"/>
  <c r="E762" i="3"/>
  <c r="G762" i="3" s="1"/>
  <c r="H762" i="3"/>
  <c r="I762" i="3"/>
  <c r="J762" i="3"/>
  <c r="L762" i="3"/>
  <c r="M762" i="3"/>
  <c r="S762" i="3"/>
  <c r="D763" i="3"/>
  <c r="F763" i="3" s="1"/>
  <c r="E763" i="3"/>
  <c r="G763" i="3" s="1"/>
  <c r="H763" i="3"/>
  <c r="I763" i="3"/>
  <c r="J763" i="3"/>
  <c r="L763" i="3"/>
  <c r="M763" i="3"/>
  <c r="S763" i="3"/>
  <c r="D764" i="3"/>
  <c r="F764" i="3" s="1"/>
  <c r="E764" i="3"/>
  <c r="G764" i="3" s="1"/>
  <c r="H764" i="3"/>
  <c r="I764" i="3"/>
  <c r="J764" i="3"/>
  <c r="L764" i="3"/>
  <c r="M764" i="3"/>
  <c r="S764" i="3"/>
  <c r="D765" i="3"/>
  <c r="F765" i="3" s="1"/>
  <c r="E765" i="3"/>
  <c r="G765" i="3" s="1"/>
  <c r="H765" i="3"/>
  <c r="I765" i="3"/>
  <c r="J765" i="3"/>
  <c r="L765" i="3"/>
  <c r="M765" i="3"/>
  <c r="S765" i="3"/>
  <c r="D766" i="3"/>
  <c r="F766" i="3" s="1"/>
  <c r="E766" i="3"/>
  <c r="G766" i="3" s="1"/>
  <c r="H766" i="3"/>
  <c r="I766" i="3"/>
  <c r="J766" i="3"/>
  <c r="L766" i="3"/>
  <c r="M766" i="3"/>
  <c r="S766" i="3"/>
  <c r="D767" i="3"/>
  <c r="F767" i="3" s="1"/>
  <c r="E767" i="3"/>
  <c r="G767" i="3" s="1"/>
  <c r="H767" i="3"/>
  <c r="I767" i="3"/>
  <c r="J767" i="3"/>
  <c r="L767" i="3"/>
  <c r="M767" i="3"/>
  <c r="S767" i="3"/>
  <c r="D768" i="3"/>
  <c r="F768" i="3" s="1"/>
  <c r="E768" i="3"/>
  <c r="G768" i="3" s="1"/>
  <c r="H768" i="3"/>
  <c r="I768" i="3"/>
  <c r="J768" i="3"/>
  <c r="L768" i="3"/>
  <c r="M768" i="3"/>
  <c r="S768" i="3"/>
  <c r="D769" i="3"/>
  <c r="F769" i="3" s="1"/>
  <c r="E769" i="3"/>
  <c r="G769" i="3" s="1"/>
  <c r="H769" i="3"/>
  <c r="I769" i="3"/>
  <c r="J769" i="3"/>
  <c r="L769" i="3"/>
  <c r="M769" i="3"/>
  <c r="S769" i="3"/>
  <c r="D770" i="3"/>
  <c r="F770" i="3" s="1"/>
  <c r="E770" i="3"/>
  <c r="G770" i="3" s="1"/>
  <c r="H770" i="3"/>
  <c r="I770" i="3"/>
  <c r="J770" i="3"/>
  <c r="L770" i="3"/>
  <c r="M770" i="3"/>
  <c r="S770" i="3"/>
  <c r="D771" i="3"/>
  <c r="F771" i="3" s="1"/>
  <c r="E771" i="3"/>
  <c r="G771" i="3" s="1"/>
  <c r="H771" i="3"/>
  <c r="I771" i="3"/>
  <c r="J771" i="3"/>
  <c r="L771" i="3"/>
  <c r="M771" i="3"/>
  <c r="S771" i="3"/>
  <c r="D772" i="3"/>
  <c r="F772" i="3" s="1"/>
  <c r="E772" i="3"/>
  <c r="G772" i="3" s="1"/>
  <c r="H772" i="3"/>
  <c r="I772" i="3"/>
  <c r="J772" i="3"/>
  <c r="L772" i="3"/>
  <c r="M772" i="3"/>
  <c r="S772" i="3"/>
  <c r="D773" i="3"/>
  <c r="E773" i="3"/>
  <c r="G773" i="3" s="1"/>
  <c r="F773" i="3"/>
  <c r="H773" i="3"/>
  <c r="I773" i="3"/>
  <c r="J773" i="3"/>
  <c r="L773" i="3"/>
  <c r="M773" i="3"/>
  <c r="S773" i="3"/>
  <c r="D774" i="3"/>
  <c r="F774" i="3" s="1"/>
  <c r="E774" i="3"/>
  <c r="G774" i="3" s="1"/>
  <c r="H774" i="3"/>
  <c r="I774" i="3"/>
  <c r="J774" i="3"/>
  <c r="L774" i="3"/>
  <c r="M774" i="3"/>
  <c r="S774" i="3"/>
  <c r="D775" i="3"/>
  <c r="F775" i="3" s="1"/>
  <c r="E775" i="3"/>
  <c r="G775" i="3"/>
  <c r="H775" i="3"/>
  <c r="I775" i="3"/>
  <c r="J775" i="3"/>
  <c r="L775" i="3"/>
  <c r="M775" i="3"/>
  <c r="S775" i="3"/>
  <c r="D776" i="3"/>
  <c r="F776" i="3" s="1"/>
  <c r="E776" i="3"/>
  <c r="G776" i="3" s="1"/>
  <c r="H776" i="3"/>
  <c r="I776" i="3"/>
  <c r="J776" i="3"/>
  <c r="L776" i="3"/>
  <c r="M776" i="3"/>
  <c r="S776" i="3"/>
  <c r="D777" i="3"/>
  <c r="E777" i="3"/>
  <c r="G777" i="3" s="1"/>
  <c r="F777" i="3"/>
  <c r="H777" i="3"/>
  <c r="I777" i="3"/>
  <c r="J777" i="3"/>
  <c r="L777" i="3"/>
  <c r="M777" i="3"/>
  <c r="S777" i="3"/>
  <c r="D778" i="3"/>
  <c r="F778" i="3" s="1"/>
  <c r="E778" i="3"/>
  <c r="G778" i="3" s="1"/>
  <c r="H778" i="3"/>
  <c r="I778" i="3"/>
  <c r="J778" i="3"/>
  <c r="L778" i="3"/>
  <c r="M778" i="3"/>
  <c r="S778" i="3"/>
  <c r="D779" i="3"/>
  <c r="F779" i="3" s="1"/>
  <c r="E779" i="3"/>
  <c r="G779" i="3" s="1"/>
  <c r="H779" i="3"/>
  <c r="I779" i="3"/>
  <c r="J779" i="3"/>
  <c r="L779" i="3"/>
  <c r="M779" i="3"/>
  <c r="S779" i="3"/>
  <c r="D780" i="3"/>
  <c r="F780" i="3" s="1"/>
  <c r="E780" i="3"/>
  <c r="G780" i="3" s="1"/>
  <c r="H780" i="3"/>
  <c r="I780" i="3"/>
  <c r="J780" i="3"/>
  <c r="L780" i="3"/>
  <c r="M780" i="3"/>
  <c r="S780" i="3"/>
  <c r="D781" i="3"/>
  <c r="F781" i="3" s="1"/>
  <c r="E781" i="3"/>
  <c r="G781" i="3" s="1"/>
  <c r="H781" i="3"/>
  <c r="I781" i="3"/>
  <c r="J781" i="3"/>
  <c r="L781" i="3"/>
  <c r="M781" i="3"/>
  <c r="S781" i="3"/>
  <c r="D782" i="3"/>
  <c r="F782" i="3" s="1"/>
  <c r="E782" i="3"/>
  <c r="G782" i="3" s="1"/>
  <c r="H782" i="3"/>
  <c r="I782" i="3"/>
  <c r="J782" i="3"/>
  <c r="L782" i="3"/>
  <c r="M782" i="3"/>
  <c r="S782" i="3"/>
  <c r="D783" i="3"/>
  <c r="F783" i="3" s="1"/>
  <c r="E783" i="3"/>
  <c r="G783" i="3" s="1"/>
  <c r="H783" i="3"/>
  <c r="I783" i="3"/>
  <c r="J783" i="3"/>
  <c r="L783" i="3"/>
  <c r="M783" i="3"/>
  <c r="S783" i="3"/>
  <c r="D784" i="3"/>
  <c r="F784" i="3" s="1"/>
  <c r="E784" i="3"/>
  <c r="G784" i="3" s="1"/>
  <c r="H784" i="3"/>
  <c r="I784" i="3"/>
  <c r="J784" i="3"/>
  <c r="L784" i="3"/>
  <c r="M784" i="3"/>
  <c r="S784" i="3"/>
  <c r="D785" i="3"/>
  <c r="F785" i="3" s="1"/>
  <c r="E785" i="3"/>
  <c r="G785" i="3" s="1"/>
  <c r="H785" i="3"/>
  <c r="I785" i="3"/>
  <c r="J785" i="3"/>
  <c r="L785" i="3"/>
  <c r="M785" i="3"/>
  <c r="S785" i="3"/>
  <c r="D786" i="3"/>
  <c r="F786" i="3" s="1"/>
  <c r="E786" i="3"/>
  <c r="G786" i="3" s="1"/>
  <c r="H786" i="3"/>
  <c r="I786" i="3"/>
  <c r="J786" i="3"/>
  <c r="L786" i="3"/>
  <c r="M786" i="3"/>
  <c r="S786" i="3"/>
  <c r="D787" i="3"/>
  <c r="E787" i="3"/>
  <c r="G787" i="3" s="1"/>
  <c r="F787" i="3"/>
  <c r="H787" i="3"/>
  <c r="I787" i="3"/>
  <c r="J787" i="3"/>
  <c r="L787" i="3"/>
  <c r="M787" i="3"/>
  <c r="S787" i="3"/>
  <c r="D788" i="3"/>
  <c r="F788" i="3" s="1"/>
  <c r="E788" i="3"/>
  <c r="G788" i="3" s="1"/>
  <c r="H788" i="3"/>
  <c r="I788" i="3"/>
  <c r="J788" i="3"/>
  <c r="L788" i="3"/>
  <c r="M788" i="3"/>
  <c r="S788" i="3"/>
  <c r="D789" i="3"/>
  <c r="F789" i="3" s="1"/>
  <c r="E789" i="3"/>
  <c r="G789" i="3" s="1"/>
  <c r="H789" i="3"/>
  <c r="I789" i="3"/>
  <c r="J789" i="3"/>
  <c r="L789" i="3"/>
  <c r="M789" i="3"/>
  <c r="S789" i="3"/>
  <c r="D790" i="3"/>
  <c r="F790" i="3" s="1"/>
  <c r="E790" i="3"/>
  <c r="G790" i="3" s="1"/>
  <c r="H790" i="3"/>
  <c r="I790" i="3"/>
  <c r="J790" i="3"/>
  <c r="L790" i="3"/>
  <c r="M790" i="3"/>
  <c r="S790" i="3"/>
  <c r="D791" i="3"/>
  <c r="F791" i="3" s="1"/>
  <c r="E791" i="3"/>
  <c r="G791" i="3" s="1"/>
  <c r="H791" i="3"/>
  <c r="I791" i="3"/>
  <c r="J791" i="3"/>
  <c r="L791" i="3"/>
  <c r="M791" i="3"/>
  <c r="S791" i="3"/>
  <c r="D792" i="3"/>
  <c r="F792" i="3" s="1"/>
  <c r="E792" i="3"/>
  <c r="G792" i="3" s="1"/>
  <c r="H792" i="3"/>
  <c r="I792" i="3"/>
  <c r="J792" i="3"/>
  <c r="L792" i="3"/>
  <c r="M792" i="3"/>
  <c r="S792" i="3"/>
  <c r="D793" i="3"/>
  <c r="F793" i="3" s="1"/>
  <c r="E793" i="3"/>
  <c r="G793" i="3" s="1"/>
  <c r="H793" i="3"/>
  <c r="I793" i="3"/>
  <c r="J793" i="3"/>
  <c r="L793" i="3"/>
  <c r="M793" i="3"/>
  <c r="S793" i="3"/>
  <c r="D794" i="3"/>
  <c r="F794" i="3" s="1"/>
  <c r="E794" i="3"/>
  <c r="G794" i="3" s="1"/>
  <c r="H794" i="3"/>
  <c r="I794" i="3"/>
  <c r="J794" i="3"/>
  <c r="L794" i="3"/>
  <c r="M794" i="3"/>
  <c r="S794" i="3"/>
  <c r="D795" i="3"/>
  <c r="F795" i="3" s="1"/>
  <c r="E795" i="3"/>
  <c r="G795" i="3" s="1"/>
  <c r="H795" i="3"/>
  <c r="I795" i="3"/>
  <c r="J795" i="3"/>
  <c r="L795" i="3"/>
  <c r="M795" i="3"/>
  <c r="S795" i="3"/>
  <c r="D796" i="3"/>
  <c r="F796" i="3" s="1"/>
  <c r="E796" i="3"/>
  <c r="G796" i="3" s="1"/>
  <c r="H796" i="3"/>
  <c r="I796" i="3"/>
  <c r="J796" i="3"/>
  <c r="L796" i="3"/>
  <c r="M796" i="3"/>
  <c r="S796" i="3"/>
  <c r="D797" i="3"/>
  <c r="F797" i="3" s="1"/>
  <c r="E797" i="3"/>
  <c r="G797" i="3" s="1"/>
  <c r="H797" i="3"/>
  <c r="I797" i="3"/>
  <c r="J797" i="3"/>
  <c r="L797" i="3"/>
  <c r="M797" i="3"/>
  <c r="S797" i="3"/>
  <c r="D798" i="3"/>
  <c r="F798" i="3" s="1"/>
  <c r="E798" i="3"/>
  <c r="G798" i="3" s="1"/>
  <c r="H798" i="3"/>
  <c r="I798" i="3"/>
  <c r="J798" i="3"/>
  <c r="L798" i="3"/>
  <c r="M798" i="3"/>
  <c r="S798" i="3"/>
  <c r="D799" i="3"/>
  <c r="F799" i="3" s="1"/>
  <c r="E799" i="3"/>
  <c r="G799" i="3" s="1"/>
  <c r="H799" i="3"/>
  <c r="I799" i="3"/>
  <c r="J799" i="3"/>
  <c r="L799" i="3"/>
  <c r="M799" i="3"/>
  <c r="S799" i="3"/>
  <c r="D800" i="3"/>
  <c r="F800" i="3" s="1"/>
  <c r="E800" i="3"/>
  <c r="G800" i="3" s="1"/>
  <c r="H800" i="3"/>
  <c r="I800" i="3"/>
  <c r="J800" i="3"/>
  <c r="L800" i="3"/>
  <c r="M800" i="3"/>
  <c r="S800" i="3"/>
  <c r="D801" i="3"/>
  <c r="F801" i="3" s="1"/>
  <c r="E801" i="3"/>
  <c r="G801" i="3" s="1"/>
  <c r="H801" i="3"/>
  <c r="I801" i="3"/>
  <c r="J801" i="3"/>
  <c r="L801" i="3"/>
  <c r="M801" i="3"/>
  <c r="S801" i="3"/>
  <c r="D802" i="3"/>
  <c r="F802" i="3" s="1"/>
  <c r="E802" i="3"/>
  <c r="G802" i="3" s="1"/>
  <c r="H802" i="3"/>
  <c r="I802" i="3"/>
  <c r="J802" i="3"/>
  <c r="L802" i="3"/>
  <c r="M802" i="3"/>
  <c r="S802" i="3"/>
  <c r="D803" i="3"/>
  <c r="F803" i="3" s="1"/>
  <c r="E803" i="3"/>
  <c r="G803" i="3" s="1"/>
  <c r="H803" i="3"/>
  <c r="I803" i="3"/>
  <c r="J803" i="3"/>
  <c r="L803" i="3"/>
  <c r="M803" i="3"/>
  <c r="S803" i="3"/>
  <c r="D804" i="3"/>
  <c r="F804" i="3" s="1"/>
  <c r="E804" i="3"/>
  <c r="G804" i="3" s="1"/>
  <c r="H804" i="3"/>
  <c r="I804" i="3"/>
  <c r="J804" i="3"/>
  <c r="L804" i="3"/>
  <c r="M804" i="3"/>
  <c r="S804" i="3"/>
  <c r="D805" i="3"/>
  <c r="F805" i="3" s="1"/>
  <c r="E805" i="3"/>
  <c r="G805" i="3" s="1"/>
  <c r="H805" i="3"/>
  <c r="I805" i="3"/>
  <c r="J805" i="3"/>
  <c r="L805" i="3"/>
  <c r="M805" i="3"/>
  <c r="S805" i="3"/>
  <c r="D806" i="3"/>
  <c r="F806" i="3" s="1"/>
  <c r="E806" i="3"/>
  <c r="G806" i="3" s="1"/>
  <c r="H806" i="3"/>
  <c r="I806" i="3"/>
  <c r="J806" i="3"/>
  <c r="L806" i="3"/>
  <c r="M806" i="3"/>
  <c r="S806" i="3"/>
  <c r="D807" i="3"/>
  <c r="F807" i="3" s="1"/>
  <c r="E807" i="3"/>
  <c r="G807" i="3" s="1"/>
  <c r="H807" i="3"/>
  <c r="I807" i="3"/>
  <c r="J807" i="3"/>
  <c r="L807" i="3"/>
  <c r="M807" i="3"/>
  <c r="S807" i="3"/>
  <c r="D808" i="3"/>
  <c r="F808" i="3" s="1"/>
  <c r="E808" i="3"/>
  <c r="G808" i="3" s="1"/>
  <c r="H808" i="3"/>
  <c r="I808" i="3"/>
  <c r="J808" i="3"/>
  <c r="L808" i="3"/>
  <c r="M808" i="3"/>
  <c r="S808" i="3"/>
  <c r="D809" i="3"/>
  <c r="F809" i="3" s="1"/>
  <c r="E809" i="3"/>
  <c r="G809" i="3" s="1"/>
  <c r="H809" i="3"/>
  <c r="I809" i="3"/>
  <c r="J809" i="3"/>
  <c r="L809" i="3"/>
  <c r="M809" i="3"/>
  <c r="S809" i="3"/>
  <c r="D810" i="3"/>
  <c r="F810" i="3" s="1"/>
  <c r="E810" i="3"/>
  <c r="G810" i="3" s="1"/>
  <c r="H810" i="3"/>
  <c r="I810" i="3"/>
  <c r="J810" i="3"/>
  <c r="L810" i="3"/>
  <c r="M810" i="3"/>
  <c r="S810" i="3"/>
  <c r="D811" i="3"/>
  <c r="F811" i="3" s="1"/>
  <c r="E811" i="3"/>
  <c r="G811" i="3" s="1"/>
  <c r="H811" i="3"/>
  <c r="I811" i="3"/>
  <c r="J811" i="3"/>
  <c r="L811" i="3"/>
  <c r="M811" i="3"/>
  <c r="S811" i="3"/>
  <c r="D812" i="3"/>
  <c r="F812" i="3" s="1"/>
  <c r="E812" i="3"/>
  <c r="G812" i="3" s="1"/>
  <c r="H812" i="3"/>
  <c r="I812" i="3"/>
  <c r="J812" i="3"/>
  <c r="L812" i="3"/>
  <c r="M812" i="3"/>
  <c r="S812" i="3"/>
  <c r="D677" i="3"/>
  <c r="F677" i="3" s="1"/>
  <c r="E677" i="3"/>
  <c r="G677" i="3"/>
  <c r="H677" i="3"/>
  <c r="I677" i="3"/>
  <c r="J677" i="3"/>
  <c r="L677" i="3"/>
  <c r="M677" i="3"/>
  <c r="S677" i="3"/>
  <c r="D678" i="3"/>
  <c r="F678" i="3" s="1"/>
  <c r="E678" i="3"/>
  <c r="G678" i="3" s="1"/>
  <c r="H678" i="3"/>
  <c r="I678" i="3"/>
  <c r="J678" i="3"/>
  <c r="L678" i="3"/>
  <c r="M678" i="3"/>
  <c r="S678" i="3"/>
  <c r="D679" i="3"/>
  <c r="F679" i="3" s="1"/>
  <c r="E679" i="3"/>
  <c r="G679" i="3" s="1"/>
  <c r="H679" i="3"/>
  <c r="I679" i="3"/>
  <c r="J679" i="3"/>
  <c r="L679" i="3"/>
  <c r="M679" i="3"/>
  <c r="S679" i="3"/>
  <c r="D680" i="3"/>
  <c r="F680" i="3" s="1"/>
  <c r="E680" i="3"/>
  <c r="G680" i="3" s="1"/>
  <c r="H680" i="3"/>
  <c r="I680" i="3"/>
  <c r="J680" i="3"/>
  <c r="L680" i="3"/>
  <c r="M680" i="3"/>
  <c r="S680" i="3"/>
  <c r="D681" i="3"/>
  <c r="F681" i="3" s="1"/>
  <c r="E681" i="3"/>
  <c r="G681" i="3" s="1"/>
  <c r="H681" i="3"/>
  <c r="I681" i="3"/>
  <c r="J681" i="3"/>
  <c r="L681" i="3"/>
  <c r="M681" i="3"/>
  <c r="S681" i="3"/>
  <c r="D682" i="3"/>
  <c r="F682" i="3" s="1"/>
  <c r="E682" i="3"/>
  <c r="G682" i="3" s="1"/>
  <c r="H682" i="3"/>
  <c r="I682" i="3"/>
  <c r="J682" i="3"/>
  <c r="L682" i="3"/>
  <c r="M682" i="3"/>
  <c r="S682" i="3"/>
  <c r="D683" i="3"/>
  <c r="F683" i="3" s="1"/>
  <c r="E683" i="3"/>
  <c r="G683" i="3" s="1"/>
  <c r="H683" i="3"/>
  <c r="I683" i="3"/>
  <c r="J683" i="3"/>
  <c r="L683" i="3"/>
  <c r="M683" i="3"/>
  <c r="S683" i="3"/>
  <c r="D684" i="3"/>
  <c r="F684" i="3" s="1"/>
  <c r="E684" i="3"/>
  <c r="G684" i="3" s="1"/>
  <c r="H684" i="3"/>
  <c r="I684" i="3"/>
  <c r="J684" i="3"/>
  <c r="L684" i="3"/>
  <c r="M684" i="3"/>
  <c r="S684" i="3"/>
  <c r="D685" i="3"/>
  <c r="F685" i="3" s="1"/>
  <c r="E685" i="3"/>
  <c r="G685" i="3" s="1"/>
  <c r="H685" i="3"/>
  <c r="I685" i="3"/>
  <c r="J685" i="3"/>
  <c r="L685" i="3"/>
  <c r="M685" i="3"/>
  <c r="S685" i="3"/>
  <c r="D686" i="3"/>
  <c r="F686" i="3" s="1"/>
  <c r="E686" i="3"/>
  <c r="G686" i="3" s="1"/>
  <c r="H686" i="3"/>
  <c r="I686" i="3"/>
  <c r="J686" i="3"/>
  <c r="L686" i="3"/>
  <c r="M686" i="3"/>
  <c r="S686" i="3"/>
  <c r="D687" i="3"/>
  <c r="F687" i="3" s="1"/>
  <c r="E687" i="3"/>
  <c r="G687" i="3" s="1"/>
  <c r="H687" i="3"/>
  <c r="I687" i="3"/>
  <c r="J687" i="3"/>
  <c r="L687" i="3"/>
  <c r="M687" i="3"/>
  <c r="S687" i="3"/>
  <c r="D688" i="3"/>
  <c r="F688" i="3" s="1"/>
  <c r="E688" i="3"/>
  <c r="G688" i="3" s="1"/>
  <c r="H688" i="3"/>
  <c r="I688" i="3"/>
  <c r="J688" i="3"/>
  <c r="L688" i="3"/>
  <c r="M688" i="3"/>
  <c r="S688" i="3"/>
  <c r="D689" i="3"/>
  <c r="F689" i="3" s="1"/>
  <c r="E689" i="3"/>
  <c r="G689" i="3" s="1"/>
  <c r="H689" i="3"/>
  <c r="I689" i="3"/>
  <c r="J689" i="3"/>
  <c r="L689" i="3"/>
  <c r="M689" i="3"/>
  <c r="S689" i="3"/>
  <c r="D690" i="3"/>
  <c r="F690" i="3" s="1"/>
  <c r="E690" i="3"/>
  <c r="G690" i="3" s="1"/>
  <c r="H690" i="3"/>
  <c r="I690" i="3"/>
  <c r="J690" i="3"/>
  <c r="L690" i="3"/>
  <c r="M690" i="3"/>
  <c r="S690" i="3"/>
  <c r="D691" i="3"/>
  <c r="F691" i="3" s="1"/>
  <c r="E691" i="3"/>
  <c r="G691" i="3" s="1"/>
  <c r="H691" i="3"/>
  <c r="I691" i="3"/>
  <c r="J691" i="3"/>
  <c r="L691" i="3"/>
  <c r="M691" i="3"/>
  <c r="S691" i="3"/>
  <c r="D692" i="3"/>
  <c r="F692" i="3" s="1"/>
  <c r="E692" i="3"/>
  <c r="G692" i="3" s="1"/>
  <c r="H692" i="3"/>
  <c r="I692" i="3"/>
  <c r="J692" i="3"/>
  <c r="L692" i="3"/>
  <c r="M692" i="3"/>
  <c r="S692" i="3"/>
  <c r="D693" i="3"/>
  <c r="F693" i="3" s="1"/>
  <c r="E693" i="3"/>
  <c r="G693" i="3" s="1"/>
  <c r="H693" i="3"/>
  <c r="I693" i="3"/>
  <c r="J693" i="3"/>
  <c r="L693" i="3"/>
  <c r="M693" i="3"/>
  <c r="S693" i="3"/>
  <c r="D694" i="3"/>
  <c r="F694" i="3" s="1"/>
  <c r="E694" i="3"/>
  <c r="G694" i="3" s="1"/>
  <c r="H694" i="3"/>
  <c r="I694" i="3"/>
  <c r="J694" i="3"/>
  <c r="L694" i="3"/>
  <c r="M694" i="3"/>
  <c r="S694" i="3"/>
  <c r="D695" i="3"/>
  <c r="F695" i="3" s="1"/>
  <c r="E695" i="3"/>
  <c r="G695" i="3" s="1"/>
  <c r="H695" i="3"/>
  <c r="I695" i="3"/>
  <c r="J695" i="3"/>
  <c r="L695" i="3"/>
  <c r="M695" i="3"/>
  <c r="S695" i="3"/>
  <c r="D696" i="3"/>
  <c r="F696" i="3" s="1"/>
  <c r="E696" i="3"/>
  <c r="G696" i="3" s="1"/>
  <c r="H696" i="3"/>
  <c r="I696" i="3"/>
  <c r="J696" i="3"/>
  <c r="L696" i="3"/>
  <c r="M696" i="3"/>
  <c r="S696" i="3"/>
  <c r="D697" i="3"/>
  <c r="F697" i="3" s="1"/>
  <c r="E697" i="3"/>
  <c r="G697" i="3" s="1"/>
  <c r="H697" i="3"/>
  <c r="I697" i="3"/>
  <c r="J697" i="3"/>
  <c r="L697" i="3"/>
  <c r="M697" i="3"/>
  <c r="S697" i="3"/>
  <c r="D698" i="3"/>
  <c r="F698" i="3" s="1"/>
  <c r="E698" i="3"/>
  <c r="G698" i="3" s="1"/>
  <c r="H698" i="3"/>
  <c r="I698" i="3"/>
  <c r="J698" i="3"/>
  <c r="L698" i="3"/>
  <c r="M698" i="3"/>
  <c r="S698" i="3"/>
  <c r="D699" i="3"/>
  <c r="F699" i="3" s="1"/>
  <c r="E699" i="3"/>
  <c r="G699" i="3" s="1"/>
  <c r="H699" i="3"/>
  <c r="I699" i="3"/>
  <c r="J699" i="3"/>
  <c r="L699" i="3"/>
  <c r="M699" i="3"/>
  <c r="S699" i="3"/>
  <c r="D700" i="3"/>
  <c r="F700" i="3" s="1"/>
  <c r="E700" i="3"/>
  <c r="G700" i="3" s="1"/>
  <c r="H700" i="3"/>
  <c r="I700" i="3"/>
  <c r="J700" i="3"/>
  <c r="L700" i="3"/>
  <c r="M700" i="3"/>
  <c r="S700" i="3"/>
  <c r="D701" i="3"/>
  <c r="F701" i="3" s="1"/>
  <c r="E701" i="3"/>
  <c r="G701" i="3" s="1"/>
  <c r="H701" i="3"/>
  <c r="I701" i="3"/>
  <c r="J701" i="3"/>
  <c r="L701" i="3"/>
  <c r="M701" i="3"/>
  <c r="S701" i="3"/>
  <c r="D702" i="3"/>
  <c r="F702" i="3" s="1"/>
  <c r="E702" i="3"/>
  <c r="G702" i="3" s="1"/>
  <c r="H702" i="3"/>
  <c r="I702" i="3"/>
  <c r="J702" i="3"/>
  <c r="L702" i="3"/>
  <c r="M702" i="3"/>
  <c r="S702" i="3"/>
  <c r="D703" i="3"/>
  <c r="F703" i="3" s="1"/>
  <c r="E703" i="3"/>
  <c r="G703" i="3" s="1"/>
  <c r="H703" i="3"/>
  <c r="I703" i="3"/>
  <c r="J703" i="3"/>
  <c r="K703" i="3"/>
  <c r="L703" i="3"/>
  <c r="M703" i="3"/>
  <c r="S703" i="3"/>
  <c r="D704" i="3"/>
  <c r="F704" i="3" s="1"/>
  <c r="E704" i="3"/>
  <c r="G704" i="3" s="1"/>
  <c r="H704" i="3"/>
  <c r="I704" i="3"/>
  <c r="J704" i="3"/>
  <c r="L704" i="3"/>
  <c r="M704" i="3"/>
  <c r="S704" i="3"/>
  <c r="D705" i="3"/>
  <c r="F705" i="3" s="1"/>
  <c r="E705" i="3"/>
  <c r="G705" i="3" s="1"/>
  <c r="H705" i="3"/>
  <c r="I705" i="3"/>
  <c r="J705" i="3"/>
  <c r="L705" i="3"/>
  <c r="M705" i="3"/>
  <c r="S705" i="3"/>
  <c r="D706" i="3"/>
  <c r="F706" i="3" s="1"/>
  <c r="E706" i="3"/>
  <c r="G706" i="3" s="1"/>
  <c r="H706" i="3"/>
  <c r="I706" i="3"/>
  <c r="J706" i="3"/>
  <c r="L706" i="3"/>
  <c r="M706" i="3"/>
  <c r="S706" i="3"/>
  <c r="D707" i="3"/>
  <c r="F707" i="3" s="1"/>
  <c r="E707" i="3"/>
  <c r="G707" i="3" s="1"/>
  <c r="H707" i="3"/>
  <c r="I707" i="3"/>
  <c r="J707" i="3"/>
  <c r="L707" i="3"/>
  <c r="M707" i="3"/>
  <c r="S707" i="3"/>
  <c r="D708" i="3"/>
  <c r="F708" i="3" s="1"/>
  <c r="E708" i="3"/>
  <c r="G708" i="3" s="1"/>
  <c r="H708" i="3"/>
  <c r="I708" i="3"/>
  <c r="J708" i="3"/>
  <c r="L708" i="3"/>
  <c r="M708" i="3"/>
  <c r="S708" i="3"/>
  <c r="D709" i="3"/>
  <c r="E709" i="3"/>
  <c r="G709" i="3" s="1"/>
  <c r="F709" i="3"/>
  <c r="H709" i="3"/>
  <c r="I709" i="3"/>
  <c r="J709" i="3"/>
  <c r="L709" i="3"/>
  <c r="M709" i="3"/>
  <c r="S709" i="3"/>
  <c r="D710" i="3"/>
  <c r="F710" i="3" s="1"/>
  <c r="E710" i="3"/>
  <c r="G710" i="3" s="1"/>
  <c r="H710" i="3"/>
  <c r="I710" i="3"/>
  <c r="J710" i="3"/>
  <c r="L710" i="3"/>
  <c r="M710" i="3"/>
  <c r="S710" i="3"/>
  <c r="D711" i="3"/>
  <c r="F711" i="3" s="1"/>
  <c r="E711" i="3"/>
  <c r="G711" i="3" s="1"/>
  <c r="H711" i="3"/>
  <c r="I711" i="3"/>
  <c r="J711" i="3"/>
  <c r="L711" i="3"/>
  <c r="M711" i="3"/>
  <c r="S711" i="3"/>
  <c r="D712" i="3"/>
  <c r="F712" i="3" s="1"/>
  <c r="E712" i="3"/>
  <c r="G712" i="3" s="1"/>
  <c r="H712" i="3"/>
  <c r="I712" i="3"/>
  <c r="J712" i="3"/>
  <c r="L712" i="3"/>
  <c r="M712" i="3"/>
  <c r="S712" i="3"/>
  <c r="D713" i="3"/>
  <c r="F713" i="3" s="1"/>
  <c r="E713" i="3"/>
  <c r="G713" i="3" s="1"/>
  <c r="H713" i="3"/>
  <c r="I713" i="3"/>
  <c r="J713" i="3"/>
  <c r="L713" i="3"/>
  <c r="M713" i="3"/>
  <c r="S713" i="3"/>
  <c r="D714" i="3"/>
  <c r="F714" i="3" s="1"/>
  <c r="E714" i="3"/>
  <c r="G714" i="3" s="1"/>
  <c r="H714" i="3"/>
  <c r="I714" i="3"/>
  <c r="J714" i="3"/>
  <c r="L714" i="3"/>
  <c r="M714" i="3"/>
  <c r="S714" i="3"/>
  <c r="D715" i="3"/>
  <c r="F715" i="3" s="1"/>
  <c r="E715" i="3"/>
  <c r="G715" i="3" s="1"/>
  <c r="H715" i="3"/>
  <c r="I715" i="3"/>
  <c r="J715" i="3"/>
  <c r="L715" i="3"/>
  <c r="M715" i="3"/>
  <c r="S715" i="3"/>
  <c r="D716" i="3"/>
  <c r="F716" i="3" s="1"/>
  <c r="E716" i="3"/>
  <c r="G716" i="3" s="1"/>
  <c r="H716" i="3"/>
  <c r="I716" i="3"/>
  <c r="J716" i="3"/>
  <c r="L716" i="3"/>
  <c r="M716" i="3"/>
  <c r="S716" i="3"/>
  <c r="D717" i="3"/>
  <c r="F717" i="3" s="1"/>
  <c r="E717" i="3"/>
  <c r="G717" i="3" s="1"/>
  <c r="H717" i="3"/>
  <c r="I717" i="3"/>
  <c r="J717" i="3"/>
  <c r="L717" i="3"/>
  <c r="M717" i="3"/>
  <c r="S717" i="3"/>
  <c r="D718" i="3"/>
  <c r="F718" i="3" s="1"/>
  <c r="E718" i="3"/>
  <c r="G718" i="3" s="1"/>
  <c r="H718" i="3"/>
  <c r="I718" i="3"/>
  <c r="J718" i="3"/>
  <c r="L718" i="3"/>
  <c r="M718" i="3"/>
  <c r="S718" i="3"/>
  <c r="D719" i="3"/>
  <c r="F719" i="3" s="1"/>
  <c r="E719" i="3"/>
  <c r="G719" i="3" s="1"/>
  <c r="H719" i="3"/>
  <c r="I719" i="3"/>
  <c r="J719" i="3"/>
  <c r="L719" i="3"/>
  <c r="M719" i="3"/>
  <c r="S719" i="3"/>
  <c r="D720" i="3"/>
  <c r="F720" i="3" s="1"/>
  <c r="E720" i="3"/>
  <c r="G720" i="3" s="1"/>
  <c r="H720" i="3"/>
  <c r="I720" i="3"/>
  <c r="J720" i="3"/>
  <c r="L720" i="3"/>
  <c r="M720" i="3"/>
  <c r="S720" i="3"/>
  <c r="D721" i="3"/>
  <c r="F721" i="3" s="1"/>
  <c r="E721" i="3"/>
  <c r="G721" i="3" s="1"/>
  <c r="H721" i="3"/>
  <c r="I721" i="3"/>
  <c r="J721" i="3"/>
  <c r="K721" i="3"/>
  <c r="L721" i="3"/>
  <c r="M721" i="3"/>
  <c r="S721" i="3"/>
  <c r="D722" i="3"/>
  <c r="F722" i="3" s="1"/>
  <c r="E722" i="3"/>
  <c r="G722" i="3" s="1"/>
  <c r="H722" i="3"/>
  <c r="I722" i="3"/>
  <c r="J722" i="3"/>
  <c r="L722" i="3"/>
  <c r="M722" i="3"/>
  <c r="S722" i="3"/>
  <c r="D723" i="3"/>
  <c r="F723" i="3" s="1"/>
  <c r="E723" i="3"/>
  <c r="G723" i="3" s="1"/>
  <c r="H723" i="3"/>
  <c r="I723" i="3"/>
  <c r="J723" i="3"/>
  <c r="L723" i="3"/>
  <c r="M723" i="3"/>
  <c r="S723" i="3"/>
  <c r="D724" i="3"/>
  <c r="F724" i="3" s="1"/>
  <c r="E724" i="3"/>
  <c r="G724" i="3" s="1"/>
  <c r="H724" i="3"/>
  <c r="I724" i="3"/>
  <c r="J724" i="3"/>
  <c r="L724" i="3"/>
  <c r="M724" i="3"/>
  <c r="S724" i="3"/>
  <c r="D725" i="3"/>
  <c r="F725" i="3" s="1"/>
  <c r="E725" i="3"/>
  <c r="G725" i="3" s="1"/>
  <c r="H725" i="3"/>
  <c r="I725" i="3"/>
  <c r="J725" i="3"/>
  <c r="L725" i="3"/>
  <c r="M725" i="3"/>
  <c r="S725" i="3"/>
  <c r="D726" i="3"/>
  <c r="F726" i="3" s="1"/>
  <c r="E726" i="3"/>
  <c r="G726" i="3" s="1"/>
  <c r="H726" i="3"/>
  <c r="I726" i="3"/>
  <c r="J726" i="3"/>
  <c r="L726" i="3"/>
  <c r="M726" i="3"/>
  <c r="S726" i="3"/>
  <c r="D727" i="3"/>
  <c r="F727" i="3" s="1"/>
  <c r="E727" i="3"/>
  <c r="G727" i="3" s="1"/>
  <c r="H727" i="3"/>
  <c r="I727" i="3"/>
  <c r="J727" i="3"/>
  <c r="L727" i="3"/>
  <c r="M727" i="3"/>
  <c r="S727" i="3"/>
  <c r="D728" i="3"/>
  <c r="F728" i="3" s="1"/>
  <c r="E728" i="3"/>
  <c r="G728" i="3" s="1"/>
  <c r="H728" i="3"/>
  <c r="I728" i="3"/>
  <c r="J728" i="3"/>
  <c r="L728" i="3"/>
  <c r="M728" i="3"/>
  <c r="S728" i="3"/>
  <c r="D729" i="3"/>
  <c r="F729" i="3" s="1"/>
  <c r="E729" i="3"/>
  <c r="G729" i="3" s="1"/>
  <c r="H729" i="3"/>
  <c r="I729" i="3"/>
  <c r="J729" i="3"/>
  <c r="L729" i="3"/>
  <c r="M729" i="3"/>
  <c r="S729" i="3"/>
  <c r="D730" i="3"/>
  <c r="F730" i="3" s="1"/>
  <c r="E730" i="3"/>
  <c r="G730" i="3" s="1"/>
  <c r="H730" i="3"/>
  <c r="I730" i="3"/>
  <c r="J730" i="3"/>
  <c r="L730" i="3"/>
  <c r="M730" i="3"/>
  <c r="S730" i="3"/>
  <c r="D731" i="3"/>
  <c r="F731" i="3" s="1"/>
  <c r="E731" i="3"/>
  <c r="G731" i="3" s="1"/>
  <c r="H731" i="3"/>
  <c r="I731" i="3"/>
  <c r="J731" i="3"/>
  <c r="L731" i="3"/>
  <c r="M731" i="3"/>
  <c r="S731" i="3"/>
  <c r="D732" i="3"/>
  <c r="F732" i="3" s="1"/>
  <c r="E732" i="3"/>
  <c r="G732" i="3" s="1"/>
  <c r="H732" i="3"/>
  <c r="I732" i="3"/>
  <c r="J732" i="3"/>
  <c r="L732" i="3"/>
  <c r="M732" i="3"/>
  <c r="S732" i="3"/>
  <c r="D733" i="3"/>
  <c r="F733" i="3" s="1"/>
  <c r="E733" i="3"/>
  <c r="G733" i="3" s="1"/>
  <c r="H733" i="3"/>
  <c r="I733" i="3"/>
  <c r="J733" i="3"/>
  <c r="L733" i="3"/>
  <c r="M733" i="3"/>
  <c r="S733" i="3"/>
  <c r="D734" i="3"/>
  <c r="F734" i="3" s="1"/>
  <c r="E734" i="3"/>
  <c r="G734" i="3" s="1"/>
  <c r="H734" i="3"/>
  <c r="I734" i="3"/>
  <c r="J734" i="3"/>
  <c r="L734" i="3"/>
  <c r="M734" i="3"/>
  <c r="S734" i="3"/>
  <c r="D735" i="3"/>
  <c r="F735" i="3" s="1"/>
  <c r="E735" i="3"/>
  <c r="G735" i="3" s="1"/>
  <c r="H735" i="3"/>
  <c r="I735" i="3"/>
  <c r="J735" i="3"/>
  <c r="L735" i="3"/>
  <c r="M735" i="3"/>
  <c r="S735" i="3"/>
  <c r="D736" i="3"/>
  <c r="F736" i="3" s="1"/>
  <c r="E736" i="3"/>
  <c r="G736" i="3" s="1"/>
  <c r="H736" i="3"/>
  <c r="I736" i="3"/>
  <c r="J736" i="3"/>
  <c r="L736" i="3"/>
  <c r="M736" i="3"/>
  <c r="S736" i="3"/>
  <c r="D737" i="3"/>
  <c r="F737" i="3" s="1"/>
  <c r="E737" i="3"/>
  <c r="G737" i="3" s="1"/>
  <c r="H737" i="3"/>
  <c r="I737" i="3"/>
  <c r="J737" i="3"/>
  <c r="L737" i="3"/>
  <c r="M737" i="3"/>
  <c r="S737" i="3"/>
  <c r="D738" i="3"/>
  <c r="F738" i="3" s="1"/>
  <c r="E738" i="3"/>
  <c r="G738" i="3" s="1"/>
  <c r="H738" i="3"/>
  <c r="I738" i="3"/>
  <c r="J738" i="3"/>
  <c r="L738" i="3"/>
  <c r="M738" i="3"/>
  <c r="S738" i="3"/>
  <c r="D739" i="3"/>
  <c r="F739" i="3" s="1"/>
  <c r="E739" i="3"/>
  <c r="G739" i="3" s="1"/>
  <c r="H739" i="3"/>
  <c r="I739" i="3"/>
  <c r="J739" i="3"/>
  <c r="L739" i="3"/>
  <c r="M739" i="3"/>
  <c r="S739" i="3"/>
  <c r="D740" i="3"/>
  <c r="F740" i="3" s="1"/>
  <c r="E740" i="3"/>
  <c r="G740" i="3" s="1"/>
  <c r="H740" i="3"/>
  <c r="I740" i="3"/>
  <c r="J740" i="3"/>
  <c r="L740" i="3"/>
  <c r="M740" i="3"/>
  <c r="S740" i="3"/>
  <c r="D741" i="3"/>
  <c r="F741" i="3" s="1"/>
  <c r="E741" i="3"/>
  <c r="G741" i="3" s="1"/>
  <c r="H741" i="3"/>
  <c r="I741" i="3"/>
  <c r="J741" i="3"/>
  <c r="L741" i="3"/>
  <c r="M741" i="3"/>
  <c r="S741" i="3"/>
  <c r="D742" i="3"/>
  <c r="F742" i="3" s="1"/>
  <c r="E742" i="3"/>
  <c r="G742" i="3" s="1"/>
  <c r="H742" i="3"/>
  <c r="I742" i="3"/>
  <c r="J742" i="3"/>
  <c r="L742" i="3"/>
  <c r="M742" i="3"/>
  <c r="S742" i="3"/>
  <c r="D743" i="3"/>
  <c r="F743" i="3" s="1"/>
  <c r="E743" i="3"/>
  <c r="G743" i="3" s="1"/>
  <c r="H743" i="3"/>
  <c r="I743" i="3"/>
  <c r="J743" i="3"/>
  <c r="L743" i="3"/>
  <c r="M743" i="3"/>
  <c r="S743" i="3"/>
  <c r="D744" i="3"/>
  <c r="F744" i="3" s="1"/>
  <c r="E744" i="3"/>
  <c r="G744" i="3" s="1"/>
  <c r="H744" i="3"/>
  <c r="I744" i="3"/>
  <c r="J744" i="3"/>
  <c r="L744" i="3"/>
  <c r="M744" i="3"/>
  <c r="S744" i="3"/>
  <c r="D609" i="3"/>
  <c r="F609" i="3" s="1"/>
  <c r="E609" i="3"/>
  <c r="G609" i="3" s="1"/>
  <c r="H609" i="3"/>
  <c r="I609" i="3"/>
  <c r="J609" i="3"/>
  <c r="L609" i="3"/>
  <c r="M609" i="3"/>
  <c r="S609" i="3"/>
  <c r="D610" i="3"/>
  <c r="F610" i="3" s="1"/>
  <c r="E610" i="3"/>
  <c r="G610" i="3" s="1"/>
  <c r="H610" i="3"/>
  <c r="I610" i="3"/>
  <c r="J610" i="3"/>
  <c r="L610" i="3"/>
  <c r="M610" i="3"/>
  <c r="S610" i="3"/>
  <c r="D611" i="3"/>
  <c r="F611" i="3" s="1"/>
  <c r="E611" i="3"/>
  <c r="G611" i="3" s="1"/>
  <c r="H611" i="3"/>
  <c r="I611" i="3"/>
  <c r="J611" i="3"/>
  <c r="L611" i="3"/>
  <c r="M611" i="3"/>
  <c r="S611" i="3"/>
  <c r="D612" i="3"/>
  <c r="F612" i="3" s="1"/>
  <c r="E612" i="3"/>
  <c r="G612" i="3" s="1"/>
  <c r="H612" i="3"/>
  <c r="I612" i="3"/>
  <c r="J612" i="3"/>
  <c r="L612" i="3"/>
  <c r="M612" i="3"/>
  <c r="S612" i="3"/>
  <c r="D613" i="3"/>
  <c r="F613" i="3" s="1"/>
  <c r="E613" i="3"/>
  <c r="G613" i="3" s="1"/>
  <c r="H613" i="3"/>
  <c r="I613" i="3"/>
  <c r="J613" i="3"/>
  <c r="L613" i="3"/>
  <c r="M613" i="3"/>
  <c r="S613" i="3"/>
  <c r="D614" i="3"/>
  <c r="F614" i="3" s="1"/>
  <c r="E614" i="3"/>
  <c r="G614" i="3" s="1"/>
  <c r="H614" i="3"/>
  <c r="I614" i="3"/>
  <c r="J614" i="3"/>
  <c r="L614" i="3"/>
  <c r="M614" i="3"/>
  <c r="S614" i="3"/>
  <c r="D615" i="3"/>
  <c r="F615" i="3" s="1"/>
  <c r="E615" i="3"/>
  <c r="G615" i="3" s="1"/>
  <c r="H615" i="3"/>
  <c r="I615" i="3"/>
  <c r="J615" i="3"/>
  <c r="L615" i="3"/>
  <c r="M615" i="3"/>
  <c r="S615" i="3"/>
  <c r="D616" i="3"/>
  <c r="F616" i="3" s="1"/>
  <c r="E616" i="3"/>
  <c r="G616" i="3" s="1"/>
  <c r="H616" i="3"/>
  <c r="I616" i="3"/>
  <c r="J616" i="3"/>
  <c r="L616" i="3"/>
  <c r="M616" i="3"/>
  <c r="S616" i="3"/>
  <c r="D617" i="3"/>
  <c r="F617" i="3" s="1"/>
  <c r="E617" i="3"/>
  <c r="G617" i="3" s="1"/>
  <c r="H617" i="3"/>
  <c r="I617" i="3"/>
  <c r="J617" i="3"/>
  <c r="L617" i="3"/>
  <c r="M617" i="3"/>
  <c r="S617" i="3"/>
  <c r="D618" i="3"/>
  <c r="F618" i="3" s="1"/>
  <c r="E618" i="3"/>
  <c r="G618" i="3"/>
  <c r="H618" i="3"/>
  <c r="I618" i="3"/>
  <c r="J618" i="3"/>
  <c r="L618" i="3"/>
  <c r="M618" i="3"/>
  <c r="S618" i="3"/>
  <c r="D619" i="3"/>
  <c r="F619" i="3" s="1"/>
  <c r="E619" i="3"/>
  <c r="G619" i="3" s="1"/>
  <c r="H619" i="3"/>
  <c r="I619" i="3"/>
  <c r="J619" i="3"/>
  <c r="L619" i="3"/>
  <c r="M619" i="3"/>
  <c r="S619" i="3"/>
  <c r="D620" i="3"/>
  <c r="F620" i="3" s="1"/>
  <c r="E620" i="3"/>
  <c r="G620" i="3" s="1"/>
  <c r="H620" i="3"/>
  <c r="I620" i="3"/>
  <c r="J620" i="3"/>
  <c r="L620" i="3"/>
  <c r="M620" i="3"/>
  <c r="S620" i="3"/>
  <c r="D621" i="3"/>
  <c r="F621" i="3" s="1"/>
  <c r="E621" i="3"/>
  <c r="G621" i="3" s="1"/>
  <c r="H621" i="3"/>
  <c r="I621" i="3"/>
  <c r="J621" i="3"/>
  <c r="L621" i="3"/>
  <c r="M621" i="3"/>
  <c r="S621" i="3"/>
  <c r="D622" i="3"/>
  <c r="F622" i="3" s="1"/>
  <c r="E622" i="3"/>
  <c r="G622" i="3" s="1"/>
  <c r="H622" i="3"/>
  <c r="I622" i="3"/>
  <c r="J622" i="3"/>
  <c r="L622" i="3"/>
  <c r="M622" i="3"/>
  <c r="S622" i="3"/>
  <c r="D623" i="3"/>
  <c r="F623" i="3" s="1"/>
  <c r="E623" i="3"/>
  <c r="G623" i="3" s="1"/>
  <c r="H623" i="3"/>
  <c r="I623" i="3"/>
  <c r="J623" i="3"/>
  <c r="L623" i="3"/>
  <c r="M623" i="3"/>
  <c r="S623" i="3"/>
  <c r="D624" i="3"/>
  <c r="F624" i="3" s="1"/>
  <c r="E624" i="3"/>
  <c r="G624" i="3" s="1"/>
  <c r="H624" i="3"/>
  <c r="I624" i="3"/>
  <c r="J624" i="3"/>
  <c r="L624" i="3"/>
  <c r="M624" i="3"/>
  <c r="S624" i="3"/>
  <c r="D625" i="3"/>
  <c r="E625" i="3"/>
  <c r="G625" i="3" s="1"/>
  <c r="F625" i="3"/>
  <c r="H625" i="3"/>
  <c r="I625" i="3"/>
  <c r="J625" i="3"/>
  <c r="L625" i="3"/>
  <c r="M625" i="3"/>
  <c r="S625" i="3"/>
  <c r="D626" i="3"/>
  <c r="F626" i="3" s="1"/>
  <c r="E626" i="3"/>
  <c r="G626" i="3" s="1"/>
  <c r="H626" i="3"/>
  <c r="I626" i="3"/>
  <c r="J626" i="3"/>
  <c r="L626" i="3"/>
  <c r="M626" i="3"/>
  <c r="S626" i="3"/>
  <c r="D627" i="3"/>
  <c r="F627" i="3" s="1"/>
  <c r="E627" i="3"/>
  <c r="G627" i="3" s="1"/>
  <c r="H627" i="3"/>
  <c r="I627" i="3"/>
  <c r="J627" i="3"/>
  <c r="L627" i="3"/>
  <c r="M627" i="3"/>
  <c r="S627" i="3"/>
  <c r="D628" i="3"/>
  <c r="F628" i="3" s="1"/>
  <c r="E628" i="3"/>
  <c r="G628" i="3" s="1"/>
  <c r="H628" i="3"/>
  <c r="I628" i="3"/>
  <c r="J628" i="3"/>
  <c r="L628" i="3"/>
  <c r="M628" i="3"/>
  <c r="S628" i="3"/>
  <c r="D629" i="3"/>
  <c r="F629" i="3" s="1"/>
  <c r="E629" i="3"/>
  <c r="G629" i="3" s="1"/>
  <c r="H629" i="3"/>
  <c r="I629" i="3"/>
  <c r="J629" i="3"/>
  <c r="L629" i="3"/>
  <c r="M629" i="3"/>
  <c r="S629" i="3"/>
  <c r="D630" i="3"/>
  <c r="F630" i="3" s="1"/>
  <c r="E630" i="3"/>
  <c r="G630" i="3" s="1"/>
  <c r="H630" i="3"/>
  <c r="I630" i="3"/>
  <c r="J630" i="3"/>
  <c r="L630" i="3"/>
  <c r="M630" i="3"/>
  <c r="S630" i="3"/>
  <c r="D631" i="3"/>
  <c r="F631" i="3" s="1"/>
  <c r="E631" i="3"/>
  <c r="G631" i="3" s="1"/>
  <c r="H631" i="3"/>
  <c r="I631" i="3"/>
  <c r="J631" i="3"/>
  <c r="L631" i="3"/>
  <c r="M631" i="3"/>
  <c r="S631" i="3"/>
  <c r="D632" i="3"/>
  <c r="F632" i="3" s="1"/>
  <c r="E632" i="3"/>
  <c r="G632" i="3" s="1"/>
  <c r="H632" i="3"/>
  <c r="I632" i="3"/>
  <c r="J632" i="3"/>
  <c r="L632" i="3"/>
  <c r="M632" i="3"/>
  <c r="S632" i="3"/>
  <c r="D633" i="3"/>
  <c r="F633" i="3" s="1"/>
  <c r="E633" i="3"/>
  <c r="G633" i="3" s="1"/>
  <c r="H633" i="3"/>
  <c r="I633" i="3"/>
  <c r="J633" i="3"/>
  <c r="L633" i="3"/>
  <c r="M633" i="3"/>
  <c r="S633" i="3"/>
  <c r="D634" i="3"/>
  <c r="F634" i="3" s="1"/>
  <c r="E634" i="3"/>
  <c r="G634" i="3" s="1"/>
  <c r="H634" i="3"/>
  <c r="I634" i="3"/>
  <c r="J634" i="3"/>
  <c r="L634" i="3"/>
  <c r="M634" i="3"/>
  <c r="S634" i="3"/>
  <c r="D635" i="3"/>
  <c r="F635" i="3" s="1"/>
  <c r="E635" i="3"/>
  <c r="G635" i="3" s="1"/>
  <c r="H635" i="3"/>
  <c r="I635" i="3"/>
  <c r="J635" i="3"/>
  <c r="K635" i="3"/>
  <c r="L635" i="3"/>
  <c r="M635" i="3"/>
  <c r="S635" i="3"/>
  <c r="D636" i="3"/>
  <c r="F636" i="3" s="1"/>
  <c r="E636" i="3"/>
  <c r="G636" i="3" s="1"/>
  <c r="H636" i="3"/>
  <c r="I636" i="3"/>
  <c r="J636" i="3"/>
  <c r="L636" i="3"/>
  <c r="M636" i="3"/>
  <c r="S636" i="3"/>
  <c r="D637" i="3"/>
  <c r="F637" i="3" s="1"/>
  <c r="E637" i="3"/>
  <c r="G637" i="3" s="1"/>
  <c r="H637" i="3"/>
  <c r="I637" i="3"/>
  <c r="J637" i="3"/>
  <c r="L637" i="3"/>
  <c r="M637" i="3"/>
  <c r="S637" i="3"/>
  <c r="D638" i="3"/>
  <c r="F638" i="3" s="1"/>
  <c r="E638" i="3"/>
  <c r="G638" i="3" s="1"/>
  <c r="H638" i="3"/>
  <c r="I638" i="3"/>
  <c r="J638" i="3"/>
  <c r="K638" i="3"/>
  <c r="L638" i="3"/>
  <c r="M638" i="3"/>
  <c r="S638" i="3"/>
  <c r="D639" i="3"/>
  <c r="F639" i="3" s="1"/>
  <c r="E639" i="3"/>
  <c r="G639" i="3" s="1"/>
  <c r="H639" i="3"/>
  <c r="I639" i="3"/>
  <c r="J639" i="3"/>
  <c r="L639" i="3"/>
  <c r="M639" i="3"/>
  <c r="S639" i="3"/>
  <c r="D640" i="3"/>
  <c r="F640" i="3" s="1"/>
  <c r="E640" i="3"/>
  <c r="G640" i="3" s="1"/>
  <c r="H640" i="3"/>
  <c r="I640" i="3"/>
  <c r="J640" i="3"/>
  <c r="K640" i="3"/>
  <c r="L640" i="3"/>
  <c r="M640" i="3"/>
  <c r="S640" i="3"/>
  <c r="D641" i="3"/>
  <c r="F641" i="3" s="1"/>
  <c r="E641" i="3"/>
  <c r="G641" i="3" s="1"/>
  <c r="H641" i="3"/>
  <c r="I641" i="3"/>
  <c r="J641" i="3"/>
  <c r="L641" i="3"/>
  <c r="M641" i="3"/>
  <c r="S641" i="3"/>
  <c r="D642" i="3"/>
  <c r="F642" i="3" s="1"/>
  <c r="E642" i="3"/>
  <c r="G642" i="3" s="1"/>
  <c r="H642" i="3"/>
  <c r="I642" i="3"/>
  <c r="J642" i="3"/>
  <c r="L642" i="3"/>
  <c r="M642" i="3"/>
  <c r="S642" i="3"/>
  <c r="D643" i="3"/>
  <c r="F643" i="3" s="1"/>
  <c r="E643" i="3"/>
  <c r="G643" i="3" s="1"/>
  <c r="H643" i="3"/>
  <c r="I643" i="3"/>
  <c r="J643" i="3"/>
  <c r="K643" i="3"/>
  <c r="L643" i="3"/>
  <c r="M643" i="3"/>
  <c r="S643" i="3"/>
  <c r="D644" i="3"/>
  <c r="F644" i="3" s="1"/>
  <c r="E644" i="3"/>
  <c r="G644" i="3" s="1"/>
  <c r="H644" i="3"/>
  <c r="I644" i="3"/>
  <c r="J644" i="3"/>
  <c r="L644" i="3"/>
  <c r="M644" i="3"/>
  <c r="S644" i="3"/>
  <c r="D645" i="3"/>
  <c r="F645" i="3" s="1"/>
  <c r="E645" i="3"/>
  <c r="G645" i="3" s="1"/>
  <c r="H645" i="3"/>
  <c r="I645" i="3"/>
  <c r="J645" i="3"/>
  <c r="L645" i="3"/>
  <c r="M645" i="3"/>
  <c r="S645" i="3"/>
  <c r="D646" i="3"/>
  <c r="F646" i="3" s="1"/>
  <c r="E646" i="3"/>
  <c r="G646" i="3" s="1"/>
  <c r="H646" i="3"/>
  <c r="I646" i="3"/>
  <c r="J646" i="3"/>
  <c r="K646" i="3"/>
  <c r="L646" i="3"/>
  <c r="M646" i="3"/>
  <c r="S646" i="3"/>
  <c r="D647" i="3"/>
  <c r="F647" i="3" s="1"/>
  <c r="E647" i="3"/>
  <c r="G647" i="3" s="1"/>
  <c r="H647" i="3"/>
  <c r="I647" i="3"/>
  <c r="J647" i="3"/>
  <c r="L647" i="3"/>
  <c r="M647" i="3"/>
  <c r="S647" i="3"/>
  <c r="D648" i="3"/>
  <c r="F648" i="3" s="1"/>
  <c r="E648" i="3"/>
  <c r="G648" i="3" s="1"/>
  <c r="H648" i="3"/>
  <c r="I648" i="3"/>
  <c r="J648" i="3"/>
  <c r="L648" i="3"/>
  <c r="M648" i="3"/>
  <c r="S648" i="3"/>
  <c r="D649" i="3"/>
  <c r="F649" i="3" s="1"/>
  <c r="E649" i="3"/>
  <c r="G649" i="3" s="1"/>
  <c r="H649" i="3"/>
  <c r="I649" i="3"/>
  <c r="J649" i="3"/>
  <c r="K649" i="3"/>
  <c r="L649" i="3"/>
  <c r="M649" i="3"/>
  <c r="S649" i="3"/>
  <c r="D650" i="3"/>
  <c r="F650" i="3" s="1"/>
  <c r="E650" i="3"/>
  <c r="G650" i="3" s="1"/>
  <c r="H650" i="3"/>
  <c r="I650" i="3"/>
  <c r="J650" i="3"/>
  <c r="L650" i="3"/>
  <c r="M650" i="3"/>
  <c r="S650" i="3"/>
  <c r="D651" i="3"/>
  <c r="F651" i="3" s="1"/>
  <c r="E651" i="3"/>
  <c r="G651" i="3" s="1"/>
  <c r="H651" i="3"/>
  <c r="I651" i="3"/>
  <c r="J651" i="3"/>
  <c r="L651" i="3"/>
  <c r="M651" i="3"/>
  <c r="S651" i="3"/>
  <c r="D652" i="3"/>
  <c r="F652" i="3" s="1"/>
  <c r="E652" i="3"/>
  <c r="G652" i="3" s="1"/>
  <c r="H652" i="3"/>
  <c r="I652" i="3"/>
  <c r="J652" i="3"/>
  <c r="L652" i="3"/>
  <c r="M652" i="3"/>
  <c r="S652" i="3"/>
  <c r="D653" i="3"/>
  <c r="F653" i="3" s="1"/>
  <c r="E653" i="3"/>
  <c r="G653" i="3" s="1"/>
  <c r="H653" i="3"/>
  <c r="I653" i="3"/>
  <c r="J653" i="3"/>
  <c r="L653" i="3"/>
  <c r="M653" i="3"/>
  <c r="S653" i="3"/>
  <c r="D654" i="3"/>
  <c r="F654" i="3" s="1"/>
  <c r="E654" i="3"/>
  <c r="G654" i="3" s="1"/>
  <c r="H654" i="3"/>
  <c r="I654" i="3"/>
  <c r="J654" i="3"/>
  <c r="L654" i="3"/>
  <c r="M654" i="3"/>
  <c r="S654" i="3"/>
  <c r="D655" i="3"/>
  <c r="E655" i="3"/>
  <c r="G655" i="3" s="1"/>
  <c r="F655" i="3"/>
  <c r="H655" i="3"/>
  <c r="I655" i="3"/>
  <c r="J655" i="3"/>
  <c r="L655" i="3"/>
  <c r="M655" i="3"/>
  <c r="S655" i="3"/>
  <c r="D656" i="3"/>
  <c r="F656" i="3" s="1"/>
  <c r="E656" i="3"/>
  <c r="G656" i="3" s="1"/>
  <c r="H656" i="3"/>
  <c r="I656" i="3"/>
  <c r="J656" i="3"/>
  <c r="L656" i="3"/>
  <c r="M656" i="3"/>
  <c r="S656" i="3"/>
  <c r="D657" i="3"/>
  <c r="F657" i="3" s="1"/>
  <c r="E657" i="3"/>
  <c r="G657" i="3" s="1"/>
  <c r="H657" i="3"/>
  <c r="I657" i="3"/>
  <c r="J657" i="3"/>
  <c r="L657" i="3"/>
  <c r="M657" i="3"/>
  <c r="S657" i="3"/>
  <c r="D658" i="3"/>
  <c r="F658" i="3" s="1"/>
  <c r="E658" i="3"/>
  <c r="G658" i="3" s="1"/>
  <c r="H658" i="3"/>
  <c r="I658" i="3"/>
  <c r="J658" i="3"/>
  <c r="L658" i="3"/>
  <c r="M658" i="3"/>
  <c r="S658" i="3"/>
  <c r="D659" i="3"/>
  <c r="F659" i="3" s="1"/>
  <c r="E659" i="3"/>
  <c r="G659" i="3"/>
  <c r="H659" i="3"/>
  <c r="I659" i="3"/>
  <c r="J659" i="3"/>
  <c r="L659" i="3"/>
  <c r="M659" i="3"/>
  <c r="S659" i="3"/>
  <c r="D660" i="3"/>
  <c r="E660" i="3"/>
  <c r="G660" i="3" s="1"/>
  <c r="F660" i="3"/>
  <c r="H660" i="3"/>
  <c r="I660" i="3"/>
  <c r="J660" i="3"/>
  <c r="L660" i="3"/>
  <c r="M660" i="3"/>
  <c r="S660" i="3"/>
  <c r="D661" i="3"/>
  <c r="F661" i="3" s="1"/>
  <c r="E661" i="3"/>
  <c r="G661" i="3" s="1"/>
  <c r="H661" i="3"/>
  <c r="I661" i="3"/>
  <c r="J661" i="3"/>
  <c r="L661" i="3"/>
  <c r="M661" i="3"/>
  <c r="S661" i="3"/>
  <c r="D662" i="3"/>
  <c r="F662" i="3" s="1"/>
  <c r="E662" i="3"/>
  <c r="G662" i="3" s="1"/>
  <c r="H662" i="3"/>
  <c r="I662" i="3"/>
  <c r="J662" i="3"/>
  <c r="L662" i="3"/>
  <c r="M662" i="3"/>
  <c r="S662" i="3"/>
  <c r="D663" i="3"/>
  <c r="F663" i="3" s="1"/>
  <c r="E663" i="3"/>
  <c r="G663" i="3" s="1"/>
  <c r="H663" i="3"/>
  <c r="I663" i="3"/>
  <c r="J663" i="3"/>
  <c r="L663" i="3"/>
  <c r="M663" i="3"/>
  <c r="S663" i="3"/>
  <c r="D664" i="3"/>
  <c r="E664" i="3"/>
  <c r="G664" i="3" s="1"/>
  <c r="F664" i="3"/>
  <c r="H664" i="3"/>
  <c r="I664" i="3"/>
  <c r="J664" i="3"/>
  <c r="K664" i="3"/>
  <c r="L664" i="3"/>
  <c r="M664" i="3"/>
  <c r="S664" i="3"/>
  <c r="D665" i="3"/>
  <c r="F665" i="3" s="1"/>
  <c r="E665" i="3"/>
  <c r="G665" i="3" s="1"/>
  <c r="H665" i="3"/>
  <c r="I665" i="3"/>
  <c r="J665" i="3"/>
  <c r="L665" i="3"/>
  <c r="M665" i="3"/>
  <c r="S665" i="3"/>
  <c r="D666" i="3"/>
  <c r="F666" i="3" s="1"/>
  <c r="E666" i="3"/>
  <c r="G666" i="3" s="1"/>
  <c r="H666" i="3"/>
  <c r="I666" i="3"/>
  <c r="J666" i="3"/>
  <c r="L666" i="3"/>
  <c r="M666" i="3"/>
  <c r="S666" i="3"/>
  <c r="D667" i="3"/>
  <c r="E667" i="3"/>
  <c r="G667" i="3" s="1"/>
  <c r="F667" i="3"/>
  <c r="H667" i="3"/>
  <c r="I667" i="3"/>
  <c r="J667" i="3"/>
  <c r="K667" i="3"/>
  <c r="L667" i="3"/>
  <c r="M667" i="3"/>
  <c r="S667" i="3"/>
  <c r="D668" i="3"/>
  <c r="F668" i="3" s="1"/>
  <c r="E668" i="3"/>
  <c r="G668" i="3" s="1"/>
  <c r="H668" i="3"/>
  <c r="I668" i="3"/>
  <c r="J668" i="3"/>
  <c r="L668" i="3"/>
  <c r="M668" i="3"/>
  <c r="S668" i="3"/>
  <c r="D669" i="3"/>
  <c r="F669" i="3" s="1"/>
  <c r="E669" i="3"/>
  <c r="G669" i="3" s="1"/>
  <c r="H669" i="3"/>
  <c r="I669" i="3"/>
  <c r="J669" i="3"/>
  <c r="L669" i="3"/>
  <c r="M669" i="3"/>
  <c r="S669" i="3"/>
  <c r="D670" i="3"/>
  <c r="F670" i="3" s="1"/>
  <c r="E670" i="3"/>
  <c r="G670" i="3" s="1"/>
  <c r="H670" i="3"/>
  <c r="I670" i="3"/>
  <c r="J670" i="3"/>
  <c r="L670" i="3"/>
  <c r="M670" i="3"/>
  <c r="S670" i="3"/>
  <c r="D671" i="3"/>
  <c r="F671" i="3" s="1"/>
  <c r="E671" i="3"/>
  <c r="G671" i="3" s="1"/>
  <c r="H671" i="3"/>
  <c r="I671" i="3"/>
  <c r="J671" i="3"/>
  <c r="L671" i="3"/>
  <c r="M671" i="3"/>
  <c r="S671" i="3"/>
  <c r="D672" i="3"/>
  <c r="F672" i="3" s="1"/>
  <c r="E672" i="3"/>
  <c r="G672" i="3" s="1"/>
  <c r="H672" i="3"/>
  <c r="I672" i="3"/>
  <c r="J672" i="3"/>
  <c r="L672" i="3"/>
  <c r="M672" i="3"/>
  <c r="S672" i="3"/>
  <c r="D673" i="3"/>
  <c r="F673" i="3" s="1"/>
  <c r="E673" i="3"/>
  <c r="G673" i="3" s="1"/>
  <c r="H673" i="3"/>
  <c r="I673" i="3"/>
  <c r="J673" i="3"/>
  <c r="L673" i="3"/>
  <c r="M673" i="3"/>
  <c r="S673" i="3"/>
  <c r="D674" i="3"/>
  <c r="E674" i="3"/>
  <c r="G674" i="3" s="1"/>
  <c r="F674" i="3"/>
  <c r="H674" i="3"/>
  <c r="I674" i="3"/>
  <c r="J674" i="3"/>
  <c r="K674" i="3"/>
  <c r="L674" i="3"/>
  <c r="M674" i="3"/>
  <c r="S674" i="3"/>
  <c r="D675" i="3"/>
  <c r="F675" i="3" s="1"/>
  <c r="E675" i="3"/>
  <c r="G675" i="3" s="1"/>
  <c r="H675" i="3"/>
  <c r="I675" i="3"/>
  <c r="J675" i="3"/>
  <c r="L675" i="3"/>
  <c r="M675" i="3"/>
  <c r="S675" i="3"/>
  <c r="D676" i="3"/>
  <c r="F676" i="3" s="1"/>
  <c r="E676" i="3"/>
  <c r="G676" i="3" s="1"/>
  <c r="H676" i="3"/>
  <c r="I676" i="3"/>
  <c r="J676" i="3"/>
  <c r="L676" i="3"/>
  <c r="M676" i="3"/>
  <c r="S676" i="3"/>
  <c r="D541" i="3"/>
  <c r="F541" i="3" s="1"/>
  <c r="E541" i="3"/>
  <c r="G541" i="3" s="1"/>
  <c r="H541" i="3"/>
  <c r="I541" i="3"/>
  <c r="J541" i="3"/>
  <c r="L541" i="3"/>
  <c r="M541" i="3"/>
  <c r="S541" i="3"/>
  <c r="D542" i="3"/>
  <c r="F542" i="3" s="1"/>
  <c r="E542" i="3"/>
  <c r="G542" i="3" s="1"/>
  <c r="H542" i="3"/>
  <c r="I542" i="3"/>
  <c r="J542" i="3"/>
  <c r="L542" i="3"/>
  <c r="M542" i="3"/>
  <c r="S542" i="3"/>
  <c r="D543" i="3"/>
  <c r="F543" i="3" s="1"/>
  <c r="E543" i="3"/>
  <c r="G543" i="3" s="1"/>
  <c r="H543" i="3"/>
  <c r="I543" i="3"/>
  <c r="J543" i="3"/>
  <c r="L543" i="3"/>
  <c r="M543" i="3"/>
  <c r="S543" i="3"/>
  <c r="D544" i="3"/>
  <c r="F544" i="3" s="1"/>
  <c r="E544" i="3"/>
  <c r="G544" i="3" s="1"/>
  <c r="H544" i="3"/>
  <c r="I544" i="3"/>
  <c r="J544" i="3"/>
  <c r="L544" i="3"/>
  <c r="M544" i="3"/>
  <c r="S544" i="3"/>
  <c r="D545" i="3"/>
  <c r="F545" i="3" s="1"/>
  <c r="E545" i="3"/>
  <c r="G545" i="3" s="1"/>
  <c r="H545" i="3"/>
  <c r="I545" i="3"/>
  <c r="J545" i="3"/>
  <c r="L545" i="3"/>
  <c r="M545" i="3"/>
  <c r="S545" i="3"/>
  <c r="D546" i="3"/>
  <c r="F546" i="3" s="1"/>
  <c r="E546" i="3"/>
  <c r="G546" i="3" s="1"/>
  <c r="H546" i="3"/>
  <c r="I546" i="3"/>
  <c r="J546" i="3"/>
  <c r="K546" i="3"/>
  <c r="L546" i="3"/>
  <c r="M546" i="3"/>
  <c r="S546" i="3"/>
  <c r="D547" i="3"/>
  <c r="F547" i="3" s="1"/>
  <c r="E547" i="3"/>
  <c r="G547" i="3" s="1"/>
  <c r="H547" i="3"/>
  <c r="I547" i="3"/>
  <c r="J547" i="3"/>
  <c r="L547" i="3"/>
  <c r="M547" i="3"/>
  <c r="S547" i="3"/>
  <c r="D548" i="3"/>
  <c r="F548" i="3" s="1"/>
  <c r="E548" i="3"/>
  <c r="G548" i="3" s="1"/>
  <c r="H548" i="3"/>
  <c r="I548" i="3"/>
  <c r="J548" i="3"/>
  <c r="L548" i="3"/>
  <c r="M548" i="3"/>
  <c r="S548" i="3"/>
  <c r="D549" i="3"/>
  <c r="F549" i="3" s="1"/>
  <c r="E549" i="3"/>
  <c r="G549" i="3" s="1"/>
  <c r="H549" i="3"/>
  <c r="I549" i="3"/>
  <c r="J549" i="3"/>
  <c r="L549" i="3"/>
  <c r="M549" i="3"/>
  <c r="S549" i="3"/>
  <c r="D550" i="3"/>
  <c r="F550" i="3" s="1"/>
  <c r="E550" i="3"/>
  <c r="G550" i="3" s="1"/>
  <c r="H550" i="3"/>
  <c r="I550" i="3"/>
  <c r="J550" i="3"/>
  <c r="L550" i="3"/>
  <c r="M550" i="3"/>
  <c r="S550" i="3"/>
  <c r="D551" i="3"/>
  <c r="F551" i="3" s="1"/>
  <c r="E551" i="3"/>
  <c r="G551" i="3" s="1"/>
  <c r="H551" i="3"/>
  <c r="I551" i="3"/>
  <c r="J551" i="3"/>
  <c r="L551" i="3"/>
  <c r="M551" i="3"/>
  <c r="S551" i="3"/>
  <c r="D552" i="3"/>
  <c r="E552" i="3"/>
  <c r="G552" i="3" s="1"/>
  <c r="F552" i="3"/>
  <c r="H552" i="3"/>
  <c r="I552" i="3"/>
  <c r="J552" i="3"/>
  <c r="L552" i="3"/>
  <c r="M552" i="3"/>
  <c r="S552" i="3"/>
  <c r="D553" i="3"/>
  <c r="F553" i="3" s="1"/>
  <c r="E553" i="3"/>
  <c r="G553" i="3" s="1"/>
  <c r="H553" i="3"/>
  <c r="I553" i="3"/>
  <c r="J553" i="3"/>
  <c r="L553" i="3"/>
  <c r="M553" i="3"/>
  <c r="S553" i="3"/>
  <c r="D554" i="3"/>
  <c r="E554" i="3"/>
  <c r="G554" i="3" s="1"/>
  <c r="F554" i="3"/>
  <c r="H554" i="3"/>
  <c r="I554" i="3"/>
  <c r="J554" i="3"/>
  <c r="L554" i="3"/>
  <c r="M554" i="3"/>
  <c r="S554" i="3"/>
  <c r="D555" i="3"/>
  <c r="F555" i="3" s="1"/>
  <c r="E555" i="3"/>
  <c r="G555" i="3" s="1"/>
  <c r="H555" i="3"/>
  <c r="I555" i="3"/>
  <c r="J555" i="3"/>
  <c r="L555" i="3"/>
  <c r="M555" i="3"/>
  <c r="S555" i="3"/>
  <c r="D556" i="3"/>
  <c r="F556" i="3" s="1"/>
  <c r="E556" i="3"/>
  <c r="G556" i="3" s="1"/>
  <c r="H556" i="3"/>
  <c r="I556" i="3"/>
  <c r="J556" i="3"/>
  <c r="L556" i="3"/>
  <c r="M556" i="3"/>
  <c r="S556" i="3"/>
  <c r="D557" i="3"/>
  <c r="F557" i="3" s="1"/>
  <c r="E557" i="3"/>
  <c r="G557" i="3" s="1"/>
  <c r="H557" i="3"/>
  <c r="I557" i="3"/>
  <c r="J557" i="3"/>
  <c r="L557" i="3"/>
  <c r="M557" i="3"/>
  <c r="S557" i="3"/>
  <c r="D558" i="3"/>
  <c r="F558" i="3" s="1"/>
  <c r="E558" i="3"/>
  <c r="G558" i="3" s="1"/>
  <c r="H558" i="3"/>
  <c r="I558" i="3"/>
  <c r="J558" i="3"/>
  <c r="L558" i="3"/>
  <c r="M558" i="3"/>
  <c r="S558" i="3"/>
  <c r="D559" i="3"/>
  <c r="F559" i="3" s="1"/>
  <c r="E559" i="3"/>
  <c r="G559" i="3" s="1"/>
  <c r="H559" i="3"/>
  <c r="I559" i="3"/>
  <c r="J559" i="3"/>
  <c r="K559" i="3"/>
  <c r="L559" i="3"/>
  <c r="M559" i="3"/>
  <c r="S559" i="3"/>
  <c r="D560" i="3"/>
  <c r="F560" i="3" s="1"/>
  <c r="E560" i="3"/>
  <c r="G560" i="3" s="1"/>
  <c r="H560" i="3"/>
  <c r="I560" i="3"/>
  <c r="J560" i="3"/>
  <c r="L560" i="3"/>
  <c r="M560" i="3"/>
  <c r="S560" i="3"/>
  <c r="D561" i="3"/>
  <c r="F561" i="3" s="1"/>
  <c r="E561" i="3"/>
  <c r="G561" i="3" s="1"/>
  <c r="H561" i="3"/>
  <c r="I561" i="3"/>
  <c r="J561" i="3"/>
  <c r="L561" i="3"/>
  <c r="M561" i="3"/>
  <c r="S561" i="3"/>
  <c r="D562" i="3"/>
  <c r="F562" i="3" s="1"/>
  <c r="E562" i="3"/>
  <c r="G562" i="3" s="1"/>
  <c r="H562" i="3"/>
  <c r="I562" i="3"/>
  <c r="J562" i="3"/>
  <c r="K562" i="3"/>
  <c r="L562" i="3"/>
  <c r="M562" i="3"/>
  <c r="S562" i="3"/>
  <c r="D563" i="3"/>
  <c r="F563" i="3" s="1"/>
  <c r="E563" i="3"/>
  <c r="G563" i="3" s="1"/>
  <c r="H563" i="3"/>
  <c r="I563" i="3"/>
  <c r="J563" i="3"/>
  <c r="L563" i="3"/>
  <c r="M563" i="3"/>
  <c r="S563" i="3"/>
  <c r="D564" i="3"/>
  <c r="F564" i="3" s="1"/>
  <c r="E564" i="3"/>
  <c r="G564" i="3" s="1"/>
  <c r="H564" i="3"/>
  <c r="I564" i="3"/>
  <c r="J564" i="3"/>
  <c r="L564" i="3"/>
  <c r="M564" i="3"/>
  <c r="S564" i="3"/>
  <c r="D565" i="3"/>
  <c r="F565" i="3" s="1"/>
  <c r="E565" i="3"/>
  <c r="G565" i="3" s="1"/>
  <c r="H565" i="3"/>
  <c r="I565" i="3"/>
  <c r="J565" i="3"/>
  <c r="K565" i="3"/>
  <c r="L565" i="3"/>
  <c r="M565" i="3"/>
  <c r="S565" i="3"/>
  <c r="D566" i="3"/>
  <c r="F566" i="3" s="1"/>
  <c r="E566" i="3"/>
  <c r="G566" i="3" s="1"/>
  <c r="H566" i="3"/>
  <c r="I566" i="3"/>
  <c r="J566" i="3"/>
  <c r="L566" i="3"/>
  <c r="M566" i="3"/>
  <c r="S566" i="3"/>
  <c r="D567" i="3"/>
  <c r="F567" i="3" s="1"/>
  <c r="E567" i="3"/>
  <c r="G567" i="3" s="1"/>
  <c r="H567" i="3"/>
  <c r="I567" i="3"/>
  <c r="J567" i="3"/>
  <c r="L567" i="3"/>
  <c r="M567" i="3"/>
  <c r="S567" i="3"/>
  <c r="D568" i="3"/>
  <c r="F568" i="3" s="1"/>
  <c r="E568" i="3"/>
  <c r="G568" i="3" s="1"/>
  <c r="H568" i="3"/>
  <c r="I568" i="3"/>
  <c r="J568" i="3"/>
  <c r="K568" i="3"/>
  <c r="L568" i="3"/>
  <c r="M568" i="3"/>
  <c r="S568" i="3"/>
  <c r="D569" i="3"/>
  <c r="F569" i="3" s="1"/>
  <c r="E569" i="3"/>
  <c r="G569" i="3" s="1"/>
  <c r="H569" i="3"/>
  <c r="I569" i="3"/>
  <c r="J569" i="3"/>
  <c r="L569" i="3"/>
  <c r="M569" i="3"/>
  <c r="S569" i="3"/>
  <c r="D570" i="3"/>
  <c r="F570" i="3" s="1"/>
  <c r="E570" i="3"/>
  <c r="G570" i="3" s="1"/>
  <c r="H570" i="3"/>
  <c r="I570" i="3"/>
  <c r="J570" i="3"/>
  <c r="K570" i="3"/>
  <c r="L570" i="3"/>
  <c r="M570" i="3"/>
  <c r="S570" i="3"/>
  <c r="D571" i="3"/>
  <c r="F571" i="3" s="1"/>
  <c r="E571" i="3"/>
  <c r="G571" i="3" s="1"/>
  <c r="H571" i="3"/>
  <c r="I571" i="3"/>
  <c r="J571" i="3"/>
  <c r="K571" i="3"/>
  <c r="L571" i="3"/>
  <c r="M571" i="3"/>
  <c r="S571" i="3"/>
  <c r="D572" i="3"/>
  <c r="F572" i="3" s="1"/>
  <c r="E572" i="3"/>
  <c r="G572" i="3" s="1"/>
  <c r="H572" i="3"/>
  <c r="I572" i="3"/>
  <c r="J572" i="3"/>
  <c r="L572" i="3"/>
  <c r="M572" i="3"/>
  <c r="S572" i="3"/>
  <c r="D573" i="3"/>
  <c r="E573" i="3"/>
  <c r="G573" i="3" s="1"/>
  <c r="F573" i="3"/>
  <c r="H573" i="3"/>
  <c r="I573" i="3"/>
  <c r="J573" i="3"/>
  <c r="L573" i="3"/>
  <c r="M573" i="3"/>
  <c r="S573" i="3"/>
  <c r="D574" i="3"/>
  <c r="F574" i="3" s="1"/>
  <c r="E574" i="3"/>
  <c r="G574" i="3" s="1"/>
  <c r="H574" i="3"/>
  <c r="I574" i="3"/>
  <c r="J574" i="3"/>
  <c r="L574" i="3"/>
  <c r="M574" i="3"/>
  <c r="S574" i="3"/>
  <c r="D575" i="3"/>
  <c r="F575" i="3" s="1"/>
  <c r="E575" i="3"/>
  <c r="G575" i="3" s="1"/>
  <c r="H575" i="3"/>
  <c r="I575" i="3"/>
  <c r="J575" i="3"/>
  <c r="L575" i="3"/>
  <c r="M575" i="3"/>
  <c r="S575" i="3"/>
  <c r="D576" i="3"/>
  <c r="F576" i="3" s="1"/>
  <c r="E576" i="3"/>
  <c r="G576" i="3" s="1"/>
  <c r="H576" i="3"/>
  <c r="I576" i="3"/>
  <c r="J576" i="3"/>
  <c r="K576" i="3"/>
  <c r="L576" i="3"/>
  <c r="M576" i="3"/>
  <c r="S576" i="3"/>
  <c r="D577" i="3"/>
  <c r="F577" i="3" s="1"/>
  <c r="E577" i="3"/>
  <c r="G577" i="3" s="1"/>
  <c r="H577" i="3"/>
  <c r="I577" i="3"/>
  <c r="J577" i="3"/>
  <c r="L577" i="3"/>
  <c r="M577" i="3"/>
  <c r="S577" i="3"/>
  <c r="D578" i="3"/>
  <c r="F578" i="3" s="1"/>
  <c r="E578" i="3"/>
  <c r="G578" i="3" s="1"/>
  <c r="H578" i="3"/>
  <c r="I578" i="3"/>
  <c r="J578" i="3"/>
  <c r="L578" i="3"/>
  <c r="M578" i="3"/>
  <c r="S578" i="3"/>
  <c r="D579" i="3"/>
  <c r="F579" i="3" s="1"/>
  <c r="E579" i="3"/>
  <c r="G579" i="3" s="1"/>
  <c r="H579" i="3"/>
  <c r="I579" i="3"/>
  <c r="J579" i="3"/>
  <c r="L579" i="3"/>
  <c r="M579" i="3"/>
  <c r="S579" i="3"/>
  <c r="D580" i="3"/>
  <c r="F580" i="3" s="1"/>
  <c r="E580" i="3"/>
  <c r="G580" i="3" s="1"/>
  <c r="H580" i="3"/>
  <c r="I580" i="3"/>
  <c r="J580" i="3"/>
  <c r="L580" i="3"/>
  <c r="M580" i="3"/>
  <c r="S580" i="3"/>
  <c r="D581" i="3"/>
  <c r="F581" i="3" s="1"/>
  <c r="E581" i="3"/>
  <c r="G581" i="3" s="1"/>
  <c r="H581" i="3"/>
  <c r="I581" i="3"/>
  <c r="J581" i="3"/>
  <c r="L581" i="3"/>
  <c r="M581" i="3"/>
  <c r="S581" i="3"/>
  <c r="D582" i="3"/>
  <c r="F582" i="3" s="1"/>
  <c r="E582" i="3"/>
  <c r="G582" i="3" s="1"/>
  <c r="H582" i="3"/>
  <c r="I582" i="3"/>
  <c r="J582" i="3"/>
  <c r="L582" i="3"/>
  <c r="M582" i="3"/>
  <c r="S582" i="3"/>
  <c r="D583" i="3"/>
  <c r="F583" i="3" s="1"/>
  <c r="E583" i="3"/>
  <c r="G583" i="3" s="1"/>
  <c r="H583" i="3"/>
  <c r="I583" i="3"/>
  <c r="J583" i="3"/>
  <c r="L583" i="3"/>
  <c r="M583" i="3"/>
  <c r="S583" i="3"/>
  <c r="D584" i="3"/>
  <c r="F584" i="3" s="1"/>
  <c r="E584" i="3"/>
  <c r="G584" i="3" s="1"/>
  <c r="H584" i="3"/>
  <c r="I584" i="3"/>
  <c r="J584" i="3"/>
  <c r="L584" i="3"/>
  <c r="M584" i="3"/>
  <c r="S584" i="3"/>
  <c r="D585" i="3"/>
  <c r="F585" i="3" s="1"/>
  <c r="E585" i="3"/>
  <c r="G585" i="3" s="1"/>
  <c r="H585" i="3"/>
  <c r="I585" i="3"/>
  <c r="J585" i="3"/>
  <c r="L585" i="3"/>
  <c r="M585" i="3"/>
  <c r="S585" i="3"/>
  <c r="D586" i="3"/>
  <c r="F586" i="3" s="1"/>
  <c r="E586" i="3"/>
  <c r="G586" i="3" s="1"/>
  <c r="H586" i="3"/>
  <c r="I586" i="3"/>
  <c r="J586" i="3"/>
  <c r="L586" i="3"/>
  <c r="M586" i="3"/>
  <c r="S586" i="3"/>
  <c r="D587" i="3"/>
  <c r="F587" i="3" s="1"/>
  <c r="E587" i="3"/>
  <c r="G587" i="3" s="1"/>
  <c r="H587" i="3"/>
  <c r="I587" i="3"/>
  <c r="J587" i="3"/>
  <c r="L587" i="3"/>
  <c r="M587" i="3"/>
  <c r="S587" i="3"/>
  <c r="D588" i="3"/>
  <c r="F588" i="3" s="1"/>
  <c r="E588" i="3"/>
  <c r="G588" i="3" s="1"/>
  <c r="H588" i="3"/>
  <c r="I588" i="3"/>
  <c r="J588" i="3"/>
  <c r="L588" i="3"/>
  <c r="M588" i="3"/>
  <c r="S588" i="3"/>
  <c r="D589" i="3"/>
  <c r="F589" i="3" s="1"/>
  <c r="E589" i="3"/>
  <c r="G589" i="3" s="1"/>
  <c r="H589" i="3"/>
  <c r="I589" i="3"/>
  <c r="J589" i="3"/>
  <c r="K589" i="3"/>
  <c r="L589" i="3"/>
  <c r="M589" i="3"/>
  <c r="S589" i="3"/>
  <c r="D590" i="3"/>
  <c r="F590" i="3" s="1"/>
  <c r="E590" i="3"/>
  <c r="G590" i="3" s="1"/>
  <c r="H590" i="3"/>
  <c r="I590" i="3"/>
  <c r="J590" i="3"/>
  <c r="L590" i="3"/>
  <c r="M590" i="3"/>
  <c r="S590" i="3"/>
  <c r="D591" i="3"/>
  <c r="F591" i="3" s="1"/>
  <c r="E591" i="3"/>
  <c r="G591" i="3" s="1"/>
  <c r="H591" i="3"/>
  <c r="I591" i="3"/>
  <c r="J591" i="3"/>
  <c r="L591" i="3"/>
  <c r="M591" i="3"/>
  <c r="S591" i="3"/>
  <c r="D592" i="3"/>
  <c r="F592" i="3" s="1"/>
  <c r="E592" i="3"/>
  <c r="G592" i="3" s="1"/>
  <c r="H592" i="3"/>
  <c r="I592" i="3"/>
  <c r="J592" i="3"/>
  <c r="L592" i="3"/>
  <c r="M592" i="3"/>
  <c r="S592" i="3"/>
  <c r="D593" i="3"/>
  <c r="F593" i="3" s="1"/>
  <c r="E593" i="3"/>
  <c r="G593" i="3" s="1"/>
  <c r="H593" i="3"/>
  <c r="I593" i="3"/>
  <c r="J593" i="3"/>
  <c r="L593" i="3"/>
  <c r="M593" i="3"/>
  <c r="S593" i="3"/>
  <c r="D594" i="3"/>
  <c r="F594" i="3" s="1"/>
  <c r="E594" i="3"/>
  <c r="G594" i="3" s="1"/>
  <c r="H594" i="3"/>
  <c r="I594" i="3"/>
  <c r="J594" i="3"/>
  <c r="L594" i="3"/>
  <c r="M594" i="3"/>
  <c r="S594" i="3"/>
  <c r="D595" i="3"/>
  <c r="F595" i="3" s="1"/>
  <c r="E595" i="3"/>
  <c r="G595" i="3" s="1"/>
  <c r="H595" i="3"/>
  <c r="I595" i="3"/>
  <c r="J595" i="3"/>
  <c r="L595" i="3"/>
  <c r="M595" i="3"/>
  <c r="S595" i="3"/>
  <c r="D596" i="3"/>
  <c r="F596" i="3" s="1"/>
  <c r="E596" i="3"/>
  <c r="G596" i="3" s="1"/>
  <c r="H596" i="3"/>
  <c r="I596" i="3"/>
  <c r="J596" i="3"/>
  <c r="L596" i="3"/>
  <c r="M596" i="3"/>
  <c r="S596" i="3"/>
  <c r="D597" i="3"/>
  <c r="F597" i="3" s="1"/>
  <c r="E597" i="3"/>
  <c r="G597" i="3" s="1"/>
  <c r="H597" i="3"/>
  <c r="I597" i="3"/>
  <c r="J597" i="3"/>
  <c r="L597" i="3"/>
  <c r="M597" i="3"/>
  <c r="S597" i="3"/>
  <c r="D598" i="3"/>
  <c r="F598" i="3" s="1"/>
  <c r="E598" i="3"/>
  <c r="G598" i="3" s="1"/>
  <c r="H598" i="3"/>
  <c r="I598" i="3"/>
  <c r="J598" i="3"/>
  <c r="K598" i="3"/>
  <c r="L598" i="3"/>
  <c r="M598" i="3"/>
  <c r="S598" i="3"/>
  <c r="D599" i="3"/>
  <c r="F599" i="3" s="1"/>
  <c r="E599" i="3"/>
  <c r="G599" i="3" s="1"/>
  <c r="H599" i="3"/>
  <c r="I599" i="3"/>
  <c r="J599" i="3"/>
  <c r="L599" i="3"/>
  <c r="M599" i="3"/>
  <c r="S599" i="3"/>
  <c r="D600" i="3"/>
  <c r="F600" i="3" s="1"/>
  <c r="E600" i="3"/>
  <c r="G600" i="3" s="1"/>
  <c r="H600" i="3"/>
  <c r="I600" i="3"/>
  <c r="J600" i="3"/>
  <c r="L600" i="3"/>
  <c r="M600" i="3"/>
  <c r="S600" i="3"/>
  <c r="D601" i="3"/>
  <c r="F601" i="3" s="1"/>
  <c r="E601" i="3"/>
  <c r="G601" i="3" s="1"/>
  <c r="H601" i="3"/>
  <c r="I601" i="3"/>
  <c r="J601" i="3"/>
  <c r="K601" i="3"/>
  <c r="L601" i="3"/>
  <c r="M601" i="3"/>
  <c r="S601" i="3"/>
  <c r="D602" i="3"/>
  <c r="F602" i="3" s="1"/>
  <c r="E602" i="3"/>
  <c r="G602" i="3" s="1"/>
  <c r="H602" i="3"/>
  <c r="I602" i="3"/>
  <c r="J602" i="3"/>
  <c r="L602" i="3"/>
  <c r="M602" i="3"/>
  <c r="S602" i="3"/>
  <c r="D603" i="3"/>
  <c r="F603" i="3" s="1"/>
  <c r="E603" i="3"/>
  <c r="G603" i="3" s="1"/>
  <c r="H603" i="3"/>
  <c r="I603" i="3"/>
  <c r="J603" i="3"/>
  <c r="L603" i="3"/>
  <c r="M603" i="3"/>
  <c r="S603" i="3"/>
  <c r="D604" i="3"/>
  <c r="F604" i="3" s="1"/>
  <c r="E604" i="3"/>
  <c r="G604" i="3" s="1"/>
  <c r="H604" i="3"/>
  <c r="I604" i="3"/>
  <c r="J604" i="3"/>
  <c r="L604" i="3"/>
  <c r="M604" i="3"/>
  <c r="S604" i="3"/>
  <c r="D605" i="3"/>
  <c r="F605" i="3" s="1"/>
  <c r="E605" i="3"/>
  <c r="G605" i="3" s="1"/>
  <c r="H605" i="3"/>
  <c r="I605" i="3"/>
  <c r="J605" i="3"/>
  <c r="L605" i="3"/>
  <c r="M605" i="3"/>
  <c r="S605" i="3"/>
  <c r="D606" i="3"/>
  <c r="F606" i="3" s="1"/>
  <c r="E606" i="3"/>
  <c r="G606" i="3" s="1"/>
  <c r="H606" i="3"/>
  <c r="I606" i="3"/>
  <c r="J606" i="3"/>
  <c r="K606" i="3"/>
  <c r="L606" i="3"/>
  <c r="M606" i="3"/>
  <c r="S606" i="3"/>
  <c r="D607" i="3"/>
  <c r="F607" i="3" s="1"/>
  <c r="E607" i="3"/>
  <c r="G607" i="3" s="1"/>
  <c r="H607" i="3"/>
  <c r="I607" i="3"/>
  <c r="J607" i="3"/>
  <c r="L607" i="3"/>
  <c r="M607" i="3"/>
  <c r="S607" i="3"/>
  <c r="D608" i="3"/>
  <c r="F608" i="3" s="1"/>
  <c r="E608" i="3"/>
  <c r="G608" i="3" s="1"/>
  <c r="H608" i="3"/>
  <c r="I608" i="3"/>
  <c r="J608" i="3"/>
  <c r="L608" i="3"/>
  <c r="M608" i="3"/>
  <c r="S608" i="3"/>
  <c r="D473" i="3"/>
  <c r="F473" i="3" s="1"/>
  <c r="E473" i="3"/>
  <c r="G473" i="3" s="1"/>
  <c r="H473" i="3"/>
  <c r="I473" i="3"/>
  <c r="J473" i="3"/>
  <c r="K473" i="3"/>
  <c r="L473" i="3"/>
  <c r="M473" i="3"/>
  <c r="S473" i="3"/>
  <c r="D474" i="3"/>
  <c r="F474" i="3" s="1"/>
  <c r="E474" i="3"/>
  <c r="G474" i="3"/>
  <c r="H474" i="3"/>
  <c r="I474" i="3"/>
  <c r="J474" i="3"/>
  <c r="K474" i="3"/>
  <c r="L474" i="3"/>
  <c r="M474" i="3"/>
  <c r="S474" i="3"/>
  <c r="D475" i="3"/>
  <c r="F475" i="3" s="1"/>
  <c r="E475" i="3"/>
  <c r="G475" i="3" s="1"/>
  <c r="H475" i="3"/>
  <c r="I475" i="3"/>
  <c r="J475" i="3"/>
  <c r="L475" i="3"/>
  <c r="M475" i="3"/>
  <c r="S475" i="3"/>
  <c r="D476" i="3"/>
  <c r="F476" i="3" s="1"/>
  <c r="E476" i="3"/>
  <c r="G476" i="3" s="1"/>
  <c r="H476" i="3"/>
  <c r="I476" i="3"/>
  <c r="J476" i="3"/>
  <c r="L476" i="3"/>
  <c r="M476" i="3"/>
  <c r="S476" i="3"/>
  <c r="D477" i="3"/>
  <c r="E477" i="3"/>
  <c r="G477" i="3" s="1"/>
  <c r="F477" i="3"/>
  <c r="H477" i="3"/>
  <c r="I477" i="3"/>
  <c r="J477" i="3"/>
  <c r="L477" i="3"/>
  <c r="M477" i="3"/>
  <c r="S477" i="3"/>
  <c r="D478" i="3"/>
  <c r="F478" i="3" s="1"/>
  <c r="E478" i="3"/>
  <c r="G478" i="3" s="1"/>
  <c r="H478" i="3"/>
  <c r="I478" i="3"/>
  <c r="J478" i="3"/>
  <c r="L478" i="3"/>
  <c r="M478" i="3"/>
  <c r="S478" i="3"/>
  <c r="D479" i="3"/>
  <c r="F479" i="3" s="1"/>
  <c r="E479" i="3"/>
  <c r="G479" i="3" s="1"/>
  <c r="H479" i="3"/>
  <c r="I479" i="3"/>
  <c r="J479" i="3"/>
  <c r="L479" i="3"/>
  <c r="M479" i="3"/>
  <c r="S479" i="3"/>
  <c r="D480" i="3"/>
  <c r="F480" i="3" s="1"/>
  <c r="E480" i="3"/>
  <c r="G480" i="3" s="1"/>
  <c r="H480" i="3"/>
  <c r="I480" i="3"/>
  <c r="J480" i="3"/>
  <c r="L480" i="3"/>
  <c r="M480" i="3"/>
  <c r="S480" i="3"/>
  <c r="D481" i="3"/>
  <c r="F481" i="3" s="1"/>
  <c r="E481" i="3"/>
  <c r="G481" i="3" s="1"/>
  <c r="H481" i="3"/>
  <c r="I481" i="3"/>
  <c r="J481" i="3"/>
  <c r="L481" i="3"/>
  <c r="M481" i="3"/>
  <c r="S481" i="3"/>
  <c r="D482" i="3"/>
  <c r="F482" i="3" s="1"/>
  <c r="E482" i="3"/>
  <c r="G482" i="3" s="1"/>
  <c r="H482" i="3"/>
  <c r="I482" i="3"/>
  <c r="J482" i="3"/>
  <c r="L482" i="3"/>
  <c r="M482" i="3"/>
  <c r="S482" i="3"/>
  <c r="D483" i="3"/>
  <c r="F483" i="3" s="1"/>
  <c r="E483" i="3"/>
  <c r="G483" i="3" s="1"/>
  <c r="H483" i="3"/>
  <c r="I483" i="3"/>
  <c r="J483" i="3"/>
  <c r="L483" i="3"/>
  <c r="M483" i="3"/>
  <c r="S483" i="3"/>
  <c r="D484" i="3"/>
  <c r="F484" i="3" s="1"/>
  <c r="E484" i="3"/>
  <c r="G484" i="3" s="1"/>
  <c r="H484" i="3"/>
  <c r="I484" i="3"/>
  <c r="J484" i="3"/>
  <c r="L484" i="3"/>
  <c r="M484" i="3"/>
  <c r="S484" i="3"/>
  <c r="D485" i="3"/>
  <c r="F485" i="3" s="1"/>
  <c r="E485" i="3"/>
  <c r="G485" i="3" s="1"/>
  <c r="H485" i="3"/>
  <c r="I485" i="3"/>
  <c r="J485" i="3"/>
  <c r="L485" i="3"/>
  <c r="M485" i="3"/>
  <c r="S485" i="3"/>
  <c r="D486" i="3"/>
  <c r="F486" i="3" s="1"/>
  <c r="E486" i="3"/>
  <c r="G486" i="3" s="1"/>
  <c r="H486" i="3"/>
  <c r="I486" i="3"/>
  <c r="J486" i="3"/>
  <c r="L486" i="3"/>
  <c r="M486" i="3"/>
  <c r="S486" i="3"/>
  <c r="D487" i="3"/>
  <c r="F487" i="3" s="1"/>
  <c r="E487" i="3"/>
  <c r="G487" i="3" s="1"/>
  <c r="H487" i="3"/>
  <c r="I487" i="3"/>
  <c r="J487" i="3"/>
  <c r="L487" i="3"/>
  <c r="M487" i="3"/>
  <c r="S487" i="3"/>
  <c r="D488" i="3"/>
  <c r="F488" i="3" s="1"/>
  <c r="E488" i="3"/>
  <c r="G488" i="3" s="1"/>
  <c r="H488" i="3"/>
  <c r="I488" i="3"/>
  <c r="J488" i="3"/>
  <c r="L488" i="3"/>
  <c r="M488" i="3"/>
  <c r="S488" i="3"/>
  <c r="D489" i="3"/>
  <c r="F489" i="3" s="1"/>
  <c r="E489" i="3"/>
  <c r="G489" i="3" s="1"/>
  <c r="H489" i="3"/>
  <c r="I489" i="3"/>
  <c r="J489" i="3"/>
  <c r="L489" i="3"/>
  <c r="M489" i="3"/>
  <c r="S489" i="3"/>
  <c r="D490" i="3"/>
  <c r="F490" i="3" s="1"/>
  <c r="E490" i="3"/>
  <c r="G490" i="3" s="1"/>
  <c r="H490" i="3"/>
  <c r="I490" i="3"/>
  <c r="J490" i="3"/>
  <c r="L490" i="3"/>
  <c r="M490" i="3"/>
  <c r="S490" i="3"/>
  <c r="D491" i="3"/>
  <c r="F491" i="3" s="1"/>
  <c r="E491" i="3"/>
  <c r="G491" i="3" s="1"/>
  <c r="H491" i="3"/>
  <c r="I491" i="3"/>
  <c r="J491" i="3"/>
  <c r="L491" i="3"/>
  <c r="M491" i="3"/>
  <c r="S491" i="3"/>
  <c r="D492" i="3"/>
  <c r="F492" i="3" s="1"/>
  <c r="E492" i="3"/>
  <c r="G492" i="3" s="1"/>
  <c r="H492" i="3"/>
  <c r="I492" i="3"/>
  <c r="J492" i="3"/>
  <c r="K492" i="3"/>
  <c r="L492" i="3"/>
  <c r="M492" i="3"/>
  <c r="S492" i="3"/>
  <c r="D493" i="3"/>
  <c r="E493" i="3"/>
  <c r="G493" i="3" s="1"/>
  <c r="F493" i="3"/>
  <c r="H493" i="3"/>
  <c r="I493" i="3"/>
  <c r="J493" i="3"/>
  <c r="L493" i="3"/>
  <c r="M493" i="3"/>
  <c r="S493" i="3"/>
  <c r="D494" i="3"/>
  <c r="F494" i="3" s="1"/>
  <c r="E494" i="3"/>
  <c r="G494" i="3" s="1"/>
  <c r="H494" i="3"/>
  <c r="I494" i="3"/>
  <c r="J494" i="3"/>
  <c r="L494" i="3"/>
  <c r="M494" i="3"/>
  <c r="S494" i="3"/>
  <c r="D495" i="3"/>
  <c r="F495" i="3" s="1"/>
  <c r="E495" i="3"/>
  <c r="G495" i="3" s="1"/>
  <c r="H495" i="3"/>
  <c r="I495" i="3"/>
  <c r="J495" i="3"/>
  <c r="K495" i="3"/>
  <c r="L495" i="3"/>
  <c r="M495" i="3"/>
  <c r="S495" i="3"/>
  <c r="D496" i="3"/>
  <c r="F496" i="3" s="1"/>
  <c r="E496" i="3"/>
  <c r="G496" i="3" s="1"/>
  <c r="H496" i="3"/>
  <c r="I496" i="3"/>
  <c r="J496" i="3"/>
  <c r="L496" i="3"/>
  <c r="M496" i="3"/>
  <c r="S496" i="3"/>
  <c r="D497" i="3"/>
  <c r="F497" i="3" s="1"/>
  <c r="E497" i="3"/>
  <c r="G497" i="3" s="1"/>
  <c r="H497" i="3"/>
  <c r="I497" i="3"/>
  <c r="J497" i="3"/>
  <c r="L497" i="3"/>
  <c r="M497" i="3"/>
  <c r="S497" i="3"/>
  <c r="D498" i="3"/>
  <c r="F498" i="3" s="1"/>
  <c r="E498" i="3"/>
  <c r="G498" i="3"/>
  <c r="H498" i="3"/>
  <c r="I498" i="3"/>
  <c r="J498" i="3"/>
  <c r="K498" i="3"/>
  <c r="L498" i="3"/>
  <c r="M498" i="3"/>
  <c r="S498" i="3"/>
  <c r="D499" i="3"/>
  <c r="F499" i="3" s="1"/>
  <c r="E499" i="3"/>
  <c r="G499" i="3" s="1"/>
  <c r="H499" i="3"/>
  <c r="I499" i="3"/>
  <c r="J499" i="3"/>
  <c r="L499" i="3"/>
  <c r="M499" i="3"/>
  <c r="S499" i="3"/>
  <c r="D500" i="3"/>
  <c r="F500" i="3" s="1"/>
  <c r="E500" i="3"/>
  <c r="G500" i="3" s="1"/>
  <c r="H500" i="3"/>
  <c r="I500" i="3"/>
  <c r="J500" i="3"/>
  <c r="L500" i="3"/>
  <c r="M500" i="3"/>
  <c r="S500" i="3"/>
  <c r="D501" i="3"/>
  <c r="F501" i="3" s="1"/>
  <c r="E501" i="3"/>
  <c r="G501" i="3" s="1"/>
  <c r="H501" i="3"/>
  <c r="I501" i="3"/>
  <c r="J501" i="3"/>
  <c r="L501" i="3"/>
  <c r="M501" i="3"/>
  <c r="S501" i="3"/>
  <c r="D502" i="3"/>
  <c r="F502" i="3" s="1"/>
  <c r="E502" i="3"/>
  <c r="G502" i="3" s="1"/>
  <c r="H502" i="3"/>
  <c r="I502" i="3"/>
  <c r="J502" i="3"/>
  <c r="L502" i="3"/>
  <c r="M502" i="3"/>
  <c r="S502" i="3"/>
  <c r="D503" i="3"/>
  <c r="E503" i="3"/>
  <c r="G503" i="3" s="1"/>
  <c r="F503" i="3"/>
  <c r="H503" i="3"/>
  <c r="I503" i="3"/>
  <c r="J503" i="3"/>
  <c r="L503" i="3"/>
  <c r="M503" i="3"/>
  <c r="S503" i="3"/>
  <c r="D504" i="3"/>
  <c r="F504" i="3" s="1"/>
  <c r="E504" i="3"/>
  <c r="G504" i="3" s="1"/>
  <c r="H504" i="3"/>
  <c r="I504" i="3"/>
  <c r="J504" i="3"/>
  <c r="L504" i="3"/>
  <c r="M504" i="3"/>
  <c r="S504" i="3"/>
  <c r="D505" i="3"/>
  <c r="F505" i="3" s="1"/>
  <c r="E505" i="3"/>
  <c r="G505" i="3" s="1"/>
  <c r="H505" i="3"/>
  <c r="I505" i="3"/>
  <c r="J505" i="3"/>
  <c r="L505" i="3"/>
  <c r="M505" i="3"/>
  <c r="S505" i="3"/>
  <c r="D506" i="3"/>
  <c r="F506" i="3" s="1"/>
  <c r="E506" i="3"/>
  <c r="G506" i="3" s="1"/>
  <c r="H506" i="3"/>
  <c r="I506" i="3"/>
  <c r="J506" i="3"/>
  <c r="L506" i="3"/>
  <c r="M506" i="3"/>
  <c r="S506" i="3"/>
  <c r="D507" i="3"/>
  <c r="F507" i="3" s="1"/>
  <c r="E507" i="3"/>
  <c r="G507" i="3" s="1"/>
  <c r="H507" i="3"/>
  <c r="I507" i="3"/>
  <c r="J507" i="3"/>
  <c r="L507" i="3"/>
  <c r="M507" i="3"/>
  <c r="S507" i="3"/>
  <c r="D508" i="3"/>
  <c r="F508" i="3" s="1"/>
  <c r="E508" i="3"/>
  <c r="G508" i="3" s="1"/>
  <c r="H508" i="3"/>
  <c r="I508" i="3"/>
  <c r="J508" i="3"/>
  <c r="L508" i="3"/>
  <c r="M508" i="3"/>
  <c r="S508" i="3"/>
  <c r="D509" i="3"/>
  <c r="F509" i="3" s="1"/>
  <c r="E509" i="3"/>
  <c r="G509" i="3" s="1"/>
  <c r="H509" i="3"/>
  <c r="I509" i="3"/>
  <c r="J509" i="3"/>
  <c r="L509" i="3"/>
  <c r="M509" i="3"/>
  <c r="S509" i="3"/>
  <c r="D510" i="3"/>
  <c r="F510" i="3" s="1"/>
  <c r="E510" i="3"/>
  <c r="G510" i="3" s="1"/>
  <c r="H510" i="3"/>
  <c r="I510" i="3"/>
  <c r="J510" i="3"/>
  <c r="L510" i="3"/>
  <c r="M510" i="3"/>
  <c r="S510" i="3"/>
  <c r="D511" i="3"/>
  <c r="F511" i="3" s="1"/>
  <c r="E511" i="3"/>
  <c r="G511" i="3" s="1"/>
  <c r="H511" i="3"/>
  <c r="I511" i="3"/>
  <c r="J511" i="3"/>
  <c r="L511" i="3"/>
  <c r="M511" i="3"/>
  <c r="S511" i="3"/>
  <c r="D512" i="3"/>
  <c r="F512" i="3" s="1"/>
  <c r="E512" i="3"/>
  <c r="G512" i="3" s="1"/>
  <c r="H512" i="3"/>
  <c r="I512" i="3"/>
  <c r="J512" i="3"/>
  <c r="K512" i="3"/>
  <c r="L512" i="3"/>
  <c r="M512" i="3"/>
  <c r="S512" i="3"/>
  <c r="D513" i="3"/>
  <c r="F513" i="3" s="1"/>
  <c r="E513" i="3"/>
  <c r="G513" i="3" s="1"/>
  <c r="H513" i="3"/>
  <c r="I513" i="3"/>
  <c r="J513" i="3"/>
  <c r="L513" i="3"/>
  <c r="M513" i="3"/>
  <c r="S513" i="3"/>
  <c r="D514" i="3"/>
  <c r="F514" i="3" s="1"/>
  <c r="E514" i="3"/>
  <c r="G514" i="3" s="1"/>
  <c r="H514" i="3"/>
  <c r="I514" i="3"/>
  <c r="J514" i="3"/>
  <c r="L514" i="3"/>
  <c r="M514" i="3"/>
  <c r="S514" i="3"/>
  <c r="D515" i="3"/>
  <c r="F515" i="3" s="1"/>
  <c r="E515" i="3"/>
  <c r="G515" i="3" s="1"/>
  <c r="H515" i="3"/>
  <c r="I515" i="3"/>
  <c r="J515" i="3"/>
  <c r="L515" i="3"/>
  <c r="M515" i="3"/>
  <c r="S515" i="3"/>
  <c r="D516" i="3"/>
  <c r="F516" i="3" s="1"/>
  <c r="E516" i="3"/>
  <c r="G516" i="3" s="1"/>
  <c r="H516" i="3"/>
  <c r="I516" i="3"/>
  <c r="J516" i="3"/>
  <c r="L516" i="3"/>
  <c r="M516" i="3"/>
  <c r="S516" i="3"/>
  <c r="D517" i="3"/>
  <c r="F517" i="3" s="1"/>
  <c r="E517" i="3"/>
  <c r="G517" i="3" s="1"/>
  <c r="H517" i="3"/>
  <c r="I517" i="3"/>
  <c r="J517" i="3"/>
  <c r="L517" i="3"/>
  <c r="M517" i="3"/>
  <c r="S517" i="3"/>
  <c r="D518" i="3"/>
  <c r="F518" i="3" s="1"/>
  <c r="E518" i="3"/>
  <c r="G518" i="3" s="1"/>
  <c r="H518" i="3"/>
  <c r="I518" i="3"/>
  <c r="J518" i="3"/>
  <c r="L518" i="3"/>
  <c r="M518" i="3"/>
  <c r="S518" i="3"/>
  <c r="D519" i="3"/>
  <c r="F519" i="3" s="1"/>
  <c r="E519" i="3"/>
  <c r="G519" i="3" s="1"/>
  <c r="H519" i="3"/>
  <c r="I519" i="3"/>
  <c r="J519" i="3"/>
  <c r="L519" i="3"/>
  <c r="M519" i="3"/>
  <c r="S519" i="3"/>
  <c r="D520" i="3"/>
  <c r="F520" i="3" s="1"/>
  <c r="E520" i="3"/>
  <c r="G520" i="3" s="1"/>
  <c r="H520" i="3"/>
  <c r="I520" i="3"/>
  <c r="J520" i="3"/>
  <c r="L520" i="3"/>
  <c r="M520" i="3"/>
  <c r="S520" i="3"/>
  <c r="D521" i="3"/>
  <c r="F521" i="3" s="1"/>
  <c r="E521" i="3"/>
  <c r="G521" i="3" s="1"/>
  <c r="H521" i="3"/>
  <c r="I521" i="3"/>
  <c r="J521" i="3"/>
  <c r="L521" i="3"/>
  <c r="M521" i="3"/>
  <c r="S521" i="3"/>
  <c r="D522" i="3"/>
  <c r="F522" i="3" s="1"/>
  <c r="E522" i="3"/>
  <c r="G522" i="3" s="1"/>
  <c r="H522" i="3"/>
  <c r="I522" i="3"/>
  <c r="J522" i="3"/>
  <c r="L522" i="3"/>
  <c r="M522" i="3"/>
  <c r="S522" i="3"/>
  <c r="D523" i="3"/>
  <c r="F523" i="3" s="1"/>
  <c r="E523" i="3"/>
  <c r="G523" i="3" s="1"/>
  <c r="H523" i="3"/>
  <c r="I523" i="3"/>
  <c r="J523" i="3"/>
  <c r="L523" i="3"/>
  <c r="M523" i="3"/>
  <c r="S523" i="3"/>
  <c r="D524" i="3"/>
  <c r="F524" i="3" s="1"/>
  <c r="E524" i="3"/>
  <c r="G524" i="3" s="1"/>
  <c r="H524" i="3"/>
  <c r="I524" i="3"/>
  <c r="J524" i="3"/>
  <c r="L524" i="3"/>
  <c r="M524" i="3"/>
  <c r="S524" i="3"/>
  <c r="D525" i="3"/>
  <c r="F525" i="3" s="1"/>
  <c r="E525" i="3"/>
  <c r="G525" i="3" s="1"/>
  <c r="H525" i="3"/>
  <c r="I525" i="3"/>
  <c r="J525" i="3"/>
  <c r="L525" i="3"/>
  <c r="M525" i="3"/>
  <c r="S525" i="3"/>
  <c r="D526" i="3"/>
  <c r="F526" i="3" s="1"/>
  <c r="E526" i="3"/>
  <c r="G526" i="3" s="1"/>
  <c r="H526" i="3"/>
  <c r="I526" i="3"/>
  <c r="J526" i="3"/>
  <c r="L526" i="3"/>
  <c r="M526" i="3"/>
  <c r="S526" i="3"/>
  <c r="D527" i="3"/>
  <c r="F527" i="3" s="1"/>
  <c r="E527" i="3"/>
  <c r="G527" i="3" s="1"/>
  <c r="H527" i="3"/>
  <c r="I527" i="3"/>
  <c r="J527" i="3"/>
  <c r="K527" i="3"/>
  <c r="L527" i="3"/>
  <c r="M527" i="3"/>
  <c r="S527" i="3"/>
  <c r="D528" i="3"/>
  <c r="F528" i="3" s="1"/>
  <c r="E528" i="3"/>
  <c r="G528" i="3" s="1"/>
  <c r="H528" i="3"/>
  <c r="I528" i="3"/>
  <c r="J528" i="3"/>
  <c r="L528" i="3"/>
  <c r="M528" i="3"/>
  <c r="S528" i="3"/>
  <c r="D529" i="3"/>
  <c r="F529" i="3" s="1"/>
  <c r="E529" i="3"/>
  <c r="G529" i="3" s="1"/>
  <c r="H529" i="3"/>
  <c r="I529" i="3"/>
  <c r="J529" i="3"/>
  <c r="L529" i="3"/>
  <c r="M529" i="3"/>
  <c r="S529" i="3"/>
  <c r="D530" i="3"/>
  <c r="F530" i="3" s="1"/>
  <c r="E530" i="3"/>
  <c r="G530" i="3" s="1"/>
  <c r="H530" i="3"/>
  <c r="I530" i="3"/>
  <c r="J530" i="3"/>
  <c r="K530" i="3"/>
  <c r="L530" i="3"/>
  <c r="M530" i="3"/>
  <c r="S530" i="3"/>
  <c r="D531" i="3"/>
  <c r="F531" i="3" s="1"/>
  <c r="E531" i="3"/>
  <c r="G531" i="3" s="1"/>
  <c r="H531" i="3"/>
  <c r="I531" i="3"/>
  <c r="J531" i="3"/>
  <c r="L531" i="3"/>
  <c r="M531" i="3"/>
  <c r="S531" i="3"/>
  <c r="D532" i="3"/>
  <c r="F532" i="3" s="1"/>
  <c r="E532" i="3"/>
  <c r="G532" i="3" s="1"/>
  <c r="H532" i="3"/>
  <c r="I532" i="3"/>
  <c r="J532" i="3"/>
  <c r="L532" i="3"/>
  <c r="M532" i="3"/>
  <c r="S532" i="3"/>
  <c r="D533" i="3"/>
  <c r="E533" i="3"/>
  <c r="G533" i="3" s="1"/>
  <c r="F533" i="3"/>
  <c r="H533" i="3"/>
  <c r="I533" i="3"/>
  <c r="J533" i="3"/>
  <c r="K533" i="3"/>
  <c r="L533" i="3"/>
  <c r="M533" i="3"/>
  <c r="S533" i="3"/>
  <c r="D534" i="3"/>
  <c r="F534" i="3" s="1"/>
  <c r="E534" i="3"/>
  <c r="G534" i="3" s="1"/>
  <c r="H534" i="3"/>
  <c r="I534" i="3"/>
  <c r="J534" i="3"/>
  <c r="L534" i="3"/>
  <c r="M534" i="3"/>
  <c r="S534" i="3"/>
  <c r="D535" i="3"/>
  <c r="F535" i="3" s="1"/>
  <c r="E535" i="3"/>
  <c r="G535" i="3" s="1"/>
  <c r="H535" i="3"/>
  <c r="I535" i="3"/>
  <c r="J535" i="3"/>
  <c r="L535" i="3"/>
  <c r="M535" i="3"/>
  <c r="S535" i="3"/>
  <c r="D536" i="3"/>
  <c r="F536" i="3" s="1"/>
  <c r="E536" i="3"/>
  <c r="G536" i="3" s="1"/>
  <c r="H536" i="3"/>
  <c r="I536" i="3"/>
  <c r="J536" i="3"/>
  <c r="K536" i="3"/>
  <c r="L536" i="3"/>
  <c r="M536" i="3"/>
  <c r="S536" i="3"/>
  <c r="D537" i="3"/>
  <c r="F537" i="3" s="1"/>
  <c r="E537" i="3"/>
  <c r="G537" i="3" s="1"/>
  <c r="H537" i="3"/>
  <c r="I537" i="3"/>
  <c r="J537" i="3"/>
  <c r="L537" i="3"/>
  <c r="M537" i="3"/>
  <c r="S537" i="3"/>
  <c r="D538" i="3"/>
  <c r="F538" i="3" s="1"/>
  <c r="E538" i="3"/>
  <c r="G538" i="3" s="1"/>
  <c r="H538" i="3"/>
  <c r="I538" i="3"/>
  <c r="J538" i="3"/>
  <c r="L538" i="3"/>
  <c r="M538" i="3"/>
  <c r="S538" i="3"/>
  <c r="D539" i="3"/>
  <c r="F539" i="3" s="1"/>
  <c r="E539" i="3"/>
  <c r="G539" i="3" s="1"/>
  <c r="H539" i="3"/>
  <c r="I539" i="3"/>
  <c r="J539" i="3"/>
  <c r="K539" i="3"/>
  <c r="L539" i="3"/>
  <c r="M539" i="3"/>
  <c r="S539" i="3"/>
  <c r="D540" i="3"/>
  <c r="F540" i="3" s="1"/>
  <c r="E540" i="3"/>
  <c r="G540" i="3" s="1"/>
  <c r="H540" i="3"/>
  <c r="I540" i="3"/>
  <c r="J540" i="3"/>
  <c r="L540" i="3"/>
  <c r="M540" i="3"/>
  <c r="S540" i="3"/>
  <c r="D405" i="3"/>
  <c r="F405" i="3" s="1"/>
  <c r="E405" i="3"/>
  <c r="G405" i="3" s="1"/>
  <c r="H405" i="3"/>
  <c r="I405" i="3"/>
  <c r="J405" i="3"/>
  <c r="L405" i="3"/>
  <c r="M405" i="3"/>
  <c r="S405" i="3"/>
  <c r="D406" i="3"/>
  <c r="F406" i="3" s="1"/>
  <c r="E406" i="3"/>
  <c r="G406" i="3" s="1"/>
  <c r="H406" i="3"/>
  <c r="I406" i="3"/>
  <c r="J406" i="3"/>
  <c r="K406" i="3"/>
  <c r="L406" i="3"/>
  <c r="M406" i="3"/>
  <c r="S406" i="3"/>
  <c r="D407" i="3"/>
  <c r="F407" i="3" s="1"/>
  <c r="E407" i="3"/>
  <c r="G407" i="3" s="1"/>
  <c r="H407" i="3"/>
  <c r="I407" i="3"/>
  <c r="J407" i="3"/>
  <c r="L407" i="3"/>
  <c r="M407" i="3"/>
  <c r="S407" i="3"/>
  <c r="D408" i="3"/>
  <c r="F408" i="3" s="1"/>
  <c r="E408" i="3"/>
  <c r="G408" i="3" s="1"/>
  <c r="H408" i="3"/>
  <c r="I408" i="3"/>
  <c r="J408" i="3"/>
  <c r="L408" i="3"/>
  <c r="M408" i="3"/>
  <c r="S408" i="3"/>
  <c r="D409" i="3"/>
  <c r="F409" i="3" s="1"/>
  <c r="E409" i="3"/>
  <c r="G409" i="3" s="1"/>
  <c r="H409" i="3"/>
  <c r="I409" i="3"/>
  <c r="J409" i="3"/>
  <c r="L409" i="3"/>
  <c r="M409" i="3"/>
  <c r="S409" i="3"/>
  <c r="D410" i="3"/>
  <c r="F410" i="3" s="1"/>
  <c r="E410" i="3"/>
  <c r="G410" i="3" s="1"/>
  <c r="H410" i="3"/>
  <c r="I410" i="3"/>
  <c r="J410" i="3"/>
  <c r="L410" i="3"/>
  <c r="M410" i="3"/>
  <c r="S410" i="3"/>
  <c r="D411" i="3"/>
  <c r="F411" i="3" s="1"/>
  <c r="E411" i="3"/>
  <c r="G411" i="3" s="1"/>
  <c r="H411" i="3"/>
  <c r="I411" i="3"/>
  <c r="J411" i="3"/>
  <c r="L411" i="3"/>
  <c r="M411" i="3"/>
  <c r="S411" i="3"/>
  <c r="D412" i="3"/>
  <c r="F412" i="3" s="1"/>
  <c r="E412" i="3"/>
  <c r="G412" i="3"/>
  <c r="H412" i="3"/>
  <c r="I412" i="3"/>
  <c r="J412" i="3"/>
  <c r="L412" i="3"/>
  <c r="M412" i="3"/>
  <c r="S412" i="3"/>
  <c r="D413" i="3"/>
  <c r="F413" i="3" s="1"/>
  <c r="E413" i="3"/>
  <c r="G413" i="3" s="1"/>
  <c r="H413" i="3"/>
  <c r="I413" i="3"/>
  <c r="J413" i="3"/>
  <c r="L413" i="3"/>
  <c r="M413" i="3"/>
  <c r="S413" i="3"/>
  <c r="D414" i="3"/>
  <c r="F414" i="3" s="1"/>
  <c r="E414" i="3"/>
  <c r="G414" i="3" s="1"/>
  <c r="H414" i="3"/>
  <c r="I414" i="3"/>
  <c r="J414" i="3"/>
  <c r="L414" i="3"/>
  <c r="M414" i="3"/>
  <c r="S414" i="3"/>
  <c r="D415" i="3"/>
  <c r="F415" i="3" s="1"/>
  <c r="E415" i="3"/>
  <c r="G415" i="3" s="1"/>
  <c r="H415" i="3"/>
  <c r="I415" i="3"/>
  <c r="J415" i="3"/>
  <c r="L415" i="3"/>
  <c r="M415" i="3"/>
  <c r="S415" i="3"/>
  <c r="D416" i="3"/>
  <c r="F416" i="3" s="1"/>
  <c r="E416" i="3"/>
  <c r="G416" i="3" s="1"/>
  <c r="H416" i="3"/>
  <c r="I416" i="3"/>
  <c r="J416" i="3"/>
  <c r="L416" i="3"/>
  <c r="M416" i="3"/>
  <c r="S416" i="3"/>
  <c r="D417" i="3"/>
  <c r="F417" i="3" s="1"/>
  <c r="E417" i="3"/>
  <c r="G417" i="3" s="1"/>
  <c r="H417" i="3"/>
  <c r="I417" i="3"/>
  <c r="J417" i="3"/>
  <c r="L417" i="3"/>
  <c r="M417" i="3"/>
  <c r="S417" i="3"/>
  <c r="D418" i="3"/>
  <c r="F418" i="3" s="1"/>
  <c r="E418" i="3"/>
  <c r="G418" i="3" s="1"/>
  <c r="H418" i="3"/>
  <c r="I418" i="3"/>
  <c r="J418" i="3"/>
  <c r="L418" i="3"/>
  <c r="M418" i="3"/>
  <c r="S418" i="3"/>
  <c r="D419" i="3"/>
  <c r="F419" i="3" s="1"/>
  <c r="E419" i="3"/>
  <c r="G419" i="3" s="1"/>
  <c r="H419" i="3"/>
  <c r="I419" i="3"/>
  <c r="J419" i="3"/>
  <c r="L419" i="3"/>
  <c r="M419" i="3"/>
  <c r="S419" i="3"/>
  <c r="D420" i="3"/>
  <c r="F420" i="3" s="1"/>
  <c r="E420" i="3"/>
  <c r="G420" i="3" s="1"/>
  <c r="H420" i="3"/>
  <c r="I420" i="3"/>
  <c r="J420" i="3"/>
  <c r="L420" i="3"/>
  <c r="M420" i="3"/>
  <c r="S420" i="3"/>
  <c r="D421" i="3"/>
  <c r="F421" i="3" s="1"/>
  <c r="E421" i="3"/>
  <c r="G421" i="3" s="1"/>
  <c r="H421" i="3"/>
  <c r="I421" i="3"/>
  <c r="J421" i="3"/>
  <c r="K421" i="3"/>
  <c r="L421" i="3"/>
  <c r="M421" i="3"/>
  <c r="S421" i="3"/>
  <c r="D422" i="3"/>
  <c r="F422" i="3" s="1"/>
  <c r="E422" i="3"/>
  <c r="G422" i="3" s="1"/>
  <c r="H422" i="3"/>
  <c r="I422" i="3"/>
  <c r="J422" i="3"/>
  <c r="L422" i="3"/>
  <c r="M422" i="3"/>
  <c r="S422" i="3"/>
  <c r="D423" i="3"/>
  <c r="F423" i="3" s="1"/>
  <c r="E423" i="3"/>
  <c r="G423" i="3" s="1"/>
  <c r="H423" i="3"/>
  <c r="I423" i="3"/>
  <c r="J423" i="3"/>
  <c r="L423" i="3"/>
  <c r="M423" i="3"/>
  <c r="S423" i="3"/>
  <c r="D424" i="3"/>
  <c r="F424" i="3" s="1"/>
  <c r="E424" i="3"/>
  <c r="G424" i="3" s="1"/>
  <c r="H424" i="3"/>
  <c r="I424" i="3"/>
  <c r="J424" i="3"/>
  <c r="L424" i="3"/>
  <c r="M424" i="3"/>
  <c r="S424" i="3"/>
  <c r="D425" i="3"/>
  <c r="F425" i="3" s="1"/>
  <c r="E425" i="3"/>
  <c r="G425" i="3" s="1"/>
  <c r="H425" i="3"/>
  <c r="I425" i="3"/>
  <c r="J425" i="3"/>
  <c r="L425" i="3"/>
  <c r="M425" i="3"/>
  <c r="S425" i="3"/>
  <c r="D426" i="3"/>
  <c r="F426" i="3" s="1"/>
  <c r="E426" i="3"/>
  <c r="G426" i="3"/>
  <c r="H426" i="3"/>
  <c r="I426" i="3"/>
  <c r="J426" i="3"/>
  <c r="L426" i="3"/>
  <c r="M426" i="3"/>
  <c r="S426" i="3"/>
  <c r="D427" i="3"/>
  <c r="F427" i="3" s="1"/>
  <c r="E427" i="3"/>
  <c r="G427" i="3" s="1"/>
  <c r="H427" i="3"/>
  <c r="I427" i="3"/>
  <c r="J427" i="3"/>
  <c r="L427" i="3"/>
  <c r="M427" i="3"/>
  <c r="S427" i="3"/>
  <c r="D428" i="3"/>
  <c r="F428" i="3" s="1"/>
  <c r="E428" i="3"/>
  <c r="G428" i="3" s="1"/>
  <c r="H428" i="3"/>
  <c r="I428" i="3"/>
  <c r="J428" i="3"/>
  <c r="L428" i="3"/>
  <c r="M428" i="3"/>
  <c r="S428" i="3"/>
  <c r="D429" i="3"/>
  <c r="F429" i="3" s="1"/>
  <c r="E429" i="3"/>
  <c r="G429" i="3" s="1"/>
  <c r="H429" i="3"/>
  <c r="I429" i="3"/>
  <c r="J429" i="3"/>
  <c r="L429" i="3"/>
  <c r="M429" i="3"/>
  <c r="S429" i="3"/>
  <c r="D430" i="3"/>
  <c r="F430" i="3" s="1"/>
  <c r="E430" i="3"/>
  <c r="G430" i="3" s="1"/>
  <c r="H430" i="3"/>
  <c r="I430" i="3"/>
  <c r="J430" i="3"/>
  <c r="L430" i="3"/>
  <c r="M430" i="3"/>
  <c r="S430" i="3"/>
  <c r="D431" i="3"/>
  <c r="F431" i="3" s="1"/>
  <c r="E431" i="3"/>
  <c r="G431" i="3" s="1"/>
  <c r="H431" i="3"/>
  <c r="I431" i="3"/>
  <c r="J431" i="3"/>
  <c r="K431" i="3"/>
  <c r="L431" i="3"/>
  <c r="M431" i="3"/>
  <c r="S431" i="3"/>
  <c r="D432" i="3"/>
  <c r="F432" i="3" s="1"/>
  <c r="E432" i="3"/>
  <c r="G432" i="3" s="1"/>
  <c r="H432" i="3"/>
  <c r="I432" i="3"/>
  <c r="J432" i="3"/>
  <c r="L432" i="3"/>
  <c r="M432" i="3"/>
  <c r="S432" i="3"/>
  <c r="D433" i="3"/>
  <c r="F433" i="3" s="1"/>
  <c r="E433" i="3"/>
  <c r="G433" i="3" s="1"/>
  <c r="H433" i="3"/>
  <c r="I433" i="3"/>
  <c r="J433" i="3"/>
  <c r="L433" i="3"/>
  <c r="M433" i="3"/>
  <c r="S433" i="3"/>
  <c r="D434" i="3"/>
  <c r="F434" i="3" s="1"/>
  <c r="E434" i="3"/>
  <c r="G434" i="3" s="1"/>
  <c r="H434" i="3"/>
  <c r="I434" i="3"/>
  <c r="J434" i="3"/>
  <c r="K434" i="3"/>
  <c r="L434" i="3"/>
  <c r="M434" i="3"/>
  <c r="S434" i="3"/>
  <c r="D435" i="3"/>
  <c r="F435" i="3" s="1"/>
  <c r="E435" i="3"/>
  <c r="G435" i="3" s="1"/>
  <c r="H435" i="3"/>
  <c r="I435" i="3"/>
  <c r="J435" i="3"/>
  <c r="L435" i="3"/>
  <c r="M435" i="3"/>
  <c r="S435" i="3"/>
  <c r="D436" i="3"/>
  <c r="F436" i="3" s="1"/>
  <c r="E436" i="3"/>
  <c r="G436" i="3" s="1"/>
  <c r="H436" i="3"/>
  <c r="I436" i="3"/>
  <c r="J436" i="3"/>
  <c r="L436" i="3"/>
  <c r="M436" i="3"/>
  <c r="S436" i="3"/>
  <c r="D437" i="3"/>
  <c r="F437" i="3" s="1"/>
  <c r="E437" i="3"/>
  <c r="G437" i="3"/>
  <c r="H437" i="3"/>
  <c r="I437" i="3"/>
  <c r="J437" i="3"/>
  <c r="L437" i="3"/>
  <c r="M437" i="3"/>
  <c r="S437" i="3"/>
  <c r="D438" i="3"/>
  <c r="F438" i="3" s="1"/>
  <c r="E438" i="3"/>
  <c r="G438" i="3" s="1"/>
  <c r="H438" i="3"/>
  <c r="I438" i="3"/>
  <c r="J438" i="3"/>
  <c r="L438" i="3"/>
  <c r="M438" i="3"/>
  <c r="S438" i="3"/>
  <c r="D439" i="3"/>
  <c r="F439" i="3" s="1"/>
  <c r="E439" i="3"/>
  <c r="G439" i="3" s="1"/>
  <c r="H439" i="3"/>
  <c r="I439" i="3"/>
  <c r="J439" i="3"/>
  <c r="L439" i="3"/>
  <c r="M439" i="3"/>
  <c r="S439" i="3"/>
  <c r="D440" i="3"/>
  <c r="E440" i="3"/>
  <c r="G440" i="3" s="1"/>
  <c r="F440" i="3"/>
  <c r="H440" i="3"/>
  <c r="I440" i="3"/>
  <c r="J440" i="3"/>
  <c r="K440" i="3"/>
  <c r="L440" i="3"/>
  <c r="M440" i="3"/>
  <c r="S440" i="3"/>
  <c r="D441" i="3"/>
  <c r="F441" i="3" s="1"/>
  <c r="E441" i="3"/>
  <c r="G441" i="3" s="1"/>
  <c r="H441" i="3"/>
  <c r="I441" i="3"/>
  <c r="J441" i="3"/>
  <c r="L441" i="3"/>
  <c r="M441" i="3"/>
  <c r="S441" i="3"/>
  <c r="D442" i="3"/>
  <c r="F442" i="3" s="1"/>
  <c r="E442" i="3"/>
  <c r="G442" i="3" s="1"/>
  <c r="H442" i="3"/>
  <c r="I442" i="3"/>
  <c r="J442" i="3"/>
  <c r="L442" i="3"/>
  <c r="M442" i="3"/>
  <c r="S442" i="3"/>
  <c r="D443" i="3"/>
  <c r="F443" i="3" s="1"/>
  <c r="E443" i="3"/>
  <c r="G443" i="3" s="1"/>
  <c r="H443" i="3"/>
  <c r="I443" i="3"/>
  <c r="J443" i="3"/>
  <c r="K443" i="3"/>
  <c r="L443" i="3"/>
  <c r="M443" i="3"/>
  <c r="S443" i="3"/>
  <c r="D444" i="3"/>
  <c r="F444" i="3" s="1"/>
  <c r="E444" i="3"/>
  <c r="G444" i="3" s="1"/>
  <c r="H444" i="3"/>
  <c r="I444" i="3"/>
  <c r="J444" i="3"/>
  <c r="K444" i="3"/>
  <c r="L444" i="3"/>
  <c r="M444" i="3"/>
  <c r="S444" i="3"/>
  <c r="D445" i="3"/>
  <c r="F445" i="3" s="1"/>
  <c r="E445" i="3"/>
  <c r="G445" i="3" s="1"/>
  <c r="H445" i="3"/>
  <c r="I445" i="3"/>
  <c r="J445" i="3"/>
  <c r="L445" i="3"/>
  <c r="M445" i="3"/>
  <c r="S445" i="3"/>
  <c r="D446" i="3"/>
  <c r="F446" i="3" s="1"/>
  <c r="E446" i="3"/>
  <c r="G446" i="3" s="1"/>
  <c r="H446" i="3"/>
  <c r="I446" i="3"/>
  <c r="J446" i="3"/>
  <c r="K446" i="3"/>
  <c r="L446" i="3"/>
  <c r="M446" i="3"/>
  <c r="S446" i="3"/>
  <c r="D447" i="3"/>
  <c r="F447" i="3" s="1"/>
  <c r="E447" i="3"/>
  <c r="G447" i="3" s="1"/>
  <c r="H447" i="3"/>
  <c r="I447" i="3"/>
  <c r="J447" i="3"/>
  <c r="L447" i="3"/>
  <c r="M447" i="3"/>
  <c r="S447" i="3"/>
  <c r="D448" i="3"/>
  <c r="F448" i="3" s="1"/>
  <c r="E448" i="3"/>
  <c r="G448" i="3" s="1"/>
  <c r="H448" i="3"/>
  <c r="I448" i="3"/>
  <c r="J448" i="3"/>
  <c r="L448" i="3"/>
  <c r="M448" i="3"/>
  <c r="S448" i="3"/>
  <c r="D449" i="3"/>
  <c r="F449" i="3" s="1"/>
  <c r="E449" i="3"/>
  <c r="G449" i="3" s="1"/>
  <c r="H449" i="3"/>
  <c r="I449" i="3"/>
  <c r="J449" i="3"/>
  <c r="K449" i="3"/>
  <c r="L449" i="3"/>
  <c r="M449" i="3"/>
  <c r="S449" i="3"/>
  <c r="D450" i="3"/>
  <c r="F450" i="3" s="1"/>
  <c r="E450" i="3"/>
  <c r="G450" i="3" s="1"/>
  <c r="H450" i="3"/>
  <c r="I450" i="3"/>
  <c r="J450" i="3"/>
  <c r="L450" i="3"/>
  <c r="M450" i="3"/>
  <c r="S450" i="3"/>
  <c r="D451" i="3"/>
  <c r="F451" i="3" s="1"/>
  <c r="E451" i="3"/>
  <c r="G451" i="3" s="1"/>
  <c r="H451" i="3"/>
  <c r="I451" i="3"/>
  <c r="J451" i="3"/>
  <c r="L451" i="3"/>
  <c r="M451" i="3"/>
  <c r="S451" i="3"/>
  <c r="D452" i="3"/>
  <c r="F452" i="3" s="1"/>
  <c r="E452" i="3"/>
  <c r="G452" i="3" s="1"/>
  <c r="H452" i="3"/>
  <c r="I452" i="3"/>
  <c r="J452" i="3"/>
  <c r="L452" i="3"/>
  <c r="M452" i="3"/>
  <c r="S452" i="3"/>
  <c r="D453" i="3"/>
  <c r="F453" i="3" s="1"/>
  <c r="E453" i="3"/>
  <c r="G453" i="3" s="1"/>
  <c r="H453" i="3"/>
  <c r="I453" i="3"/>
  <c r="J453" i="3"/>
  <c r="L453" i="3"/>
  <c r="M453" i="3"/>
  <c r="S453" i="3"/>
  <c r="D454" i="3"/>
  <c r="F454" i="3" s="1"/>
  <c r="E454" i="3"/>
  <c r="G454" i="3" s="1"/>
  <c r="H454" i="3"/>
  <c r="I454" i="3"/>
  <c r="J454" i="3"/>
  <c r="L454" i="3"/>
  <c r="M454" i="3"/>
  <c r="S454" i="3"/>
  <c r="D455" i="3"/>
  <c r="F455" i="3" s="1"/>
  <c r="E455" i="3"/>
  <c r="G455" i="3" s="1"/>
  <c r="H455" i="3"/>
  <c r="I455" i="3"/>
  <c r="J455" i="3"/>
  <c r="L455" i="3"/>
  <c r="M455" i="3"/>
  <c r="S455" i="3"/>
  <c r="D456" i="3"/>
  <c r="F456" i="3" s="1"/>
  <c r="E456" i="3"/>
  <c r="G456" i="3" s="1"/>
  <c r="H456" i="3"/>
  <c r="I456" i="3"/>
  <c r="J456" i="3"/>
  <c r="L456" i="3"/>
  <c r="M456" i="3"/>
  <c r="S456" i="3"/>
  <c r="D457" i="3"/>
  <c r="F457" i="3" s="1"/>
  <c r="E457" i="3"/>
  <c r="G457" i="3" s="1"/>
  <c r="H457" i="3"/>
  <c r="I457" i="3"/>
  <c r="J457" i="3"/>
  <c r="L457" i="3"/>
  <c r="M457" i="3"/>
  <c r="S457" i="3"/>
  <c r="D458" i="3"/>
  <c r="F458" i="3" s="1"/>
  <c r="E458" i="3"/>
  <c r="G458" i="3" s="1"/>
  <c r="H458" i="3"/>
  <c r="I458" i="3"/>
  <c r="J458" i="3"/>
  <c r="L458" i="3"/>
  <c r="M458" i="3"/>
  <c r="S458" i="3"/>
  <c r="D459" i="3"/>
  <c r="F459" i="3" s="1"/>
  <c r="E459" i="3"/>
  <c r="G459" i="3" s="1"/>
  <c r="H459" i="3"/>
  <c r="I459" i="3"/>
  <c r="J459" i="3"/>
  <c r="L459" i="3"/>
  <c r="M459" i="3"/>
  <c r="S459" i="3"/>
  <c r="D460" i="3"/>
  <c r="F460" i="3" s="1"/>
  <c r="E460" i="3"/>
  <c r="G460" i="3" s="1"/>
  <c r="H460" i="3"/>
  <c r="I460" i="3"/>
  <c r="J460" i="3"/>
  <c r="L460" i="3"/>
  <c r="M460" i="3"/>
  <c r="S460" i="3"/>
  <c r="D461" i="3"/>
  <c r="F461" i="3" s="1"/>
  <c r="E461" i="3"/>
  <c r="G461" i="3" s="1"/>
  <c r="H461" i="3"/>
  <c r="I461" i="3"/>
  <c r="J461" i="3"/>
  <c r="L461" i="3"/>
  <c r="M461" i="3"/>
  <c r="S461" i="3"/>
  <c r="D462" i="3"/>
  <c r="F462" i="3" s="1"/>
  <c r="E462" i="3"/>
  <c r="G462" i="3" s="1"/>
  <c r="H462" i="3"/>
  <c r="I462" i="3"/>
  <c r="J462" i="3"/>
  <c r="L462" i="3"/>
  <c r="M462" i="3"/>
  <c r="S462" i="3"/>
  <c r="D463" i="3"/>
  <c r="F463" i="3" s="1"/>
  <c r="E463" i="3"/>
  <c r="G463" i="3" s="1"/>
  <c r="H463" i="3"/>
  <c r="I463" i="3"/>
  <c r="J463" i="3"/>
  <c r="L463" i="3"/>
  <c r="M463" i="3"/>
  <c r="S463" i="3"/>
  <c r="D464" i="3"/>
  <c r="F464" i="3" s="1"/>
  <c r="E464" i="3"/>
  <c r="G464" i="3" s="1"/>
  <c r="H464" i="3"/>
  <c r="I464" i="3"/>
  <c r="J464" i="3"/>
  <c r="L464" i="3"/>
  <c r="M464" i="3"/>
  <c r="S464" i="3"/>
  <c r="D465" i="3"/>
  <c r="F465" i="3" s="1"/>
  <c r="E465" i="3"/>
  <c r="G465" i="3" s="1"/>
  <c r="H465" i="3"/>
  <c r="I465" i="3"/>
  <c r="J465" i="3"/>
  <c r="L465" i="3"/>
  <c r="M465" i="3"/>
  <c r="S465" i="3"/>
  <c r="D466" i="3"/>
  <c r="F466" i="3" s="1"/>
  <c r="E466" i="3"/>
  <c r="G466" i="3" s="1"/>
  <c r="H466" i="3"/>
  <c r="I466" i="3"/>
  <c r="J466" i="3"/>
  <c r="L466" i="3"/>
  <c r="M466" i="3"/>
  <c r="S466" i="3"/>
  <c r="D467" i="3"/>
  <c r="F467" i="3" s="1"/>
  <c r="E467" i="3"/>
  <c r="G467" i="3" s="1"/>
  <c r="H467" i="3"/>
  <c r="I467" i="3"/>
  <c r="J467" i="3"/>
  <c r="K467" i="3"/>
  <c r="L467" i="3"/>
  <c r="M467" i="3"/>
  <c r="S467" i="3"/>
  <c r="D468" i="3"/>
  <c r="F468" i="3" s="1"/>
  <c r="E468" i="3"/>
  <c r="G468" i="3" s="1"/>
  <c r="H468" i="3"/>
  <c r="I468" i="3"/>
  <c r="J468" i="3"/>
  <c r="L468" i="3"/>
  <c r="M468" i="3"/>
  <c r="S468" i="3"/>
  <c r="D469" i="3"/>
  <c r="F469" i="3" s="1"/>
  <c r="E469" i="3"/>
  <c r="G469" i="3" s="1"/>
  <c r="H469" i="3"/>
  <c r="I469" i="3"/>
  <c r="J469" i="3"/>
  <c r="L469" i="3"/>
  <c r="M469" i="3"/>
  <c r="S469" i="3"/>
  <c r="D470" i="3"/>
  <c r="F470" i="3" s="1"/>
  <c r="E470" i="3"/>
  <c r="G470" i="3" s="1"/>
  <c r="H470" i="3"/>
  <c r="I470" i="3"/>
  <c r="J470" i="3"/>
  <c r="K470" i="3"/>
  <c r="L470" i="3"/>
  <c r="M470" i="3"/>
  <c r="S470" i="3"/>
  <c r="D471" i="3"/>
  <c r="F471" i="3" s="1"/>
  <c r="E471" i="3"/>
  <c r="G471" i="3" s="1"/>
  <c r="H471" i="3"/>
  <c r="I471" i="3"/>
  <c r="J471" i="3"/>
  <c r="L471" i="3"/>
  <c r="M471" i="3"/>
  <c r="S471" i="3"/>
  <c r="D472" i="3"/>
  <c r="F472" i="3" s="1"/>
  <c r="E472" i="3"/>
  <c r="G472" i="3" s="1"/>
  <c r="H472" i="3"/>
  <c r="I472" i="3"/>
  <c r="J472" i="3"/>
  <c r="L472" i="3"/>
  <c r="M472" i="3"/>
  <c r="S472" i="3"/>
  <c r="D337" i="3"/>
  <c r="F337" i="3" s="1"/>
  <c r="E337" i="3"/>
  <c r="G337" i="3" s="1"/>
  <c r="H337" i="3"/>
  <c r="I337" i="3"/>
  <c r="J337" i="3"/>
  <c r="L337" i="3"/>
  <c r="M337" i="3"/>
  <c r="S337" i="3"/>
  <c r="D338" i="3"/>
  <c r="F338" i="3" s="1"/>
  <c r="E338" i="3"/>
  <c r="G338" i="3" s="1"/>
  <c r="H338" i="3"/>
  <c r="I338" i="3"/>
  <c r="J338" i="3"/>
  <c r="L338" i="3"/>
  <c r="M338" i="3"/>
  <c r="S338" i="3"/>
  <c r="D339" i="3"/>
  <c r="F339" i="3" s="1"/>
  <c r="E339" i="3"/>
  <c r="G339" i="3" s="1"/>
  <c r="H339" i="3"/>
  <c r="I339" i="3"/>
  <c r="J339" i="3"/>
  <c r="L339" i="3"/>
  <c r="M339" i="3"/>
  <c r="S339" i="3"/>
  <c r="D340" i="3"/>
  <c r="F340" i="3" s="1"/>
  <c r="E340" i="3"/>
  <c r="G340" i="3"/>
  <c r="H340" i="3"/>
  <c r="I340" i="3"/>
  <c r="J340" i="3"/>
  <c r="K340" i="3"/>
  <c r="L340" i="3"/>
  <c r="M340" i="3"/>
  <c r="S340" i="3"/>
  <c r="D341" i="3"/>
  <c r="F341" i="3" s="1"/>
  <c r="E341" i="3"/>
  <c r="G341" i="3" s="1"/>
  <c r="H341" i="3"/>
  <c r="I341" i="3"/>
  <c r="J341" i="3"/>
  <c r="L341" i="3"/>
  <c r="M341" i="3"/>
  <c r="S341" i="3"/>
  <c r="D342" i="3"/>
  <c r="F342" i="3" s="1"/>
  <c r="E342" i="3"/>
  <c r="G342" i="3" s="1"/>
  <c r="H342" i="3"/>
  <c r="I342" i="3"/>
  <c r="J342" i="3"/>
  <c r="L342" i="3"/>
  <c r="M342" i="3"/>
  <c r="S342" i="3"/>
  <c r="D343" i="3"/>
  <c r="E343" i="3"/>
  <c r="G343" i="3" s="1"/>
  <c r="F343" i="3"/>
  <c r="H343" i="3"/>
  <c r="I343" i="3"/>
  <c r="J343" i="3"/>
  <c r="K343" i="3"/>
  <c r="L343" i="3"/>
  <c r="M343" i="3"/>
  <c r="S343" i="3"/>
  <c r="D344" i="3"/>
  <c r="F344" i="3" s="1"/>
  <c r="E344" i="3"/>
  <c r="G344" i="3" s="1"/>
  <c r="H344" i="3"/>
  <c r="I344" i="3"/>
  <c r="J344" i="3"/>
  <c r="L344" i="3"/>
  <c r="M344" i="3"/>
  <c r="S344" i="3"/>
  <c r="D345" i="3"/>
  <c r="F345" i="3" s="1"/>
  <c r="E345" i="3"/>
  <c r="G345" i="3" s="1"/>
  <c r="H345" i="3"/>
  <c r="I345" i="3"/>
  <c r="J345" i="3"/>
  <c r="L345" i="3"/>
  <c r="M345" i="3"/>
  <c r="S345" i="3"/>
  <c r="D346" i="3"/>
  <c r="F346" i="3" s="1"/>
  <c r="E346" i="3"/>
  <c r="G346" i="3" s="1"/>
  <c r="H346" i="3"/>
  <c r="I346" i="3"/>
  <c r="J346" i="3"/>
  <c r="L346" i="3"/>
  <c r="M346" i="3"/>
  <c r="S346" i="3"/>
  <c r="D347" i="3"/>
  <c r="F347" i="3" s="1"/>
  <c r="E347" i="3"/>
  <c r="G347" i="3" s="1"/>
  <c r="H347" i="3"/>
  <c r="I347" i="3"/>
  <c r="J347" i="3"/>
  <c r="L347" i="3"/>
  <c r="M347" i="3"/>
  <c r="S347" i="3"/>
  <c r="D348" i="3"/>
  <c r="F348" i="3" s="1"/>
  <c r="E348" i="3"/>
  <c r="G348" i="3" s="1"/>
  <c r="H348" i="3"/>
  <c r="I348" i="3"/>
  <c r="J348" i="3"/>
  <c r="L348" i="3"/>
  <c r="M348" i="3"/>
  <c r="S348" i="3"/>
  <c r="D349" i="3"/>
  <c r="F349" i="3" s="1"/>
  <c r="E349" i="3"/>
  <c r="G349" i="3" s="1"/>
  <c r="H349" i="3"/>
  <c r="I349" i="3"/>
  <c r="J349" i="3"/>
  <c r="L349" i="3"/>
  <c r="M349" i="3"/>
  <c r="S349" i="3"/>
  <c r="D350" i="3"/>
  <c r="F350" i="3" s="1"/>
  <c r="E350" i="3"/>
  <c r="G350" i="3" s="1"/>
  <c r="H350" i="3"/>
  <c r="I350" i="3"/>
  <c r="J350" i="3"/>
  <c r="K350" i="3"/>
  <c r="L350" i="3"/>
  <c r="M350" i="3"/>
  <c r="S350" i="3"/>
  <c r="D351" i="3"/>
  <c r="F351" i="3" s="1"/>
  <c r="E351" i="3"/>
  <c r="G351" i="3" s="1"/>
  <c r="H351" i="3"/>
  <c r="I351" i="3"/>
  <c r="J351" i="3"/>
  <c r="L351" i="3"/>
  <c r="M351" i="3"/>
  <c r="S351" i="3"/>
  <c r="D352" i="3"/>
  <c r="F352" i="3" s="1"/>
  <c r="E352" i="3"/>
  <c r="G352" i="3" s="1"/>
  <c r="H352" i="3"/>
  <c r="I352" i="3"/>
  <c r="J352" i="3"/>
  <c r="L352" i="3"/>
  <c r="M352" i="3"/>
  <c r="S352" i="3"/>
  <c r="D353" i="3"/>
  <c r="F353" i="3" s="1"/>
  <c r="E353" i="3"/>
  <c r="G353" i="3" s="1"/>
  <c r="H353" i="3"/>
  <c r="I353" i="3"/>
  <c r="J353" i="3"/>
  <c r="L353" i="3"/>
  <c r="M353" i="3"/>
  <c r="S353" i="3"/>
  <c r="D354" i="3"/>
  <c r="F354" i="3" s="1"/>
  <c r="E354" i="3"/>
  <c r="G354" i="3" s="1"/>
  <c r="H354" i="3"/>
  <c r="I354" i="3"/>
  <c r="J354" i="3"/>
  <c r="L354" i="3"/>
  <c r="M354" i="3"/>
  <c r="S354" i="3"/>
  <c r="D355" i="3"/>
  <c r="F355" i="3" s="1"/>
  <c r="E355" i="3"/>
  <c r="G355" i="3" s="1"/>
  <c r="H355" i="3"/>
  <c r="I355" i="3"/>
  <c r="J355" i="3"/>
  <c r="L355" i="3"/>
  <c r="M355" i="3"/>
  <c r="S355" i="3"/>
  <c r="D356" i="3"/>
  <c r="F356" i="3" s="1"/>
  <c r="E356" i="3"/>
  <c r="G356" i="3" s="1"/>
  <c r="H356" i="3"/>
  <c r="I356" i="3"/>
  <c r="J356" i="3"/>
  <c r="K356" i="3"/>
  <c r="L356" i="3"/>
  <c r="M356" i="3"/>
  <c r="S356" i="3"/>
  <c r="D357" i="3"/>
  <c r="F357" i="3" s="1"/>
  <c r="E357" i="3"/>
  <c r="G357" i="3" s="1"/>
  <c r="H357" i="3"/>
  <c r="I357" i="3"/>
  <c r="J357" i="3"/>
  <c r="L357" i="3"/>
  <c r="M357" i="3"/>
  <c r="S357" i="3"/>
  <c r="D358" i="3"/>
  <c r="F358" i="3" s="1"/>
  <c r="E358" i="3"/>
  <c r="G358" i="3" s="1"/>
  <c r="H358" i="3"/>
  <c r="I358" i="3"/>
  <c r="J358" i="3"/>
  <c r="L358" i="3"/>
  <c r="M358" i="3"/>
  <c r="S358" i="3"/>
  <c r="D359" i="3"/>
  <c r="F359" i="3" s="1"/>
  <c r="E359" i="3"/>
  <c r="G359" i="3" s="1"/>
  <c r="H359" i="3"/>
  <c r="I359" i="3"/>
  <c r="J359" i="3"/>
  <c r="K359" i="3"/>
  <c r="L359" i="3"/>
  <c r="M359" i="3"/>
  <c r="S359" i="3"/>
  <c r="D360" i="3"/>
  <c r="F360" i="3" s="1"/>
  <c r="E360" i="3"/>
  <c r="G360" i="3" s="1"/>
  <c r="H360" i="3"/>
  <c r="I360" i="3"/>
  <c r="J360" i="3"/>
  <c r="L360" i="3"/>
  <c r="M360" i="3"/>
  <c r="S360" i="3"/>
  <c r="D361" i="3"/>
  <c r="F361" i="3" s="1"/>
  <c r="E361" i="3"/>
  <c r="G361" i="3" s="1"/>
  <c r="H361" i="3"/>
  <c r="I361" i="3"/>
  <c r="J361" i="3"/>
  <c r="L361" i="3"/>
  <c r="M361" i="3"/>
  <c r="S361" i="3"/>
  <c r="D362" i="3"/>
  <c r="F362" i="3" s="1"/>
  <c r="E362" i="3"/>
  <c r="G362" i="3" s="1"/>
  <c r="H362" i="3"/>
  <c r="I362" i="3"/>
  <c r="J362" i="3"/>
  <c r="L362" i="3"/>
  <c r="M362" i="3"/>
  <c r="S362" i="3"/>
  <c r="D363" i="3"/>
  <c r="F363" i="3" s="1"/>
  <c r="E363" i="3"/>
  <c r="G363" i="3" s="1"/>
  <c r="H363" i="3"/>
  <c r="I363" i="3"/>
  <c r="J363" i="3"/>
  <c r="L363" i="3"/>
  <c r="M363" i="3"/>
  <c r="S363" i="3"/>
  <c r="D364" i="3"/>
  <c r="F364" i="3" s="1"/>
  <c r="E364" i="3"/>
  <c r="G364" i="3" s="1"/>
  <c r="H364" i="3"/>
  <c r="I364" i="3"/>
  <c r="J364" i="3"/>
  <c r="K364" i="3"/>
  <c r="L364" i="3"/>
  <c r="M364" i="3"/>
  <c r="S364" i="3"/>
  <c r="D365" i="3"/>
  <c r="F365" i="3" s="1"/>
  <c r="E365" i="3"/>
  <c r="G365" i="3" s="1"/>
  <c r="H365" i="3"/>
  <c r="I365" i="3"/>
  <c r="J365" i="3"/>
  <c r="L365" i="3"/>
  <c r="M365" i="3"/>
  <c r="S365" i="3"/>
  <c r="D366" i="3"/>
  <c r="F366" i="3" s="1"/>
  <c r="E366" i="3"/>
  <c r="G366" i="3" s="1"/>
  <c r="H366" i="3"/>
  <c r="I366" i="3"/>
  <c r="J366" i="3"/>
  <c r="L366" i="3"/>
  <c r="M366" i="3"/>
  <c r="S366" i="3"/>
  <c r="D367" i="3"/>
  <c r="F367" i="3" s="1"/>
  <c r="E367" i="3"/>
  <c r="G367" i="3" s="1"/>
  <c r="H367" i="3"/>
  <c r="I367" i="3"/>
  <c r="J367" i="3"/>
  <c r="L367" i="3"/>
  <c r="M367" i="3"/>
  <c r="S367" i="3"/>
  <c r="D368" i="3"/>
  <c r="E368" i="3"/>
  <c r="G368" i="3" s="1"/>
  <c r="F368" i="3"/>
  <c r="H368" i="3"/>
  <c r="I368" i="3"/>
  <c r="J368" i="3"/>
  <c r="L368" i="3"/>
  <c r="M368" i="3"/>
  <c r="S368" i="3"/>
  <c r="D369" i="3"/>
  <c r="F369" i="3" s="1"/>
  <c r="E369" i="3"/>
  <c r="G369" i="3" s="1"/>
  <c r="H369" i="3"/>
  <c r="I369" i="3"/>
  <c r="J369" i="3"/>
  <c r="L369" i="3"/>
  <c r="M369" i="3"/>
  <c r="S369" i="3"/>
  <c r="D370" i="3"/>
  <c r="F370" i="3" s="1"/>
  <c r="E370" i="3"/>
  <c r="G370" i="3" s="1"/>
  <c r="H370" i="3"/>
  <c r="I370" i="3"/>
  <c r="J370" i="3"/>
  <c r="L370" i="3"/>
  <c r="M370" i="3"/>
  <c r="S370" i="3"/>
  <c r="D371" i="3"/>
  <c r="F371" i="3" s="1"/>
  <c r="E371" i="3"/>
  <c r="G371" i="3" s="1"/>
  <c r="H371" i="3"/>
  <c r="I371" i="3"/>
  <c r="J371" i="3"/>
  <c r="K371" i="3"/>
  <c r="L371" i="3"/>
  <c r="M371" i="3"/>
  <c r="S371" i="3"/>
  <c r="D372" i="3"/>
  <c r="F372" i="3" s="1"/>
  <c r="E372" i="3"/>
  <c r="G372" i="3" s="1"/>
  <c r="H372" i="3"/>
  <c r="I372" i="3"/>
  <c r="J372" i="3"/>
  <c r="L372" i="3"/>
  <c r="M372" i="3"/>
  <c r="S372" i="3"/>
  <c r="D373" i="3"/>
  <c r="E373" i="3"/>
  <c r="G373" i="3" s="1"/>
  <c r="F373" i="3"/>
  <c r="H373" i="3"/>
  <c r="I373" i="3"/>
  <c r="J373" i="3"/>
  <c r="L373" i="3"/>
  <c r="M373" i="3"/>
  <c r="S373" i="3"/>
  <c r="D374" i="3"/>
  <c r="F374" i="3" s="1"/>
  <c r="E374" i="3"/>
  <c r="G374" i="3" s="1"/>
  <c r="H374" i="3"/>
  <c r="I374" i="3"/>
  <c r="J374" i="3"/>
  <c r="L374" i="3"/>
  <c r="M374" i="3"/>
  <c r="S374" i="3"/>
  <c r="D375" i="3"/>
  <c r="F375" i="3" s="1"/>
  <c r="E375" i="3"/>
  <c r="G375" i="3" s="1"/>
  <c r="H375" i="3"/>
  <c r="I375" i="3"/>
  <c r="J375" i="3"/>
  <c r="K375" i="3"/>
  <c r="L375" i="3"/>
  <c r="M375" i="3"/>
  <c r="S375" i="3"/>
  <c r="D376" i="3"/>
  <c r="F376" i="3" s="1"/>
  <c r="E376" i="3"/>
  <c r="G376" i="3" s="1"/>
  <c r="H376" i="3"/>
  <c r="I376" i="3"/>
  <c r="J376" i="3"/>
  <c r="L376" i="3"/>
  <c r="M376" i="3"/>
  <c r="S376" i="3"/>
  <c r="D377" i="3"/>
  <c r="F377" i="3" s="1"/>
  <c r="E377" i="3"/>
  <c r="G377" i="3" s="1"/>
  <c r="H377" i="3"/>
  <c r="I377" i="3"/>
  <c r="J377" i="3"/>
  <c r="K377" i="3"/>
  <c r="L377" i="3"/>
  <c r="M377" i="3"/>
  <c r="S377" i="3"/>
  <c r="D378" i="3"/>
  <c r="F378" i="3" s="1"/>
  <c r="E378" i="3"/>
  <c r="G378" i="3" s="1"/>
  <c r="H378" i="3"/>
  <c r="I378" i="3"/>
  <c r="J378" i="3"/>
  <c r="L378" i="3"/>
  <c r="M378" i="3"/>
  <c r="S378" i="3"/>
  <c r="D379" i="3"/>
  <c r="F379" i="3" s="1"/>
  <c r="E379" i="3"/>
  <c r="G379" i="3" s="1"/>
  <c r="H379" i="3"/>
  <c r="I379" i="3"/>
  <c r="J379" i="3"/>
  <c r="L379" i="3"/>
  <c r="M379" i="3"/>
  <c r="S379" i="3"/>
  <c r="D380" i="3"/>
  <c r="F380" i="3" s="1"/>
  <c r="E380" i="3"/>
  <c r="G380" i="3" s="1"/>
  <c r="H380" i="3"/>
  <c r="I380" i="3"/>
  <c r="J380" i="3"/>
  <c r="K380" i="3"/>
  <c r="L380" i="3"/>
  <c r="M380" i="3"/>
  <c r="S380" i="3"/>
  <c r="D381" i="3"/>
  <c r="F381" i="3" s="1"/>
  <c r="E381" i="3"/>
  <c r="G381" i="3" s="1"/>
  <c r="H381" i="3"/>
  <c r="I381" i="3"/>
  <c r="J381" i="3"/>
  <c r="L381" i="3"/>
  <c r="M381" i="3"/>
  <c r="S381" i="3"/>
  <c r="D382" i="3"/>
  <c r="F382" i="3" s="1"/>
  <c r="E382" i="3"/>
  <c r="G382" i="3" s="1"/>
  <c r="H382" i="3"/>
  <c r="I382" i="3"/>
  <c r="J382" i="3"/>
  <c r="L382" i="3"/>
  <c r="M382" i="3"/>
  <c r="S382" i="3"/>
  <c r="D383" i="3"/>
  <c r="E383" i="3"/>
  <c r="G383" i="3" s="1"/>
  <c r="F383" i="3"/>
  <c r="H383" i="3"/>
  <c r="I383" i="3"/>
  <c r="J383" i="3"/>
  <c r="L383" i="3"/>
  <c r="M383" i="3"/>
  <c r="S383" i="3"/>
  <c r="D384" i="3"/>
  <c r="F384" i="3" s="1"/>
  <c r="E384" i="3"/>
  <c r="G384" i="3" s="1"/>
  <c r="H384" i="3"/>
  <c r="I384" i="3"/>
  <c r="J384" i="3"/>
  <c r="L384" i="3"/>
  <c r="M384" i="3"/>
  <c r="S384" i="3"/>
  <c r="D385" i="3"/>
  <c r="F385" i="3" s="1"/>
  <c r="E385" i="3"/>
  <c r="G385" i="3" s="1"/>
  <c r="H385" i="3"/>
  <c r="I385" i="3"/>
  <c r="J385" i="3"/>
  <c r="L385" i="3"/>
  <c r="M385" i="3"/>
  <c r="S385" i="3"/>
  <c r="D386" i="3"/>
  <c r="F386" i="3" s="1"/>
  <c r="E386" i="3"/>
  <c r="G386" i="3" s="1"/>
  <c r="H386" i="3"/>
  <c r="I386" i="3"/>
  <c r="J386" i="3"/>
  <c r="L386" i="3"/>
  <c r="M386" i="3"/>
  <c r="S386" i="3"/>
  <c r="D387" i="3"/>
  <c r="F387" i="3" s="1"/>
  <c r="E387" i="3"/>
  <c r="G387" i="3" s="1"/>
  <c r="H387" i="3"/>
  <c r="I387" i="3"/>
  <c r="J387" i="3"/>
  <c r="L387" i="3"/>
  <c r="M387" i="3"/>
  <c r="S387" i="3"/>
  <c r="D388" i="3"/>
  <c r="F388" i="3" s="1"/>
  <c r="E388" i="3"/>
  <c r="G388" i="3" s="1"/>
  <c r="H388" i="3"/>
  <c r="I388" i="3"/>
  <c r="J388" i="3"/>
  <c r="L388" i="3"/>
  <c r="M388" i="3"/>
  <c r="S388" i="3"/>
  <c r="D389" i="3"/>
  <c r="F389" i="3" s="1"/>
  <c r="E389" i="3"/>
  <c r="G389" i="3" s="1"/>
  <c r="H389" i="3"/>
  <c r="I389" i="3"/>
  <c r="J389" i="3"/>
  <c r="L389" i="3"/>
  <c r="M389" i="3"/>
  <c r="S389" i="3"/>
  <c r="D390" i="3"/>
  <c r="F390" i="3" s="1"/>
  <c r="E390" i="3"/>
  <c r="G390" i="3" s="1"/>
  <c r="H390" i="3"/>
  <c r="I390" i="3"/>
  <c r="J390" i="3"/>
  <c r="K390" i="3"/>
  <c r="L390" i="3"/>
  <c r="M390" i="3"/>
  <c r="S390" i="3"/>
  <c r="D391" i="3"/>
  <c r="F391" i="3" s="1"/>
  <c r="E391" i="3"/>
  <c r="G391" i="3" s="1"/>
  <c r="H391" i="3"/>
  <c r="I391" i="3"/>
  <c r="J391" i="3"/>
  <c r="L391" i="3"/>
  <c r="M391" i="3"/>
  <c r="S391" i="3"/>
  <c r="D392" i="3"/>
  <c r="F392" i="3" s="1"/>
  <c r="E392" i="3"/>
  <c r="G392" i="3" s="1"/>
  <c r="H392" i="3"/>
  <c r="I392" i="3"/>
  <c r="J392" i="3"/>
  <c r="L392" i="3"/>
  <c r="M392" i="3"/>
  <c r="S392" i="3"/>
  <c r="D393" i="3"/>
  <c r="F393" i="3" s="1"/>
  <c r="E393" i="3"/>
  <c r="G393" i="3" s="1"/>
  <c r="H393" i="3"/>
  <c r="I393" i="3"/>
  <c r="J393" i="3"/>
  <c r="L393" i="3"/>
  <c r="M393" i="3"/>
  <c r="S393" i="3"/>
  <c r="D394" i="3"/>
  <c r="E394" i="3"/>
  <c r="G394" i="3" s="1"/>
  <c r="F394" i="3"/>
  <c r="H394" i="3"/>
  <c r="I394" i="3"/>
  <c r="J394" i="3"/>
  <c r="L394" i="3"/>
  <c r="M394" i="3"/>
  <c r="S394" i="3"/>
  <c r="D395" i="3"/>
  <c r="F395" i="3" s="1"/>
  <c r="E395" i="3"/>
  <c r="G395" i="3"/>
  <c r="H395" i="3"/>
  <c r="I395" i="3"/>
  <c r="J395" i="3"/>
  <c r="L395" i="3"/>
  <c r="M395" i="3"/>
  <c r="S395" i="3"/>
  <c r="D396" i="3"/>
  <c r="F396" i="3" s="1"/>
  <c r="E396" i="3"/>
  <c r="G396" i="3" s="1"/>
  <c r="H396" i="3"/>
  <c r="I396" i="3"/>
  <c r="J396" i="3"/>
  <c r="K396" i="3"/>
  <c r="L396" i="3"/>
  <c r="M396" i="3"/>
  <c r="S396" i="3"/>
  <c r="D397" i="3"/>
  <c r="F397" i="3" s="1"/>
  <c r="E397" i="3"/>
  <c r="G397" i="3" s="1"/>
  <c r="H397" i="3"/>
  <c r="I397" i="3"/>
  <c r="J397" i="3"/>
  <c r="K397" i="3"/>
  <c r="L397" i="3"/>
  <c r="M397" i="3"/>
  <c r="S397" i="3"/>
  <c r="D398" i="3"/>
  <c r="F398" i="3" s="1"/>
  <c r="E398" i="3"/>
  <c r="G398" i="3" s="1"/>
  <c r="H398" i="3"/>
  <c r="I398" i="3"/>
  <c r="J398" i="3"/>
  <c r="L398" i="3"/>
  <c r="M398" i="3"/>
  <c r="S398" i="3"/>
  <c r="D399" i="3"/>
  <c r="F399" i="3" s="1"/>
  <c r="E399" i="3"/>
  <c r="G399" i="3" s="1"/>
  <c r="H399" i="3"/>
  <c r="I399" i="3"/>
  <c r="J399" i="3"/>
  <c r="L399" i="3"/>
  <c r="M399" i="3"/>
  <c r="S399" i="3"/>
  <c r="D400" i="3"/>
  <c r="F400" i="3" s="1"/>
  <c r="E400" i="3"/>
  <c r="G400" i="3"/>
  <c r="H400" i="3"/>
  <c r="I400" i="3"/>
  <c r="J400" i="3"/>
  <c r="K400" i="3"/>
  <c r="L400" i="3"/>
  <c r="M400" i="3"/>
  <c r="S400" i="3"/>
  <c r="D401" i="3"/>
  <c r="F401" i="3" s="1"/>
  <c r="E401" i="3"/>
  <c r="G401" i="3" s="1"/>
  <c r="H401" i="3"/>
  <c r="I401" i="3"/>
  <c r="J401" i="3"/>
  <c r="L401" i="3"/>
  <c r="M401" i="3"/>
  <c r="S401" i="3"/>
  <c r="D402" i="3"/>
  <c r="F402" i="3" s="1"/>
  <c r="E402" i="3"/>
  <c r="G402" i="3" s="1"/>
  <c r="H402" i="3"/>
  <c r="I402" i="3"/>
  <c r="J402" i="3"/>
  <c r="L402" i="3"/>
  <c r="M402" i="3"/>
  <c r="S402" i="3"/>
  <c r="D403" i="3"/>
  <c r="F403" i="3" s="1"/>
  <c r="E403" i="3"/>
  <c r="G403" i="3" s="1"/>
  <c r="H403" i="3"/>
  <c r="I403" i="3"/>
  <c r="J403" i="3"/>
  <c r="L403" i="3"/>
  <c r="M403" i="3"/>
  <c r="S403" i="3"/>
  <c r="D404" i="3"/>
  <c r="F404" i="3" s="1"/>
  <c r="E404" i="3"/>
  <c r="G404" i="3" s="1"/>
  <c r="H404" i="3"/>
  <c r="I404" i="3"/>
  <c r="J404" i="3"/>
  <c r="L404" i="3"/>
  <c r="M404" i="3"/>
  <c r="S404" i="3"/>
  <c r="D269" i="3"/>
  <c r="F269" i="3" s="1"/>
  <c r="E269" i="3"/>
  <c r="G269" i="3" s="1"/>
  <c r="H269" i="3"/>
  <c r="I269" i="3"/>
  <c r="J269" i="3"/>
  <c r="L269" i="3"/>
  <c r="M269" i="3"/>
  <c r="S269" i="3"/>
  <c r="D270" i="3"/>
  <c r="F270" i="3" s="1"/>
  <c r="E270" i="3"/>
  <c r="G270" i="3" s="1"/>
  <c r="H270" i="3"/>
  <c r="I270" i="3"/>
  <c r="J270" i="3"/>
  <c r="L270" i="3"/>
  <c r="M270" i="3"/>
  <c r="S270" i="3"/>
  <c r="D271" i="3"/>
  <c r="F271" i="3" s="1"/>
  <c r="E271" i="3"/>
  <c r="G271" i="3" s="1"/>
  <c r="H271" i="3"/>
  <c r="I271" i="3"/>
  <c r="J271" i="3"/>
  <c r="K271" i="3"/>
  <c r="L271" i="3"/>
  <c r="M271" i="3"/>
  <c r="S271" i="3"/>
  <c r="D272" i="3"/>
  <c r="E272" i="3"/>
  <c r="G272" i="3" s="1"/>
  <c r="F272" i="3"/>
  <c r="H272" i="3"/>
  <c r="I272" i="3"/>
  <c r="J272" i="3"/>
  <c r="L272" i="3"/>
  <c r="M272" i="3"/>
  <c r="S272" i="3"/>
  <c r="D273" i="3"/>
  <c r="F273" i="3" s="1"/>
  <c r="E273" i="3"/>
  <c r="G273" i="3" s="1"/>
  <c r="H273" i="3"/>
  <c r="I273" i="3"/>
  <c r="J273" i="3"/>
  <c r="L273" i="3"/>
  <c r="M273" i="3"/>
  <c r="S273" i="3"/>
  <c r="D274" i="3"/>
  <c r="F274" i="3" s="1"/>
  <c r="E274" i="3"/>
  <c r="G274" i="3" s="1"/>
  <c r="H274" i="3"/>
  <c r="I274" i="3"/>
  <c r="J274" i="3"/>
  <c r="K274" i="3"/>
  <c r="L274" i="3"/>
  <c r="M274" i="3"/>
  <c r="S274" i="3"/>
  <c r="D275" i="3"/>
  <c r="F275" i="3" s="1"/>
  <c r="E275" i="3"/>
  <c r="G275" i="3" s="1"/>
  <c r="H275" i="3"/>
  <c r="I275" i="3"/>
  <c r="J275" i="3"/>
  <c r="L275" i="3"/>
  <c r="M275" i="3"/>
  <c r="S275" i="3"/>
  <c r="D276" i="3"/>
  <c r="F276" i="3" s="1"/>
  <c r="E276" i="3"/>
  <c r="G276" i="3" s="1"/>
  <c r="H276" i="3"/>
  <c r="I276" i="3"/>
  <c r="J276" i="3"/>
  <c r="L276" i="3"/>
  <c r="M276" i="3"/>
  <c r="S276" i="3"/>
  <c r="D277" i="3"/>
  <c r="F277" i="3" s="1"/>
  <c r="E277" i="3"/>
  <c r="G277" i="3" s="1"/>
  <c r="H277" i="3"/>
  <c r="I277" i="3"/>
  <c r="J277" i="3"/>
  <c r="L277" i="3"/>
  <c r="M277" i="3"/>
  <c r="S277" i="3"/>
  <c r="D278" i="3"/>
  <c r="F278" i="3" s="1"/>
  <c r="E278" i="3"/>
  <c r="G278" i="3" s="1"/>
  <c r="H278" i="3"/>
  <c r="I278" i="3"/>
  <c r="J278" i="3"/>
  <c r="L278" i="3"/>
  <c r="M278" i="3"/>
  <c r="S278" i="3"/>
  <c r="D279" i="3"/>
  <c r="F279" i="3" s="1"/>
  <c r="E279" i="3"/>
  <c r="G279" i="3" s="1"/>
  <c r="H279" i="3"/>
  <c r="I279" i="3"/>
  <c r="J279" i="3"/>
  <c r="L279" i="3"/>
  <c r="M279" i="3"/>
  <c r="S279" i="3"/>
  <c r="D280" i="3"/>
  <c r="F280" i="3" s="1"/>
  <c r="E280" i="3"/>
  <c r="G280" i="3" s="1"/>
  <c r="H280" i="3"/>
  <c r="I280" i="3"/>
  <c r="J280" i="3"/>
  <c r="K280" i="3"/>
  <c r="L280" i="3"/>
  <c r="M280" i="3"/>
  <c r="S280" i="3"/>
  <c r="D281" i="3"/>
  <c r="F281" i="3" s="1"/>
  <c r="E281" i="3"/>
  <c r="G281" i="3" s="1"/>
  <c r="H281" i="3"/>
  <c r="I281" i="3"/>
  <c r="J281" i="3"/>
  <c r="L281" i="3"/>
  <c r="M281" i="3"/>
  <c r="S281" i="3"/>
  <c r="D282" i="3"/>
  <c r="F282" i="3" s="1"/>
  <c r="E282" i="3"/>
  <c r="G282" i="3" s="1"/>
  <c r="H282" i="3"/>
  <c r="I282" i="3"/>
  <c r="J282" i="3"/>
  <c r="K282" i="3"/>
  <c r="L282" i="3"/>
  <c r="M282" i="3"/>
  <c r="S282" i="3"/>
  <c r="D283" i="3"/>
  <c r="F283" i="3" s="1"/>
  <c r="E283" i="3"/>
  <c r="G283" i="3" s="1"/>
  <c r="H283" i="3"/>
  <c r="I283" i="3"/>
  <c r="J283" i="3"/>
  <c r="K283" i="3"/>
  <c r="L283" i="3"/>
  <c r="M283" i="3"/>
  <c r="S283" i="3"/>
  <c r="D284" i="3"/>
  <c r="F284" i="3" s="1"/>
  <c r="E284" i="3"/>
  <c r="G284" i="3" s="1"/>
  <c r="H284" i="3"/>
  <c r="I284" i="3"/>
  <c r="J284" i="3"/>
  <c r="L284" i="3"/>
  <c r="M284" i="3"/>
  <c r="S284" i="3"/>
  <c r="D285" i="3"/>
  <c r="F285" i="3" s="1"/>
  <c r="E285" i="3"/>
  <c r="G285" i="3" s="1"/>
  <c r="H285" i="3"/>
  <c r="I285" i="3"/>
  <c r="J285" i="3"/>
  <c r="K285" i="3"/>
  <c r="L285" i="3"/>
  <c r="M285" i="3"/>
  <c r="S285" i="3"/>
  <c r="D286" i="3"/>
  <c r="F286" i="3" s="1"/>
  <c r="E286" i="3"/>
  <c r="G286" i="3" s="1"/>
  <c r="H286" i="3"/>
  <c r="I286" i="3"/>
  <c r="J286" i="3"/>
  <c r="K286" i="3"/>
  <c r="L286" i="3"/>
  <c r="M286" i="3"/>
  <c r="S286" i="3"/>
  <c r="D287" i="3"/>
  <c r="F287" i="3" s="1"/>
  <c r="E287" i="3"/>
  <c r="G287" i="3" s="1"/>
  <c r="H287" i="3"/>
  <c r="I287" i="3"/>
  <c r="J287" i="3"/>
  <c r="L287" i="3"/>
  <c r="M287" i="3"/>
  <c r="S287" i="3"/>
  <c r="D288" i="3"/>
  <c r="F288" i="3" s="1"/>
  <c r="E288" i="3"/>
  <c r="G288" i="3" s="1"/>
  <c r="H288" i="3"/>
  <c r="I288" i="3"/>
  <c r="J288" i="3"/>
  <c r="L288" i="3"/>
  <c r="M288" i="3"/>
  <c r="S288" i="3"/>
  <c r="D289" i="3"/>
  <c r="F289" i="3" s="1"/>
  <c r="E289" i="3"/>
  <c r="G289" i="3" s="1"/>
  <c r="H289" i="3"/>
  <c r="I289" i="3"/>
  <c r="J289" i="3"/>
  <c r="L289" i="3"/>
  <c r="M289" i="3"/>
  <c r="S289" i="3"/>
  <c r="D290" i="3"/>
  <c r="F290" i="3" s="1"/>
  <c r="E290" i="3"/>
  <c r="G290" i="3" s="1"/>
  <c r="H290" i="3"/>
  <c r="I290" i="3"/>
  <c r="J290" i="3"/>
  <c r="L290" i="3"/>
  <c r="M290" i="3"/>
  <c r="S290" i="3"/>
  <c r="D291" i="3"/>
  <c r="F291" i="3" s="1"/>
  <c r="E291" i="3"/>
  <c r="G291" i="3" s="1"/>
  <c r="H291" i="3"/>
  <c r="I291" i="3"/>
  <c r="J291" i="3"/>
  <c r="K291" i="3"/>
  <c r="L291" i="3"/>
  <c r="M291" i="3"/>
  <c r="S291" i="3"/>
  <c r="D292" i="3"/>
  <c r="E292" i="3"/>
  <c r="G292" i="3" s="1"/>
  <c r="F292" i="3"/>
  <c r="H292" i="3"/>
  <c r="I292" i="3"/>
  <c r="J292" i="3"/>
  <c r="L292" i="3"/>
  <c r="M292" i="3"/>
  <c r="S292" i="3"/>
  <c r="D293" i="3"/>
  <c r="F293" i="3" s="1"/>
  <c r="E293" i="3"/>
  <c r="G293" i="3" s="1"/>
  <c r="H293" i="3"/>
  <c r="I293" i="3"/>
  <c r="J293" i="3"/>
  <c r="L293" i="3"/>
  <c r="M293" i="3"/>
  <c r="S293" i="3"/>
  <c r="D294" i="3"/>
  <c r="F294" i="3" s="1"/>
  <c r="E294" i="3"/>
  <c r="G294" i="3" s="1"/>
  <c r="H294" i="3"/>
  <c r="I294" i="3"/>
  <c r="J294" i="3"/>
  <c r="K294" i="3"/>
  <c r="L294" i="3"/>
  <c r="M294" i="3"/>
  <c r="S294" i="3"/>
  <c r="D295" i="3"/>
  <c r="F295" i="3" s="1"/>
  <c r="E295" i="3"/>
  <c r="G295" i="3" s="1"/>
  <c r="H295" i="3"/>
  <c r="I295" i="3"/>
  <c r="J295" i="3"/>
  <c r="L295" i="3"/>
  <c r="M295" i="3"/>
  <c r="S295" i="3"/>
  <c r="D296" i="3"/>
  <c r="F296" i="3" s="1"/>
  <c r="E296" i="3"/>
  <c r="G296" i="3" s="1"/>
  <c r="H296" i="3"/>
  <c r="I296" i="3"/>
  <c r="J296" i="3"/>
  <c r="L296" i="3"/>
  <c r="M296" i="3"/>
  <c r="S296" i="3"/>
  <c r="D297" i="3"/>
  <c r="F297" i="3" s="1"/>
  <c r="E297" i="3"/>
  <c r="G297" i="3" s="1"/>
  <c r="H297" i="3"/>
  <c r="I297" i="3"/>
  <c r="J297" i="3"/>
  <c r="L297" i="3"/>
  <c r="M297" i="3"/>
  <c r="S297" i="3"/>
  <c r="D298" i="3"/>
  <c r="F298" i="3" s="1"/>
  <c r="E298" i="3"/>
  <c r="G298" i="3" s="1"/>
  <c r="H298" i="3"/>
  <c r="I298" i="3"/>
  <c r="J298" i="3"/>
  <c r="L298" i="3"/>
  <c r="M298" i="3"/>
  <c r="S298" i="3"/>
  <c r="D299" i="3"/>
  <c r="F299" i="3" s="1"/>
  <c r="E299" i="3"/>
  <c r="G299" i="3" s="1"/>
  <c r="H299" i="3"/>
  <c r="I299" i="3"/>
  <c r="J299" i="3"/>
  <c r="L299" i="3"/>
  <c r="M299" i="3"/>
  <c r="S299" i="3"/>
  <c r="D300" i="3"/>
  <c r="F300" i="3" s="1"/>
  <c r="E300" i="3"/>
  <c r="G300" i="3"/>
  <c r="H300" i="3"/>
  <c r="I300" i="3"/>
  <c r="J300" i="3"/>
  <c r="L300" i="3"/>
  <c r="M300" i="3"/>
  <c r="S300" i="3"/>
  <c r="D301" i="3"/>
  <c r="F301" i="3" s="1"/>
  <c r="E301" i="3"/>
  <c r="G301" i="3" s="1"/>
  <c r="H301" i="3"/>
  <c r="I301" i="3"/>
  <c r="J301" i="3"/>
  <c r="L301" i="3"/>
  <c r="M301" i="3"/>
  <c r="S301" i="3"/>
  <c r="D302" i="3"/>
  <c r="F302" i="3" s="1"/>
  <c r="E302" i="3"/>
  <c r="G302" i="3" s="1"/>
  <c r="H302" i="3"/>
  <c r="I302" i="3"/>
  <c r="J302" i="3"/>
  <c r="L302" i="3"/>
  <c r="M302" i="3"/>
  <c r="S302" i="3"/>
  <c r="D303" i="3"/>
  <c r="F303" i="3" s="1"/>
  <c r="E303" i="3"/>
  <c r="G303" i="3" s="1"/>
  <c r="H303" i="3"/>
  <c r="I303" i="3"/>
  <c r="J303" i="3"/>
  <c r="L303" i="3"/>
  <c r="M303" i="3"/>
  <c r="S303" i="3"/>
  <c r="D304" i="3"/>
  <c r="F304" i="3" s="1"/>
  <c r="E304" i="3"/>
  <c r="G304" i="3" s="1"/>
  <c r="H304" i="3"/>
  <c r="I304" i="3"/>
  <c r="J304" i="3"/>
  <c r="L304" i="3"/>
  <c r="M304" i="3"/>
  <c r="S304" i="3"/>
  <c r="D305" i="3"/>
  <c r="F305" i="3" s="1"/>
  <c r="E305" i="3"/>
  <c r="G305" i="3" s="1"/>
  <c r="H305" i="3"/>
  <c r="I305" i="3"/>
  <c r="J305" i="3"/>
  <c r="L305" i="3"/>
  <c r="M305" i="3"/>
  <c r="S305" i="3"/>
  <c r="D306" i="3"/>
  <c r="E306" i="3"/>
  <c r="G306" i="3" s="1"/>
  <c r="F306" i="3"/>
  <c r="H306" i="3"/>
  <c r="I306" i="3"/>
  <c r="J306" i="3"/>
  <c r="L306" i="3"/>
  <c r="M306" i="3"/>
  <c r="S306" i="3"/>
  <c r="D307" i="3"/>
  <c r="F307" i="3" s="1"/>
  <c r="E307" i="3"/>
  <c r="G307" i="3" s="1"/>
  <c r="H307" i="3"/>
  <c r="I307" i="3"/>
  <c r="J307" i="3"/>
  <c r="L307" i="3"/>
  <c r="M307" i="3"/>
  <c r="S307" i="3"/>
  <c r="D308" i="3"/>
  <c r="F308" i="3" s="1"/>
  <c r="E308" i="3"/>
  <c r="G308" i="3" s="1"/>
  <c r="H308" i="3"/>
  <c r="I308" i="3"/>
  <c r="J308" i="3"/>
  <c r="L308" i="3"/>
  <c r="M308" i="3"/>
  <c r="S308" i="3"/>
  <c r="D309" i="3"/>
  <c r="F309" i="3" s="1"/>
  <c r="E309" i="3"/>
  <c r="G309" i="3" s="1"/>
  <c r="H309" i="3"/>
  <c r="I309" i="3"/>
  <c r="J309" i="3"/>
  <c r="K309" i="3"/>
  <c r="L309" i="3"/>
  <c r="M309" i="3"/>
  <c r="S309" i="3"/>
  <c r="D310" i="3"/>
  <c r="F310" i="3" s="1"/>
  <c r="E310" i="3"/>
  <c r="G310" i="3" s="1"/>
  <c r="H310" i="3"/>
  <c r="I310" i="3"/>
  <c r="J310" i="3"/>
  <c r="L310" i="3"/>
  <c r="M310" i="3"/>
  <c r="S310" i="3"/>
  <c r="D311" i="3"/>
  <c r="F311" i="3" s="1"/>
  <c r="E311" i="3"/>
  <c r="G311" i="3" s="1"/>
  <c r="H311" i="3"/>
  <c r="I311" i="3"/>
  <c r="J311" i="3"/>
  <c r="L311" i="3"/>
  <c r="M311" i="3"/>
  <c r="S311" i="3"/>
  <c r="D312" i="3"/>
  <c r="E312" i="3"/>
  <c r="G312" i="3" s="1"/>
  <c r="F312" i="3"/>
  <c r="H312" i="3"/>
  <c r="I312" i="3"/>
  <c r="J312" i="3"/>
  <c r="L312" i="3"/>
  <c r="M312" i="3"/>
  <c r="S312" i="3"/>
  <c r="D313" i="3"/>
  <c r="F313" i="3" s="1"/>
  <c r="E313" i="3"/>
  <c r="G313" i="3" s="1"/>
  <c r="H313" i="3"/>
  <c r="I313" i="3"/>
  <c r="J313" i="3"/>
  <c r="L313" i="3"/>
  <c r="M313" i="3"/>
  <c r="S313" i="3"/>
  <c r="D314" i="3"/>
  <c r="F314" i="3" s="1"/>
  <c r="E314" i="3"/>
  <c r="G314" i="3" s="1"/>
  <c r="H314" i="3"/>
  <c r="I314" i="3"/>
  <c r="J314" i="3"/>
  <c r="K314" i="3"/>
  <c r="L314" i="3"/>
  <c r="M314" i="3"/>
  <c r="S314" i="3"/>
  <c r="D315" i="3"/>
  <c r="F315" i="3" s="1"/>
  <c r="E315" i="3"/>
  <c r="G315" i="3" s="1"/>
  <c r="H315" i="3"/>
  <c r="I315" i="3"/>
  <c r="J315" i="3"/>
  <c r="K315" i="3"/>
  <c r="L315" i="3"/>
  <c r="M315" i="3"/>
  <c r="S315" i="3"/>
  <c r="D316" i="3"/>
  <c r="F316" i="3" s="1"/>
  <c r="E316" i="3"/>
  <c r="G316" i="3" s="1"/>
  <c r="H316" i="3"/>
  <c r="I316" i="3"/>
  <c r="J316" i="3"/>
  <c r="L316" i="3"/>
  <c r="M316" i="3"/>
  <c r="S316" i="3"/>
  <c r="D317" i="3"/>
  <c r="F317" i="3" s="1"/>
  <c r="E317" i="3"/>
  <c r="G317" i="3" s="1"/>
  <c r="H317" i="3"/>
  <c r="I317" i="3"/>
  <c r="J317" i="3"/>
  <c r="K317" i="3"/>
  <c r="L317" i="3"/>
  <c r="M317" i="3"/>
  <c r="S317" i="3"/>
  <c r="D318" i="3"/>
  <c r="F318" i="3" s="1"/>
  <c r="E318" i="3"/>
  <c r="G318" i="3" s="1"/>
  <c r="H318" i="3"/>
  <c r="I318" i="3"/>
  <c r="J318" i="3"/>
  <c r="K318" i="3"/>
  <c r="L318" i="3"/>
  <c r="M318" i="3"/>
  <c r="S318" i="3"/>
  <c r="D319" i="3"/>
  <c r="F319" i="3" s="1"/>
  <c r="E319" i="3"/>
  <c r="G319" i="3" s="1"/>
  <c r="H319" i="3"/>
  <c r="I319" i="3"/>
  <c r="J319" i="3"/>
  <c r="L319" i="3"/>
  <c r="M319" i="3"/>
  <c r="S319" i="3"/>
  <c r="D320" i="3"/>
  <c r="F320" i="3" s="1"/>
  <c r="E320" i="3"/>
  <c r="G320" i="3" s="1"/>
  <c r="H320" i="3"/>
  <c r="I320" i="3"/>
  <c r="J320" i="3"/>
  <c r="L320" i="3"/>
  <c r="M320" i="3"/>
  <c r="S320" i="3"/>
  <c r="D321" i="3"/>
  <c r="F321" i="3" s="1"/>
  <c r="E321" i="3"/>
  <c r="G321" i="3" s="1"/>
  <c r="H321" i="3"/>
  <c r="I321" i="3"/>
  <c r="J321" i="3"/>
  <c r="L321" i="3"/>
  <c r="M321" i="3"/>
  <c r="S321" i="3"/>
  <c r="D322" i="3"/>
  <c r="F322" i="3" s="1"/>
  <c r="E322" i="3"/>
  <c r="G322" i="3" s="1"/>
  <c r="H322" i="3"/>
  <c r="I322" i="3"/>
  <c r="J322" i="3"/>
  <c r="L322" i="3"/>
  <c r="M322" i="3"/>
  <c r="S322" i="3"/>
  <c r="D323" i="3"/>
  <c r="F323" i="3" s="1"/>
  <c r="E323" i="3"/>
  <c r="G323" i="3" s="1"/>
  <c r="H323" i="3"/>
  <c r="I323" i="3"/>
  <c r="J323" i="3"/>
  <c r="K323" i="3"/>
  <c r="L323" i="3"/>
  <c r="M323" i="3"/>
  <c r="S323" i="3"/>
  <c r="D324" i="3"/>
  <c r="F324" i="3" s="1"/>
  <c r="E324" i="3"/>
  <c r="G324" i="3" s="1"/>
  <c r="H324" i="3"/>
  <c r="I324" i="3"/>
  <c r="J324" i="3"/>
  <c r="L324" i="3"/>
  <c r="M324" i="3"/>
  <c r="S324" i="3"/>
  <c r="D325" i="3"/>
  <c r="F325" i="3" s="1"/>
  <c r="E325" i="3"/>
  <c r="G325" i="3" s="1"/>
  <c r="H325" i="3"/>
  <c r="I325" i="3"/>
  <c r="J325" i="3"/>
  <c r="L325" i="3"/>
  <c r="M325" i="3"/>
  <c r="S325" i="3"/>
  <c r="D326" i="3"/>
  <c r="F326" i="3" s="1"/>
  <c r="E326" i="3"/>
  <c r="G326" i="3" s="1"/>
  <c r="H326" i="3"/>
  <c r="I326" i="3"/>
  <c r="J326" i="3"/>
  <c r="K326" i="3"/>
  <c r="L326" i="3"/>
  <c r="M326" i="3"/>
  <c r="S326" i="3"/>
  <c r="D327" i="3"/>
  <c r="F327" i="3" s="1"/>
  <c r="E327" i="3"/>
  <c r="G327" i="3" s="1"/>
  <c r="H327" i="3"/>
  <c r="I327" i="3"/>
  <c r="J327" i="3"/>
  <c r="L327" i="3"/>
  <c r="M327" i="3"/>
  <c r="S327" i="3"/>
  <c r="D328" i="3"/>
  <c r="F328" i="3" s="1"/>
  <c r="E328" i="3"/>
  <c r="G328" i="3" s="1"/>
  <c r="H328" i="3"/>
  <c r="I328" i="3"/>
  <c r="J328" i="3"/>
  <c r="L328" i="3"/>
  <c r="M328" i="3"/>
  <c r="S328" i="3"/>
  <c r="D329" i="3"/>
  <c r="F329" i="3" s="1"/>
  <c r="E329" i="3"/>
  <c r="G329" i="3" s="1"/>
  <c r="H329" i="3"/>
  <c r="I329" i="3"/>
  <c r="J329" i="3"/>
  <c r="K329" i="3"/>
  <c r="L329" i="3"/>
  <c r="M329" i="3"/>
  <c r="S329" i="3"/>
  <c r="D330" i="3"/>
  <c r="F330" i="3" s="1"/>
  <c r="E330" i="3"/>
  <c r="G330" i="3" s="1"/>
  <c r="H330" i="3"/>
  <c r="I330" i="3"/>
  <c r="J330" i="3"/>
  <c r="L330" i="3"/>
  <c r="M330" i="3"/>
  <c r="S330" i="3"/>
  <c r="D331" i="3"/>
  <c r="F331" i="3" s="1"/>
  <c r="E331" i="3"/>
  <c r="G331" i="3" s="1"/>
  <c r="H331" i="3"/>
  <c r="I331" i="3"/>
  <c r="J331" i="3"/>
  <c r="L331" i="3"/>
  <c r="M331" i="3"/>
  <c r="S331" i="3"/>
  <c r="D332" i="3"/>
  <c r="F332" i="3" s="1"/>
  <c r="E332" i="3"/>
  <c r="G332" i="3" s="1"/>
  <c r="H332" i="3"/>
  <c r="I332" i="3"/>
  <c r="J332" i="3"/>
  <c r="L332" i="3"/>
  <c r="M332" i="3"/>
  <c r="S332" i="3"/>
  <c r="D333" i="3"/>
  <c r="F333" i="3" s="1"/>
  <c r="E333" i="3"/>
  <c r="G333" i="3" s="1"/>
  <c r="H333" i="3"/>
  <c r="I333" i="3"/>
  <c r="J333" i="3"/>
  <c r="L333" i="3"/>
  <c r="M333" i="3"/>
  <c r="S333" i="3"/>
  <c r="D334" i="3"/>
  <c r="F334" i="3" s="1"/>
  <c r="E334" i="3"/>
  <c r="G334" i="3" s="1"/>
  <c r="H334" i="3"/>
  <c r="I334" i="3"/>
  <c r="J334" i="3"/>
  <c r="L334" i="3"/>
  <c r="M334" i="3"/>
  <c r="S334" i="3"/>
  <c r="D335" i="3"/>
  <c r="F335" i="3" s="1"/>
  <c r="E335" i="3"/>
  <c r="G335" i="3" s="1"/>
  <c r="H335" i="3"/>
  <c r="I335" i="3"/>
  <c r="J335" i="3"/>
  <c r="L335" i="3"/>
  <c r="M335" i="3"/>
  <c r="S335" i="3"/>
  <c r="D336" i="3"/>
  <c r="F336" i="3" s="1"/>
  <c r="E336" i="3"/>
  <c r="G336" i="3" s="1"/>
  <c r="H336" i="3"/>
  <c r="I336" i="3"/>
  <c r="J336" i="3"/>
  <c r="L336" i="3"/>
  <c r="M336" i="3"/>
  <c r="S336" i="3"/>
  <c r="D201" i="3"/>
  <c r="F201" i="3" s="1"/>
  <c r="E201" i="3"/>
  <c r="G201" i="3" s="1"/>
  <c r="H201" i="3"/>
  <c r="I201" i="3"/>
  <c r="J201" i="3"/>
  <c r="L201" i="3"/>
  <c r="M201" i="3"/>
  <c r="S201" i="3"/>
  <c r="D202" i="3"/>
  <c r="F202" i="3" s="1"/>
  <c r="E202" i="3"/>
  <c r="G202" i="3" s="1"/>
  <c r="H202" i="3"/>
  <c r="I202" i="3"/>
  <c r="J202" i="3"/>
  <c r="L202" i="3"/>
  <c r="M202" i="3"/>
  <c r="S202" i="3"/>
  <c r="D203" i="3"/>
  <c r="F203" i="3" s="1"/>
  <c r="E203" i="3"/>
  <c r="G203" i="3" s="1"/>
  <c r="H203" i="3"/>
  <c r="I203" i="3"/>
  <c r="J203" i="3"/>
  <c r="K203" i="3"/>
  <c r="L203" i="3"/>
  <c r="M203" i="3"/>
  <c r="S203" i="3"/>
  <c r="D204" i="3"/>
  <c r="F204" i="3" s="1"/>
  <c r="E204" i="3"/>
  <c r="G204" i="3" s="1"/>
  <c r="H204" i="3"/>
  <c r="I204" i="3"/>
  <c r="J204" i="3"/>
  <c r="K204" i="3"/>
  <c r="L204" i="3"/>
  <c r="M204" i="3"/>
  <c r="S204" i="3"/>
  <c r="D205" i="3"/>
  <c r="F205" i="3" s="1"/>
  <c r="E205" i="3"/>
  <c r="G205" i="3" s="1"/>
  <c r="H205" i="3"/>
  <c r="I205" i="3"/>
  <c r="J205" i="3"/>
  <c r="L205" i="3"/>
  <c r="M205" i="3"/>
  <c r="S205" i="3"/>
  <c r="D206" i="3"/>
  <c r="F206" i="3" s="1"/>
  <c r="E206" i="3"/>
  <c r="G206" i="3" s="1"/>
  <c r="H206" i="3"/>
  <c r="I206" i="3"/>
  <c r="J206" i="3"/>
  <c r="K206" i="3"/>
  <c r="L206" i="3"/>
  <c r="M206" i="3"/>
  <c r="S206" i="3"/>
  <c r="D207" i="3"/>
  <c r="F207" i="3" s="1"/>
  <c r="E207" i="3"/>
  <c r="G207" i="3" s="1"/>
  <c r="H207" i="3"/>
  <c r="I207" i="3"/>
  <c r="J207" i="3"/>
  <c r="K207" i="3"/>
  <c r="L207" i="3"/>
  <c r="M207" i="3"/>
  <c r="S207" i="3"/>
  <c r="D208" i="3"/>
  <c r="F208" i="3" s="1"/>
  <c r="E208" i="3"/>
  <c r="G208" i="3" s="1"/>
  <c r="H208" i="3"/>
  <c r="I208" i="3"/>
  <c r="J208" i="3"/>
  <c r="L208" i="3"/>
  <c r="M208" i="3"/>
  <c r="S208" i="3"/>
  <c r="D209" i="3"/>
  <c r="F209" i="3" s="1"/>
  <c r="E209" i="3"/>
  <c r="G209" i="3" s="1"/>
  <c r="H209" i="3"/>
  <c r="I209" i="3"/>
  <c r="J209" i="3"/>
  <c r="K209" i="3"/>
  <c r="L209" i="3"/>
  <c r="M209" i="3"/>
  <c r="S209" i="3"/>
  <c r="D210" i="3"/>
  <c r="F210" i="3" s="1"/>
  <c r="E210" i="3"/>
  <c r="G210" i="3" s="1"/>
  <c r="H210" i="3"/>
  <c r="I210" i="3"/>
  <c r="J210" i="3"/>
  <c r="K210" i="3"/>
  <c r="L210" i="3"/>
  <c r="M210" i="3"/>
  <c r="S210" i="3"/>
  <c r="D211" i="3"/>
  <c r="F211" i="3" s="1"/>
  <c r="E211" i="3"/>
  <c r="G211" i="3" s="1"/>
  <c r="H211" i="3"/>
  <c r="I211" i="3"/>
  <c r="J211" i="3"/>
  <c r="L211" i="3"/>
  <c r="M211" i="3"/>
  <c r="S211" i="3"/>
  <c r="D212" i="3"/>
  <c r="F212" i="3" s="1"/>
  <c r="E212" i="3"/>
  <c r="G212" i="3" s="1"/>
  <c r="H212" i="3"/>
  <c r="I212" i="3"/>
  <c r="J212" i="3"/>
  <c r="K212" i="3"/>
  <c r="L212" i="3"/>
  <c r="M212" i="3"/>
  <c r="S212" i="3"/>
  <c r="D213" i="3"/>
  <c r="F213" i="3" s="1"/>
  <c r="E213" i="3"/>
  <c r="G213" i="3" s="1"/>
  <c r="H213" i="3"/>
  <c r="I213" i="3"/>
  <c r="J213" i="3"/>
  <c r="L213" i="3"/>
  <c r="M213" i="3"/>
  <c r="S213" i="3"/>
  <c r="D214" i="3"/>
  <c r="F214" i="3" s="1"/>
  <c r="E214" i="3"/>
  <c r="G214" i="3" s="1"/>
  <c r="H214" i="3"/>
  <c r="I214" i="3"/>
  <c r="J214" i="3"/>
  <c r="L214" i="3"/>
  <c r="M214" i="3"/>
  <c r="S214" i="3"/>
  <c r="D215" i="3"/>
  <c r="F215" i="3" s="1"/>
  <c r="E215" i="3"/>
  <c r="G215" i="3" s="1"/>
  <c r="H215" i="3"/>
  <c r="I215" i="3"/>
  <c r="J215" i="3"/>
  <c r="K215" i="3"/>
  <c r="L215" i="3"/>
  <c r="M215" i="3"/>
  <c r="S215" i="3"/>
  <c r="D216" i="3"/>
  <c r="F216" i="3" s="1"/>
  <c r="E216" i="3"/>
  <c r="G216" i="3" s="1"/>
  <c r="H216" i="3"/>
  <c r="I216" i="3"/>
  <c r="J216" i="3"/>
  <c r="L216" i="3"/>
  <c r="M216" i="3"/>
  <c r="S216" i="3"/>
  <c r="D217" i="3"/>
  <c r="F217" i="3" s="1"/>
  <c r="E217" i="3"/>
  <c r="G217" i="3" s="1"/>
  <c r="H217" i="3"/>
  <c r="I217" i="3"/>
  <c r="J217" i="3"/>
  <c r="L217" i="3"/>
  <c r="M217" i="3"/>
  <c r="S217" i="3"/>
  <c r="D218" i="3"/>
  <c r="F218" i="3" s="1"/>
  <c r="E218" i="3"/>
  <c r="G218" i="3" s="1"/>
  <c r="H218" i="3"/>
  <c r="I218" i="3"/>
  <c r="J218" i="3"/>
  <c r="K218" i="3"/>
  <c r="L218" i="3"/>
  <c r="M218" i="3"/>
  <c r="S218" i="3"/>
  <c r="D219" i="3"/>
  <c r="F219" i="3" s="1"/>
  <c r="E219" i="3"/>
  <c r="G219" i="3" s="1"/>
  <c r="H219" i="3"/>
  <c r="I219" i="3"/>
  <c r="J219" i="3"/>
  <c r="K219" i="3"/>
  <c r="L219" i="3"/>
  <c r="M219" i="3"/>
  <c r="S219" i="3"/>
  <c r="D220" i="3"/>
  <c r="F220" i="3" s="1"/>
  <c r="E220" i="3"/>
  <c r="G220" i="3" s="1"/>
  <c r="H220" i="3"/>
  <c r="I220" i="3"/>
  <c r="J220" i="3"/>
  <c r="L220" i="3"/>
  <c r="M220" i="3"/>
  <c r="S220" i="3"/>
  <c r="D221" i="3"/>
  <c r="F221" i="3" s="1"/>
  <c r="E221" i="3"/>
  <c r="G221" i="3" s="1"/>
  <c r="H221" i="3"/>
  <c r="I221" i="3"/>
  <c r="J221" i="3"/>
  <c r="L221" i="3"/>
  <c r="M221" i="3"/>
  <c r="S221" i="3"/>
  <c r="D222" i="3"/>
  <c r="F222" i="3" s="1"/>
  <c r="E222" i="3"/>
  <c r="G222" i="3" s="1"/>
  <c r="H222" i="3"/>
  <c r="I222" i="3"/>
  <c r="J222" i="3"/>
  <c r="L222" i="3"/>
  <c r="M222" i="3"/>
  <c r="S222" i="3"/>
  <c r="D223" i="3"/>
  <c r="F223" i="3" s="1"/>
  <c r="E223" i="3"/>
  <c r="G223" i="3" s="1"/>
  <c r="H223" i="3"/>
  <c r="I223" i="3"/>
  <c r="J223" i="3"/>
  <c r="L223" i="3"/>
  <c r="M223" i="3"/>
  <c r="S223" i="3"/>
  <c r="D224" i="3"/>
  <c r="F224" i="3" s="1"/>
  <c r="E224" i="3"/>
  <c r="G224" i="3" s="1"/>
  <c r="H224" i="3"/>
  <c r="I224" i="3"/>
  <c r="J224" i="3"/>
  <c r="K224" i="3"/>
  <c r="L224" i="3"/>
  <c r="M224" i="3"/>
  <c r="S224" i="3"/>
  <c r="D225" i="3"/>
  <c r="F225" i="3" s="1"/>
  <c r="E225" i="3"/>
  <c r="G225" i="3" s="1"/>
  <c r="H225" i="3"/>
  <c r="I225" i="3"/>
  <c r="J225" i="3"/>
  <c r="L225" i="3"/>
  <c r="M225" i="3"/>
  <c r="S225" i="3"/>
  <c r="D226" i="3"/>
  <c r="F226" i="3" s="1"/>
  <c r="E226" i="3"/>
  <c r="G226" i="3" s="1"/>
  <c r="H226" i="3"/>
  <c r="I226" i="3"/>
  <c r="J226" i="3"/>
  <c r="L226" i="3"/>
  <c r="M226" i="3"/>
  <c r="S226" i="3"/>
  <c r="D227" i="3"/>
  <c r="F227" i="3" s="1"/>
  <c r="E227" i="3"/>
  <c r="G227" i="3" s="1"/>
  <c r="H227" i="3"/>
  <c r="I227" i="3"/>
  <c r="J227" i="3"/>
  <c r="K227" i="3"/>
  <c r="L227" i="3"/>
  <c r="M227" i="3"/>
  <c r="S227" i="3"/>
  <c r="D228" i="3"/>
  <c r="F228" i="3" s="1"/>
  <c r="E228" i="3"/>
  <c r="G228" i="3" s="1"/>
  <c r="H228" i="3"/>
  <c r="I228" i="3"/>
  <c r="J228" i="3"/>
  <c r="L228" i="3"/>
  <c r="M228" i="3"/>
  <c r="S228" i="3"/>
  <c r="D229" i="3"/>
  <c r="E229" i="3"/>
  <c r="G229" i="3" s="1"/>
  <c r="F229" i="3"/>
  <c r="H229" i="3"/>
  <c r="I229" i="3"/>
  <c r="J229" i="3"/>
  <c r="L229" i="3"/>
  <c r="M229" i="3"/>
  <c r="S229" i="3"/>
  <c r="D230" i="3"/>
  <c r="F230" i="3" s="1"/>
  <c r="E230" i="3"/>
  <c r="G230" i="3" s="1"/>
  <c r="H230" i="3"/>
  <c r="I230" i="3"/>
  <c r="J230" i="3"/>
  <c r="K230" i="3"/>
  <c r="L230" i="3"/>
  <c r="M230" i="3"/>
  <c r="S230" i="3"/>
  <c r="D231" i="3"/>
  <c r="F231" i="3" s="1"/>
  <c r="E231" i="3"/>
  <c r="G231" i="3" s="1"/>
  <c r="H231" i="3"/>
  <c r="I231" i="3"/>
  <c r="J231" i="3"/>
  <c r="L231" i="3"/>
  <c r="M231" i="3"/>
  <c r="S231" i="3"/>
  <c r="D232" i="3"/>
  <c r="F232" i="3" s="1"/>
  <c r="E232" i="3"/>
  <c r="G232" i="3" s="1"/>
  <c r="H232" i="3"/>
  <c r="I232" i="3"/>
  <c r="J232" i="3"/>
  <c r="L232" i="3"/>
  <c r="M232" i="3"/>
  <c r="S232" i="3"/>
  <c r="D233" i="3"/>
  <c r="F233" i="3" s="1"/>
  <c r="E233" i="3"/>
  <c r="G233" i="3" s="1"/>
  <c r="H233" i="3"/>
  <c r="I233" i="3"/>
  <c r="J233" i="3"/>
  <c r="L233" i="3"/>
  <c r="M233" i="3"/>
  <c r="S233" i="3"/>
  <c r="D234" i="3"/>
  <c r="F234" i="3" s="1"/>
  <c r="E234" i="3"/>
  <c r="G234" i="3" s="1"/>
  <c r="H234" i="3"/>
  <c r="I234" i="3"/>
  <c r="J234" i="3"/>
  <c r="L234" i="3"/>
  <c r="M234" i="3"/>
  <c r="S234" i="3"/>
  <c r="D235" i="3"/>
  <c r="F235" i="3" s="1"/>
  <c r="E235" i="3"/>
  <c r="G235" i="3" s="1"/>
  <c r="H235" i="3"/>
  <c r="I235" i="3"/>
  <c r="J235" i="3"/>
  <c r="K235" i="3"/>
  <c r="L235" i="3"/>
  <c r="M235" i="3"/>
  <c r="S235" i="3"/>
  <c r="D236" i="3"/>
  <c r="F236" i="3" s="1"/>
  <c r="E236" i="3"/>
  <c r="G236" i="3" s="1"/>
  <c r="H236" i="3"/>
  <c r="I236" i="3"/>
  <c r="J236" i="3"/>
  <c r="L236" i="3"/>
  <c r="M236" i="3"/>
  <c r="S236" i="3"/>
  <c r="D237" i="3"/>
  <c r="F237" i="3" s="1"/>
  <c r="E237" i="3"/>
  <c r="G237" i="3" s="1"/>
  <c r="H237" i="3"/>
  <c r="I237" i="3"/>
  <c r="J237" i="3"/>
  <c r="L237" i="3"/>
  <c r="M237" i="3"/>
  <c r="S237" i="3"/>
  <c r="D238" i="3"/>
  <c r="F238" i="3" s="1"/>
  <c r="E238" i="3"/>
  <c r="G238" i="3" s="1"/>
  <c r="H238" i="3"/>
  <c r="I238" i="3"/>
  <c r="J238" i="3"/>
  <c r="K238" i="3"/>
  <c r="L238" i="3"/>
  <c r="M238" i="3"/>
  <c r="S238" i="3"/>
  <c r="D239" i="3"/>
  <c r="E239" i="3"/>
  <c r="G239" i="3" s="1"/>
  <c r="F239" i="3"/>
  <c r="H239" i="3"/>
  <c r="I239" i="3"/>
  <c r="J239" i="3"/>
  <c r="L239" i="3"/>
  <c r="M239" i="3"/>
  <c r="S239" i="3"/>
  <c r="D240" i="3"/>
  <c r="F240" i="3" s="1"/>
  <c r="E240" i="3"/>
  <c r="G240" i="3" s="1"/>
  <c r="H240" i="3"/>
  <c r="I240" i="3"/>
  <c r="J240" i="3"/>
  <c r="L240" i="3"/>
  <c r="M240" i="3"/>
  <c r="S240" i="3"/>
  <c r="D241" i="3"/>
  <c r="F241" i="3" s="1"/>
  <c r="E241" i="3"/>
  <c r="G241" i="3" s="1"/>
  <c r="H241" i="3"/>
  <c r="I241" i="3"/>
  <c r="J241" i="3"/>
  <c r="L241" i="3"/>
  <c r="M241" i="3"/>
  <c r="S241" i="3"/>
  <c r="D242" i="3"/>
  <c r="F242" i="3" s="1"/>
  <c r="E242" i="3"/>
  <c r="G242" i="3" s="1"/>
  <c r="H242" i="3"/>
  <c r="I242" i="3"/>
  <c r="J242" i="3"/>
  <c r="L242" i="3"/>
  <c r="M242" i="3"/>
  <c r="S242" i="3"/>
  <c r="D243" i="3"/>
  <c r="F243" i="3" s="1"/>
  <c r="E243" i="3"/>
  <c r="G243" i="3" s="1"/>
  <c r="H243" i="3"/>
  <c r="I243" i="3"/>
  <c r="J243" i="3"/>
  <c r="L243" i="3"/>
  <c r="M243" i="3"/>
  <c r="S243" i="3"/>
  <c r="D244" i="3"/>
  <c r="E244" i="3"/>
  <c r="G244" i="3" s="1"/>
  <c r="F244" i="3"/>
  <c r="H244" i="3"/>
  <c r="I244" i="3"/>
  <c r="J244" i="3"/>
  <c r="L244" i="3"/>
  <c r="M244" i="3"/>
  <c r="S244" i="3"/>
  <c r="D245" i="3"/>
  <c r="F245" i="3" s="1"/>
  <c r="E245" i="3"/>
  <c r="G245" i="3" s="1"/>
  <c r="H245" i="3"/>
  <c r="I245" i="3"/>
  <c r="J245" i="3"/>
  <c r="K245" i="3"/>
  <c r="L245" i="3"/>
  <c r="M245" i="3"/>
  <c r="S245" i="3"/>
  <c r="D246" i="3"/>
  <c r="F246" i="3" s="1"/>
  <c r="E246" i="3"/>
  <c r="G246" i="3" s="1"/>
  <c r="H246" i="3"/>
  <c r="I246" i="3"/>
  <c r="J246" i="3"/>
  <c r="L246" i="3"/>
  <c r="M246" i="3"/>
  <c r="S246" i="3"/>
  <c r="D247" i="3"/>
  <c r="F247" i="3" s="1"/>
  <c r="E247" i="3"/>
  <c r="G247" i="3" s="1"/>
  <c r="H247" i="3"/>
  <c r="I247" i="3"/>
  <c r="J247" i="3"/>
  <c r="L247" i="3"/>
  <c r="M247" i="3"/>
  <c r="S247" i="3"/>
  <c r="D248" i="3"/>
  <c r="F248" i="3" s="1"/>
  <c r="E248" i="3"/>
  <c r="G248" i="3" s="1"/>
  <c r="H248" i="3"/>
  <c r="I248" i="3"/>
  <c r="J248" i="3"/>
  <c r="K248" i="3"/>
  <c r="L248" i="3"/>
  <c r="M248" i="3"/>
  <c r="S248" i="3"/>
  <c r="D249" i="3"/>
  <c r="F249" i="3" s="1"/>
  <c r="E249" i="3"/>
  <c r="G249" i="3" s="1"/>
  <c r="H249" i="3"/>
  <c r="I249" i="3"/>
  <c r="J249" i="3"/>
  <c r="L249" i="3"/>
  <c r="M249" i="3"/>
  <c r="S249" i="3"/>
  <c r="D250" i="3"/>
  <c r="F250" i="3" s="1"/>
  <c r="E250" i="3"/>
  <c r="G250" i="3" s="1"/>
  <c r="H250" i="3"/>
  <c r="I250" i="3"/>
  <c r="J250" i="3"/>
  <c r="K250" i="3"/>
  <c r="L250" i="3"/>
  <c r="M250" i="3"/>
  <c r="S250" i="3"/>
  <c r="D251" i="3"/>
  <c r="F251" i="3" s="1"/>
  <c r="E251" i="3"/>
  <c r="G251" i="3" s="1"/>
  <c r="H251" i="3"/>
  <c r="I251" i="3"/>
  <c r="J251" i="3"/>
  <c r="K251" i="3"/>
  <c r="L251" i="3"/>
  <c r="M251" i="3"/>
  <c r="S251" i="3"/>
  <c r="D252" i="3"/>
  <c r="F252" i="3" s="1"/>
  <c r="E252" i="3"/>
  <c r="G252" i="3" s="1"/>
  <c r="H252" i="3"/>
  <c r="I252" i="3"/>
  <c r="J252" i="3"/>
  <c r="L252" i="3"/>
  <c r="M252" i="3"/>
  <c r="S252" i="3"/>
  <c r="D253" i="3"/>
  <c r="F253" i="3" s="1"/>
  <c r="E253" i="3"/>
  <c r="G253" i="3" s="1"/>
  <c r="H253" i="3"/>
  <c r="I253" i="3"/>
  <c r="J253" i="3"/>
  <c r="L253" i="3"/>
  <c r="M253" i="3"/>
  <c r="S253" i="3"/>
  <c r="D254" i="3"/>
  <c r="F254" i="3" s="1"/>
  <c r="E254" i="3"/>
  <c r="G254" i="3" s="1"/>
  <c r="H254" i="3"/>
  <c r="I254" i="3"/>
  <c r="J254" i="3"/>
  <c r="L254" i="3"/>
  <c r="M254" i="3"/>
  <c r="S254" i="3"/>
  <c r="D255" i="3"/>
  <c r="F255" i="3" s="1"/>
  <c r="E255" i="3"/>
  <c r="G255" i="3" s="1"/>
  <c r="H255" i="3"/>
  <c r="I255" i="3"/>
  <c r="J255" i="3"/>
  <c r="L255" i="3"/>
  <c r="M255" i="3"/>
  <c r="S255" i="3"/>
  <c r="D256" i="3"/>
  <c r="F256" i="3" s="1"/>
  <c r="E256" i="3"/>
  <c r="G256" i="3" s="1"/>
  <c r="H256" i="3"/>
  <c r="I256" i="3"/>
  <c r="J256" i="3"/>
  <c r="L256" i="3"/>
  <c r="M256" i="3"/>
  <c r="S256" i="3"/>
  <c r="D257" i="3"/>
  <c r="F257" i="3" s="1"/>
  <c r="E257" i="3"/>
  <c r="G257" i="3" s="1"/>
  <c r="H257" i="3"/>
  <c r="I257" i="3"/>
  <c r="J257" i="3"/>
  <c r="L257" i="3"/>
  <c r="M257" i="3"/>
  <c r="S257" i="3"/>
  <c r="D258" i="3"/>
  <c r="F258" i="3" s="1"/>
  <c r="E258" i="3"/>
  <c r="G258" i="3" s="1"/>
  <c r="H258" i="3"/>
  <c r="I258" i="3"/>
  <c r="J258" i="3"/>
  <c r="L258" i="3"/>
  <c r="M258" i="3"/>
  <c r="S258" i="3"/>
  <c r="D259" i="3"/>
  <c r="F259" i="3" s="1"/>
  <c r="E259" i="3"/>
  <c r="G259" i="3" s="1"/>
  <c r="H259" i="3"/>
  <c r="I259" i="3"/>
  <c r="J259" i="3"/>
  <c r="L259" i="3"/>
  <c r="M259" i="3"/>
  <c r="S259" i="3"/>
  <c r="D260" i="3"/>
  <c r="F260" i="3" s="1"/>
  <c r="E260" i="3"/>
  <c r="G260" i="3" s="1"/>
  <c r="H260" i="3"/>
  <c r="I260" i="3"/>
  <c r="J260" i="3"/>
  <c r="L260" i="3"/>
  <c r="M260" i="3"/>
  <c r="S260" i="3"/>
  <c r="D261" i="3"/>
  <c r="F261" i="3" s="1"/>
  <c r="E261" i="3"/>
  <c r="G261" i="3" s="1"/>
  <c r="H261" i="3"/>
  <c r="I261" i="3"/>
  <c r="J261" i="3"/>
  <c r="L261" i="3"/>
  <c r="M261" i="3"/>
  <c r="S261" i="3"/>
  <c r="D262" i="3"/>
  <c r="F262" i="3" s="1"/>
  <c r="E262" i="3"/>
  <c r="G262" i="3" s="1"/>
  <c r="H262" i="3"/>
  <c r="I262" i="3"/>
  <c r="J262" i="3"/>
  <c r="L262" i="3"/>
  <c r="M262" i="3"/>
  <c r="S262" i="3"/>
  <c r="D263" i="3"/>
  <c r="F263" i="3" s="1"/>
  <c r="E263" i="3"/>
  <c r="G263" i="3" s="1"/>
  <c r="H263" i="3"/>
  <c r="I263" i="3"/>
  <c r="J263" i="3"/>
  <c r="K263" i="3"/>
  <c r="L263" i="3"/>
  <c r="M263" i="3"/>
  <c r="S263" i="3"/>
  <c r="D264" i="3"/>
  <c r="F264" i="3" s="1"/>
  <c r="E264" i="3"/>
  <c r="G264" i="3" s="1"/>
  <c r="H264" i="3"/>
  <c r="I264" i="3"/>
  <c r="J264" i="3"/>
  <c r="L264" i="3"/>
  <c r="M264" i="3"/>
  <c r="S264" i="3"/>
  <c r="D265" i="3"/>
  <c r="F265" i="3" s="1"/>
  <c r="E265" i="3"/>
  <c r="G265" i="3" s="1"/>
  <c r="H265" i="3"/>
  <c r="I265" i="3"/>
  <c r="J265" i="3"/>
  <c r="L265" i="3"/>
  <c r="M265" i="3"/>
  <c r="S265" i="3"/>
  <c r="D266" i="3"/>
  <c r="F266" i="3" s="1"/>
  <c r="E266" i="3"/>
  <c r="G266" i="3" s="1"/>
  <c r="H266" i="3"/>
  <c r="I266" i="3"/>
  <c r="J266" i="3"/>
  <c r="K266" i="3"/>
  <c r="L266" i="3"/>
  <c r="M266" i="3"/>
  <c r="S266" i="3"/>
  <c r="D267" i="3"/>
  <c r="F267" i="3" s="1"/>
  <c r="E267" i="3"/>
  <c r="G267" i="3"/>
  <c r="H267" i="3"/>
  <c r="I267" i="3"/>
  <c r="J267" i="3"/>
  <c r="L267" i="3"/>
  <c r="M267" i="3"/>
  <c r="S267" i="3"/>
  <c r="D268" i="3"/>
  <c r="F268" i="3" s="1"/>
  <c r="E268" i="3"/>
  <c r="G268" i="3" s="1"/>
  <c r="H268" i="3"/>
  <c r="I268" i="3"/>
  <c r="J268" i="3"/>
  <c r="L268" i="3"/>
  <c r="M268" i="3"/>
  <c r="S268" i="3"/>
  <c r="D133" i="3"/>
  <c r="F133" i="3" s="1"/>
  <c r="E133" i="3"/>
  <c r="G133" i="3" s="1"/>
  <c r="H133" i="3"/>
  <c r="I133" i="3"/>
  <c r="J133" i="3"/>
  <c r="K133" i="3"/>
  <c r="L133" i="3"/>
  <c r="M133" i="3"/>
  <c r="S133" i="3"/>
  <c r="D134" i="3"/>
  <c r="F134" i="3" s="1"/>
  <c r="E134" i="3"/>
  <c r="G134" i="3" s="1"/>
  <c r="H134" i="3"/>
  <c r="I134" i="3"/>
  <c r="J134" i="3"/>
  <c r="L134" i="3"/>
  <c r="M134" i="3"/>
  <c r="S134" i="3"/>
  <c r="D135" i="3"/>
  <c r="F135" i="3" s="1"/>
  <c r="E135" i="3"/>
  <c r="G135" i="3" s="1"/>
  <c r="H135" i="3"/>
  <c r="I135" i="3"/>
  <c r="J135" i="3"/>
  <c r="L135" i="3"/>
  <c r="M135" i="3"/>
  <c r="S135" i="3"/>
  <c r="D136" i="3"/>
  <c r="F136" i="3" s="1"/>
  <c r="E136" i="3"/>
  <c r="G136" i="3" s="1"/>
  <c r="H136" i="3"/>
  <c r="I136" i="3"/>
  <c r="J136" i="3"/>
  <c r="L136" i="3"/>
  <c r="M136" i="3"/>
  <c r="S136" i="3"/>
  <c r="D137" i="3"/>
  <c r="F137" i="3" s="1"/>
  <c r="E137" i="3"/>
  <c r="G137" i="3" s="1"/>
  <c r="H137" i="3"/>
  <c r="I137" i="3"/>
  <c r="J137" i="3"/>
  <c r="K137" i="3"/>
  <c r="L137" i="3"/>
  <c r="M137" i="3"/>
  <c r="S137" i="3"/>
  <c r="D138" i="3"/>
  <c r="F138" i="3" s="1"/>
  <c r="E138" i="3"/>
  <c r="G138" i="3" s="1"/>
  <c r="H138" i="3"/>
  <c r="I138" i="3"/>
  <c r="J138" i="3"/>
  <c r="L138" i="3"/>
  <c r="M138" i="3"/>
  <c r="S138" i="3"/>
  <c r="D139" i="3"/>
  <c r="F139" i="3" s="1"/>
  <c r="E139" i="3"/>
  <c r="G139" i="3" s="1"/>
  <c r="H139" i="3"/>
  <c r="I139" i="3"/>
  <c r="J139" i="3"/>
  <c r="L139" i="3"/>
  <c r="M139" i="3"/>
  <c r="S139" i="3"/>
  <c r="D140" i="3"/>
  <c r="F140" i="3" s="1"/>
  <c r="E140" i="3"/>
  <c r="G140" i="3" s="1"/>
  <c r="H140" i="3"/>
  <c r="I140" i="3"/>
  <c r="J140" i="3"/>
  <c r="L140" i="3"/>
  <c r="M140" i="3"/>
  <c r="S140" i="3"/>
  <c r="D141" i="3"/>
  <c r="F141" i="3" s="1"/>
  <c r="E141" i="3"/>
  <c r="G141" i="3"/>
  <c r="H141" i="3"/>
  <c r="I141" i="3"/>
  <c r="J141" i="3"/>
  <c r="K141" i="3"/>
  <c r="L141" i="3"/>
  <c r="M141" i="3"/>
  <c r="S141" i="3"/>
  <c r="D142" i="3"/>
  <c r="F142" i="3" s="1"/>
  <c r="E142" i="3"/>
  <c r="G142" i="3" s="1"/>
  <c r="H142" i="3"/>
  <c r="I142" i="3"/>
  <c r="J142" i="3"/>
  <c r="L142" i="3"/>
  <c r="M142" i="3"/>
  <c r="S142" i="3"/>
  <c r="D143" i="3"/>
  <c r="F143" i="3" s="1"/>
  <c r="E143" i="3"/>
  <c r="G143" i="3" s="1"/>
  <c r="H143" i="3"/>
  <c r="I143" i="3"/>
  <c r="J143" i="3"/>
  <c r="L143" i="3"/>
  <c r="M143" i="3"/>
  <c r="S143" i="3"/>
  <c r="D144" i="3"/>
  <c r="F144" i="3" s="1"/>
  <c r="E144" i="3"/>
  <c r="G144" i="3" s="1"/>
  <c r="H144" i="3"/>
  <c r="I144" i="3"/>
  <c r="J144" i="3"/>
  <c r="L144" i="3"/>
  <c r="M144" i="3"/>
  <c r="S144" i="3"/>
  <c r="D145" i="3"/>
  <c r="F145" i="3" s="1"/>
  <c r="E145" i="3"/>
  <c r="G145" i="3" s="1"/>
  <c r="H145" i="3"/>
  <c r="I145" i="3"/>
  <c r="J145" i="3"/>
  <c r="L145" i="3"/>
  <c r="M145" i="3"/>
  <c r="S145" i="3"/>
  <c r="D146" i="3"/>
  <c r="F146" i="3" s="1"/>
  <c r="E146" i="3"/>
  <c r="G146" i="3" s="1"/>
  <c r="H146" i="3"/>
  <c r="I146" i="3"/>
  <c r="J146" i="3"/>
  <c r="K146" i="3"/>
  <c r="L146" i="3"/>
  <c r="M146" i="3"/>
  <c r="S146" i="3"/>
  <c r="D147" i="3"/>
  <c r="F147" i="3" s="1"/>
  <c r="E147" i="3"/>
  <c r="G147" i="3" s="1"/>
  <c r="H147" i="3"/>
  <c r="I147" i="3"/>
  <c r="J147" i="3"/>
  <c r="L147" i="3"/>
  <c r="M147" i="3"/>
  <c r="S147" i="3"/>
  <c r="D148" i="3"/>
  <c r="F148" i="3" s="1"/>
  <c r="E148" i="3"/>
  <c r="G148" i="3" s="1"/>
  <c r="H148" i="3"/>
  <c r="I148" i="3"/>
  <c r="J148" i="3"/>
  <c r="L148" i="3"/>
  <c r="M148" i="3"/>
  <c r="S148" i="3"/>
  <c r="D149" i="3"/>
  <c r="F149" i="3" s="1"/>
  <c r="E149" i="3"/>
  <c r="G149" i="3" s="1"/>
  <c r="H149" i="3"/>
  <c r="I149" i="3"/>
  <c r="J149" i="3"/>
  <c r="K149" i="3"/>
  <c r="L149" i="3"/>
  <c r="M149" i="3"/>
  <c r="S149" i="3"/>
  <c r="D150" i="3"/>
  <c r="F150" i="3" s="1"/>
  <c r="E150" i="3"/>
  <c r="G150" i="3" s="1"/>
  <c r="H150" i="3"/>
  <c r="I150" i="3"/>
  <c r="J150" i="3"/>
  <c r="K150" i="3"/>
  <c r="L150" i="3"/>
  <c r="M150" i="3"/>
  <c r="S150" i="3"/>
  <c r="D151" i="3"/>
  <c r="F151" i="3" s="1"/>
  <c r="E151" i="3"/>
  <c r="G151" i="3" s="1"/>
  <c r="H151" i="3"/>
  <c r="I151" i="3"/>
  <c r="J151" i="3"/>
  <c r="L151" i="3"/>
  <c r="M151" i="3"/>
  <c r="S151" i="3"/>
  <c r="D152" i="3"/>
  <c r="F152" i="3" s="1"/>
  <c r="E152" i="3"/>
  <c r="G152" i="3" s="1"/>
  <c r="H152" i="3"/>
  <c r="I152" i="3"/>
  <c r="J152" i="3"/>
  <c r="K152" i="3"/>
  <c r="L152" i="3"/>
  <c r="M152" i="3"/>
  <c r="S152" i="3"/>
  <c r="D153" i="3"/>
  <c r="F153" i="3" s="1"/>
  <c r="E153" i="3"/>
  <c r="G153" i="3" s="1"/>
  <c r="H153" i="3"/>
  <c r="I153" i="3"/>
  <c r="J153" i="3"/>
  <c r="K153" i="3"/>
  <c r="L153" i="3"/>
  <c r="M153" i="3"/>
  <c r="S153" i="3"/>
  <c r="D154" i="3"/>
  <c r="F154" i="3" s="1"/>
  <c r="E154" i="3"/>
  <c r="G154" i="3" s="1"/>
  <c r="H154" i="3"/>
  <c r="I154" i="3"/>
  <c r="J154" i="3"/>
  <c r="L154" i="3"/>
  <c r="M154" i="3"/>
  <c r="S154" i="3"/>
  <c r="D155" i="3"/>
  <c r="F155" i="3" s="1"/>
  <c r="E155" i="3"/>
  <c r="G155" i="3" s="1"/>
  <c r="H155" i="3"/>
  <c r="I155" i="3"/>
  <c r="J155" i="3"/>
  <c r="L155" i="3"/>
  <c r="M155" i="3"/>
  <c r="S155" i="3"/>
  <c r="D156" i="3"/>
  <c r="F156" i="3" s="1"/>
  <c r="E156" i="3"/>
  <c r="G156" i="3" s="1"/>
  <c r="H156" i="3"/>
  <c r="I156" i="3"/>
  <c r="J156" i="3"/>
  <c r="L156" i="3"/>
  <c r="M156" i="3"/>
  <c r="S156" i="3"/>
  <c r="D157" i="3"/>
  <c r="F157" i="3" s="1"/>
  <c r="E157" i="3"/>
  <c r="G157" i="3" s="1"/>
  <c r="H157" i="3"/>
  <c r="I157" i="3"/>
  <c r="J157" i="3"/>
  <c r="L157" i="3"/>
  <c r="M157" i="3"/>
  <c r="S157" i="3"/>
  <c r="D158" i="3"/>
  <c r="F158" i="3" s="1"/>
  <c r="E158" i="3"/>
  <c r="G158" i="3" s="1"/>
  <c r="H158" i="3"/>
  <c r="I158" i="3"/>
  <c r="J158" i="3"/>
  <c r="L158" i="3"/>
  <c r="M158" i="3"/>
  <c r="S158" i="3"/>
  <c r="D159" i="3"/>
  <c r="F159" i="3" s="1"/>
  <c r="E159" i="3"/>
  <c r="G159" i="3" s="1"/>
  <c r="H159" i="3"/>
  <c r="I159" i="3"/>
  <c r="J159" i="3"/>
  <c r="L159" i="3"/>
  <c r="M159" i="3"/>
  <c r="S159" i="3"/>
  <c r="D160" i="3"/>
  <c r="F160" i="3" s="1"/>
  <c r="E160" i="3"/>
  <c r="G160" i="3" s="1"/>
  <c r="H160" i="3"/>
  <c r="I160" i="3"/>
  <c r="J160" i="3"/>
  <c r="L160" i="3"/>
  <c r="M160" i="3"/>
  <c r="S160" i="3"/>
  <c r="D161" i="3"/>
  <c r="F161" i="3" s="1"/>
  <c r="E161" i="3"/>
  <c r="G161" i="3" s="1"/>
  <c r="H161" i="3"/>
  <c r="I161" i="3"/>
  <c r="J161" i="3"/>
  <c r="L161" i="3"/>
  <c r="M161" i="3"/>
  <c r="S161" i="3"/>
  <c r="D162" i="3"/>
  <c r="E162" i="3"/>
  <c r="G162" i="3" s="1"/>
  <c r="F162" i="3"/>
  <c r="H162" i="3"/>
  <c r="I162" i="3"/>
  <c r="J162" i="3"/>
  <c r="K162" i="3"/>
  <c r="L162" i="3"/>
  <c r="M162" i="3"/>
  <c r="S162" i="3"/>
  <c r="D163" i="3"/>
  <c r="F163" i="3" s="1"/>
  <c r="E163" i="3"/>
  <c r="G163" i="3" s="1"/>
  <c r="H163" i="3"/>
  <c r="I163" i="3"/>
  <c r="J163" i="3"/>
  <c r="L163" i="3"/>
  <c r="M163" i="3"/>
  <c r="S163" i="3"/>
  <c r="D164" i="3"/>
  <c r="F164" i="3" s="1"/>
  <c r="E164" i="3"/>
  <c r="G164" i="3" s="1"/>
  <c r="H164" i="3"/>
  <c r="I164" i="3"/>
  <c r="J164" i="3"/>
  <c r="L164" i="3"/>
  <c r="M164" i="3"/>
  <c r="S164" i="3"/>
  <c r="D165" i="3"/>
  <c r="F165" i="3" s="1"/>
  <c r="E165" i="3"/>
  <c r="G165" i="3" s="1"/>
  <c r="H165" i="3"/>
  <c r="I165" i="3"/>
  <c r="J165" i="3"/>
  <c r="K165" i="3"/>
  <c r="L165" i="3"/>
  <c r="M165" i="3"/>
  <c r="S165" i="3"/>
  <c r="D166" i="3"/>
  <c r="F166" i="3" s="1"/>
  <c r="E166" i="3"/>
  <c r="G166" i="3" s="1"/>
  <c r="H166" i="3"/>
  <c r="I166" i="3"/>
  <c r="J166" i="3"/>
  <c r="L166" i="3"/>
  <c r="M166" i="3"/>
  <c r="S166" i="3"/>
  <c r="D167" i="3"/>
  <c r="F167" i="3" s="1"/>
  <c r="E167" i="3"/>
  <c r="G167" i="3" s="1"/>
  <c r="H167" i="3"/>
  <c r="I167" i="3"/>
  <c r="J167" i="3"/>
  <c r="L167" i="3"/>
  <c r="M167" i="3"/>
  <c r="S167" i="3"/>
  <c r="D168" i="3"/>
  <c r="F168" i="3" s="1"/>
  <c r="E168" i="3"/>
  <c r="G168" i="3" s="1"/>
  <c r="H168" i="3"/>
  <c r="I168" i="3"/>
  <c r="J168" i="3"/>
  <c r="L168" i="3"/>
  <c r="M168" i="3"/>
  <c r="S168" i="3"/>
  <c r="D169" i="3"/>
  <c r="F169" i="3" s="1"/>
  <c r="E169" i="3"/>
  <c r="G169" i="3" s="1"/>
  <c r="H169" i="3"/>
  <c r="I169" i="3"/>
  <c r="J169" i="3"/>
  <c r="L169" i="3"/>
  <c r="M169" i="3"/>
  <c r="S169" i="3"/>
  <c r="D170" i="3"/>
  <c r="F170" i="3" s="1"/>
  <c r="E170" i="3"/>
  <c r="G170" i="3" s="1"/>
  <c r="H170" i="3"/>
  <c r="I170" i="3"/>
  <c r="J170" i="3"/>
  <c r="K170" i="3"/>
  <c r="L170" i="3"/>
  <c r="M170" i="3"/>
  <c r="S170" i="3"/>
  <c r="D171" i="3"/>
  <c r="F171" i="3" s="1"/>
  <c r="E171" i="3"/>
  <c r="G171" i="3" s="1"/>
  <c r="H171" i="3"/>
  <c r="I171" i="3"/>
  <c r="J171" i="3"/>
  <c r="K171" i="3"/>
  <c r="L171" i="3"/>
  <c r="M171" i="3"/>
  <c r="S171" i="3"/>
  <c r="D172" i="3"/>
  <c r="F172" i="3" s="1"/>
  <c r="E172" i="3"/>
  <c r="G172" i="3" s="1"/>
  <c r="H172" i="3"/>
  <c r="I172" i="3"/>
  <c r="J172" i="3"/>
  <c r="L172" i="3"/>
  <c r="M172" i="3"/>
  <c r="S172" i="3"/>
  <c r="D173" i="3"/>
  <c r="F173" i="3" s="1"/>
  <c r="E173" i="3"/>
  <c r="G173" i="3" s="1"/>
  <c r="H173" i="3"/>
  <c r="I173" i="3"/>
  <c r="J173" i="3"/>
  <c r="K173" i="3"/>
  <c r="L173" i="3"/>
  <c r="M173" i="3"/>
  <c r="S173" i="3"/>
  <c r="D174" i="3"/>
  <c r="F174" i="3" s="1"/>
  <c r="E174" i="3"/>
  <c r="G174" i="3" s="1"/>
  <c r="H174" i="3"/>
  <c r="I174" i="3"/>
  <c r="J174" i="3"/>
  <c r="K174" i="3"/>
  <c r="L174" i="3"/>
  <c r="M174" i="3"/>
  <c r="S174" i="3"/>
  <c r="D175" i="3"/>
  <c r="F175" i="3" s="1"/>
  <c r="E175" i="3"/>
  <c r="G175" i="3" s="1"/>
  <c r="H175" i="3"/>
  <c r="I175" i="3"/>
  <c r="J175" i="3"/>
  <c r="L175" i="3"/>
  <c r="M175" i="3"/>
  <c r="S175" i="3"/>
  <c r="D176" i="3"/>
  <c r="F176" i="3" s="1"/>
  <c r="E176" i="3"/>
  <c r="G176" i="3" s="1"/>
  <c r="H176" i="3"/>
  <c r="I176" i="3"/>
  <c r="J176" i="3"/>
  <c r="K176" i="3"/>
  <c r="L176" i="3"/>
  <c r="M176" i="3"/>
  <c r="S176" i="3"/>
  <c r="D177" i="3"/>
  <c r="F177" i="3" s="1"/>
  <c r="E177" i="3"/>
  <c r="G177" i="3"/>
  <c r="H177" i="3"/>
  <c r="I177" i="3"/>
  <c r="J177" i="3"/>
  <c r="L177" i="3"/>
  <c r="M177" i="3"/>
  <c r="S177" i="3"/>
  <c r="D178" i="3"/>
  <c r="F178" i="3" s="1"/>
  <c r="E178" i="3"/>
  <c r="G178" i="3" s="1"/>
  <c r="H178" i="3"/>
  <c r="I178" i="3"/>
  <c r="J178" i="3"/>
  <c r="L178" i="3"/>
  <c r="M178" i="3"/>
  <c r="S178" i="3"/>
  <c r="D179" i="3"/>
  <c r="F179" i="3" s="1"/>
  <c r="E179" i="3"/>
  <c r="G179" i="3"/>
  <c r="H179" i="3"/>
  <c r="I179" i="3"/>
  <c r="J179" i="3"/>
  <c r="L179" i="3"/>
  <c r="M179" i="3"/>
  <c r="S179" i="3"/>
  <c r="D180" i="3"/>
  <c r="F180" i="3" s="1"/>
  <c r="E180" i="3"/>
  <c r="G180" i="3" s="1"/>
  <c r="H180" i="3"/>
  <c r="I180" i="3"/>
  <c r="J180" i="3"/>
  <c r="L180" i="3"/>
  <c r="M180" i="3"/>
  <c r="S180" i="3"/>
  <c r="D181" i="3"/>
  <c r="F181" i="3" s="1"/>
  <c r="E181" i="3"/>
  <c r="G181" i="3" s="1"/>
  <c r="H181" i="3"/>
  <c r="I181" i="3"/>
  <c r="J181" i="3"/>
  <c r="L181" i="3"/>
  <c r="M181" i="3"/>
  <c r="S181" i="3"/>
  <c r="D182" i="3"/>
  <c r="E182" i="3"/>
  <c r="G182" i="3" s="1"/>
  <c r="F182" i="3"/>
  <c r="H182" i="3"/>
  <c r="I182" i="3"/>
  <c r="J182" i="3"/>
  <c r="L182" i="3"/>
  <c r="M182" i="3"/>
  <c r="S182" i="3"/>
  <c r="D183" i="3"/>
  <c r="F183" i="3" s="1"/>
  <c r="E183" i="3"/>
  <c r="G183" i="3" s="1"/>
  <c r="H183" i="3"/>
  <c r="I183" i="3"/>
  <c r="J183" i="3"/>
  <c r="L183" i="3"/>
  <c r="M183" i="3"/>
  <c r="S183" i="3"/>
  <c r="D184" i="3"/>
  <c r="F184" i="3" s="1"/>
  <c r="E184" i="3"/>
  <c r="G184" i="3" s="1"/>
  <c r="H184" i="3"/>
  <c r="I184" i="3"/>
  <c r="J184" i="3"/>
  <c r="L184" i="3"/>
  <c r="M184" i="3"/>
  <c r="S184" i="3"/>
  <c r="D185" i="3"/>
  <c r="F185" i="3" s="1"/>
  <c r="E185" i="3"/>
  <c r="G185" i="3" s="1"/>
  <c r="H185" i="3"/>
  <c r="I185" i="3"/>
  <c r="J185" i="3"/>
  <c r="K185" i="3"/>
  <c r="L185" i="3"/>
  <c r="M185" i="3"/>
  <c r="S185" i="3"/>
  <c r="D186" i="3"/>
  <c r="F186" i="3" s="1"/>
  <c r="E186" i="3"/>
  <c r="G186" i="3" s="1"/>
  <c r="H186" i="3"/>
  <c r="I186" i="3"/>
  <c r="J186" i="3"/>
  <c r="K186" i="3"/>
  <c r="L186" i="3"/>
  <c r="M186" i="3"/>
  <c r="S186" i="3"/>
  <c r="D187" i="3"/>
  <c r="F187" i="3" s="1"/>
  <c r="E187" i="3"/>
  <c r="G187" i="3" s="1"/>
  <c r="H187" i="3"/>
  <c r="I187" i="3"/>
  <c r="J187" i="3"/>
  <c r="L187" i="3"/>
  <c r="M187" i="3"/>
  <c r="S187" i="3"/>
  <c r="D188" i="3"/>
  <c r="F188" i="3" s="1"/>
  <c r="E188" i="3"/>
  <c r="G188" i="3" s="1"/>
  <c r="H188" i="3"/>
  <c r="I188" i="3"/>
  <c r="J188" i="3"/>
  <c r="K188" i="3"/>
  <c r="L188" i="3"/>
  <c r="M188" i="3"/>
  <c r="S188" i="3"/>
  <c r="D189" i="3"/>
  <c r="F189" i="3" s="1"/>
  <c r="E189" i="3"/>
  <c r="G189" i="3" s="1"/>
  <c r="H189" i="3"/>
  <c r="I189" i="3"/>
  <c r="J189" i="3"/>
  <c r="K189" i="3"/>
  <c r="L189" i="3"/>
  <c r="M189" i="3"/>
  <c r="S189" i="3"/>
  <c r="D190" i="3"/>
  <c r="F190" i="3" s="1"/>
  <c r="E190" i="3"/>
  <c r="G190" i="3" s="1"/>
  <c r="H190" i="3"/>
  <c r="I190" i="3"/>
  <c r="J190" i="3"/>
  <c r="L190" i="3"/>
  <c r="M190" i="3"/>
  <c r="S190" i="3"/>
  <c r="D191" i="3"/>
  <c r="F191" i="3" s="1"/>
  <c r="E191" i="3"/>
  <c r="G191" i="3" s="1"/>
  <c r="H191" i="3"/>
  <c r="I191" i="3"/>
  <c r="J191" i="3"/>
  <c r="K191" i="3"/>
  <c r="L191" i="3"/>
  <c r="M191" i="3"/>
  <c r="S191" i="3"/>
  <c r="D192" i="3"/>
  <c r="E192" i="3"/>
  <c r="G192" i="3" s="1"/>
  <c r="F192" i="3"/>
  <c r="H192" i="3"/>
  <c r="I192" i="3"/>
  <c r="J192" i="3"/>
  <c r="L192" i="3"/>
  <c r="M192" i="3"/>
  <c r="S192" i="3"/>
  <c r="D193" i="3"/>
  <c r="F193" i="3" s="1"/>
  <c r="E193" i="3"/>
  <c r="G193" i="3" s="1"/>
  <c r="H193" i="3"/>
  <c r="I193" i="3"/>
  <c r="J193" i="3"/>
  <c r="L193" i="3"/>
  <c r="M193" i="3"/>
  <c r="S193" i="3"/>
  <c r="D194" i="3"/>
  <c r="F194" i="3" s="1"/>
  <c r="E194" i="3"/>
  <c r="G194" i="3" s="1"/>
  <c r="H194" i="3"/>
  <c r="I194" i="3"/>
  <c r="J194" i="3"/>
  <c r="K194" i="3"/>
  <c r="L194" i="3"/>
  <c r="M194" i="3"/>
  <c r="S194" i="3"/>
  <c r="D195" i="3"/>
  <c r="F195" i="3" s="1"/>
  <c r="E195" i="3"/>
  <c r="G195" i="3" s="1"/>
  <c r="H195" i="3"/>
  <c r="I195" i="3"/>
  <c r="J195" i="3"/>
  <c r="L195" i="3"/>
  <c r="M195" i="3"/>
  <c r="S195" i="3"/>
  <c r="D196" i="3"/>
  <c r="F196" i="3" s="1"/>
  <c r="E196" i="3"/>
  <c r="G196" i="3" s="1"/>
  <c r="H196" i="3"/>
  <c r="I196" i="3"/>
  <c r="J196" i="3"/>
  <c r="L196" i="3"/>
  <c r="M196" i="3"/>
  <c r="S196" i="3"/>
  <c r="D197" i="3"/>
  <c r="E197" i="3"/>
  <c r="G197" i="3" s="1"/>
  <c r="F197" i="3"/>
  <c r="H197" i="3"/>
  <c r="I197" i="3"/>
  <c r="J197" i="3"/>
  <c r="K197" i="3"/>
  <c r="L197" i="3"/>
  <c r="M197" i="3"/>
  <c r="S197" i="3"/>
  <c r="D198" i="3"/>
  <c r="F198" i="3" s="1"/>
  <c r="E198" i="3"/>
  <c r="G198" i="3" s="1"/>
  <c r="H198" i="3"/>
  <c r="I198" i="3"/>
  <c r="J198" i="3"/>
  <c r="K198" i="3"/>
  <c r="L198" i="3"/>
  <c r="M198" i="3"/>
  <c r="S198" i="3"/>
  <c r="D199" i="3"/>
  <c r="F199" i="3" s="1"/>
  <c r="E199" i="3"/>
  <c r="G199" i="3" s="1"/>
  <c r="H199" i="3"/>
  <c r="I199" i="3"/>
  <c r="J199" i="3"/>
  <c r="L199" i="3"/>
  <c r="M199" i="3"/>
  <c r="S199" i="3"/>
  <c r="D200" i="3"/>
  <c r="F200" i="3" s="1"/>
  <c r="E200" i="3"/>
  <c r="G200" i="3" s="1"/>
  <c r="H200" i="3"/>
  <c r="I200" i="3"/>
  <c r="J200" i="3"/>
  <c r="L200" i="3"/>
  <c r="M200" i="3"/>
  <c r="S200" i="3"/>
  <c r="D65" i="3"/>
  <c r="F65" i="3" s="1"/>
  <c r="E65" i="3"/>
  <c r="G65" i="3" s="1"/>
  <c r="H65" i="3"/>
  <c r="I65" i="3"/>
  <c r="J65" i="3"/>
  <c r="K65" i="3"/>
  <c r="L65" i="3"/>
  <c r="M65" i="3"/>
  <c r="S65" i="3"/>
  <c r="D66" i="3"/>
  <c r="F66" i="3" s="1"/>
  <c r="E66" i="3"/>
  <c r="G66" i="3" s="1"/>
  <c r="H66" i="3"/>
  <c r="I66" i="3"/>
  <c r="J66" i="3"/>
  <c r="L66" i="3"/>
  <c r="M66" i="3"/>
  <c r="S66" i="3"/>
  <c r="D67" i="3"/>
  <c r="F67" i="3" s="1"/>
  <c r="E67" i="3"/>
  <c r="G67" i="3" s="1"/>
  <c r="H67" i="3"/>
  <c r="I67" i="3"/>
  <c r="J67" i="3"/>
  <c r="L67" i="3"/>
  <c r="M67" i="3"/>
  <c r="S67" i="3"/>
  <c r="D68" i="3"/>
  <c r="F68" i="3" s="1"/>
  <c r="E68" i="3"/>
  <c r="G68" i="3"/>
  <c r="H68" i="3"/>
  <c r="I68" i="3"/>
  <c r="J68" i="3"/>
  <c r="K68" i="3"/>
  <c r="L68" i="3"/>
  <c r="M68" i="3"/>
  <c r="S68" i="3"/>
  <c r="D69" i="3"/>
  <c r="F69" i="3" s="1"/>
  <c r="E69" i="3"/>
  <c r="G69" i="3" s="1"/>
  <c r="H69" i="3"/>
  <c r="I69" i="3"/>
  <c r="J69" i="3"/>
  <c r="L69" i="3"/>
  <c r="M69" i="3"/>
  <c r="S69" i="3"/>
  <c r="D70" i="3"/>
  <c r="F70" i="3" s="1"/>
  <c r="E70" i="3"/>
  <c r="G70" i="3" s="1"/>
  <c r="H70" i="3"/>
  <c r="I70" i="3"/>
  <c r="J70" i="3"/>
  <c r="K70" i="3"/>
  <c r="L70" i="3"/>
  <c r="M70" i="3"/>
  <c r="S70" i="3"/>
  <c r="D71" i="3"/>
  <c r="E71" i="3"/>
  <c r="G71" i="3" s="1"/>
  <c r="F71" i="3"/>
  <c r="H71" i="3"/>
  <c r="I71" i="3"/>
  <c r="J71" i="3"/>
  <c r="K71" i="3"/>
  <c r="L71" i="3"/>
  <c r="M71" i="3"/>
  <c r="S71" i="3"/>
  <c r="D72" i="3"/>
  <c r="F72" i="3" s="1"/>
  <c r="E72" i="3"/>
  <c r="G72" i="3" s="1"/>
  <c r="H72" i="3"/>
  <c r="I72" i="3"/>
  <c r="J72" i="3"/>
  <c r="L72" i="3"/>
  <c r="M72" i="3"/>
  <c r="S72" i="3"/>
  <c r="D73" i="3"/>
  <c r="F73" i="3" s="1"/>
  <c r="E73" i="3"/>
  <c r="G73" i="3" s="1"/>
  <c r="H73" i="3"/>
  <c r="I73" i="3"/>
  <c r="J73" i="3"/>
  <c r="K73" i="3"/>
  <c r="L73" i="3"/>
  <c r="M73" i="3"/>
  <c r="S73" i="3"/>
  <c r="D74" i="3"/>
  <c r="F74" i="3" s="1"/>
  <c r="E74" i="3"/>
  <c r="G74" i="3"/>
  <c r="H74" i="3"/>
  <c r="I74" i="3"/>
  <c r="J74" i="3"/>
  <c r="K74" i="3"/>
  <c r="L74" i="3"/>
  <c r="M74" i="3"/>
  <c r="S74" i="3"/>
  <c r="D75" i="3"/>
  <c r="F75" i="3" s="1"/>
  <c r="E75" i="3"/>
  <c r="G75" i="3" s="1"/>
  <c r="H75" i="3"/>
  <c r="I75" i="3"/>
  <c r="J75" i="3"/>
  <c r="L75" i="3"/>
  <c r="M75" i="3"/>
  <c r="S75" i="3"/>
  <c r="D76" i="3"/>
  <c r="F76" i="3" s="1"/>
  <c r="E76" i="3"/>
  <c r="G76" i="3" s="1"/>
  <c r="H76" i="3"/>
  <c r="I76" i="3"/>
  <c r="J76" i="3"/>
  <c r="L76" i="3"/>
  <c r="M76" i="3"/>
  <c r="S76" i="3"/>
  <c r="D77" i="3"/>
  <c r="F77" i="3" s="1"/>
  <c r="E77" i="3"/>
  <c r="G77" i="3" s="1"/>
  <c r="H77" i="3"/>
  <c r="I77" i="3"/>
  <c r="J77" i="3"/>
  <c r="K77" i="3"/>
  <c r="L77" i="3"/>
  <c r="M77" i="3"/>
  <c r="S77" i="3"/>
  <c r="D78" i="3"/>
  <c r="F78" i="3" s="1"/>
  <c r="E78" i="3"/>
  <c r="G78" i="3" s="1"/>
  <c r="H78" i="3"/>
  <c r="I78" i="3"/>
  <c r="J78" i="3"/>
  <c r="L78" i="3"/>
  <c r="M78" i="3"/>
  <c r="S78" i="3"/>
  <c r="D79" i="3"/>
  <c r="F79" i="3" s="1"/>
  <c r="E79" i="3"/>
  <c r="G79" i="3" s="1"/>
  <c r="H79" i="3"/>
  <c r="I79" i="3"/>
  <c r="J79" i="3"/>
  <c r="L79" i="3"/>
  <c r="M79" i="3"/>
  <c r="S79" i="3"/>
  <c r="D80" i="3"/>
  <c r="F80" i="3" s="1"/>
  <c r="E80" i="3"/>
  <c r="G80" i="3" s="1"/>
  <c r="H80" i="3"/>
  <c r="I80" i="3"/>
  <c r="J80" i="3"/>
  <c r="K80" i="3"/>
  <c r="L80" i="3"/>
  <c r="M80" i="3"/>
  <c r="S80" i="3"/>
  <c r="D81" i="3"/>
  <c r="F81" i="3" s="1"/>
  <c r="E81" i="3"/>
  <c r="G81" i="3" s="1"/>
  <c r="H81" i="3"/>
  <c r="I81" i="3"/>
  <c r="J81" i="3"/>
  <c r="L81" i="3"/>
  <c r="M81" i="3"/>
  <c r="S81" i="3"/>
  <c r="D82" i="3"/>
  <c r="F82" i="3" s="1"/>
  <c r="E82" i="3"/>
  <c r="G82" i="3" s="1"/>
  <c r="H82" i="3"/>
  <c r="I82" i="3"/>
  <c r="J82" i="3"/>
  <c r="L82" i="3"/>
  <c r="M82" i="3"/>
  <c r="S82" i="3"/>
  <c r="D83" i="3"/>
  <c r="F83" i="3" s="1"/>
  <c r="E83" i="3"/>
  <c r="G83" i="3"/>
  <c r="H83" i="3"/>
  <c r="I83" i="3"/>
  <c r="J83" i="3"/>
  <c r="K83" i="3"/>
  <c r="L83" i="3"/>
  <c r="M83" i="3"/>
  <c r="S83" i="3"/>
  <c r="D84" i="3"/>
  <c r="F84" i="3" s="1"/>
  <c r="E84" i="3"/>
  <c r="G84" i="3" s="1"/>
  <c r="H84" i="3"/>
  <c r="I84" i="3"/>
  <c r="J84" i="3"/>
  <c r="L84" i="3"/>
  <c r="M84" i="3"/>
  <c r="S84" i="3"/>
  <c r="D85" i="3"/>
  <c r="F85" i="3" s="1"/>
  <c r="E85" i="3"/>
  <c r="G85" i="3" s="1"/>
  <c r="H85" i="3"/>
  <c r="I85" i="3"/>
  <c r="J85" i="3"/>
  <c r="L85" i="3"/>
  <c r="M85" i="3"/>
  <c r="S85" i="3"/>
  <c r="D86" i="3"/>
  <c r="F86" i="3" s="1"/>
  <c r="E86" i="3"/>
  <c r="G86" i="3" s="1"/>
  <c r="H86" i="3"/>
  <c r="I86" i="3"/>
  <c r="J86" i="3"/>
  <c r="K86" i="3"/>
  <c r="L86" i="3"/>
  <c r="M86" i="3"/>
  <c r="S86" i="3"/>
  <c r="D87" i="3"/>
  <c r="F87" i="3" s="1"/>
  <c r="E87" i="3"/>
  <c r="G87" i="3"/>
  <c r="H87" i="3"/>
  <c r="I87" i="3"/>
  <c r="J87" i="3"/>
  <c r="K87" i="3"/>
  <c r="L87" i="3"/>
  <c r="M87" i="3"/>
  <c r="S87" i="3"/>
  <c r="D88" i="3"/>
  <c r="F88" i="3" s="1"/>
  <c r="E88" i="3"/>
  <c r="G88" i="3" s="1"/>
  <c r="H88" i="3"/>
  <c r="I88" i="3"/>
  <c r="J88" i="3"/>
  <c r="L88" i="3"/>
  <c r="M88" i="3"/>
  <c r="S88" i="3"/>
  <c r="D89" i="3"/>
  <c r="F89" i="3" s="1"/>
  <c r="E89" i="3"/>
  <c r="G89" i="3" s="1"/>
  <c r="H89" i="3"/>
  <c r="I89" i="3"/>
  <c r="J89" i="3"/>
  <c r="K89" i="3"/>
  <c r="L89" i="3"/>
  <c r="M89" i="3"/>
  <c r="S89" i="3"/>
  <c r="D90" i="3"/>
  <c r="E90" i="3"/>
  <c r="G90" i="3" s="1"/>
  <c r="F90" i="3"/>
  <c r="H90" i="3"/>
  <c r="I90" i="3"/>
  <c r="J90" i="3"/>
  <c r="K90" i="3"/>
  <c r="L90" i="3"/>
  <c r="M90" i="3"/>
  <c r="S90" i="3"/>
  <c r="D91" i="3"/>
  <c r="F91" i="3" s="1"/>
  <c r="E91" i="3"/>
  <c r="G91" i="3" s="1"/>
  <c r="H91" i="3"/>
  <c r="I91" i="3"/>
  <c r="J91" i="3"/>
  <c r="L91" i="3"/>
  <c r="M91" i="3"/>
  <c r="S91" i="3"/>
  <c r="D92" i="3"/>
  <c r="F92" i="3" s="1"/>
  <c r="E92" i="3"/>
  <c r="G92" i="3" s="1"/>
  <c r="H92" i="3"/>
  <c r="I92" i="3"/>
  <c r="J92" i="3"/>
  <c r="K92" i="3"/>
  <c r="L92" i="3"/>
  <c r="M92" i="3"/>
  <c r="S92" i="3"/>
  <c r="D93" i="3"/>
  <c r="F93" i="3" s="1"/>
  <c r="E93" i="3"/>
  <c r="G93" i="3" s="1"/>
  <c r="H93" i="3"/>
  <c r="I93" i="3"/>
  <c r="J93" i="3"/>
  <c r="K93" i="3"/>
  <c r="L93" i="3"/>
  <c r="M93" i="3"/>
  <c r="S93" i="3"/>
  <c r="D94" i="3"/>
  <c r="F94" i="3" s="1"/>
  <c r="E94" i="3"/>
  <c r="G94" i="3" s="1"/>
  <c r="H94" i="3"/>
  <c r="I94" i="3"/>
  <c r="J94" i="3"/>
  <c r="L94" i="3"/>
  <c r="M94" i="3"/>
  <c r="S94" i="3"/>
  <c r="D95" i="3"/>
  <c r="F95" i="3" s="1"/>
  <c r="E95" i="3"/>
  <c r="G95" i="3" s="1"/>
  <c r="H95" i="3"/>
  <c r="I95" i="3"/>
  <c r="J95" i="3"/>
  <c r="K95" i="3"/>
  <c r="L95" i="3"/>
  <c r="M95" i="3"/>
  <c r="S95" i="3"/>
  <c r="D96" i="3"/>
  <c r="F96" i="3" s="1"/>
  <c r="E96" i="3"/>
  <c r="G96" i="3" s="1"/>
  <c r="H96" i="3"/>
  <c r="I96" i="3"/>
  <c r="J96" i="3"/>
  <c r="K96" i="3"/>
  <c r="L96" i="3"/>
  <c r="M96" i="3"/>
  <c r="S96" i="3"/>
  <c r="D97" i="3"/>
  <c r="F97" i="3" s="1"/>
  <c r="E97" i="3"/>
  <c r="G97" i="3" s="1"/>
  <c r="H97" i="3"/>
  <c r="I97" i="3"/>
  <c r="J97" i="3"/>
  <c r="L97" i="3"/>
  <c r="M97" i="3"/>
  <c r="S97" i="3"/>
  <c r="D98" i="3"/>
  <c r="F98" i="3" s="1"/>
  <c r="E98" i="3"/>
  <c r="G98" i="3" s="1"/>
  <c r="H98" i="3"/>
  <c r="I98" i="3"/>
  <c r="J98" i="3"/>
  <c r="L98" i="3"/>
  <c r="M98" i="3"/>
  <c r="S98" i="3"/>
  <c r="D99" i="3"/>
  <c r="F99" i="3" s="1"/>
  <c r="E99" i="3"/>
  <c r="G99" i="3" s="1"/>
  <c r="H99" i="3"/>
  <c r="I99" i="3"/>
  <c r="J99" i="3"/>
  <c r="K99" i="3"/>
  <c r="L99" i="3"/>
  <c r="M99" i="3"/>
  <c r="S99" i="3"/>
  <c r="D100" i="3"/>
  <c r="F100" i="3" s="1"/>
  <c r="E100" i="3"/>
  <c r="G100" i="3" s="1"/>
  <c r="H100" i="3"/>
  <c r="I100" i="3"/>
  <c r="J100" i="3"/>
  <c r="L100" i="3"/>
  <c r="M100" i="3"/>
  <c r="S100" i="3"/>
  <c r="D101" i="3"/>
  <c r="F101" i="3" s="1"/>
  <c r="E101" i="3"/>
  <c r="G101" i="3" s="1"/>
  <c r="H101" i="3"/>
  <c r="I101" i="3"/>
  <c r="J101" i="3"/>
  <c r="K101" i="3"/>
  <c r="L101" i="3"/>
  <c r="M101" i="3"/>
  <c r="S101" i="3"/>
  <c r="D102" i="3"/>
  <c r="F102" i="3" s="1"/>
  <c r="E102" i="3"/>
  <c r="G102" i="3"/>
  <c r="H102" i="3"/>
  <c r="I102" i="3"/>
  <c r="J102" i="3"/>
  <c r="K102" i="3"/>
  <c r="L102" i="3"/>
  <c r="M102" i="3"/>
  <c r="S102" i="3"/>
  <c r="D103" i="3"/>
  <c r="F103" i="3" s="1"/>
  <c r="E103" i="3"/>
  <c r="G103" i="3" s="1"/>
  <c r="H103" i="3"/>
  <c r="I103" i="3"/>
  <c r="J103" i="3"/>
  <c r="L103" i="3"/>
  <c r="M103" i="3"/>
  <c r="S103" i="3"/>
  <c r="D104" i="3"/>
  <c r="F104" i="3" s="1"/>
  <c r="E104" i="3"/>
  <c r="G104" i="3" s="1"/>
  <c r="H104" i="3"/>
  <c r="I104" i="3"/>
  <c r="J104" i="3"/>
  <c r="K104" i="3"/>
  <c r="L104" i="3"/>
  <c r="M104" i="3"/>
  <c r="S104" i="3"/>
  <c r="D105" i="3"/>
  <c r="F105" i="3" s="1"/>
  <c r="E105" i="3"/>
  <c r="G105" i="3" s="1"/>
  <c r="H105" i="3"/>
  <c r="I105" i="3"/>
  <c r="J105" i="3"/>
  <c r="L105" i="3"/>
  <c r="M105" i="3"/>
  <c r="S105" i="3"/>
  <c r="D106" i="3"/>
  <c r="E106" i="3"/>
  <c r="G106" i="3" s="1"/>
  <c r="F106" i="3"/>
  <c r="H106" i="3"/>
  <c r="I106" i="3"/>
  <c r="J106" i="3"/>
  <c r="L106" i="3"/>
  <c r="M106" i="3"/>
  <c r="S106" i="3"/>
  <c r="D107" i="3"/>
  <c r="F107" i="3" s="1"/>
  <c r="E107" i="3"/>
  <c r="G107" i="3" s="1"/>
  <c r="H107" i="3"/>
  <c r="I107" i="3"/>
  <c r="J107" i="3"/>
  <c r="K107" i="3"/>
  <c r="L107" i="3"/>
  <c r="M107" i="3"/>
  <c r="S107" i="3"/>
  <c r="D108" i="3"/>
  <c r="F108" i="3" s="1"/>
  <c r="E108" i="3"/>
  <c r="G108" i="3" s="1"/>
  <c r="H108" i="3"/>
  <c r="I108" i="3"/>
  <c r="J108" i="3"/>
  <c r="K108" i="3"/>
  <c r="L108" i="3"/>
  <c r="M108" i="3"/>
  <c r="S108" i="3"/>
  <c r="D109" i="3"/>
  <c r="F109" i="3" s="1"/>
  <c r="E109" i="3"/>
  <c r="G109" i="3" s="1"/>
  <c r="H109" i="3"/>
  <c r="I109" i="3"/>
  <c r="J109" i="3"/>
  <c r="L109" i="3"/>
  <c r="M109" i="3"/>
  <c r="S109" i="3"/>
  <c r="D110" i="3"/>
  <c r="F110" i="3" s="1"/>
  <c r="E110" i="3"/>
  <c r="G110" i="3"/>
  <c r="H110" i="3"/>
  <c r="I110" i="3"/>
  <c r="J110" i="3"/>
  <c r="L110" i="3"/>
  <c r="M110" i="3"/>
  <c r="S110" i="3"/>
  <c r="D111" i="3"/>
  <c r="F111" i="3" s="1"/>
  <c r="E111" i="3"/>
  <c r="G111" i="3" s="1"/>
  <c r="H111" i="3"/>
  <c r="I111" i="3"/>
  <c r="J111" i="3"/>
  <c r="K111" i="3"/>
  <c r="L111" i="3"/>
  <c r="M111" i="3"/>
  <c r="S111" i="3"/>
  <c r="D112" i="3"/>
  <c r="F112" i="3" s="1"/>
  <c r="E112" i="3"/>
  <c r="G112" i="3" s="1"/>
  <c r="H112" i="3"/>
  <c r="I112" i="3"/>
  <c r="J112" i="3"/>
  <c r="L112" i="3"/>
  <c r="M112" i="3"/>
  <c r="S112" i="3"/>
  <c r="D113" i="3"/>
  <c r="F113" i="3" s="1"/>
  <c r="E113" i="3"/>
  <c r="G113" i="3" s="1"/>
  <c r="H113" i="3"/>
  <c r="I113" i="3"/>
  <c r="J113" i="3"/>
  <c r="L113" i="3"/>
  <c r="M113" i="3"/>
  <c r="S113" i="3"/>
  <c r="D114" i="3"/>
  <c r="F114" i="3" s="1"/>
  <c r="E114" i="3"/>
  <c r="G114" i="3" s="1"/>
  <c r="H114" i="3"/>
  <c r="I114" i="3"/>
  <c r="J114" i="3"/>
  <c r="K114" i="3"/>
  <c r="L114" i="3"/>
  <c r="M114" i="3"/>
  <c r="S114" i="3"/>
  <c r="D115" i="3"/>
  <c r="E115" i="3"/>
  <c r="F115" i="3"/>
  <c r="G115" i="3"/>
  <c r="H115" i="3"/>
  <c r="I115" i="3"/>
  <c r="J115" i="3"/>
  <c r="L115" i="3"/>
  <c r="M115" i="3"/>
  <c r="S115" i="3"/>
  <c r="D116" i="3"/>
  <c r="F116" i="3" s="1"/>
  <c r="E116" i="3"/>
  <c r="G116" i="3" s="1"/>
  <c r="H116" i="3"/>
  <c r="I116" i="3"/>
  <c r="J116" i="3"/>
  <c r="K116" i="3"/>
  <c r="L116" i="3"/>
  <c r="M116" i="3"/>
  <c r="S116" i="3"/>
  <c r="D117" i="3"/>
  <c r="F117" i="3" s="1"/>
  <c r="E117" i="3"/>
  <c r="G117" i="3" s="1"/>
  <c r="H117" i="3"/>
  <c r="I117" i="3"/>
  <c r="J117" i="3"/>
  <c r="K117" i="3"/>
  <c r="L117" i="3"/>
  <c r="M117" i="3"/>
  <c r="S117" i="3"/>
  <c r="D118" i="3"/>
  <c r="F118" i="3" s="1"/>
  <c r="E118" i="3"/>
  <c r="G118" i="3" s="1"/>
  <c r="H118" i="3"/>
  <c r="I118" i="3"/>
  <c r="J118" i="3"/>
  <c r="L118" i="3"/>
  <c r="M118" i="3"/>
  <c r="S118" i="3"/>
  <c r="D119" i="3"/>
  <c r="F119" i="3" s="1"/>
  <c r="E119" i="3"/>
  <c r="G119" i="3" s="1"/>
  <c r="H119" i="3"/>
  <c r="I119" i="3"/>
  <c r="J119" i="3"/>
  <c r="K119" i="3"/>
  <c r="L119" i="3"/>
  <c r="M119" i="3"/>
  <c r="S119" i="3"/>
  <c r="D120" i="3"/>
  <c r="F120" i="3" s="1"/>
  <c r="E120" i="3"/>
  <c r="G120" i="3" s="1"/>
  <c r="H120" i="3"/>
  <c r="I120" i="3"/>
  <c r="J120" i="3"/>
  <c r="K120" i="3"/>
  <c r="L120" i="3"/>
  <c r="M120" i="3"/>
  <c r="S120" i="3"/>
  <c r="D121" i="3"/>
  <c r="F121" i="3" s="1"/>
  <c r="E121" i="3"/>
  <c r="G121" i="3" s="1"/>
  <c r="H121" i="3"/>
  <c r="I121" i="3"/>
  <c r="J121" i="3"/>
  <c r="L121" i="3"/>
  <c r="M121" i="3"/>
  <c r="S121" i="3"/>
  <c r="D122" i="3"/>
  <c r="E122" i="3"/>
  <c r="G122" i="3" s="1"/>
  <c r="F122" i="3"/>
  <c r="H122" i="3"/>
  <c r="I122" i="3"/>
  <c r="J122" i="3"/>
  <c r="K122" i="3"/>
  <c r="L122" i="3"/>
  <c r="M122" i="3"/>
  <c r="S122" i="3"/>
  <c r="D123" i="3"/>
  <c r="F123" i="3" s="1"/>
  <c r="E123" i="3"/>
  <c r="G123" i="3" s="1"/>
  <c r="H123" i="3"/>
  <c r="I123" i="3"/>
  <c r="J123" i="3"/>
  <c r="L123" i="3"/>
  <c r="M123" i="3"/>
  <c r="S123" i="3"/>
  <c r="D124" i="3"/>
  <c r="F124" i="3" s="1"/>
  <c r="E124" i="3"/>
  <c r="G124" i="3" s="1"/>
  <c r="H124" i="3"/>
  <c r="I124" i="3"/>
  <c r="J124" i="3"/>
  <c r="L124" i="3"/>
  <c r="M124" i="3"/>
  <c r="S124" i="3"/>
  <c r="D125" i="3"/>
  <c r="F125" i="3" s="1"/>
  <c r="E125" i="3"/>
  <c r="G125" i="3" s="1"/>
  <c r="H125" i="3"/>
  <c r="I125" i="3"/>
  <c r="J125" i="3"/>
  <c r="L125" i="3"/>
  <c r="M125" i="3"/>
  <c r="S125" i="3"/>
  <c r="D126" i="3"/>
  <c r="F126" i="3" s="1"/>
  <c r="E126" i="3"/>
  <c r="G126" i="3" s="1"/>
  <c r="H126" i="3"/>
  <c r="I126" i="3"/>
  <c r="J126" i="3"/>
  <c r="K126" i="3"/>
  <c r="L126" i="3"/>
  <c r="M126" i="3"/>
  <c r="S126" i="3"/>
  <c r="D127" i="3"/>
  <c r="F127" i="3" s="1"/>
  <c r="E127" i="3"/>
  <c r="G127" i="3" s="1"/>
  <c r="H127" i="3"/>
  <c r="I127" i="3"/>
  <c r="J127" i="3"/>
  <c r="L127" i="3"/>
  <c r="M127" i="3"/>
  <c r="S127" i="3"/>
  <c r="D128" i="3"/>
  <c r="F128" i="3" s="1"/>
  <c r="E128" i="3"/>
  <c r="G128" i="3" s="1"/>
  <c r="H128" i="3"/>
  <c r="I128" i="3"/>
  <c r="J128" i="3"/>
  <c r="K128" i="3"/>
  <c r="L128" i="3"/>
  <c r="M128" i="3"/>
  <c r="S128" i="3"/>
  <c r="D129" i="3"/>
  <c r="F129" i="3" s="1"/>
  <c r="E129" i="3"/>
  <c r="G129" i="3" s="1"/>
  <c r="H129" i="3"/>
  <c r="I129" i="3"/>
  <c r="J129" i="3"/>
  <c r="K129" i="3"/>
  <c r="L129" i="3"/>
  <c r="M129" i="3"/>
  <c r="S129" i="3"/>
  <c r="D130" i="3"/>
  <c r="F130" i="3" s="1"/>
  <c r="E130" i="3"/>
  <c r="G130" i="3" s="1"/>
  <c r="H130" i="3"/>
  <c r="I130" i="3"/>
  <c r="J130" i="3"/>
  <c r="L130" i="3"/>
  <c r="M130" i="3"/>
  <c r="S130" i="3"/>
  <c r="D131" i="3"/>
  <c r="F131" i="3" s="1"/>
  <c r="E131" i="3"/>
  <c r="G131" i="3" s="1"/>
  <c r="H131" i="3"/>
  <c r="I131" i="3"/>
  <c r="J131" i="3"/>
  <c r="L131" i="3"/>
  <c r="M131" i="3"/>
  <c r="S131" i="3"/>
  <c r="D132" i="3"/>
  <c r="F132" i="3" s="1"/>
  <c r="E132" i="3"/>
  <c r="G132" i="3" s="1"/>
  <c r="H132" i="3"/>
  <c r="I132" i="3"/>
  <c r="J132" i="3"/>
  <c r="K132" i="3"/>
  <c r="L132" i="3"/>
  <c r="M132" i="3"/>
  <c r="S132" i="3"/>
  <c r="D2" i="3"/>
  <c r="F2" i="3" s="1"/>
  <c r="E2" i="3"/>
  <c r="G2" i="3" s="1"/>
  <c r="H2" i="3"/>
  <c r="I2" i="3"/>
  <c r="J2" i="3"/>
  <c r="K2" i="3"/>
  <c r="L2" i="3"/>
  <c r="M2" i="3"/>
  <c r="S2" i="3"/>
  <c r="D3" i="3"/>
  <c r="F3" i="3" s="1"/>
  <c r="E3" i="3"/>
  <c r="G3" i="3" s="1"/>
  <c r="H3" i="3"/>
  <c r="I3" i="3"/>
  <c r="J3" i="3"/>
  <c r="L3" i="3"/>
  <c r="M3" i="3"/>
  <c r="S3" i="3"/>
  <c r="D4" i="3"/>
  <c r="F4" i="3" s="1"/>
  <c r="E4" i="3"/>
  <c r="G4" i="3" s="1"/>
  <c r="H4" i="3"/>
  <c r="I4" i="3"/>
  <c r="J4" i="3"/>
  <c r="K4" i="3"/>
  <c r="L4" i="3"/>
  <c r="M4" i="3"/>
  <c r="S4" i="3"/>
  <c r="D5" i="3"/>
  <c r="F5" i="3" s="1"/>
  <c r="E5" i="3"/>
  <c r="G5" i="3" s="1"/>
  <c r="H5" i="3"/>
  <c r="I5" i="3"/>
  <c r="J5" i="3"/>
  <c r="L5" i="3"/>
  <c r="M5" i="3"/>
  <c r="S5" i="3"/>
  <c r="D6" i="3"/>
  <c r="F6" i="3" s="1"/>
  <c r="E6" i="3"/>
  <c r="G6" i="3" s="1"/>
  <c r="H6" i="3"/>
  <c r="I6" i="3"/>
  <c r="J6" i="3"/>
  <c r="L6" i="3"/>
  <c r="M6" i="3"/>
  <c r="S6" i="3"/>
  <c r="D7" i="3"/>
  <c r="F7" i="3" s="1"/>
  <c r="E7" i="3"/>
  <c r="G7" i="3" s="1"/>
  <c r="H7" i="3"/>
  <c r="I7" i="3"/>
  <c r="J7" i="3"/>
  <c r="K7" i="3"/>
  <c r="L7" i="3"/>
  <c r="M7" i="3"/>
  <c r="S7" i="3"/>
  <c r="D8" i="3"/>
  <c r="F8" i="3" s="1"/>
  <c r="E8" i="3"/>
  <c r="G8" i="3" s="1"/>
  <c r="H8" i="3"/>
  <c r="I8" i="3"/>
  <c r="J8" i="3"/>
  <c r="L8" i="3"/>
  <c r="M8" i="3"/>
  <c r="S8" i="3"/>
  <c r="D9" i="3"/>
  <c r="F9" i="3" s="1"/>
  <c r="E9" i="3"/>
  <c r="G9" i="3" s="1"/>
  <c r="H9" i="3"/>
  <c r="I9" i="3"/>
  <c r="J9" i="3"/>
  <c r="L9" i="3"/>
  <c r="M9" i="3"/>
  <c r="S9" i="3"/>
  <c r="D10" i="3"/>
  <c r="F10" i="3" s="1"/>
  <c r="E10" i="3"/>
  <c r="G10" i="3" s="1"/>
  <c r="H10" i="3"/>
  <c r="I10" i="3"/>
  <c r="J10" i="3"/>
  <c r="K10" i="3"/>
  <c r="L10" i="3"/>
  <c r="M10" i="3"/>
  <c r="S10" i="3"/>
  <c r="D11" i="3"/>
  <c r="F11" i="3" s="1"/>
  <c r="E11" i="3"/>
  <c r="G11" i="3" s="1"/>
  <c r="H11" i="3"/>
  <c r="I11" i="3"/>
  <c r="J11" i="3"/>
  <c r="K11" i="3"/>
  <c r="L11" i="3"/>
  <c r="M11" i="3"/>
  <c r="S11" i="3"/>
  <c r="D12" i="3"/>
  <c r="F12" i="3" s="1"/>
  <c r="E12" i="3"/>
  <c r="G12" i="3" s="1"/>
  <c r="H12" i="3"/>
  <c r="I12" i="3"/>
  <c r="J12" i="3"/>
  <c r="L12" i="3"/>
  <c r="M12" i="3"/>
  <c r="S12" i="3"/>
  <c r="D13" i="3"/>
  <c r="F13" i="3" s="1"/>
  <c r="E13" i="3"/>
  <c r="G13" i="3" s="1"/>
  <c r="H13" i="3"/>
  <c r="I13" i="3"/>
  <c r="J13" i="3"/>
  <c r="K13" i="3"/>
  <c r="L13" i="3"/>
  <c r="M13" i="3"/>
  <c r="S13" i="3"/>
  <c r="D14" i="3"/>
  <c r="F14" i="3" s="1"/>
  <c r="E14" i="3"/>
  <c r="G14" i="3" s="1"/>
  <c r="H14" i="3"/>
  <c r="I14" i="3"/>
  <c r="J14" i="3"/>
  <c r="K14" i="3"/>
  <c r="L14" i="3"/>
  <c r="M14" i="3"/>
  <c r="S14" i="3"/>
  <c r="D15" i="3"/>
  <c r="F15" i="3" s="1"/>
  <c r="E15" i="3"/>
  <c r="G15" i="3" s="1"/>
  <c r="H15" i="3"/>
  <c r="I15" i="3"/>
  <c r="J15" i="3"/>
  <c r="L15" i="3"/>
  <c r="M15" i="3"/>
  <c r="S15" i="3"/>
  <c r="D16" i="3"/>
  <c r="F16" i="3" s="1"/>
  <c r="E16" i="3"/>
  <c r="G16" i="3" s="1"/>
  <c r="H16" i="3"/>
  <c r="I16" i="3"/>
  <c r="J16" i="3"/>
  <c r="L16" i="3"/>
  <c r="M16" i="3"/>
  <c r="S16" i="3"/>
  <c r="D17" i="3"/>
  <c r="F17" i="3" s="1"/>
  <c r="E17" i="3"/>
  <c r="G17" i="3" s="1"/>
  <c r="H17" i="3"/>
  <c r="I17" i="3"/>
  <c r="J17" i="3"/>
  <c r="K17" i="3"/>
  <c r="L17" i="3"/>
  <c r="M17" i="3"/>
  <c r="S17" i="3"/>
  <c r="D18" i="3"/>
  <c r="F18" i="3" s="1"/>
  <c r="E18" i="3"/>
  <c r="G18" i="3" s="1"/>
  <c r="H18" i="3"/>
  <c r="I18" i="3"/>
  <c r="J18" i="3"/>
  <c r="K18" i="3"/>
  <c r="L18" i="3"/>
  <c r="M18" i="3"/>
  <c r="S18" i="3"/>
  <c r="D19" i="3"/>
  <c r="F19" i="3" s="1"/>
  <c r="E19" i="3"/>
  <c r="G19" i="3" s="1"/>
  <c r="H19" i="3"/>
  <c r="I19" i="3"/>
  <c r="J19" i="3"/>
  <c r="L19" i="3"/>
  <c r="M19" i="3"/>
  <c r="S19" i="3"/>
  <c r="D20" i="3"/>
  <c r="F20" i="3" s="1"/>
  <c r="E20" i="3"/>
  <c r="G20" i="3" s="1"/>
  <c r="H20" i="3"/>
  <c r="I20" i="3"/>
  <c r="J20" i="3"/>
  <c r="K20" i="3"/>
  <c r="L20" i="3"/>
  <c r="M20" i="3"/>
  <c r="S20" i="3"/>
  <c r="D21" i="3"/>
  <c r="F21" i="3" s="1"/>
  <c r="E21" i="3"/>
  <c r="G21" i="3" s="1"/>
  <c r="H21" i="3"/>
  <c r="I21" i="3"/>
  <c r="J21" i="3"/>
  <c r="K21" i="3"/>
  <c r="L21" i="3"/>
  <c r="M21" i="3"/>
  <c r="S21" i="3"/>
  <c r="D22" i="3"/>
  <c r="F22" i="3" s="1"/>
  <c r="E22" i="3"/>
  <c r="G22" i="3" s="1"/>
  <c r="H22" i="3"/>
  <c r="I22" i="3"/>
  <c r="J22" i="3"/>
  <c r="L22" i="3"/>
  <c r="M22" i="3"/>
  <c r="S22" i="3"/>
  <c r="D23" i="3"/>
  <c r="F23" i="3" s="1"/>
  <c r="E23" i="3"/>
  <c r="G23" i="3" s="1"/>
  <c r="H23" i="3"/>
  <c r="I23" i="3"/>
  <c r="J23" i="3"/>
  <c r="K23" i="3"/>
  <c r="L23" i="3"/>
  <c r="M23" i="3"/>
  <c r="S23" i="3"/>
  <c r="D24" i="3"/>
  <c r="F24" i="3" s="1"/>
  <c r="E24" i="3"/>
  <c r="G24" i="3" s="1"/>
  <c r="H24" i="3"/>
  <c r="I24" i="3"/>
  <c r="J24" i="3"/>
  <c r="K24" i="3"/>
  <c r="L24" i="3"/>
  <c r="M24" i="3"/>
  <c r="S24" i="3"/>
  <c r="D25" i="3"/>
  <c r="F25" i="3" s="1"/>
  <c r="E25" i="3"/>
  <c r="G25" i="3" s="1"/>
  <c r="H25" i="3"/>
  <c r="I25" i="3"/>
  <c r="J25" i="3"/>
  <c r="L25" i="3"/>
  <c r="M25" i="3"/>
  <c r="S25" i="3"/>
  <c r="D26" i="3"/>
  <c r="F26" i="3" s="1"/>
  <c r="E26" i="3"/>
  <c r="G26" i="3" s="1"/>
  <c r="H26" i="3"/>
  <c r="I26" i="3"/>
  <c r="J26" i="3"/>
  <c r="L26" i="3"/>
  <c r="M26" i="3"/>
  <c r="S26" i="3"/>
  <c r="D27" i="3"/>
  <c r="E27" i="3"/>
  <c r="G27" i="3" s="1"/>
  <c r="F27" i="3"/>
  <c r="H27" i="3"/>
  <c r="I27" i="3"/>
  <c r="J27" i="3"/>
  <c r="K27" i="3"/>
  <c r="L27" i="3"/>
  <c r="M27" i="3"/>
  <c r="S27" i="3"/>
  <c r="D28" i="3"/>
  <c r="F28" i="3" s="1"/>
  <c r="E28" i="3"/>
  <c r="G28" i="3" s="1"/>
  <c r="H28" i="3"/>
  <c r="I28" i="3"/>
  <c r="J28" i="3"/>
  <c r="K28" i="3"/>
  <c r="L28" i="3"/>
  <c r="M28" i="3"/>
  <c r="S28" i="3"/>
  <c r="D29" i="3"/>
  <c r="F29" i="3" s="1"/>
  <c r="E29" i="3"/>
  <c r="G29" i="3" s="1"/>
  <c r="H29" i="3"/>
  <c r="I29" i="3"/>
  <c r="J29" i="3"/>
  <c r="L29" i="3"/>
  <c r="M29" i="3"/>
  <c r="S29" i="3"/>
  <c r="D30" i="3"/>
  <c r="E30" i="3"/>
  <c r="G30" i="3" s="1"/>
  <c r="F30" i="3"/>
  <c r="H30" i="3"/>
  <c r="I30" i="3"/>
  <c r="J30" i="3"/>
  <c r="K30" i="3"/>
  <c r="L30" i="3"/>
  <c r="M30" i="3"/>
  <c r="S30" i="3"/>
  <c r="D31" i="3"/>
  <c r="F31" i="3" s="1"/>
  <c r="E31" i="3"/>
  <c r="G31" i="3" s="1"/>
  <c r="H31" i="3"/>
  <c r="I31" i="3"/>
  <c r="J31" i="3"/>
  <c r="L31" i="3"/>
  <c r="M31" i="3"/>
  <c r="S31" i="3"/>
  <c r="D32" i="3"/>
  <c r="F32" i="3" s="1"/>
  <c r="E32" i="3"/>
  <c r="G32" i="3" s="1"/>
  <c r="H32" i="3"/>
  <c r="I32" i="3"/>
  <c r="J32" i="3"/>
  <c r="L32" i="3"/>
  <c r="M32" i="3"/>
  <c r="S32" i="3"/>
  <c r="D33" i="3"/>
  <c r="F33" i="3" s="1"/>
  <c r="E33" i="3"/>
  <c r="G33" i="3"/>
  <c r="H33" i="3"/>
  <c r="I33" i="3"/>
  <c r="J33" i="3"/>
  <c r="K33" i="3"/>
  <c r="L33" i="3"/>
  <c r="M33" i="3"/>
  <c r="S33" i="3"/>
  <c r="D34" i="3"/>
  <c r="F34" i="3" s="1"/>
  <c r="E34" i="3"/>
  <c r="G34" i="3" s="1"/>
  <c r="H34" i="3"/>
  <c r="I34" i="3"/>
  <c r="J34" i="3"/>
  <c r="K34" i="3"/>
  <c r="L34" i="3"/>
  <c r="M34" i="3"/>
  <c r="S34" i="3"/>
  <c r="D35" i="3"/>
  <c r="F35" i="3" s="1"/>
  <c r="E35" i="3"/>
  <c r="G35" i="3" s="1"/>
  <c r="H35" i="3"/>
  <c r="I35" i="3"/>
  <c r="J35" i="3"/>
  <c r="L35" i="3"/>
  <c r="M35" i="3"/>
  <c r="S35" i="3"/>
  <c r="D36" i="3"/>
  <c r="F36" i="3" s="1"/>
  <c r="E36" i="3"/>
  <c r="G36" i="3" s="1"/>
  <c r="H36" i="3"/>
  <c r="I36" i="3"/>
  <c r="J36" i="3"/>
  <c r="L36" i="3"/>
  <c r="M36" i="3"/>
  <c r="S36" i="3"/>
  <c r="D37" i="3"/>
  <c r="F37" i="3" s="1"/>
  <c r="E37" i="3"/>
  <c r="G37" i="3" s="1"/>
  <c r="H37" i="3"/>
  <c r="I37" i="3"/>
  <c r="J37" i="3"/>
  <c r="K37" i="3"/>
  <c r="L37" i="3"/>
  <c r="M37" i="3"/>
  <c r="S37" i="3"/>
  <c r="D38" i="3"/>
  <c r="F38" i="3" s="1"/>
  <c r="E38" i="3"/>
  <c r="G38" i="3" s="1"/>
  <c r="H38" i="3"/>
  <c r="I38" i="3"/>
  <c r="J38" i="3"/>
  <c r="L38" i="3"/>
  <c r="M38" i="3"/>
  <c r="S38" i="3"/>
  <c r="D39" i="3"/>
  <c r="F39" i="3" s="1"/>
  <c r="E39" i="3"/>
  <c r="G39" i="3" s="1"/>
  <c r="H39" i="3"/>
  <c r="I39" i="3"/>
  <c r="J39" i="3"/>
  <c r="L39" i="3"/>
  <c r="M39" i="3"/>
  <c r="S39" i="3"/>
  <c r="D40" i="3"/>
  <c r="F40" i="3" s="1"/>
  <c r="E40" i="3"/>
  <c r="G40" i="3" s="1"/>
  <c r="H40" i="3"/>
  <c r="I40" i="3"/>
  <c r="J40" i="3"/>
  <c r="K40" i="3"/>
  <c r="L40" i="3"/>
  <c r="M40" i="3"/>
  <c r="S40" i="3"/>
  <c r="D41" i="3"/>
  <c r="F41" i="3" s="1"/>
  <c r="E41" i="3"/>
  <c r="G41" i="3" s="1"/>
  <c r="H41" i="3"/>
  <c r="I41" i="3"/>
  <c r="J41" i="3"/>
  <c r="L41" i="3"/>
  <c r="M41" i="3"/>
  <c r="S41" i="3"/>
  <c r="D42" i="3"/>
  <c r="F42" i="3" s="1"/>
  <c r="E42" i="3"/>
  <c r="G42" i="3" s="1"/>
  <c r="H42" i="3"/>
  <c r="I42" i="3"/>
  <c r="J42" i="3"/>
  <c r="L42" i="3"/>
  <c r="M42" i="3"/>
  <c r="S42" i="3"/>
  <c r="D43" i="3"/>
  <c r="F43" i="3" s="1"/>
  <c r="E43" i="3"/>
  <c r="G43" i="3" s="1"/>
  <c r="H43" i="3"/>
  <c r="I43" i="3"/>
  <c r="J43" i="3"/>
  <c r="K43" i="3"/>
  <c r="L43" i="3"/>
  <c r="M43" i="3"/>
  <c r="S43" i="3"/>
  <c r="D44" i="3"/>
  <c r="F44" i="3" s="1"/>
  <c r="E44" i="3"/>
  <c r="G44" i="3"/>
  <c r="H44" i="3"/>
  <c r="I44" i="3"/>
  <c r="J44" i="3"/>
  <c r="K44" i="3"/>
  <c r="L44" i="3"/>
  <c r="M44" i="3"/>
  <c r="S44" i="3"/>
  <c r="D45" i="3"/>
  <c r="F45" i="3" s="1"/>
  <c r="E45" i="3"/>
  <c r="G45" i="3" s="1"/>
  <c r="H45" i="3"/>
  <c r="I45" i="3"/>
  <c r="J45" i="3"/>
  <c r="L45" i="3"/>
  <c r="M45" i="3"/>
  <c r="S45" i="3"/>
  <c r="D46" i="3"/>
  <c r="F46" i="3" s="1"/>
  <c r="E46" i="3"/>
  <c r="G46" i="3" s="1"/>
  <c r="H46" i="3"/>
  <c r="I46" i="3"/>
  <c r="J46" i="3"/>
  <c r="K46" i="3"/>
  <c r="L46" i="3"/>
  <c r="M46" i="3"/>
  <c r="S46" i="3"/>
  <c r="D47" i="3"/>
  <c r="F47" i="3" s="1"/>
  <c r="E47" i="3"/>
  <c r="G47" i="3" s="1"/>
  <c r="H47" i="3"/>
  <c r="I47" i="3"/>
  <c r="J47" i="3"/>
  <c r="L47" i="3"/>
  <c r="M47" i="3"/>
  <c r="S47" i="3"/>
  <c r="D48" i="3"/>
  <c r="F48" i="3" s="1"/>
  <c r="E48" i="3"/>
  <c r="G48" i="3" s="1"/>
  <c r="H48" i="3"/>
  <c r="I48" i="3"/>
  <c r="J48" i="3"/>
  <c r="L48" i="3"/>
  <c r="M48" i="3"/>
  <c r="S48" i="3"/>
  <c r="D49" i="3"/>
  <c r="F49" i="3" s="1"/>
  <c r="E49" i="3"/>
  <c r="G49" i="3" s="1"/>
  <c r="H49" i="3"/>
  <c r="I49" i="3"/>
  <c r="J49" i="3"/>
  <c r="K49" i="3"/>
  <c r="L49" i="3"/>
  <c r="M49" i="3"/>
  <c r="S49" i="3"/>
  <c r="D50" i="3"/>
  <c r="E50" i="3"/>
  <c r="F50" i="3"/>
  <c r="G50" i="3"/>
  <c r="H50" i="3"/>
  <c r="I50" i="3"/>
  <c r="J50" i="3"/>
  <c r="K50" i="3"/>
  <c r="L50" i="3"/>
  <c r="M50" i="3"/>
  <c r="S50" i="3"/>
  <c r="D51" i="3"/>
  <c r="F51" i="3" s="1"/>
  <c r="E51" i="3"/>
  <c r="G51" i="3" s="1"/>
  <c r="H51" i="3"/>
  <c r="I51" i="3"/>
  <c r="J51" i="3"/>
  <c r="L51" i="3"/>
  <c r="M51" i="3"/>
  <c r="S51" i="3"/>
  <c r="D52" i="3"/>
  <c r="F52" i="3" s="1"/>
  <c r="E52" i="3"/>
  <c r="G52" i="3" s="1"/>
  <c r="H52" i="3"/>
  <c r="I52" i="3"/>
  <c r="J52" i="3"/>
  <c r="L52" i="3"/>
  <c r="M52" i="3"/>
  <c r="S52" i="3"/>
  <c r="D53" i="3"/>
  <c r="F53" i="3" s="1"/>
  <c r="E53" i="3"/>
  <c r="G53" i="3" s="1"/>
  <c r="H53" i="3"/>
  <c r="I53" i="3"/>
  <c r="J53" i="3"/>
  <c r="K53" i="3"/>
  <c r="L53" i="3"/>
  <c r="M53" i="3"/>
  <c r="S53" i="3"/>
  <c r="D54" i="3"/>
  <c r="F54" i="3" s="1"/>
  <c r="E54" i="3"/>
  <c r="G54" i="3" s="1"/>
  <c r="H54" i="3"/>
  <c r="I54" i="3"/>
  <c r="J54" i="3"/>
  <c r="L54" i="3"/>
  <c r="M54" i="3"/>
  <c r="S54" i="3"/>
  <c r="D55" i="3"/>
  <c r="F55" i="3" s="1"/>
  <c r="E55" i="3"/>
  <c r="G55" i="3" s="1"/>
  <c r="H55" i="3"/>
  <c r="I55" i="3"/>
  <c r="J55" i="3"/>
  <c r="L55" i="3"/>
  <c r="M55" i="3"/>
  <c r="S55" i="3"/>
  <c r="D56" i="3"/>
  <c r="F56" i="3" s="1"/>
  <c r="E56" i="3"/>
  <c r="G56" i="3" s="1"/>
  <c r="H56" i="3"/>
  <c r="I56" i="3"/>
  <c r="J56" i="3"/>
  <c r="K56" i="3"/>
  <c r="L56" i="3"/>
  <c r="M56" i="3"/>
  <c r="S56" i="3"/>
  <c r="D57" i="3"/>
  <c r="F57" i="3" s="1"/>
  <c r="E57" i="3"/>
  <c r="G57" i="3" s="1"/>
  <c r="H57" i="3"/>
  <c r="I57" i="3"/>
  <c r="J57" i="3"/>
  <c r="K57" i="3"/>
  <c r="L57" i="3"/>
  <c r="M57" i="3"/>
  <c r="S57" i="3"/>
  <c r="D58" i="3"/>
  <c r="F58" i="3" s="1"/>
  <c r="E58" i="3"/>
  <c r="G58" i="3" s="1"/>
  <c r="H58" i="3"/>
  <c r="I58" i="3"/>
  <c r="J58" i="3"/>
  <c r="L58" i="3"/>
  <c r="M58" i="3"/>
  <c r="S58" i="3"/>
  <c r="D59" i="3"/>
  <c r="F59" i="3" s="1"/>
  <c r="E59" i="3"/>
  <c r="G59" i="3" s="1"/>
  <c r="H59" i="3"/>
  <c r="I59" i="3"/>
  <c r="J59" i="3"/>
  <c r="K59" i="3"/>
  <c r="L59" i="3"/>
  <c r="M59" i="3"/>
  <c r="S59" i="3"/>
  <c r="D60" i="3"/>
  <c r="F60" i="3" s="1"/>
  <c r="E60" i="3"/>
  <c r="G60" i="3" s="1"/>
  <c r="H60" i="3"/>
  <c r="I60" i="3"/>
  <c r="J60" i="3"/>
  <c r="K60" i="3"/>
  <c r="L60" i="3"/>
  <c r="M60" i="3"/>
  <c r="S60" i="3"/>
  <c r="D61" i="3"/>
  <c r="F61" i="3" s="1"/>
  <c r="E61" i="3"/>
  <c r="G61" i="3"/>
  <c r="H61" i="3"/>
  <c r="I61" i="3"/>
  <c r="J61" i="3"/>
  <c r="L61" i="3"/>
  <c r="M61" i="3"/>
  <c r="S61" i="3"/>
  <c r="D62" i="3"/>
  <c r="F62" i="3" s="1"/>
  <c r="E62" i="3"/>
  <c r="G62" i="3" s="1"/>
  <c r="H62" i="3"/>
  <c r="I62" i="3"/>
  <c r="J62" i="3"/>
  <c r="K62" i="3"/>
  <c r="L62" i="3"/>
  <c r="M62" i="3"/>
  <c r="S62" i="3"/>
  <c r="D63" i="3"/>
  <c r="F63" i="3" s="1"/>
  <c r="E63" i="3"/>
  <c r="G63" i="3" s="1"/>
  <c r="H63" i="3"/>
  <c r="I63" i="3"/>
  <c r="J63" i="3"/>
  <c r="K63" i="3"/>
  <c r="L63" i="3"/>
  <c r="M63" i="3"/>
  <c r="S63" i="3"/>
  <c r="D64" i="3"/>
  <c r="F64" i="3" s="1"/>
  <c r="E64" i="3"/>
  <c r="G64" i="3" s="1"/>
  <c r="H64" i="3"/>
  <c r="I64" i="3"/>
  <c r="J64" i="3"/>
  <c r="L64" i="3"/>
  <c r="M64" i="3"/>
  <c r="S64" i="3"/>
  <c r="F8" i="2"/>
  <c r="G8" i="2"/>
  <c r="G12" i="2"/>
  <c r="H12" i="2" s="1"/>
  <c r="H15" i="2" s="1"/>
  <c r="G13" i="2"/>
  <c r="H13" i="2"/>
  <c r="G14" i="2"/>
  <c r="H14" i="2"/>
  <c r="G15" i="2"/>
  <c r="E19" i="2"/>
  <c r="E21" i="2" s="1"/>
  <c r="F19" i="2"/>
  <c r="G19" i="2"/>
  <c r="G21" i="2" s="1"/>
  <c r="H19" i="2"/>
  <c r="E20" i="2"/>
  <c r="F20" i="2" s="1"/>
  <c r="G20" i="2"/>
  <c r="H20" i="2" s="1"/>
  <c r="E25" i="2"/>
  <c r="F25" i="2"/>
  <c r="G25" i="2"/>
  <c r="H25" i="2" s="1"/>
  <c r="E26" i="2"/>
  <c r="F26" i="2"/>
  <c r="G26" i="2"/>
  <c r="H26" i="2" s="1"/>
  <c r="E27" i="2"/>
  <c r="G27" i="2" s="1"/>
  <c r="H27" i="2" s="1"/>
  <c r="F27" i="2"/>
  <c r="E28" i="2"/>
  <c r="F28" i="2"/>
  <c r="G28" i="2"/>
  <c r="H28" i="2"/>
  <c r="E29" i="2"/>
  <c r="E30" i="2"/>
  <c r="K1013" i="3" s="1"/>
  <c r="E31" i="2"/>
  <c r="F31" i="2"/>
  <c r="G31" i="2"/>
  <c r="H31" i="2"/>
  <c r="F39" i="2"/>
  <c r="G39" i="2"/>
  <c r="F41" i="2"/>
  <c r="G41" i="2"/>
  <c r="F6" i="1"/>
  <c r="G6" i="1"/>
  <c r="F7" i="1"/>
  <c r="G7" i="1"/>
  <c r="F8" i="1"/>
  <c r="G8" i="1"/>
  <c r="B60" i="1" s="1"/>
  <c r="E12" i="1"/>
  <c r="E13" i="1"/>
  <c r="E14" i="1"/>
  <c r="E15" i="1" s="1"/>
  <c r="E18" i="1"/>
  <c r="E19" i="1"/>
  <c r="E20" i="1"/>
  <c r="E25" i="1" s="1"/>
  <c r="E21" i="1"/>
  <c r="E22" i="1"/>
  <c r="E24" i="1"/>
  <c r="E28" i="1"/>
  <c r="E29" i="1"/>
  <c r="E30" i="1"/>
  <c r="E31" i="1"/>
  <c r="C39" i="1" s="1"/>
  <c r="D49" i="1"/>
  <c r="F49" i="1" a="1"/>
  <c r="F49" i="1" s="1"/>
  <c r="D50" i="1"/>
  <c r="D51" i="1"/>
  <c r="F64" i="1"/>
  <c r="H64" i="1" s="1"/>
  <c r="K883" i="3" l="1"/>
  <c r="K1061" i="3"/>
  <c r="K1208" i="3"/>
  <c r="K759" i="3"/>
  <c r="K1246" i="3"/>
  <c r="K161" i="3"/>
  <c r="K158" i="3"/>
  <c r="K155" i="3"/>
  <c r="K140" i="3"/>
  <c r="K260" i="3"/>
  <c r="K257" i="3"/>
  <c r="K254" i="3"/>
  <c r="K221" i="3"/>
  <c r="K312" i="3"/>
  <c r="K288" i="3"/>
  <c r="K277" i="3"/>
  <c r="K399" i="3"/>
  <c r="K393" i="3"/>
  <c r="K374" i="3"/>
  <c r="K353" i="3"/>
  <c r="K464" i="3"/>
  <c r="K418" i="3"/>
  <c r="K504" i="3"/>
  <c r="K567" i="3"/>
  <c r="K762" i="3"/>
  <c r="K749" i="3"/>
  <c r="K1064" i="3"/>
  <c r="K1358" i="3"/>
  <c r="K716" i="3"/>
  <c r="K1187" i="3"/>
  <c r="K8" i="3"/>
  <c r="K168" i="3"/>
  <c r="K159" i="3"/>
  <c r="K261" i="3"/>
  <c r="K258" i="3"/>
  <c r="K255" i="3"/>
  <c r="K240" i="3"/>
  <c r="K225" i="3"/>
  <c r="K222" i="3"/>
  <c r="K332" i="3"/>
  <c r="K321" i="3"/>
  <c r="K297" i="3"/>
  <c r="K403" i="3"/>
  <c r="K367" i="3"/>
  <c r="K337" i="3"/>
  <c r="K452" i="3"/>
  <c r="K424" i="3"/>
  <c r="K515" i="3"/>
  <c r="K485" i="3"/>
  <c r="K482" i="3"/>
  <c r="K579" i="3"/>
  <c r="K574" i="3"/>
  <c r="K670" i="3"/>
  <c r="K734" i="3"/>
  <c r="K805" i="3"/>
  <c r="K797" i="3"/>
  <c r="K243" i="3"/>
  <c r="K237" i="3"/>
  <c r="K234" i="3"/>
  <c r="K231" i="3"/>
  <c r="K228" i="3"/>
  <c r="K324" i="3"/>
  <c r="K270" i="3"/>
  <c r="K378" i="3"/>
  <c r="K362" i="3"/>
  <c r="K430" i="3"/>
  <c r="K427" i="3"/>
  <c r="K409" i="3"/>
  <c r="K529" i="3"/>
  <c r="K523" i="3"/>
  <c r="K518" i="3"/>
  <c r="K491" i="3"/>
  <c r="K488" i="3"/>
  <c r="K724" i="3"/>
  <c r="K719" i="3"/>
  <c r="K847" i="3"/>
  <c r="K1202" i="3"/>
  <c r="K19" i="3"/>
  <c r="K267" i="3"/>
  <c r="K252" i="3"/>
  <c r="K211" i="3"/>
  <c r="K335" i="3"/>
  <c r="K327" i="3"/>
  <c r="K273" i="3"/>
  <c r="K526" i="3"/>
  <c r="K494" i="3"/>
  <c r="K592" i="3"/>
  <c r="K582" i="3"/>
  <c r="K662" i="3"/>
  <c r="K737" i="3"/>
  <c r="K808" i="3"/>
  <c r="K834" i="3"/>
  <c r="K986" i="3"/>
  <c r="K1020" i="3"/>
  <c r="K1310" i="3"/>
  <c r="K130" i="3"/>
  <c r="K127" i="3"/>
  <c r="K384" i="3"/>
  <c r="K837" i="3"/>
  <c r="K991" i="3"/>
  <c r="K1240" i="3"/>
  <c r="K54" i="3"/>
  <c r="K25" i="3"/>
  <c r="K15" i="3"/>
  <c r="K5" i="3"/>
  <c r="K97" i="3"/>
  <c r="K75" i="3"/>
  <c r="K81" i="3"/>
  <c r="K78" i="3"/>
  <c r="K121" i="3"/>
  <c r="K118" i="3"/>
  <c r="K91" i="3"/>
  <c r="K178" i="3"/>
  <c r="K175" i="3"/>
  <c r="K64" i="3"/>
  <c r="K12" i="3"/>
  <c r="K112" i="3"/>
  <c r="K106" i="3"/>
  <c r="K88" i="3"/>
  <c r="K169" i="3"/>
  <c r="K205" i="3"/>
  <c r="K460" i="3"/>
  <c r="K412" i="3"/>
  <c r="K600" i="3"/>
  <c r="K673" i="3"/>
  <c r="K665" i="3"/>
  <c r="K727" i="3"/>
  <c r="K811" i="3"/>
  <c r="K55" i="3"/>
  <c r="K48" i="3"/>
  <c r="K45" i="3"/>
  <c r="K39" i="3"/>
  <c r="K29" i="3"/>
  <c r="K16" i="3"/>
  <c r="K82" i="3"/>
  <c r="K199" i="3"/>
  <c r="K187" i="3"/>
  <c r="K181" i="3"/>
  <c r="K166" i="3"/>
  <c r="K160" i="3"/>
  <c r="K148" i="3"/>
  <c r="K134" i="3"/>
  <c r="K220" i="3"/>
  <c r="K214" i="3"/>
  <c r="K298" i="3"/>
  <c r="K276" i="3"/>
  <c r="K368" i="3"/>
  <c r="K347" i="3"/>
  <c r="K503" i="3"/>
  <c r="K500" i="3"/>
  <c r="K553" i="3"/>
  <c r="K668" i="3"/>
  <c r="K627" i="3"/>
  <c r="K840" i="3"/>
  <c r="K890" i="3"/>
  <c r="K1016" i="3"/>
  <c r="F30" i="2"/>
  <c r="K1364" i="3"/>
  <c r="K1367" i="3"/>
  <c r="K1309" i="3"/>
  <c r="K1312" i="3"/>
  <c r="K1346" i="3"/>
  <c r="K1349" i="3"/>
  <c r="K1226" i="3"/>
  <c r="K1252" i="3"/>
  <c r="K1255" i="3"/>
  <c r="K1258" i="3"/>
  <c r="K1274" i="3"/>
  <c r="K1280" i="3"/>
  <c r="K1170" i="3"/>
  <c r="K1198" i="3"/>
  <c r="K1217" i="3"/>
  <c r="K1136" i="3"/>
  <c r="K1019" i="3"/>
  <c r="K1022" i="3"/>
  <c r="K1029" i="3"/>
  <c r="K1043" i="3"/>
  <c r="K1050" i="3"/>
  <c r="K1053" i="3"/>
  <c r="K1063" i="3"/>
  <c r="K1066" i="3"/>
  <c r="K1069" i="3"/>
  <c r="K1082" i="3"/>
  <c r="K956" i="3"/>
  <c r="K959" i="3"/>
  <c r="K962" i="3"/>
  <c r="K975" i="3"/>
  <c r="K886" i="3"/>
  <c r="K889" i="3"/>
  <c r="K926" i="3"/>
  <c r="K929" i="3"/>
  <c r="K932" i="3"/>
  <c r="K935" i="3"/>
  <c r="K938" i="3"/>
  <c r="K818" i="3"/>
  <c r="K846" i="3"/>
  <c r="K859" i="3"/>
  <c r="K868" i="3"/>
  <c r="K745" i="3"/>
  <c r="K758" i="3"/>
  <c r="K764" i="3"/>
  <c r="K767" i="3"/>
  <c r="K681" i="3"/>
  <c r="K690" i="3"/>
  <c r="K739" i="3"/>
  <c r="K619" i="3"/>
  <c r="K641" i="3"/>
  <c r="K644" i="3"/>
  <c r="K1361" i="3"/>
  <c r="K1370" i="3"/>
  <c r="K1373" i="3"/>
  <c r="K1306" i="3"/>
  <c r="K1315" i="3"/>
  <c r="K1352" i="3"/>
  <c r="K1355" i="3"/>
  <c r="K1229" i="3"/>
  <c r="K1239" i="3"/>
  <c r="K1242" i="3"/>
  <c r="K1261" i="3"/>
  <c r="K1283" i="3"/>
  <c r="K1154" i="3"/>
  <c r="K1160" i="3"/>
  <c r="K1173" i="3"/>
  <c r="K1176" i="3"/>
  <c r="K1179" i="3"/>
  <c r="K1201" i="3"/>
  <c r="K1220" i="3"/>
  <c r="K1087" i="3"/>
  <c r="K1093" i="3"/>
  <c r="K1099" i="3"/>
  <c r="K1102" i="3"/>
  <c r="K1105" i="3"/>
  <c r="K1108" i="3"/>
  <c r="K1142" i="3"/>
  <c r="K1036" i="3"/>
  <c r="K949" i="3"/>
  <c r="K978" i="3"/>
  <c r="K1012" i="3"/>
  <c r="K892" i="3"/>
  <c r="K895" i="3"/>
  <c r="K904" i="3"/>
  <c r="K821" i="3"/>
  <c r="K849" i="3"/>
  <c r="K871" i="3"/>
  <c r="K874" i="3"/>
  <c r="K748" i="3"/>
  <c r="K751" i="3"/>
  <c r="K777" i="3"/>
  <c r="K780" i="3"/>
  <c r="K790" i="3"/>
  <c r="K793" i="3"/>
  <c r="K810" i="3"/>
  <c r="K687" i="3"/>
  <c r="K742" i="3"/>
  <c r="K1318" i="3"/>
  <c r="K1324" i="3"/>
  <c r="K1330" i="3"/>
  <c r="K1333" i="3"/>
  <c r="K1232" i="3"/>
  <c r="K1235" i="3"/>
  <c r="K1245" i="3"/>
  <c r="K1248" i="3"/>
  <c r="K1264" i="3"/>
  <c r="K1267" i="3"/>
  <c r="K1270" i="3"/>
  <c r="K1286" i="3"/>
  <c r="K1157" i="3"/>
  <c r="K1182" i="3"/>
  <c r="K1204" i="3"/>
  <c r="K1207" i="3"/>
  <c r="K1090" i="3"/>
  <c r="K1096" i="3"/>
  <c r="K1126" i="3"/>
  <c r="K1139" i="3"/>
  <c r="K1148" i="3"/>
  <c r="K1151" i="3"/>
  <c r="K1025" i="3"/>
  <c r="K1032" i="3"/>
  <c r="K1072" i="3"/>
  <c r="K1075" i="3"/>
  <c r="K1078" i="3"/>
  <c r="K952" i="3"/>
  <c r="K965" i="3"/>
  <c r="K968" i="3"/>
  <c r="K981" i="3"/>
  <c r="K984" i="3"/>
  <c r="K990" i="3"/>
  <c r="K1015" i="3"/>
  <c r="K898" i="3"/>
  <c r="K901" i="3"/>
  <c r="K907" i="3"/>
  <c r="K910" i="3"/>
  <c r="K814" i="3"/>
  <c r="K824" i="3"/>
  <c r="K827" i="3"/>
  <c r="K830" i="3"/>
  <c r="K833" i="3"/>
  <c r="K836" i="3"/>
  <c r="K839" i="3"/>
  <c r="K855" i="3"/>
  <c r="K770" i="3"/>
  <c r="K783" i="3"/>
  <c r="K800" i="3"/>
  <c r="K803" i="3"/>
  <c r="K677" i="3"/>
  <c r="K693" i="3"/>
  <c r="K696" i="3"/>
  <c r="K699" i="3"/>
  <c r="K705" i="3"/>
  <c r="K609" i="3"/>
  <c r="K615" i="3"/>
  <c r="K628" i="3"/>
  <c r="K631" i="3"/>
  <c r="K1290" i="3"/>
  <c r="K1293" i="3"/>
  <c r="K1296" i="3"/>
  <c r="K1302" i="3"/>
  <c r="K1321" i="3"/>
  <c r="K1327" i="3"/>
  <c r="K1336" i="3"/>
  <c r="K1339" i="3"/>
  <c r="K1342" i="3"/>
  <c r="K1222" i="3"/>
  <c r="K1251" i="3"/>
  <c r="K1166" i="3"/>
  <c r="K1185" i="3"/>
  <c r="K1188" i="3"/>
  <c r="K1191" i="3"/>
  <c r="K1210" i="3"/>
  <c r="K1111" i="3"/>
  <c r="K1114" i="3"/>
  <c r="K1120" i="3"/>
  <c r="K1123" i="3"/>
  <c r="K1129" i="3"/>
  <c r="K1135" i="3"/>
  <c r="K1145" i="3"/>
  <c r="K1046" i="3"/>
  <c r="K1056" i="3"/>
  <c r="K955" i="3"/>
  <c r="K971" i="3"/>
  <c r="K987" i="3"/>
  <c r="K996" i="3"/>
  <c r="K999" i="3"/>
  <c r="K1002" i="3"/>
  <c r="K1008" i="3"/>
  <c r="K882" i="3"/>
  <c r="K913" i="3"/>
  <c r="K916" i="3"/>
  <c r="K919" i="3"/>
  <c r="K941" i="3"/>
  <c r="K944" i="3"/>
  <c r="K947" i="3"/>
  <c r="K852" i="3"/>
  <c r="K877" i="3"/>
  <c r="K754" i="3"/>
  <c r="K773" i="3"/>
  <c r="K786" i="3"/>
  <c r="K806" i="3"/>
  <c r="K702" i="3"/>
  <c r="K708" i="3"/>
  <c r="K711" i="3"/>
  <c r="K714" i="3"/>
  <c r="K726" i="3"/>
  <c r="K729" i="3"/>
  <c r="K732" i="3"/>
  <c r="K612" i="3"/>
  <c r="K618" i="3"/>
  <c r="K1357" i="3"/>
  <c r="K1360" i="3"/>
  <c r="K1299" i="3"/>
  <c r="K1305" i="3"/>
  <c r="K1348" i="3"/>
  <c r="K1228" i="3"/>
  <c r="K1257" i="3"/>
  <c r="K1276" i="3"/>
  <c r="K1153" i="3"/>
  <c r="K1163" i="3"/>
  <c r="K1194" i="3"/>
  <c r="K1213" i="3"/>
  <c r="K1216" i="3"/>
  <c r="K1117" i="3"/>
  <c r="K1132" i="3"/>
  <c r="K1018" i="3"/>
  <c r="K1039" i="3"/>
  <c r="K1059" i="3"/>
  <c r="K1065" i="3"/>
  <c r="K993" i="3"/>
  <c r="K1005" i="3"/>
  <c r="K1011" i="3"/>
  <c r="K922" i="3"/>
  <c r="K925" i="3"/>
  <c r="K928" i="3"/>
  <c r="K931" i="3"/>
  <c r="K842" i="3"/>
  <c r="K858" i="3"/>
  <c r="K861" i="3"/>
  <c r="K864" i="3"/>
  <c r="K867" i="3"/>
  <c r="K880" i="3"/>
  <c r="K757" i="3"/>
  <c r="K760" i="3"/>
  <c r="K776" i="3"/>
  <c r="K789" i="3"/>
  <c r="K796" i="3"/>
  <c r="K809" i="3"/>
  <c r="K680" i="3"/>
  <c r="K683" i="3"/>
  <c r="K717" i="3"/>
  <c r="K720" i="3"/>
  <c r="K723" i="3"/>
  <c r="K735" i="3"/>
  <c r="K738" i="3"/>
  <c r="K741" i="3"/>
  <c r="K621" i="3"/>
  <c r="K624" i="3"/>
  <c r="K634" i="3"/>
  <c r="K637" i="3"/>
  <c r="K1363" i="3"/>
  <c r="K1366" i="3"/>
  <c r="K1369" i="3"/>
  <c r="K1372" i="3"/>
  <c r="K1308" i="3"/>
  <c r="K1311" i="3"/>
  <c r="K1345" i="3"/>
  <c r="K1351" i="3"/>
  <c r="K1354" i="3"/>
  <c r="K1225" i="3"/>
  <c r="K1238" i="3"/>
  <c r="K1254" i="3"/>
  <c r="K1263" i="3"/>
  <c r="K1273" i="3"/>
  <c r="K1279" i="3"/>
  <c r="K1282" i="3"/>
  <c r="K1285" i="3"/>
  <c r="K1169" i="3"/>
  <c r="K1172" i="3"/>
  <c r="K1175" i="3"/>
  <c r="K1197" i="3"/>
  <c r="K1200" i="3"/>
  <c r="K1219" i="3"/>
  <c r="K1086" i="3"/>
  <c r="K1021" i="3"/>
  <c r="K1028" i="3"/>
  <c r="K1042" i="3"/>
  <c r="K1049" i="3"/>
  <c r="K1052" i="3"/>
  <c r="K1062" i="3"/>
  <c r="K1068" i="3"/>
  <c r="K1081" i="3"/>
  <c r="K958" i="3"/>
  <c r="K961" i="3"/>
  <c r="K964" i="3"/>
  <c r="K974" i="3"/>
  <c r="K980" i="3"/>
  <c r="K885" i="3"/>
  <c r="K888" i="3"/>
  <c r="K891" i="3"/>
  <c r="K897" i="3"/>
  <c r="K934" i="3"/>
  <c r="K937" i="3"/>
  <c r="K817" i="3"/>
  <c r="K820" i="3"/>
  <c r="K845" i="3"/>
  <c r="K848" i="3"/>
  <c r="K870" i="3"/>
  <c r="K747" i="3"/>
  <c r="K763" i="3"/>
  <c r="K766" i="3"/>
  <c r="K799" i="3"/>
  <c r="K689" i="3"/>
  <c r="K692" i="3"/>
  <c r="K1314" i="3"/>
  <c r="K1317" i="3"/>
  <c r="K1326" i="3"/>
  <c r="K1231" i="3"/>
  <c r="K1241" i="3"/>
  <c r="K1244" i="3"/>
  <c r="K1260" i="3"/>
  <c r="K1159" i="3"/>
  <c r="K1178" i="3"/>
  <c r="K1181" i="3"/>
  <c r="K1203" i="3"/>
  <c r="K1092" i="3"/>
  <c r="K1098" i="3"/>
  <c r="K1101" i="3"/>
  <c r="K1104" i="3"/>
  <c r="K1107" i="3"/>
  <c r="K1128" i="3"/>
  <c r="K1141" i="3"/>
  <c r="K1144" i="3"/>
  <c r="K1024" i="3"/>
  <c r="K1035" i="3"/>
  <c r="K1055" i="3"/>
  <c r="K1071" i="3"/>
  <c r="K1074" i="3"/>
  <c r="K1084" i="3"/>
  <c r="K977" i="3"/>
  <c r="K894" i="3"/>
  <c r="K900" i="3"/>
  <c r="K903" i="3"/>
  <c r="K940" i="3"/>
  <c r="K829" i="3"/>
  <c r="K832" i="3"/>
  <c r="K835" i="3"/>
  <c r="K851" i="3"/>
  <c r="K873" i="3"/>
  <c r="K750" i="3"/>
  <c r="K753" i="3"/>
  <c r="K779" i="3"/>
  <c r="K782" i="3"/>
  <c r="K785" i="3"/>
  <c r="K792" i="3"/>
  <c r="K802" i="3"/>
  <c r="K812" i="3"/>
  <c r="K686" i="3"/>
  <c r="K698" i="3"/>
  <c r="K611" i="3"/>
  <c r="K655" i="3"/>
  <c r="K658" i="3"/>
  <c r="K544" i="3"/>
  <c r="K547" i="3"/>
  <c r="K550" i="3"/>
  <c r="K587" i="3"/>
  <c r="K596" i="3"/>
  <c r="K602" i="3"/>
  <c r="K1289" i="3"/>
  <c r="K1295" i="3"/>
  <c r="K1298" i="3"/>
  <c r="K1323" i="3"/>
  <c r="K1329" i="3"/>
  <c r="K1332" i="3"/>
  <c r="K1221" i="3"/>
  <c r="K1234" i="3"/>
  <c r="K1247" i="3"/>
  <c r="K1266" i="3"/>
  <c r="K1269" i="3"/>
  <c r="K1156" i="3"/>
  <c r="K1184" i="3"/>
  <c r="K1206" i="3"/>
  <c r="K1209" i="3"/>
  <c r="K1089" i="3"/>
  <c r="K1095" i="3"/>
  <c r="K1113" i="3"/>
  <c r="K1125" i="3"/>
  <c r="K1138" i="3"/>
  <c r="K1147" i="3"/>
  <c r="K1150" i="3"/>
  <c r="K1031" i="3"/>
  <c r="K1045" i="3"/>
  <c r="K1077" i="3"/>
  <c r="K951" i="3"/>
  <c r="K954" i="3"/>
  <c r="K967" i="3"/>
  <c r="K970" i="3"/>
  <c r="K983" i="3"/>
  <c r="K989" i="3"/>
  <c r="K992" i="3"/>
  <c r="K1004" i="3"/>
  <c r="K1014" i="3"/>
  <c r="K906" i="3"/>
  <c r="K909" i="3"/>
  <c r="K918" i="3"/>
  <c r="K813" i="3"/>
  <c r="K823" i="3"/>
  <c r="K826" i="3"/>
  <c r="K838" i="3"/>
  <c r="K854" i="3"/>
  <c r="K857" i="3"/>
  <c r="K876" i="3"/>
  <c r="K769" i="3"/>
  <c r="K772" i="3"/>
  <c r="K795" i="3"/>
  <c r="K695" i="3"/>
  <c r="K704" i="3"/>
  <c r="K713" i="3"/>
  <c r="K731" i="3"/>
  <c r="K744" i="3"/>
  <c r="K614" i="3"/>
  <c r="K617" i="3"/>
  <c r="K1368" i="3"/>
  <c r="K1319" i="3"/>
  <c r="K1335" i="3"/>
  <c r="K1356" i="3"/>
  <c r="K1287" i="3"/>
  <c r="K1218" i="3"/>
  <c r="K1110" i="3"/>
  <c r="K1137" i="3"/>
  <c r="K1076" i="3"/>
  <c r="K988" i="3"/>
  <c r="K924" i="3"/>
  <c r="K948" i="3"/>
  <c r="K844" i="3"/>
  <c r="K865" i="3"/>
  <c r="K791" i="3"/>
  <c r="K688" i="3"/>
  <c r="K712" i="3"/>
  <c r="K622" i="3"/>
  <c r="K625" i="3"/>
  <c r="K645" i="3"/>
  <c r="K551" i="3"/>
  <c r="K573" i="3"/>
  <c r="K585" i="3"/>
  <c r="K483" i="3"/>
  <c r="K496" i="3"/>
  <c r="K499" i="3"/>
  <c r="K506" i="3"/>
  <c r="K519" i="3"/>
  <c r="K522" i="3"/>
  <c r="K532" i="3"/>
  <c r="K429" i="3"/>
  <c r="K436" i="3"/>
  <c r="K439" i="3"/>
  <c r="K458" i="3"/>
  <c r="K465" i="3"/>
  <c r="K1340" i="3"/>
  <c r="K1353" i="3"/>
  <c r="K1236" i="3"/>
  <c r="K1268" i="3"/>
  <c r="K1281" i="3"/>
  <c r="K1162" i="3"/>
  <c r="K1183" i="3"/>
  <c r="K1199" i="3"/>
  <c r="K1115" i="3"/>
  <c r="K1134" i="3"/>
  <c r="K1033" i="3"/>
  <c r="K1044" i="3"/>
  <c r="K1073" i="3"/>
  <c r="K972" i="3"/>
  <c r="K1001" i="3"/>
  <c r="K1009" i="3"/>
  <c r="K887" i="3"/>
  <c r="K908" i="3"/>
  <c r="K945" i="3"/>
  <c r="K825" i="3"/>
  <c r="K841" i="3"/>
  <c r="K756" i="3"/>
  <c r="K774" i="3"/>
  <c r="K788" i="3"/>
  <c r="K728" i="3"/>
  <c r="K736" i="3"/>
  <c r="K642" i="3"/>
  <c r="K648" i="3"/>
  <c r="K651" i="3"/>
  <c r="K654" i="3"/>
  <c r="K657" i="3"/>
  <c r="K660" i="3"/>
  <c r="K663" i="3"/>
  <c r="K666" i="3"/>
  <c r="K672" i="3"/>
  <c r="K548" i="3"/>
  <c r="K605" i="3"/>
  <c r="K476" i="3"/>
  <c r="K486" i="3"/>
  <c r="K509" i="3"/>
  <c r="K1303" i="3"/>
  <c r="K1316" i="3"/>
  <c r="K1167" i="3"/>
  <c r="K1180" i="3"/>
  <c r="K1215" i="3"/>
  <c r="K1097" i="3"/>
  <c r="K1030" i="3"/>
  <c r="K1060" i="3"/>
  <c r="K969" i="3"/>
  <c r="K985" i="3"/>
  <c r="K998" i="3"/>
  <c r="K1006" i="3"/>
  <c r="K921" i="3"/>
  <c r="K942" i="3"/>
  <c r="K862" i="3"/>
  <c r="K761" i="3"/>
  <c r="K709" i="3"/>
  <c r="K725" i="3"/>
  <c r="K733" i="3"/>
  <c r="K616" i="3"/>
  <c r="K639" i="3"/>
  <c r="K669" i="3"/>
  <c r="K554" i="3"/>
  <c r="K557" i="3"/>
  <c r="K560" i="3"/>
  <c r="K563" i="3"/>
  <c r="K566" i="3"/>
  <c r="K569" i="3"/>
  <c r="K593" i="3"/>
  <c r="K479" i="3"/>
  <c r="K489" i="3"/>
  <c r="K502" i="3"/>
  <c r="K525" i="3"/>
  <c r="K528" i="3"/>
  <c r="K538" i="3"/>
  <c r="K405" i="3"/>
  <c r="K445" i="3"/>
  <c r="K461" i="3"/>
  <c r="K471" i="3"/>
  <c r="K352" i="3"/>
  <c r="K365" i="3"/>
  <c r="K388" i="3"/>
  <c r="K300" i="3"/>
  <c r="K303" i="3"/>
  <c r="K306" i="3"/>
  <c r="K336" i="3"/>
  <c r="K223" i="3"/>
  <c r="K233" i="3"/>
  <c r="K236" i="3"/>
  <c r="K246" i="3"/>
  <c r="K249" i="3"/>
  <c r="K136" i="3"/>
  <c r="K143" i="3"/>
  <c r="K1365" i="3"/>
  <c r="K1300" i="3"/>
  <c r="K1337" i="3"/>
  <c r="K1350" i="3"/>
  <c r="K1249" i="3"/>
  <c r="K1212" i="3"/>
  <c r="K1112" i="3"/>
  <c r="K1131" i="3"/>
  <c r="K1057" i="3"/>
  <c r="K1070" i="3"/>
  <c r="K905" i="3"/>
  <c r="K939" i="3"/>
  <c r="K878" i="3"/>
  <c r="K771" i="3"/>
  <c r="K807" i="3"/>
  <c r="K685" i="3"/>
  <c r="K701" i="3"/>
  <c r="K706" i="3"/>
  <c r="K542" i="3"/>
  <c r="K545" i="3"/>
  <c r="K572" i="3"/>
  <c r="K578" i="3"/>
  <c r="K581" i="3"/>
  <c r="K584" i="3"/>
  <c r="K590" i="3"/>
  <c r="K608" i="3"/>
  <c r="K1292" i="3"/>
  <c r="K1233" i="3"/>
  <c r="K1262" i="3"/>
  <c r="K1265" i="3"/>
  <c r="K1278" i="3"/>
  <c r="K1164" i="3"/>
  <c r="K1196" i="3"/>
  <c r="K1152" i="3"/>
  <c r="K1027" i="3"/>
  <c r="K1041" i="3"/>
  <c r="K1054" i="3"/>
  <c r="K953" i="3"/>
  <c r="K982" i="3"/>
  <c r="K995" i="3"/>
  <c r="K1003" i="3"/>
  <c r="K881" i="3"/>
  <c r="K884" i="3"/>
  <c r="K822" i="3"/>
  <c r="K843" i="3"/>
  <c r="K875" i="3"/>
  <c r="K801" i="3"/>
  <c r="K804" i="3"/>
  <c r="K682" i="3"/>
  <c r="K722" i="3"/>
  <c r="K730" i="3"/>
  <c r="K633" i="3"/>
  <c r="K636" i="3"/>
  <c r="K675" i="3"/>
  <c r="K575" i="3"/>
  <c r="K599" i="3"/>
  <c r="K521" i="3"/>
  <c r="K415" i="3"/>
  <c r="K451" i="3"/>
  <c r="K454" i="3"/>
  <c r="K457" i="3"/>
  <c r="K338" i="3"/>
  <c r="K358" i="3"/>
  <c r="K394" i="3"/>
  <c r="K281" i="3"/>
  <c r="K284" i="3"/>
  <c r="K287" i="3"/>
  <c r="K320" i="3"/>
  <c r="K216" i="3"/>
  <c r="K226" i="3"/>
  <c r="K229" i="3"/>
  <c r="K239" i="3"/>
  <c r="K242" i="3"/>
  <c r="K265" i="3"/>
  <c r="K139" i="3"/>
  <c r="K1297" i="3"/>
  <c r="K1313" i="3"/>
  <c r="K1331" i="3"/>
  <c r="K1334" i="3"/>
  <c r="K1347" i="3"/>
  <c r="K1275" i="3"/>
  <c r="K1161" i="3"/>
  <c r="K1177" i="3"/>
  <c r="K1193" i="3"/>
  <c r="K1094" i="3"/>
  <c r="K1109" i="3"/>
  <c r="K1038" i="3"/>
  <c r="K966" i="3"/>
  <c r="K979" i="3"/>
  <c r="K902" i="3"/>
  <c r="K915" i="3"/>
  <c r="K923" i="3"/>
  <c r="K936" i="3"/>
  <c r="K819" i="3"/>
  <c r="K755" i="3"/>
  <c r="K784" i="3"/>
  <c r="K787" i="3"/>
  <c r="K798" i="3"/>
  <c r="K613" i="3"/>
  <c r="K630" i="3"/>
  <c r="K656" i="3"/>
  <c r="K659" i="3"/>
  <c r="K475" i="3"/>
  <c r="K1359" i="3"/>
  <c r="K1294" i="3"/>
  <c r="K1227" i="3"/>
  <c r="K1259" i="3"/>
  <c r="K1158" i="3"/>
  <c r="K1174" i="3"/>
  <c r="K1091" i="3"/>
  <c r="K1106" i="3"/>
  <c r="K1122" i="3"/>
  <c r="K1127" i="3"/>
  <c r="K1130" i="3"/>
  <c r="K1083" i="3"/>
  <c r="K976" i="3"/>
  <c r="K997" i="3"/>
  <c r="K899" i="3"/>
  <c r="K912" i="3"/>
  <c r="K920" i="3"/>
  <c r="K1341" i="3"/>
  <c r="K1224" i="3"/>
  <c r="K1237" i="3"/>
  <c r="K1288" i="3"/>
  <c r="K1155" i="3"/>
  <c r="K1192" i="3"/>
  <c r="K1088" i="3"/>
  <c r="K1103" i="3"/>
  <c r="K1116" i="3"/>
  <c r="K1124" i="3"/>
  <c r="K1143" i="3"/>
  <c r="K1037" i="3"/>
  <c r="K973" i="3"/>
  <c r="K1010" i="3"/>
  <c r="K893" i="3"/>
  <c r="K914" i="3"/>
  <c r="K930" i="3"/>
  <c r="K831" i="3"/>
  <c r="K850" i="3"/>
  <c r="K866" i="3"/>
  <c r="K746" i="3"/>
  <c r="K778" i="3"/>
  <c r="K678" i="3"/>
  <c r="K1371" i="3"/>
  <c r="K1301" i="3"/>
  <c r="K1304" i="3"/>
  <c r="K1322" i="3"/>
  <c r="K1338" i="3"/>
  <c r="K1250" i="3"/>
  <c r="K1253" i="3"/>
  <c r="K1168" i="3"/>
  <c r="K1085" i="3"/>
  <c r="K1121" i="3"/>
  <c r="K1140" i="3"/>
  <c r="K1343" i="3"/>
  <c r="K1230" i="3"/>
  <c r="K1040" i="3"/>
  <c r="K1000" i="3"/>
  <c r="K869" i="3"/>
  <c r="K794" i="3"/>
  <c r="K718" i="3"/>
  <c r="K661" i="3"/>
  <c r="K561" i="3"/>
  <c r="K564" i="3"/>
  <c r="K597" i="3"/>
  <c r="K511" i="3"/>
  <c r="K520" i="3"/>
  <c r="K535" i="3"/>
  <c r="K408" i="3"/>
  <c r="K411" i="3"/>
  <c r="K420" i="3"/>
  <c r="K433" i="3"/>
  <c r="K463" i="3"/>
  <c r="K466" i="3"/>
  <c r="K355" i="3"/>
  <c r="K361" i="3"/>
  <c r="K383" i="3"/>
  <c r="K386" i="3"/>
  <c r="K389" i="3"/>
  <c r="K402" i="3"/>
  <c r="K279" i="3"/>
  <c r="K290" i="3"/>
  <c r="K308" i="3"/>
  <c r="K201" i="3"/>
  <c r="K262" i="3"/>
  <c r="K268" i="3"/>
  <c r="K135" i="3"/>
  <c r="K138" i="3"/>
  <c r="K151" i="3"/>
  <c r="K154" i="3"/>
  <c r="K177" i="3"/>
  <c r="K200" i="3"/>
  <c r="K84" i="3"/>
  <c r="K100" i="3"/>
  <c r="K103" i="3"/>
  <c r="K110" i="3"/>
  <c r="K113" i="3"/>
  <c r="K123" i="3"/>
  <c r="K22" i="3"/>
  <c r="K36" i="3"/>
  <c r="K269" i="3"/>
  <c r="K334" i="3"/>
  <c r="K144" i="3"/>
  <c r="K157" i="3"/>
  <c r="K167" i="3"/>
  <c r="K183" i="3"/>
  <c r="K190" i="3"/>
  <c r="K193" i="3"/>
  <c r="K196" i="3"/>
  <c r="K67" i="3"/>
  <c r="K1189" i="3"/>
  <c r="K1058" i="3"/>
  <c r="K816" i="3"/>
  <c r="K715" i="3"/>
  <c r="K632" i="3"/>
  <c r="K653" i="3"/>
  <c r="K558" i="3"/>
  <c r="K586" i="3"/>
  <c r="K478" i="3"/>
  <c r="K481" i="3"/>
  <c r="K508" i="3"/>
  <c r="K514" i="3"/>
  <c r="K414" i="3"/>
  <c r="K417" i="3"/>
  <c r="K423" i="3"/>
  <c r="K448" i="3"/>
  <c r="K469" i="3"/>
  <c r="K472" i="3"/>
  <c r="K346" i="3"/>
  <c r="K349" i="3"/>
  <c r="K370" i="3"/>
  <c r="K392" i="3"/>
  <c r="K305" i="3"/>
  <c r="K147" i="3"/>
  <c r="K164" i="3"/>
  <c r="K180" i="3"/>
  <c r="K1328" i="3"/>
  <c r="K1100" i="3"/>
  <c r="K950" i="3"/>
  <c r="K960" i="3"/>
  <c r="K1007" i="3"/>
  <c r="K828" i="3"/>
  <c r="K879" i="3"/>
  <c r="K781" i="3"/>
  <c r="K697" i="3"/>
  <c r="K700" i="3"/>
  <c r="K710" i="3"/>
  <c r="K555" i="3"/>
  <c r="K583" i="3"/>
  <c r="K591" i="3"/>
  <c r="K594" i="3"/>
  <c r="K484" i="3"/>
  <c r="K487" i="3"/>
  <c r="K505" i="3"/>
  <c r="K517" i="3"/>
  <c r="K426" i="3"/>
  <c r="K459" i="3"/>
  <c r="K339" i="3"/>
  <c r="K373" i="3"/>
  <c r="K395" i="3"/>
  <c r="K398" i="3"/>
  <c r="K293" i="3"/>
  <c r="K296" i="3"/>
  <c r="K299" i="3"/>
  <c r="K302" i="3"/>
  <c r="K319" i="3"/>
  <c r="K322" i="3"/>
  <c r="K325" i="3"/>
  <c r="K331" i="3"/>
  <c r="K1291" i="3"/>
  <c r="K1277" i="3"/>
  <c r="K1186" i="3"/>
  <c r="K1047" i="3"/>
  <c r="K856" i="3"/>
  <c r="K679" i="3"/>
  <c r="K684" i="3"/>
  <c r="K610" i="3"/>
  <c r="K623" i="3"/>
  <c r="K626" i="3"/>
  <c r="K629" i="3"/>
  <c r="K650" i="3"/>
  <c r="K552" i="3"/>
  <c r="K580" i="3"/>
  <c r="K490" i="3"/>
  <c r="K493" i="3"/>
  <c r="K531" i="3"/>
  <c r="K432" i="3"/>
  <c r="K442" i="3"/>
  <c r="K462" i="3"/>
  <c r="K342" i="3"/>
  <c r="K379" i="3"/>
  <c r="K382" i="3"/>
  <c r="K278" i="3"/>
  <c r="K316" i="3"/>
  <c r="K328" i="3"/>
  <c r="K213" i="3"/>
  <c r="K1325" i="3"/>
  <c r="K1272" i="3"/>
  <c r="K1171" i="3"/>
  <c r="K1214" i="3"/>
  <c r="K1119" i="3"/>
  <c r="K1149" i="3"/>
  <c r="K768" i="3"/>
  <c r="K707" i="3"/>
  <c r="K549" i="3"/>
  <c r="K588" i="3"/>
  <c r="K510" i="3"/>
  <c r="K534" i="3"/>
  <c r="K407" i="3"/>
  <c r="K456" i="3"/>
  <c r="K357" i="3"/>
  <c r="K360" i="3"/>
  <c r="K363" i="3"/>
  <c r="K366" i="3"/>
  <c r="K376" i="3"/>
  <c r="K385" i="3"/>
  <c r="K401" i="3"/>
  <c r="K272" i="3"/>
  <c r="K275" i="3"/>
  <c r="K310" i="3"/>
  <c r="K313" i="3"/>
  <c r="K1362" i="3"/>
  <c r="K1374" i="3"/>
  <c r="K1320" i="3"/>
  <c r="K1284" i="3"/>
  <c r="K1023" i="3"/>
  <c r="K1026" i="3"/>
  <c r="K1034" i="3"/>
  <c r="K957" i="3"/>
  <c r="K946" i="3"/>
  <c r="K815" i="3"/>
  <c r="K691" i="3"/>
  <c r="K694" i="3"/>
  <c r="K743" i="3"/>
  <c r="K647" i="3"/>
  <c r="K541" i="3"/>
  <c r="K577" i="3"/>
  <c r="K607" i="3"/>
  <c r="K513" i="3"/>
  <c r="K516" i="3"/>
  <c r="K540" i="3"/>
  <c r="K410" i="3"/>
  <c r="K419" i="3"/>
  <c r="K435" i="3"/>
  <c r="K453" i="3"/>
  <c r="K345" i="3"/>
  <c r="K351" i="3"/>
  <c r="K354" i="3"/>
  <c r="K391" i="3"/>
  <c r="K289" i="3"/>
  <c r="K292" i="3"/>
  <c r="K307" i="3"/>
  <c r="K1080" i="3"/>
  <c r="K994" i="3"/>
  <c r="K896" i="3"/>
  <c r="K911" i="3"/>
  <c r="K933" i="3"/>
  <c r="K853" i="3"/>
  <c r="K863" i="3"/>
  <c r="K740" i="3"/>
  <c r="K620" i="3"/>
  <c r="K652" i="3"/>
  <c r="K671" i="3"/>
  <c r="K604" i="3"/>
  <c r="K477" i="3"/>
  <c r="K480" i="3"/>
  <c r="K501" i="3"/>
  <c r="K507" i="3"/>
  <c r="K537" i="3"/>
  <c r="K413" i="3"/>
  <c r="K416" i="3"/>
  <c r="K422" i="3"/>
  <c r="K425" i="3"/>
  <c r="K428" i="3"/>
  <c r="K438" i="3"/>
  <c r="K441" i="3"/>
  <c r="K447" i="3"/>
  <c r="K450" i="3"/>
  <c r="K468" i="3"/>
  <c r="K348" i="3"/>
  <c r="K369" i="3"/>
  <c r="K372" i="3"/>
  <c r="K404" i="3"/>
  <c r="K295" i="3"/>
  <c r="K304" i="3"/>
  <c r="K333" i="3"/>
  <c r="K156" i="3"/>
  <c r="K179" i="3"/>
  <c r="K182" i="3"/>
  <c r="K192" i="3"/>
  <c r="K66" i="3"/>
  <c r="K79" i="3"/>
  <c r="K105" i="3"/>
  <c r="K115" i="3"/>
  <c r="K125" i="3"/>
  <c r="K31" i="3"/>
  <c r="K41" i="3"/>
  <c r="K47" i="3"/>
  <c r="K58" i="3"/>
  <c r="K1211" i="3"/>
  <c r="K1146" i="3"/>
  <c r="K1067" i="3"/>
  <c r="K943" i="3"/>
  <c r="K765" i="3"/>
  <c r="K775" i="3"/>
  <c r="K1243" i="3"/>
  <c r="K1165" i="3"/>
  <c r="K1190" i="3"/>
  <c r="K1195" i="3"/>
  <c r="K1205" i="3"/>
  <c r="K1133" i="3"/>
  <c r="K1017" i="3"/>
  <c r="K1051" i="3"/>
  <c r="K1079" i="3"/>
  <c r="K1048" i="3"/>
  <c r="K963" i="3"/>
  <c r="K917" i="3"/>
  <c r="K38" i="3"/>
  <c r="E32" i="2"/>
  <c r="K35" i="3"/>
  <c r="K124" i="3"/>
  <c r="K195" i="3"/>
  <c r="K61" i="3"/>
  <c r="K51" i="3"/>
  <c r="K32" i="3"/>
  <c r="K109" i="3"/>
  <c r="K94" i="3"/>
  <c r="K172" i="3"/>
  <c r="K264" i="3"/>
  <c r="K9" i="3"/>
  <c r="K72" i="3"/>
  <c r="K69" i="3"/>
  <c r="K163" i="3"/>
  <c r="K142" i="3"/>
  <c r="K208" i="3"/>
  <c r="K330" i="3"/>
  <c r="K381" i="3"/>
  <c r="K344" i="3"/>
  <c r="K341" i="3"/>
  <c r="K455" i="3"/>
  <c r="K497" i="3"/>
  <c r="K595" i="3"/>
  <c r="K676" i="3"/>
  <c r="K52" i="3"/>
  <c r="K42" i="3"/>
  <c r="K26" i="3"/>
  <c r="K6" i="3"/>
  <c r="K3" i="3"/>
  <c r="K131" i="3"/>
  <c r="K98" i="3"/>
  <c r="K85" i="3"/>
  <c r="K76" i="3"/>
  <c r="K184" i="3"/>
  <c r="K145" i="3"/>
  <c r="K259" i="3"/>
  <c r="K256" i="3"/>
  <c r="K253" i="3"/>
  <c r="K247" i="3"/>
  <c r="K244" i="3"/>
  <c r="K241" i="3"/>
  <c r="K232" i="3"/>
  <c r="K217" i="3"/>
  <c r="K202" i="3"/>
  <c r="K311" i="3"/>
  <c r="K301" i="3"/>
  <c r="K387" i="3"/>
  <c r="K437" i="3"/>
  <c r="K524" i="3"/>
  <c r="K603" i="3"/>
  <c r="K556" i="3"/>
  <c r="K543" i="3"/>
  <c r="K872" i="3"/>
  <c r="K860" i="3"/>
  <c r="K1223" i="3"/>
  <c r="K1344" i="3"/>
  <c r="D2" i="4"/>
  <c r="K2" i="4"/>
  <c r="B3" i="4" s="1"/>
  <c r="K3" i="4" s="1"/>
  <c r="B4" i="4" s="1"/>
  <c r="O2" i="3"/>
  <c r="P2" i="3"/>
  <c r="C3" i="3" s="1"/>
  <c r="P3" i="3" s="1"/>
  <c r="C4" i="3" s="1"/>
  <c r="P4" i="3" s="1"/>
  <c r="C5" i="3" s="1"/>
  <c r="P5" i="3" s="1"/>
  <c r="C6" i="3" s="1"/>
  <c r="P6" i="3" s="1"/>
  <c r="C7" i="3" s="1"/>
  <c r="P7" i="3" s="1"/>
  <c r="C8" i="3" s="1"/>
  <c r="P8" i="3" s="1"/>
  <c r="C9" i="3" s="1"/>
  <c r="P9" i="3" s="1"/>
  <c r="C10" i="3" s="1"/>
  <c r="P10" i="3" s="1"/>
  <c r="C11" i="3" s="1"/>
  <c r="P11" i="3" s="1"/>
  <c r="C12" i="3" s="1"/>
  <c r="P12" i="3" s="1"/>
  <c r="C13" i="3" s="1"/>
  <c r="P13" i="3" s="1"/>
  <c r="C14" i="3" s="1"/>
  <c r="P14" i="3" s="1"/>
  <c r="C15" i="3" s="1"/>
  <c r="P15" i="3" s="1"/>
  <c r="C16" i="3" s="1"/>
  <c r="P16" i="3" s="1"/>
  <c r="C17" i="3" s="1"/>
  <c r="P17" i="3" s="1"/>
  <c r="C18" i="3" s="1"/>
  <c r="P18" i="3" s="1"/>
  <c r="C19" i="3" s="1"/>
  <c r="P19" i="3" s="1"/>
  <c r="C20" i="3" s="1"/>
  <c r="P20" i="3" s="1"/>
  <c r="C21" i="3" s="1"/>
  <c r="P21" i="3" s="1"/>
  <c r="C22" i="3" s="1"/>
  <c r="P22" i="3" s="1"/>
  <c r="C23" i="3" s="1"/>
  <c r="P23" i="3" s="1"/>
  <c r="C24" i="3" s="1"/>
  <c r="P24" i="3" s="1"/>
  <c r="C25" i="3" s="1"/>
  <c r="P25" i="3" s="1"/>
  <c r="C26" i="3" s="1"/>
  <c r="P26" i="3" s="1"/>
  <c r="C27" i="3" s="1"/>
  <c r="P27" i="3" s="1"/>
  <c r="C28" i="3" s="1"/>
  <c r="P28" i="3" s="1"/>
  <c r="C29" i="3" s="1"/>
  <c r="P29" i="3" s="1"/>
  <c r="C30" i="3" s="1"/>
  <c r="P30" i="3" s="1"/>
  <c r="C31" i="3" s="1"/>
  <c r="P31" i="3" s="1"/>
  <c r="C32" i="3" s="1"/>
  <c r="P32" i="3" s="1"/>
  <c r="C33" i="3" s="1"/>
  <c r="P33" i="3" s="1"/>
  <c r="C34" i="3" s="1"/>
  <c r="P34" i="3" s="1"/>
  <c r="C35" i="3" s="1"/>
  <c r="P35" i="3" s="1"/>
  <c r="C36" i="3" s="1"/>
  <c r="P36" i="3" s="1"/>
  <c r="C37" i="3" s="1"/>
  <c r="P37" i="3" s="1"/>
  <c r="C38" i="3" s="1"/>
  <c r="P38" i="3" s="1"/>
  <c r="C39" i="3" s="1"/>
  <c r="P39" i="3" s="1"/>
  <c r="C40" i="3" s="1"/>
  <c r="P40" i="3" s="1"/>
  <c r="C41" i="3" s="1"/>
  <c r="P41" i="3" s="1"/>
  <c r="C42" i="3" s="1"/>
  <c r="P42" i="3" s="1"/>
  <c r="C43" i="3" s="1"/>
  <c r="P43" i="3" s="1"/>
  <c r="C44" i="3" s="1"/>
  <c r="P44" i="3" s="1"/>
  <c r="C45" i="3" s="1"/>
  <c r="P45" i="3" s="1"/>
  <c r="C46" i="3" s="1"/>
  <c r="P46" i="3" s="1"/>
  <c r="C47" i="3" s="1"/>
  <c r="P47" i="3" s="1"/>
  <c r="C48" i="3" s="1"/>
  <c r="P48" i="3" s="1"/>
  <c r="C49" i="3" s="1"/>
  <c r="P49" i="3" s="1"/>
  <c r="C50" i="3" s="1"/>
  <c r="P50" i="3" s="1"/>
  <c r="C51" i="3" s="1"/>
  <c r="P51" i="3" s="1"/>
  <c r="C52" i="3" s="1"/>
  <c r="P52" i="3" s="1"/>
  <c r="C53" i="3" s="1"/>
  <c r="P53" i="3" s="1"/>
  <c r="C54" i="3" s="1"/>
  <c r="P54" i="3" s="1"/>
  <c r="C55" i="3" s="1"/>
  <c r="P55" i="3" s="1"/>
  <c r="C56" i="3" s="1"/>
  <c r="P56" i="3" s="1"/>
  <c r="C57" i="3" s="1"/>
  <c r="P57" i="3" s="1"/>
  <c r="C58" i="3" s="1"/>
  <c r="P58" i="3" s="1"/>
  <c r="C59" i="3" s="1"/>
  <c r="P59" i="3" s="1"/>
  <c r="C60" i="3" s="1"/>
  <c r="P60" i="3" s="1"/>
  <c r="C61" i="3" s="1"/>
  <c r="P61" i="3" s="1"/>
  <c r="C62" i="3" s="1"/>
  <c r="P62" i="3" s="1"/>
  <c r="C63" i="3" s="1"/>
  <c r="P63" i="3" s="1"/>
  <c r="C64" i="3" s="1"/>
  <c r="P64" i="3" s="1"/>
  <c r="C65" i="3" s="1"/>
  <c r="P65" i="3" s="1"/>
  <c r="C66" i="3" s="1"/>
  <c r="P66" i="3" s="1"/>
  <c r="C67" i="3" s="1"/>
  <c r="P67" i="3" s="1"/>
  <c r="C68" i="3" s="1"/>
  <c r="P68" i="3" s="1"/>
  <c r="C69" i="3" s="1"/>
  <c r="P69" i="3" s="1"/>
  <c r="C70" i="3" s="1"/>
  <c r="P70" i="3" s="1"/>
  <c r="C71" i="3" s="1"/>
  <c r="P71" i="3" s="1"/>
  <c r="C72" i="3" s="1"/>
  <c r="P72" i="3" s="1"/>
  <c r="C73" i="3" s="1"/>
  <c r="P73" i="3" s="1"/>
  <c r="C74" i="3" s="1"/>
  <c r="P74" i="3" s="1"/>
  <c r="C75" i="3" s="1"/>
  <c r="P75" i="3" s="1"/>
  <c r="C76" i="3" s="1"/>
  <c r="P76" i="3" s="1"/>
  <c r="C77" i="3" s="1"/>
  <c r="P77" i="3" s="1"/>
  <c r="C78" i="3" s="1"/>
  <c r="P78" i="3" s="1"/>
  <c r="C79" i="3" s="1"/>
  <c r="P79" i="3" s="1"/>
  <c r="C80" i="3" s="1"/>
  <c r="P80" i="3" s="1"/>
  <c r="C81" i="3" s="1"/>
  <c r="P81" i="3" s="1"/>
  <c r="C82" i="3" s="1"/>
  <c r="P82" i="3" s="1"/>
  <c r="C83" i="3" s="1"/>
  <c r="P83" i="3" s="1"/>
  <c r="C84" i="3" s="1"/>
  <c r="P84" i="3" s="1"/>
  <c r="C85" i="3" s="1"/>
  <c r="P85" i="3" s="1"/>
  <c r="C86" i="3" s="1"/>
  <c r="P86" i="3" s="1"/>
  <c r="C87" i="3" s="1"/>
  <c r="P87" i="3" s="1"/>
  <c r="C88" i="3" s="1"/>
  <c r="P88" i="3" s="1"/>
  <c r="C89" i="3" s="1"/>
  <c r="P89" i="3" s="1"/>
  <c r="C90" i="3" s="1"/>
  <c r="P90" i="3" s="1"/>
  <c r="C91" i="3" s="1"/>
  <c r="P91" i="3" s="1"/>
  <c r="C92" i="3" s="1"/>
  <c r="P92" i="3" s="1"/>
  <c r="C93" i="3" s="1"/>
  <c r="P93" i="3" s="1"/>
  <c r="C94" i="3" s="1"/>
  <c r="P94" i="3" s="1"/>
  <c r="C95" i="3" s="1"/>
  <c r="P95" i="3" s="1"/>
  <c r="C96" i="3" s="1"/>
  <c r="P96" i="3" s="1"/>
  <c r="C97" i="3" s="1"/>
  <c r="P97" i="3" s="1"/>
  <c r="C98" i="3" s="1"/>
  <c r="P98" i="3" s="1"/>
  <c r="C99" i="3" s="1"/>
  <c r="P99" i="3" s="1"/>
  <c r="C100" i="3" s="1"/>
  <c r="P100" i="3" s="1"/>
  <c r="C101" i="3" s="1"/>
  <c r="P101" i="3" s="1"/>
  <c r="C102" i="3" s="1"/>
  <c r="P102" i="3" s="1"/>
  <c r="C103" i="3" s="1"/>
  <c r="P103" i="3" s="1"/>
  <c r="C104" i="3" s="1"/>
  <c r="P104" i="3" s="1"/>
  <c r="C105" i="3" s="1"/>
  <c r="P105" i="3" s="1"/>
  <c r="C106" i="3" s="1"/>
  <c r="P106" i="3" s="1"/>
  <c r="C107" i="3" s="1"/>
  <c r="P107" i="3" s="1"/>
  <c r="C108" i="3" s="1"/>
  <c r="P108" i="3" s="1"/>
  <c r="C109" i="3" s="1"/>
  <c r="P109" i="3" s="1"/>
  <c r="C110" i="3" s="1"/>
  <c r="P110" i="3" s="1"/>
  <c r="C111" i="3" s="1"/>
  <c r="P111" i="3" s="1"/>
  <c r="C112" i="3" s="1"/>
  <c r="P112" i="3" s="1"/>
  <c r="C113" i="3" s="1"/>
  <c r="P113" i="3" s="1"/>
  <c r="C114" i="3" s="1"/>
  <c r="P114" i="3" s="1"/>
  <c r="C115" i="3" s="1"/>
  <c r="P115" i="3" s="1"/>
  <c r="C116" i="3" s="1"/>
  <c r="P116" i="3" s="1"/>
  <c r="C117" i="3" s="1"/>
  <c r="P117" i="3" s="1"/>
  <c r="C118" i="3" s="1"/>
  <c r="P118" i="3" s="1"/>
  <c r="C119" i="3" s="1"/>
  <c r="P119" i="3" s="1"/>
  <c r="C120" i="3" s="1"/>
  <c r="P120" i="3" s="1"/>
  <c r="C121" i="3" s="1"/>
  <c r="P121" i="3" s="1"/>
  <c r="C122" i="3" s="1"/>
  <c r="P122" i="3" s="1"/>
  <c r="C123" i="3" s="1"/>
  <c r="P123" i="3" s="1"/>
  <c r="C124" i="3" s="1"/>
  <c r="P124" i="3" s="1"/>
  <c r="C125" i="3" s="1"/>
  <c r="P125" i="3" s="1"/>
  <c r="C126" i="3" s="1"/>
  <c r="P126" i="3" s="1"/>
  <c r="C127" i="3" s="1"/>
  <c r="P127" i="3" s="1"/>
  <c r="C128" i="3" s="1"/>
  <c r="P128" i="3" s="1"/>
  <c r="C129" i="3" s="1"/>
  <c r="P129" i="3" s="1"/>
  <c r="C130" i="3" s="1"/>
  <c r="P130" i="3" s="1"/>
  <c r="C131" i="3" s="1"/>
  <c r="P131" i="3" s="1"/>
  <c r="C132" i="3" s="1"/>
  <c r="P132" i="3" s="1"/>
  <c r="C133" i="3" s="1"/>
  <c r="P133" i="3" s="1"/>
  <c r="C134" i="3" s="1"/>
  <c r="P134" i="3" s="1"/>
  <c r="C135" i="3" s="1"/>
  <c r="P135" i="3" s="1"/>
  <c r="C136" i="3" s="1"/>
  <c r="P136" i="3" s="1"/>
  <c r="C137" i="3" s="1"/>
  <c r="P137" i="3" s="1"/>
  <c r="C138" i="3" s="1"/>
  <c r="P138" i="3" s="1"/>
  <c r="C139" i="3" s="1"/>
  <c r="P139" i="3" s="1"/>
  <c r="C140" i="3" s="1"/>
  <c r="P140" i="3" s="1"/>
  <c r="C141" i="3" s="1"/>
  <c r="P141" i="3" s="1"/>
  <c r="C142" i="3" s="1"/>
  <c r="P142" i="3" s="1"/>
  <c r="C143" i="3" s="1"/>
  <c r="P143" i="3" s="1"/>
  <c r="C144" i="3" s="1"/>
  <c r="P144" i="3" s="1"/>
  <c r="C145" i="3" s="1"/>
  <c r="P145" i="3" s="1"/>
  <c r="C146" i="3" s="1"/>
  <c r="P146" i="3" s="1"/>
  <c r="C147" i="3" s="1"/>
  <c r="P147" i="3" s="1"/>
  <c r="C148" i="3" s="1"/>
  <c r="P148" i="3" s="1"/>
  <c r="C149" i="3" s="1"/>
  <c r="P149" i="3" s="1"/>
  <c r="C150" i="3" s="1"/>
  <c r="P150" i="3" s="1"/>
  <c r="C151" i="3" s="1"/>
  <c r="P151" i="3" s="1"/>
  <c r="C152" i="3" s="1"/>
  <c r="P152" i="3" s="1"/>
  <c r="C153" i="3" s="1"/>
  <c r="P153" i="3" s="1"/>
  <c r="C154" i="3" s="1"/>
  <c r="P154" i="3" s="1"/>
  <c r="C155" i="3" s="1"/>
  <c r="P155" i="3" s="1"/>
  <c r="C156" i="3" s="1"/>
  <c r="P156" i="3" s="1"/>
  <c r="C157" i="3" s="1"/>
  <c r="P157" i="3" s="1"/>
  <c r="C158" i="3" s="1"/>
  <c r="P158" i="3" s="1"/>
  <c r="C159" i="3" s="1"/>
  <c r="P159" i="3" s="1"/>
  <c r="C160" i="3" s="1"/>
  <c r="P160" i="3" s="1"/>
  <c r="C161" i="3" s="1"/>
  <c r="P161" i="3" s="1"/>
  <c r="C162" i="3" s="1"/>
  <c r="P162" i="3" s="1"/>
  <c r="C163" i="3" s="1"/>
  <c r="P163" i="3" s="1"/>
  <c r="C164" i="3" s="1"/>
  <c r="P164" i="3" s="1"/>
  <c r="C165" i="3" s="1"/>
  <c r="P165" i="3" s="1"/>
  <c r="C166" i="3" s="1"/>
  <c r="P166" i="3" s="1"/>
  <c r="C167" i="3" s="1"/>
  <c r="P167" i="3" s="1"/>
  <c r="C168" i="3" s="1"/>
  <c r="P168" i="3" s="1"/>
  <c r="C169" i="3" s="1"/>
  <c r="P169" i="3" s="1"/>
  <c r="C170" i="3" s="1"/>
  <c r="P170" i="3" s="1"/>
  <c r="C171" i="3" s="1"/>
  <c r="P171" i="3" s="1"/>
  <c r="C172" i="3" s="1"/>
  <c r="P172" i="3" s="1"/>
  <c r="C173" i="3" s="1"/>
  <c r="P173" i="3" s="1"/>
  <c r="C174" i="3" s="1"/>
  <c r="P174" i="3" s="1"/>
  <c r="C175" i="3" s="1"/>
  <c r="P175" i="3" s="1"/>
  <c r="C176" i="3" s="1"/>
  <c r="P176" i="3" s="1"/>
  <c r="C177" i="3" s="1"/>
  <c r="P177" i="3" s="1"/>
  <c r="C178" i="3" s="1"/>
  <c r="P178" i="3" s="1"/>
  <c r="C179" i="3" s="1"/>
  <c r="P179" i="3" s="1"/>
  <c r="C180" i="3" s="1"/>
  <c r="P180" i="3" s="1"/>
  <c r="C181" i="3" s="1"/>
  <c r="P181" i="3" s="1"/>
  <c r="C182" i="3" s="1"/>
  <c r="P182" i="3" s="1"/>
  <c r="C183" i="3" s="1"/>
  <c r="P183" i="3" s="1"/>
  <c r="C184" i="3" s="1"/>
  <c r="P184" i="3" s="1"/>
  <c r="C185" i="3" s="1"/>
  <c r="P185" i="3" s="1"/>
  <c r="C186" i="3" s="1"/>
  <c r="P186" i="3" s="1"/>
  <c r="C187" i="3" s="1"/>
  <c r="P187" i="3" s="1"/>
  <c r="C188" i="3" s="1"/>
  <c r="P188" i="3" s="1"/>
  <c r="C189" i="3" s="1"/>
  <c r="P189" i="3" s="1"/>
  <c r="C190" i="3" s="1"/>
  <c r="P190" i="3" s="1"/>
  <c r="C191" i="3" s="1"/>
  <c r="P191" i="3" s="1"/>
  <c r="C192" i="3" s="1"/>
  <c r="P192" i="3" s="1"/>
  <c r="C193" i="3" s="1"/>
  <c r="P193" i="3" s="1"/>
  <c r="C194" i="3" s="1"/>
  <c r="P194" i="3" s="1"/>
  <c r="C195" i="3" s="1"/>
  <c r="P195" i="3" s="1"/>
  <c r="C196" i="3" s="1"/>
  <c r="P196" i="3" s="1"/>
  <c r="C197" i="3" s="1"/>
  <c r="P197" i="3" s="1"/>
  <c r="C198" i="3" s="1"/>
  <c r="P198" i="3" s="1"/>
  <c r="C199" i="3" s="1"/>
  <c r="P199" i="3" s="1"/>
  <c r="C200" i="3" s="1"/>
  <c r="P200" i="3" s="1"/>
  <c r="C201" i="3" s="1"/>
  <c r="P201" i="3" s="1"/>
  <c r="C202" i="3" s="1"/>
  <c r="P202" i="3" s="1"/>
  <c r="C203" i="3" s="1"/>
  <c r="P203" i="3" s="1"/>
  <c r="C204" i="3" s="1"/>
  <c r="P204" i="3" s="1"/>
  <c r="C205" i="3" s="1"/>
  <c r="P205" i="3" s="1"/>
  <c r="C206" i="3" s="1"/>
  <c r="P206" i="3" s="1"/>
  <c r="C207" i="3" s="1"/>
  <c r="P207" i="3" s="1"/>
  <c r="C208" i="3" s="1"/>
  <c r="P208" i="3" s="1"/>
  <c r="C209" i="3" s="1"/>
  <c r="P209" i="3" s="1"/>
  <c r="C210" i="3" s="1"/>
  <c r="P210" i="3" s="1"/>
  <c r="C211" i="3" s="1"/>
  <c r="P211" i="3" s="1"/>
  <c r="C212" i="3" s="1"/>
  <c r="P212" i="3" s="1"/>
  <c r="C213" i="3" s="1"/>
  <c r="P213" i="3" s="1"/>
  <c r="C214" i="3" s="1"/>
  <c r="P214" i="3" s="1"/>
  <c r="C215" i="3" s="1"/>
  <c r="P215" i="3" s="1"/>
  <c r="C216" i="3" s="1"/>
  <c r="P216" i="3" s="1"/>
  <c r="C217" i="3" s="1"/>
  <c r="P217" i="3" s="1"/>
  <c r="C218" i="3" s="1"/>
  <c r="P218" i="3" s="1"/>
  <c r="C219" i="3" s="1"/>
  <c r="P219" i="3" s="1"/>
  <c r="C220" i="3" s="1"/>
  <c r="P220" i="3" s="1"/>
  <c r="C221" i="3" s="1"/>
  <c r="P221" i="3" s="1"/>
  <c r="C222" i="3" s="1"/>
  <c r="P222" i="3" s="1"/>
  <c r="C223" i="3" s="1"/>
  <c r="P223" i="3" s="1"/>
  <c r="C224" i="3" s="1"/>
  <c r="P224" i="3" s="1"/>
  <c r="C225" i="3" s="1"/>
  <c r="P225" i="3" s="1"/>
  <c r="C226" i="3" s="1"/>
  <c r="P226" i="3" s="1"/>
  <c r="C227" i="3" s="1"/>
  <c r="P227" i="3" s="1"/>
  <c r="C228" i="3" s="1"/>
  <c r="P228" i="3" s="1"/>
  <c r="C229" i="3" s="1"/>
  <c r="P229" i="3" s="1"/>
  <c r="C230" i="3" s="1"/>
  <c r="P230" i="3" s="1"/>
  <c r="C231" i="3" s="1"/>
  <c r="P231" i="3" s="1"/>
  <c r="C232" i="3" s="1"/>
  <c r="P232" i="3" s="1"/>
  <c r="C233" i="3" s="1"/>
  <c r="P233" i="3" s="1"/>
  <c r="C234" i="3" s="1"/>
  <c r="P234" i="3" s="1"/>
  <c r="C235" i="3" s="1"/>
  <c r="P235" i="3" s="1"/>
  <c r="C236" i="3" s="1"/>
  <c r="P236" i="3" s="1"/>
  <c r="C237" i="3" s="1"/>
  <c r="P237" i="3" s="1"/>
  <c r="C238" i="3" s="1"/>
  <c r="P238" i="3" s="1"/>
  <c r="C239" i="3" s="1"/>
  <c r="P239" i="3" s="1"/>
  <c r="C240" i="3" s="1"/>
  <c r="P240" i="3" s="1"/>
  <c r="C241" i="3" s="1"/>
  <c r="P241" i="3" s="1"/>
  <c r="C242" i="3" s="1"/>
  <c r="P242" i="3" s="1"/>
  <c r="C243" i="3" s="1"/>
  <c r="P243" i="3" s="1"/>
  <c r="C244" i="3" s="1"/>
  <c r="P244" i="3" s="1"/>
  <c r="C245" i="3" s="1"/>
  <c r="P245" i="3" s="1"/>
  <c r="C246" i="3" s="1"/>
  <c r="P246" i="3" s="1"/>
  <c r="C247" i="3" s="1"/>
  <c r="P247" i="3" s="1"/>
  <c r="C248" i="3" s="1"/>
  <c r="P248" i="3" s="1"/>
  <c r="C249" i="3" s="1"/>
  <c r="P249" i="3" s="1"/>
  <c r="C250" i="3" s="1"/>
  <c r="P250" i="3" s="1"/>
  <c r="C251" i="3" s="1"/>
  <c r="P251" i="3" s="1"/>
  <c r="C252" i="3" s="1"/>
  <c r="P252" i="3" s="1"/>
  <c r="C253" i="3" s="1"/>
  <c r="P253" i="3" s="1"/>
  <c r="C254" i="3" s="1"/>
  <c r="P254" i="3" s="1"/>
  <c r="C255" i="3" s="1"/>
  <c r="P255" i="3" s="1"/>
  <c r="C256" i="3" s="1"/>
  <c r="P256" i="3" s="1"/>
  <c r="C257" i="3" s="1"/>
  <c r="P257" i="3" s="1"/>
  <c r="C258" i="3" s="1"/>
  <c r="P258" i="3" s="1"/>
  <c r="C259" i="3" s="1"/>
  <c r="P259" i="3" s="1"/>
  <c r="C260" i="3" s="1"/>
  <c r="P260" i="3" s="1"/>
  <c r="C261" i="3" s="1"/>
  <c r="P261" i="3" s="1"/>
  <c r="C262" i="3" s="1"/>
  <c r="P262" i="3" s="1"/>
  <c r="C263" i="3" s="1"/>
  <c r="P263" i="3" s="1"/>
  <c r="C264" i="3" s="1"/>
  <c r="P264" i="3" s="1"/>
  <c r="C265" i="3" s="1"/>
  <c r="P265" i="3" s="1"/>
  <c r="C266" i="3" s="1"/>
  <c r="P266" i="3" s="1"/>
  <c r="C267" i="3" s="1"/>
  <c r="P267" i="3" s="1"/>
  <c r="C268" i="3" s="1"/>
  <c r="P268" i="3" s="1"/>
  <c r="C269" i="3" s="1"/>
  <c r="P269" i="3" s="1"/>
  <c r="C270" i="3" s="1"/>
  <c r="P270" i="3" s="1"/>
  <c r="C271" i="3" s="1"/>
  <c r="P271" i="3" s="1"/>
  <c r="C272" i="3" s="1"/>
  <c r="P272" i="3" s="1"/>
  <c r="C273" i="3" s="1"/>
  <c r="P273" i="3" s="1"/>
  <c r="C274" i="3" s="1"/>
  <c r="P274" i="3" s="1"/>
  <c r="C275" i="3" s="1"/>
  <c r="P275" i="3" s="1"/>
  <c r="C276" i="3" s="1"/>
  <c r="P276" i="3" s="1"/>
  <c r="C277" i="3" s="1"/>
  <c r="P277" i="3" s="1"/>
  <c r="C278" i="3" s="1"/>
  <c r="P278" i="3" s="1"/>
  <c r="C279" i="3" s="1"/>
  <c r="P279" i="3" s="1"/>
  <c r="C280" i="3" s="1"/>
  <c r="P280" i="3" s="1"/>
  <c r="C281" i="3" s="1"/>
  <c r="P281" i="3" s="1"/>
  <c r="C282" i="3" s="1"/>
  <c r="P282" i="3" s="1"/>
  <c r="C283" i="3" s="1"/>
  <c r="P283" i="3" s="1"/>
  <c r="C284" i="3" s="1"/>
  <c r="P284" i="3" s="1"/>
  <c r="C285" i="3" s="1"/>
  <c r="P285" i="3" s="1"/>
  <c r="C286" i="3" s="1"/>
  <c r="P286" i="3" s="1"/>
  <c r="C287" i="3" s="1"/>
  <c r="P287" i="3" s="1"/>
  <c r="C288" i="3" s="1"/>
  <c r="P288" i="3" s="1"/>
  <c r="C289" i="3" s="1"/>
  <c r="P289" i="3" s="1"/>
  <c r="C290" i="3" s="1"/>
  <c r="P290" i="3" s="1"/>
  <c r="C291" i="3" s="1"/>
  <c r="P291" i="3" s="1"/>
  <c r="C292" i="3" s="1"/>
  <c r="P292" i="3" s="1"/>
  <c r="C293" i="3" s="1"/>
  <c r="P293" i="3" s="1"/>
  <c r="C294" i="3" s="1"/>
  <c r="P294" i="3" s="1"/>
  <c r="C295" i="3" s="1"/>
  <c r="P295" i="3" s="1"/>
  <c r="C296" i="3" s="1"/>
  <c r="P296" i="3" s="1"/>
  <c r="C297" i="3" s="1"/>
  <c r="P297" i="3" s="1"/>
  <c r="C298" i="3" s="1"/>
  <c r="P298" i="3" s="1"/>
  <c r="C299" i="3" s="1"/>
  <c r="P299" i="3" s="1"/>
  <c r="C300" i="3" s="1"/>
  <c r="P300" i="3" s="1"/>
  <c r="C301" i="3" s="1"/>
  <c r="P301" i="3" s="1"/>
  <c r="C302" i="3" s="1"/>
  <c r="P302" i="3" s="1"/>
  <c r="C303" i="3" s="1"/>
  <c r="P303" i="3" s="1"/>
  <c r="C304" i="3" s="1"/>
  <c r="P304" i="3" s="1"/>
  <c r="C305" i="3" s="1"/>
  <c r="P305" i="3" s="1"/>
  <c r="C306" i="3" s="1"/>
  <c r="P306" i="3" s="1"/>
  <c r="C307" i="3" s="1"/>
  <c r="P307" i="3" s="1"/>
  <c r="C308" i="3" s="1"/>
  <c r="P308" i="3" s="1"/>
  <c r="C309" i="3" s="1"/>
  <c r="P309" i="3" s="1"/>
  <c r="C310" i="3" s="1"/>
  <c r="P310" i="3" s="1"/>
  <c r="C311" i="3" s="1"/>
  <c r="P311" i="3" s="1"/>
  <c r="C312" i="3" s="1"/>
  <c r="P312" i="3" s="1"/>
  <c r="C313" i="3" s="1"/>
  <c r="P313" i="3" s="1"/>
  <c r="C314" i="3" s="1"/>
  <c r="P314" i="3" s="1"/>
  <c r="C315" i="3" s="1"/>
  <c r="P315" i="3" s="1"/>
  <c r="C316" i="3" s="1"/>
  <c r="P316" i="3" s="1"/>
  <c r="C317" i="3" s="1"/>
  <c r="P317" i="3" s="1"/>
  <c r="C318" i="3" s="1"/>
  <c r="P318" i="3" s="1"/>
  <c r="C319" i="3" s="1"/>
  <c r="P319" i="3" s="1"/>
  <c r="C320" i="3" s="1"/>
  <c r="P320" i="3" s="1"/>
  <c r="C321" i="3" s="1"/>
  <c r="P321" i="3" s="1"/>
  <c r="C322" i="3" s="1"/>
  <c r="P322" i="3" s="1"/>
  <c r="C323" i="3" s="1"/>
  <c r="P323" i="3" s="1"/>
  <c r="C324" i="3" s="1"/>
  <c r="P324" i="3" s="1"/>
  <c r="C325" i="3" s="1"/>
  <c r="P325" i="3" s="1"/>
  <c r="C326" i="3" s="1"/>
  <c r="P326" i="3" s="1"/>
  <c r="C327" i="3" s="1"/>
  <c r="P327" i="3" s="1"/>
  <c r="C328" i="3" s="1"/>
  <c r="P328" i="3" s="1"/>
  <c r="C329" i="3" s="1"/>
  <c r="P329" i="3" s="1"/>
  <c r="C330" i="3" s="1"/>
  <c r="P330" i="3" s="1"/>
  <c r="C331" i="3" s="1"/>
  <c r="P331" i="3" s="1"/>
  <c r="C332" i="3" s="1"/>
  <c r="P332" i="3" s="1"/>
  <c r="C333" i="3" s="1"/>
  <c r="P333" i="3" s="1"/>
  <c r="C334" i="3" s="1"/>
  <c r="P334" i="3" s="1"/>
  <c r="C335" i="3" s="1"/>
  <c r="P335" i="3" s="1"/>
  <c r="C336" i="3" s="1"/>
  <c r="P336" i="3" s="1"/>
  <c r="C337" i="3" s="1"/>
  <c r="P337" i="3" s="1"/>
  <c r="C338" i="3" s="1"/>
  <c r="P338" i="3" s="1"/>
  <c r="C339" i="3" s="1"/>
  <c r="P339" i="3" s="1"/>
  <c r="C340" i="3" s="1"/>
  <c r="P340" i="3" s="1"/>
  <c r="C341" i="3" s="1"/>
  <c r="P341" i="3" s="1"/>
  <c r="C342" i="3" s="1"/>
  <c r="P342" i="3" s="1"/>
  <c r="C343" i="3" s="1"/>
  <c r="P343" i="3" s="1"/>
  <c r="C344" i="3" s="1"/>
  <c r="P344" i="3" s="1"/>
  <c r="C345" i="3" s="1"/>
  <c r="P345" i="3" s="1"/>
  <c r="C346" i="3" s="1"/>
  <c r="P346" i="3" s="1"/>
  <c r="C347" i="3" s="1"/>
  <c r="P347" i="3" s="1"/>
  <c r="C348" i="3" s="1"/>
  <c r="P348" i="3" s="1"/>
  <c r="C349" i="3" s="1"/>
  <c r="P349" i="3" s="1"/>
  <c r="C350" i="3" s="1"/>
  <c r="P350" i="3" s="1"/>
  <c r="C351" i="3" s="1"/>
  <c r="P351" i="3" s="1"/>
  <c r="C352" i="3" s="1"/>
  <c r="P352" i="3" s="1"/>
  <c r="C353" i="3" s="1"/>
  <c r="P353" i="3" s="1"/>
  <c r="C354" i="3" s="1"/>
  <c r="P354" i="3" s="1"/>
  <c r="C355" i="3" s="1"/>
  <c r="P355" i="3" s="1"/>
  <c r="C356" i="3" s="1"/>
  <c r="P356" i="3" s="1"/>
  <c r="C357" i="3" s="1"/>
  <c r="P357" i="3" s="1"/>
  <c r="C358" i="3" s="1"/>
  <c r="P358" i="3" s="1"/>
  <c r="C359" i="3" s="1"/>
  <c r="P359" i="3" s="1"/>
  <c r="C360" i="3" s="1"/>
  <c r="P360" i="3" s="1"/>
  <c r="C361" i="3" s="1"/>
  <c r="P361" i="3" s="1"/>
  <c r="C362" i="3" s="1"/>
  <c r="P362" i="3" s="1"/>
  <c r="C363" i="3" s="1"/>
  <c r="P363" i="3" s="1"/>
  <c r="C364" i="3" s="1"/>
  <c r="P364" i="3" s="1"/>
  <c r="C365" i="3" s="1"/>
  <c r="P365" i="3" s="1"/>
  <c r="C366" i="3" s="1"/>
  <c r="P366" i="3" s="1"/>
  <c r="C367" i="3" s="1"/>
  <c r="P367" i="3" s="1"/>
  <c r="C368" i="3" s="1"/>
  <c r="P368" i="3" s="1"/>
  <c r="C369" i="3" s="1"/>
  <c r="P369" i="3" s="1"/>
  <c r="C370" i="3" s="1"/>
  <c r="P370" i="3" s="1"/>
  <c r="C371" i="3" s="1"/>
  <c r="P371" i="3" s="1"/>
  <c r="C372" i="3" s="1"/>
  <c r="P372" i="3" s="1"/>
  <c r="C373" i="3" s="1"/>
  <c r="P373" i="3" s="1"/>
  <c r="C374" i="3" s="1"/>
  <c r="P374" i="3" s="1"/>
  <c r="C375" i="3" s="1"/>
  <c r="P375" i="3" s="1"/>
  <c r="C376" i="3" s="1"/>
  <c r="P376" i="3" s="1"/>
  <c r="C377" i="3" s="1"/>
  <c r="P377" i="3" s="1"/>
  <c r="C378" i="3" s="1"/>
  <c r="P378" i="3" s="1"/>
  <c r="C379" i="3" s="1"/>
  <c r="P379" i="3" s="1"/>
  <c r="C380" i="3" s="1"/>
  <c r="P380" i="3" s="1"/>
  <c r="C381" i="3" s="1"/>
  <c r="P381" i="3" s="1"/>
  <c r="C382" i="3" s="1"/>
  <c r="P382" i="3" s="1"/>
  <c r="C383" i="3" s="1"/>
  <c r="P383" i="3" s="1"/>
  <c r="C384" i="3" s="1"/>
  <c r="P384" i="3" s="1"/>
  <c r="C385" i="3" s="1"/>
  <c r="P385" i="3" s="1"/>
  <c r="C386" i="3" s="1"/>
  <c r="P386" i="3" s="1"/>
  <c r="C387" i="3" s="1"/>
  <c r="P387" i="3" s="1"/>
  <c r="C388" i="3" s="1"/>
  <c r="P388" i="3" s="1"/>
  <c r="C389" i="3" s="1"/>
  <c r="P389" i="3" s="1"/>
  <c r="C390" i="3" s="1"/>
  <c r="P390" i="3" s="1"/>
  <c r="C391" i="3" s="1"/>
  <c r="P391" i="3" s="1"/>
  <c r="C392" i="3" s="1"/>
  <c r="P392" i="3" s="1"/>
  <c r="C393" i="3" s="1"/>
  <c r="P393" i="3" s="1"/>
  <c r="C394" i="3" s="1"/>
  <c r="P394" i="3" s="1"/>
  <c r="C395" i="3" s="1"/>
  <c r="P395" i="3" s="1"/>
  <c r="C396" i="3" s="1"/>
  <c r="P396" i="3" s="1"/>
  <c r="C397" i="3" s="1"/>
  <c r="P397" i="3" s="1"/>
  <c r="C398" i="3" s="1"/>
  <c r="P398" i="3" s="1"/>
  <c r="C399" i="3" s="1"/>
  <c r="P399" i="3" s="1"/>
  <c r="C400" i="3" s="1"/>
  <c r="P400" i="3" s="1"/>
  <c r="C401" i="3" s="1"/>
  <c r="P401" i="3" s="1"/>
  <c r="C402" i="3" s="1"/>
  <c r="P402" i="3" s="1"/>
  <c r="C403" i="3" s="1"/>
  <c r="P403" i="3" s="1"/>
  <c r="C404" i="3" s="1"/>
  <c r="P404" i="3" s="1"/>
  <c r="C405" i="3" s="1"/>
  <c r="P405" i="3" s="1"/>
  <c r="C406" i="3" s="1"/>
  <c r="P406" i="3" s="1"/>
  <c r="C407" i="3" s="1"/>
  <c r="P407" i="3" s="1"/>
  <c r="C408" i="3" s="1"/>
  <c r="P408" i="3" s="1"/>
  <c r="C409" i="3" s="1"/>
  <c r="P409" i="3" s="1"/>
  <c r="C410" i="3" s="1"/>
  <c r="P410" i="3" s="1"/>
  <c r="C411" i="3" s="1"/>
  <c r="P411" i="3" s="1"/>
  <c r="C412" i="3" s="1"/>
  <c r="P412" i="3" s="1"/>
  <c r="C413" i="3" s="1"/>
  <c r="P413" i="3" s="1"/>
  <c r="C414" i="3" s="1"/>
  <c r="P414" i="3" s="1"/>
  <c r="C415" i="3" s="1"/>
  <c r="P415" i="3" s="1"/>
  <c r="C416" i="3" s="1"/>
  <c r="P416" i="3" s="1"/>
  <c r="C417" i="3" s="1"/>
  <c r="P417" i="3" s="1"/>
  <c r="C418" i="3" s="1"/>
  <c r="P418" i="3" s="1"/>
  <c r="C419" i="3" s="1"/>
  <c r="P419" i="3" s="1"/>
  <c r="C420" i="3" s="1"/>
  <c r="P420" i="3" s="1"/>
  <c r="C421" i="3" s="1"/>
  <c r="P421" i="3" s="1"/>
  <c r="C422" i="3" s="1"/>
  <c r="P422" i="3" s="1"/>
  <c r="C423" i="3" s="1"/>
  <c r="P423" i="3" s="1"/>
  <c r="C424" i="3" s="1"/>
  <c r="P424" i="3" s="1"/>
  <c r="C425" i="3" s="1"/>
  <c r="P425" i="3" s="1"/>
  <c r="C426" i="3" s="1"/>
  <c r="P426" i="3" s="1"/>
  <c r="C427" i="3" s="1"/>
  <c r="P427" i="3" s="1"/>
  <c r="C428" i="3" s="1"/>
  <c r="P428" i="3" s="1"/>
  <c r="C429" i="3" s="1"/>
  <c r="P429" i="3" s="1"/>
  <c r="C430" i="3" s="1"/>
  <c r="P430" i="3" s="1"/>
  <c r="C431" i="3" s="1"/>
  <c r="P431" i="3" s="1"/>
  <c r="C432" i="3" s="1"/>
  <c r="P432" i="3" s="1"/>
  <c r="C433" i="3" s="1"/>
  <c r="P433" i="3" s="1"/>
  <c r="C434" i="3" s="1"/>
  <c r="P434" i="3" s="1"/>
  <c r="C435" i="3" s="1"/>
  <c r="P435" i="3" s="1"/>
  <c r="C436" i="3" s="1"/>
  <c r="P436" i="3" s="1"/>
  <c r="C437" i="3" s="1"/>
  <c r="P437" i="3" s="1"/>
  <c r="C438" i="3" s="1"/>
  <c r="P438" i="3" s="1"/>
  <c r="C439" i="3" s="1"/>
  <c r="P439" i="3" s="1"/>
  <c r="C440" i="3" s="1"/>
  <c r="P440" i="3" s="1"/>
  <c r="C441" i="3" s="1"/>
  <c r="P441" i="3" s="1"/>
  <c r="C442" i="3" s="1"/>
  <c r="P442" i="3" s="1"/>
  <c r="C443" i="3" s="1"/>
  <c r="P443" i="3" s="1"/>
  <c r="C444" i="3" s="1"/>
  <c r="P444" i="3" s="1"/>
  <c r="C445" i="3" s="1"/>
  <c r="P445" i="3" s="1"/>
  <c r="C446" i="3" s="1"/>
  <c r="P446" i="3" s="1"/>
  <c r="C447" i="3" s="1"/>
  <c r="P447" i="3" s="1"/>
  <c r="C448" i="3" s="1"/>
  <c r="P448" i="3" s="1"/>
  <c r="C449" i="3" s="1"/>
  <c r="P449" i="3" s="1"/>
  <c r="C450" i="3" s="1"/>
  <c r="P450" i="3" s="1"/>
  <c r="C451" i="3" s="1"/>
  <c r="P451" i="3" s="1"/>
  <c r="C452" i="3" s="1"/>
  <c r="P452" i="3" s="1"/>
  <c r="C453" i="3" s="1"/>
  <c r="P453" i="3" s="1"/>
  <c r="C454" i="3" s="1"/>
  <c r="P454" i="3" s="1"/>
  <c r="C455" i="3" s="1"/>
  <c r="P455" i="3" s="1"/>
  <c r="C456" i="3" s="1"/>
  <c r="P456" i="3" s="1"/>
  <c r="C457" i="3" s="1"/>
  <c r="P457" i="3" s="1"/>
  <c r="C458" i="3" s="1"/>
  <c r="P458" i="3" s="1"/>
  <c r="C459" i="3" s="1"/>
  <c r="P459" i="3" s="1"/>
  <c r="C460" i="3" s="1"/>
  <c r="P460" i="3" s="1"/>
  <c r="C461" i="3" s="1"/>
  <c r="P461" i="3" s="1"/>
  <c r="C462" i="3" s="1"/>
  <c r="P462" i="3" s="1"/>
  <c r="C463" i="3" s="1"/>
  <c r="P463" i="3" s="1"/>
  <c r="C464" i="3" s="1"/>
  <c r="P464" i="3" s="1"/>
  <c r="C465" i="3" s="1"/>
  <c r="P465" i="3" s="1"/>
  <c r="C466" i="3" s="1"/>
  <c r="P466" i="3" s="1"/>
  <c r="C467" i="3" s="1"/>
  <c r="P467" i="3" s="1"/>
  <c r="C468" i="3" s="1"/>
  <c r="P468" i="3" s="1"/>
  <c r="C469" i="3" s="1"/>
  <c r="P469" i="3" s="1"/>
  <c r="C470" i="3" s="1"/>
  <c r="P470" i="3" s="1"/>
  <c r="C471" i="3" s="1"/>
  <c r="P471" i="3" s="1"/>
  <c r="C472" i="3" s="1"/>
  <c r="P472" i="3" s="1"/>
  <c r="C473" i="3" s="1"/>
  <c r="P473" i="3" s="1"/>
  <c r="C474" i="3" s="1"/>
  <c r="P474" i="3" s="1"/>
  <c r="C475" i="3" s="1"/>
  <c r="P475" i="3" s="1"/>
  <c r="C476" i="3" s="1"/>
  <c r="P476" i="3" s="1"/>
  <c r="C477" i="3" s="1"/>
  <c r="P477" i="3" s="1"/>
  <c r="C478" i="3" s="1"/>
  <c r="P478" i="3" s="1"/>
  <c r="C479" i="3" s="1"/>
  <c r="P479" i="3" s="1"/>
  <c r="C480" i="3" s="1"/>
  <c r="P480" i="3" s="1"/>
  <c r="C481" i="3" s="1"/>
  <c r="P481" i="3" s="1"/>
  <c r="C482" i="3" s="1"/>
  <c r="P482" i="3" s="1"/>
  <c r="C483" i="3" s="1"/>
  <c r="P483" i="3" s="1"/>
  <c r="C484" i="3" s="1"/>
  <c r="P484" i="3" s="1"/>
  <c r="C485" i="3" s="1"/>
  <c r="P485" i="3" s="1"/>
  <c r="C486" i="3" s="1"/>
  <c r="P486" i="3" s="1"/>
  <c r="C487" i="3" s="1"/>
  <c r="P487" i="3" s="1"/>
  <c r="C488" i="3" s="1"/>
  <c r="P488" i="3" s="1"/>
  <c r="C489" i="3" s="1"/>
  <c r="P489" i="3" s="1"/>
  <c r="C490" i="3" s="1"/>
  <c r="P490" i="3" s="1"/>
  <c r="C491" i="3" s="1"/>
  <c r="P491" i="3" s="1"/>
  <c r="C492" i="3" s="1"/>
  <c r="P492" i="3" s="1"/>
  <c r="C493" i="3" s="1"/>
  <c r="P493" i="3" s="1"/>
  <c r="C494" i="3" s="1"/>
  <c r="P494" i="3" s="1"/>
  <c r="C495" i="3" s="1"/>
  <c r="P495" i="3" s="1"/>
  <c r="C496" i="3" s="1"/>
  <c r="P496" i="3" s="1"/>
  <c r="C497" i="3" s="1"/>
  <c r="P497" i="3" s="1"/>
  <c r="C498" i="3" s="1"/>
  <c r="P498" i="3" s="1"/>
  <c r="C499" i="3" s="1"/>
  <c r="P499" i="3" s="1"/>
  <c r="C500" i="3" s="1"/>
  <c r="P500" i="3" s="1"/>
  <c r="C501" i="3" s="1"/>
  <c r="P501" i="3" s="1"/>
  <c r="C502" i="3" s="1"/>
  <c r="P502" i="3" s="1"/>
  <c r="C503" i="3" s="1"/>
  <c r="P503" i="3" s="1"/>
  <c r="C504" i="3" s="1"/>
  <c r="P504" i="3" s="1"/>
  <c r="C505" i="3" s="1"/>
  <c r="P505" i="3" s="1"/>
  <c r="C506" i="3" s="1"/>
  <c r="P506" i="3" s="1"/>
  <c r="C507" i="3" s="1"/>
  <c r="P507" i="3" s="1"/>
  <c r="C508" i="3" s="1"/>
  <c r="P508" i="3" s="1"/>
  <c r="C509" i="3" s="1"/>
  <c r="P509" i="3" s="1"/>
  <c r="C510" i="3" s="1"/>
  <c r="P510" i="3" s="1"/>
  <c r="C511" i="3" s="1"/>
  <c r="P511" i="3" s="1"/>
  <c r="C512" i="3" s="1"/>
  <c r="P512" i="3" s="1"/>
  <c r="C513" i="3" s="1"/>
  <c r="P513" i="3" s="1"/>
  <c r="C514" i="3" s="1"/>
  <c r="P514" i="3" s="1"/>
  <c r="C515" i="3" s="1"/>
  <c r="P515" i="3" s="1"/>
  <c r="C516" i="3" s="1"/>
  <c r="P516" i="3" s="1"/>
  <c r="C517" i="3" s="1"/>
  <c r="P517" i="3" s="1"/>
  <c r="C518" i="3" s="1"/>
  <c r="P518" i="3" s="1"/>
  <c r="C519" i="3" s="1"/>
  <c r="P519" i="3" s="1"/>
  <c r="C520" i="3" s="1"/>
  <c r="P520" i="3" s="1"/>
  <c r="C521" i="3" s="1"/>
  <c r="P521" i="3" s="1"/>
  <c r="C522" i="3" s="1"/>
  <c r="P522" i="3" s="1"/>
  <c r="C523" i="3" s="1"/>
  <c r="P523" i="3" s="1"/>
  <c r="C524" i="3" s="1"/>
  <c r="P524" i="3" s="1"/>
  <c r="C525" i="3" s="1"/>
  <c r="P525" i="3" s="1"/>
  <c r="C526" i="3" s="1"/>
  <c r="P526" i="3" s="1"/>
  <c r="C527" i="3" s="1"/>
  <c r="P527" i="3" s="1"/>
  <c r="C528" i="3" s="1"/>
  <c r="P528" i="3" s="1"/>
  <c r="C529" i="3" s="1"/>
  <c r="P529" i="3" s="1"/>
  <c r="C530" i="3" s="1"/>
  <c r="P530" i="3" s="1"/>
  <c r="C531" i="3" s="1"/>
  <c r="P531" i="3" s="1"/>
  <c r="C532" i="3" s="1"/>
  <c r="P532" i="3" s="1"/>
  <c r="C533" i="3" s="1"/>
  <c r="P533" i="3" s="1"/>
  <c r="C534" i="3" s="1"/>
  <c r="P534" i="3" s="1"/>
  <c r="C535" i="3" s="1"/>
  <c r="P535" i="3" s="1"/>
  <c r="C536" i="3" s="1"/>
  <c r="P536" i="3" s="1"/>
  <c r="C537" i="3" s="1"/>
  <c r="P537" i="3" s="1"/>
  <c r="C538" i="3" s="1"/>
  <c r="P538" i="3" s="1"/>
  <c r="C539" i="3" s="1"/>
  <c r="P539" i="3" s="1"/>
  <c r="C540" i="3" s="1"/>
  <c r="P540" i="3" s="1"/>
  <c r="C541" i="3" s="1"/>
  <c r="P541" i="3" s="1"/>
  <c r="C542" i="3" s="1"/>
  <c r="P542" i="3" s="1"/>
  <c r="C543" i="3" s="1"/>
  <c r="P543" i="3" s="1"/>
  <c r="C544" i="3" s="1"/>
  <c r="P544" i="3" s="1"/>
  <c r="C545" i="3" s="1"/>
  <c r="P545" i="3" s="1"/>
  <c r="C546" i="3" s="1"/>
  <c r="P546" i="3" s="1"/>
  <c r="C547" i="3" s="1"/>
  <c r="P547" i="3" s="1"/>
  <c r="C548" i="3" s="1"/>
  <c r="P548" i="3" s="1"/>
  <c r="C549" i="3" s="1"/>
  <c r="P549" i="3" s="1"/>
  <c r="C550" i="3" s="1"/>
  <c r="P550" i="3" s="1"/>
  <c r="C551" i="3" s="1"/>
  <c r="P551" i="3" s="1"/>
  <c r="C552" i="3" s="1"/>
  <c r="P552" i="3" s="1"/>
  <c r="C553" i="3" s="1"/>
  <c r="P553" i="3" s="1"/>
  <c r="C554" i="3" s="1"/>
  <c r="P554" i="3" s="1"/>
  <c r="C555" i="3" s="1"/>
  <c r="P555" i="3" s="1"/>
  <c r="C556" i="3" s="1"/>
  <c r="P556" i="3" s="1"/>
  <c r="C557" i="3" s="1"/>
  <c r="P557" i="3" s="1"/>
  <c r="C558" i="3" s="1"/>
  <c r="P558" i="3" s="1"/>
  <c r="C559" i="3" s="1"/>
  <c r="P559" i="3" s="1"/>
  <c r="C560" i="3" s="1"/>
  <c r="P560" i="3" s="1"/>
  <c r="C561" i="3" s="1"/>
  <c r="P561" i="3" s="1"/>
  <c r="C562" i="3" s="1"/>
  <c r="P562" i="3" s="1"/>
  <c r="C563" i="3" s="1"/>
  <c r="P563" i="3" s="1"/>
  <c r="C564" i="3" s="1"/>
  <c r="P564" i="3" s="1"/>
  <c r="C565" i="3" s="1"/>
  <c r="P565" i="3" s="1"/>
  <c r="C566" i="3" s="1"/>
  <c r="P566" i="3" s="1"/>
  <c r="C567" i="3" s="1"/>
  <c r="P567" i="3" s="1"/>
  <c r="C568" i="3" s="1"/>
  <c r="P568" i="3" s="1"/>
  <c r="C569" i="3" s="1"/>
  <c r="P569" i="3" s="1"/>
  <c r="C570" i="3" s="1"/>
  <c r="P570" i="3" s="1"/>
  <c r="C571" i="3" s="1"/>
  <c r="P571" i="3" s="1"/>
  <c r="C572" i="3" s="1"/>
  <c r="P572" i="3" s="1"/>
  <c r="C573" i="3" s="1"/>
  <c r="P573" i="3" s="1"/>
  <c r="C574" i="3" s="1"/>
  <c r="P574" i="3" s="1"/>
  <c r="C575" i="3" s="1"/>
  <c r="P575" i="3" s="1"/>
  <c r="C576" i="3" s="1"/>
  <c r="P576" i="3" s="1"/>
  <c r="C577" i="3" s="1"/>
  <c r="P577" i="3" s="1"/>
  <c r="C578" i="3" s="1"/>
  <c r="P578" i="3" s="1"/>
  <c r="C579" i="3" s="1"/>
  <c r="P579" i="3" s="1"/>
  <c r="C580" i="3" s="1"/>
  <c r="P580" i="3" s="1"/>
  <c r="C581" i="3" s="1"/>
  <c r="P581" i="3" s="1"/>
  <c r="C582" i="3" s="1"/>
  <c r="P582" i="3" s="1"/>
  <c r="C583" i="3" s="1"/>
  <c r="P583" i="3" s="1"/>
  <c r="C584" i="3" s="1"/>
  <c r="P584" i="3" s="1"/>
  <c r="C585" i="3" s="1"/>
  <c r="P585" i="3" s="1"/>
  <c r="C586" i="3" s="1"/>
  <c r="P586" i="3" s="1"/>
  <c r="C587" i="3" s="1"/>
  <c r="P587" i="3" s="1"/>
  <c r="C588" i="3" s="1"/>
  <c r="P588" i="3" s="1"/>
  <c r="C589" i="3" s="1"/>
  <c r="P589" i="3" s="1"/>
  <c r="C590" i="3" s="1"/>
  <c r="P590" i="3" s="1"/>
  <c r="C591" i="3" s="1"/>
  <c r="P591" i="3" s="1"/>
  <c r="C592" i="3" s="1"/>
  <c r="P592" i="3" s="1"/>
  <c r="C593" i="3" s="1"/>
  <c r="P593" i="3" s="1"/>
  <c r="C594" i="3" s="1"/>
  <c r="P594" i="3" s="1"/>
  <c r="C595" i="3" s="1"/>
  <c r="P595" i="3" s="1"/>
  <c r="C596" i="3" s="1"/>
  <c r="P596" i="3" s="1"/>
  <c r="C597" i="3" s="1"/>
  <c r="P597" i="3" s="1"/>
  <c r="C598" i="3" s="1"/>
  <c r="P598" i="3" s="1"/>
  <c r="C599" i="3" s="1"/>
  <c r="P599" i="3" s="1"/>
  <c r="C600" i="3" s="1"/>
  <c r="P600" i="3" s="1"/>
  <c r="C601" i="3" s="1"/>
  <c r="P601" i="3" s="1"/>
  <c r="C602" i="3" s="1"/>
  <c r="P602" i="3" s="1"/>
  <c r="C603" i="3" s="1"/>
  <c r="P603" i="3" s="1"/>
  <c r="C604" i="3" s="1"/>
  <c r="P604" i="3" s="1"/>
  <c r="C605" i="3" s="1"/>
  <c r="P605" i="3" s="1"/>
  <c r="C606" i="3" s="1"/>
  <c r="P606" i="3" s="1"/>
  <c r="C607" i="3" s="1"/>
  <c r="P607" i="3" s="1"/>
  <c r="C608" i="3" s="1"/>
  <c r="P608" i="3" s="1"/>
  <c r="C609" i="3" s="1"/>
  <c r="P609" i="3" s="1"/>
  <c r="C610" i="3" s="1"/>
  <c r="P610" i="3" s="1"/>
  <c r="C611" i="3" s="1"/>
  <c r="P611" i="3" s="1"/>
  <c r="C612" i="3" s="1"/>
  <c r="P612" i="3" s="1"/>
  <c r="C613" i="3" s="1"/>
  <c r="P613" i="3" s="1"/>
  <c r="C614" i="3" s="1"/>
  <c r="P614" i="3" s="1"/>
  <c r="C615" i="3" s="1"/>
  <c r="P615" i="3" s="1"/>
  <c r="C616" i="3" s="1"/>
  <c r="P616" i="3" s="1"/>
  <c r="C617" i="3" s="1"/>
  <c r="P617" i="3" s="1"/>
  <c r="C618" i="3" s="1"/>
  <c r="P618" i="3" s="1"/>
  <c r="C619" i="3" s="1"/>
  <c r="P619" i="3" s="1"/>
  <c r="C620" i="3" s="1"/>
  <c r="P620" i="3" s="1"/>
  <c r="C621" i="3" s="1"/>
  <c r="P621" i="3" s="1"/>
  <c r="C622" i="3" s="1"/>
  <c r="P622" i="3" s="1"/>
  <c r="C623" i="3" s="1"/>
  <c r="P623" i="3" s="1"/>
  <c r="C624" i="3" s="1"/>
  <c r="P624" i="3" s="1"/>
  <c r="C625" i="3" s="1"/>
  <c r="P625" i="3" s="1"/>
  <c r="C626" i="3" s="1"/>
  <c r="P626" i="3" s="1"/>
  <c r="C627" i="3" s="1"/>
  <c r="P627" i="3" s="1"/>
  <c r="C628" i="3" s="1"/>
  <c r="P628" i="3" s="1"/>
  <c r="C629" i="3" s="1"/>
  <c r="P629" i="3" s="1"/>
  <c r="C630" i="3" s="1"/>
  <c r="P630" i="3" s="1"/>
  <c r="C631" i="3" s="1"/>
  <c r="P631" i="3" s="1"/>
  <c r="C632" i="3" s="1"/>
  <c r="P632" i="3" s="1"/>
  <c r="C633" i="3" s="1"/>
  <c r="P633" i="3" s="1"/>
  <c r="C634" i="3" s="1"/>
  <c r="P634" i="3" s="1"/>
  <c r="C635" i="3" s="1"/>
  <c r="P635" i="3" s="1"/>
  <c r="C636" i="3" s="1"/>
  <c r="P636" i="3" s="1"/>
  <c r="C637" i="3" s="1"/>
  <c r="P637" i="3" s="1"/>
  <c r="C638" i="3" s="1"/>
  <c r="P638" i="3" s="1"/>
  <c r="C639" i="3" s="1"/>
  <c r="P639" i="3" s="1"/>
  <c r="C640" i="3" s="1"/>
  <c r="P640" i="3" s="1"/>
  <c r="C641" i="3" s="1"/>
  <c r="P641" i="3" s="1"/>
  <c r="C642" i="3" s="1"/>
  <c r="P642" i="3" s="1"/>
  <c r="C643" i="3" s="1"/>
  <c r="P643" i="3" s="1"/>
  <c r="C644" i="3" s="1"/>
  <c r="P644" i="3" s="1"/>
  <c r="C645" i="3" s="1"/>
  <c r="P645" i="3" s="1"/>
  <c r="C646" i="3" s="1"/>
  <c r="P646" i="3" s="1"/>
  <c r="C647" i="3" s="1"/>
  <c r="P647" i="3" s="1"/>
  <c r="C648" i="3" s="1"/>
  <c r="P648" i="3" s="1"/>
  <c r="C649" i="3" s="1"/>
  <c r="P649" i="3" s="1"/>
  <c r="C650" i="3" s="1"/>
  <c r="P650" i="3" s="1"/>
  <c r="C651" i="3" s="1"/>
  <c r="P651" i="3" s="1"/>
  <c r="C652" i="3" s="1"/>
  <c r="P652" i="3" s="1"/>
  <c r="C653" i="3" s="1"/>
  <c r="P653" i="3" s="1"/>
  <c r="C654" i="3" s="1"/>
  <c r="P654" i="3" s="1"/>
  <c r="C655" i="3" s="1"/>
  <c r="P655" i="3" s="1"/>
  <c r="C656" i="3" s="1"/>
  <c r="P656" i="3" s="1"/>
  <c r="C657" i="3" s="1"/>
  <c r="P657" i="3" s="1"/>
  <c r="C658" i="3" s="1"/>
  <c r="P658" i="3" s="1"/>
  <c r="C659" i="3" s="1"/>
  <c r="P659" i="3" s="1"/>
  <c r="C660" i="3" s="1"/>
  <c r="P660" i="3" s="1"/>
  <c r="C661" i="3" s="1"/>
  <c r="P661" i="3" s="1"/>
  <c r="C662" i="3" s="1"/>
  <c r="P662" i="3" s="1"/>
  <c r="C663" i="3" s="1"/>
  <c r="P663" i="3" s="1"/>
  <c r="C664" i="3" s="1"/>
  <c r="P664" i="3" s="1"/>
  <c r="C665" i="3" s="1"/>
  <c r="P665" i="3" s="1"/>
  <c r="C666" i="3" s="1"/>
  <c r="P666" i="3" s="1"/>
  <c r="C667" i="3" s="1"/>
  <c r="P667" i="3" s="1"/>
  <c r="C668" i="3" s="1"/>
  <c r="P668" i="3" s="1"/>
  <c r="C669" i="3" s="1"/>
  <c r="P669" i="3" s="1"/>
  <c r="C670" i="3" s="1"/>
  <c r="P670" i="3" s="1"/>
  <c r="C671" i="3" s="1"/>
  <c r="P671" i="3" s="1"/>
  <c r="C672" i="3" s="1"/>
  <c r="P672" i="3" s="1"/>
  <c r="C673" i="3" s="1"/>
  <c r="P673" i="3" s="1"/>
  <c r="C674" i="3" s="1"/>
  <c r="P674" i="3" s="1"/>
  <c r="C675" i="3" s="1"/>
  <c r="P675" i="3" s="1"/>
  <c r="C676" i="3" s="1"/>
  <c r="P676" i="3" s="1"/>
  <c r="C677" i="3" s="1"/>
  <c r="P677" i="3" s="1"/>
  <c r="C678" i="3" s="1"/>
  <c r="P678" i="3" s="1"/>
  <c r="C679" i="3" s="1"/>
  <c r="P679" i="3" s="1"/>
  <c r="C680" i="3" s="1"/>
  <c r="P680" i="3" s="1"/>
  <c r="C681" i="3" s="1"/>
  <c r="P681" i="3" s="1"/>
  <c r="C682" i="3" s="1"/>
  <c r="P682" i="3" s="1"/>
  <c r="C683" i="3" s="1"/>
  <c r="P683" i="3" s="1"/>
  <c r="C684" i="3" s="1"/>
  <c r="P684" i="3" s="1"/>
  <c r="C685" i="3" s="1"/>
  <c r="P685" i="3" s="1"/>
  <c r="C686" i="3" s="1"/>
  <c r="P686" i="3" s="1"/>
  <c r="C687" i="3" s="1"/>
  <c r="P687" i="3" s="1"/>
  <c r="C688" i="3" s="1"/>
  <c r="P688" i="3" s="1"/>
  <c r="C689" i="3" s="1"/>
  <c r="P689" i="3" s="1"/>
  <c r="C690" i="3" s="1"/>
  <c r="P690" i="3" s="1"/>
  <c r="C691" i="3" s="1"/>
  <c r="P691" i="3" s="1"/>
  <c r="C692" i="3" s="1"/>
  <c r="P692" i="3" s="1"/>
  <c r="C693" i="3" s="1"/>
  <c r="P693" i="3" s="1"/>
  <c r="C694" i="3" s="1"/>
  <c r="P694" i="3" s="1"/>
  <c r="C695" i="3" s="1"/>
  <c r="P695" i="3" s="1"/>
  <c r="C696" i="3" s="1"/>
  <c r="P696" i="3" s="1"/>
  <c r="C697" i="3" s="1"/>
  <c r="P697" i="3" s="1"/>
  <c r="C698" i="3" s="1"/>
  <c r="P698" i="3" s="1"/>
  <c r="C699" i="3" s="1"/>
  <c r="P699" i="3" s="1"/>
  <c r="C700" i="3" s="1"/>
  <c r="P700" i="3" s="1"/>
  <c r="C701" i="3" s="1"/>
  <c r="P701" i="3" s="1"/>
  <c r="C702" i="3" s="1"/>
  <c r="P702" i="3" s="1"/>
  <c r="C703" i="3" s="1"/>
  <c r="P703" i="3" s="1"/>
  <c r="C704" i="3" s="1"/>
  <c r="P704" i="3" s="1"/>
  <c r="C705" i="3" s="1"/>
  <c r="P705" i="3" s="1"/>
  <c r="C706" i="3" s="1"/>
  <c r="P706" i="3" s="1"/>
  <c r="C707" i="3" s="1"/>
  <c r="P707" i="3" s="1"/>
  <c r="C708" i="3" s="1"/>
  <c r="P708" i="3" s="1"/>
  <c r="C709" i="3" s="1"/>
  <c r="P709" i="3" s="1"/>
  <c r="C710" i="3" s="1"/>
  <c r="P710" i="3" s="1"/>
  <c r="C711" i="3" s="1"/>
  <c r="P711" i="3" s="1"/>
  <c r="C712" i="3" s="1"/>
  <c r="P712" i="3" s="1"/>
  <c r="C713" i="3" s="1"/>
  <c r="P713" i="3" s="1"/>
  <c r="C714" i="3" s="1"/>
  <c r="P714" i="3" s="1"/>
  <c r="C715" i="3" s="1"/>
  <c r="P715" i="3" s="1"/>
  <c r="C716" i="3" s="1"/>
  <c r="P716" i="3" s="1"/>
  <c r="C717" i="3" s="1"/>
  <c r="P717" i="3" s="1"/>
  <c r="C718" i="3" s="1"/>
  <c r="P718" i="3" s="1"/>
  <c r="C719" i="3" s="1"/>
  <c r="P719" i="3" s="1"/>
  <c r="C720" i="3" s="1"/>
  <c r="P720" i="3" s="1"/>
  <c r="C721" i="3" s="1"/>
  <c r="P721" i="3" s="1"/>
  <c r="C722" i="3" s="1"/>
  <c r="P722" i="3" s="1"/>
  <c r="C723" i="3" s="1"/>
  <c r="P723" i="3" s="1"/>
  <c r="C724" i="3" s="1"/>
  <c r="P724" i="3" s="1"/>
  <c r="C725" i="3" s="1"/>
  <c r="P725" i="3" s="1"/>
  <c r="C726" i="3" s="1"/>
  <c r="P726" i="3" s="1"/>
  <c r="C727" i="3" s="1"/>
  <c r="P727" i="3" s="1"/>
  <c r="C728" i="3" s="1"/>
  <c r="P728" i="3" s="1"/>
  <c r="C729" i="3" s="1"/>
  <c r="P729" i="3" s="1"/>
  <c r="C730" i="3" s="1"/>
  <c r="P730" i="3" s="1"/>
  <c r="C731" i="3" s="1"/>
  <c r="P731" i="3" s="1"/>
  <c r="C732" i="3" s="1"/>
  <c r="P732" i="3" s="1"/>
  <c r="C733" i="3" s="1"/>
  <c r="P733" i="3" s="1"/>
  <c r="C734" i="3" s="1"/>
  <c r="P734" i="3" s="1"/>
  <c r="C735" i="3" s="1"/>
  <c r="P735" i="3" s="1"/>
  <c r="C736" i="3" s="1"/>
  <c r="P736" i="3" s="1"/>
  <c r="C737" i="3" s="1"/>
  <c r="P737" i="3" s="1"/>
  <c r="C738" i="3" s="1"/>
  <c r="P738" i="3" s="1"/>
  <c r="C739" i="3" s="1"/>
  <c r="P739" i="3" s="1"/>
  <c r="C740" i="3" s="1"/>
  <c r="P740" i="3" s="1"/>
  <c r="C741" i="3" s="1"/>
  <c r="P741" i="3" s="1"/>
  <c r="C742" i="3" s="1"/>
  <c r="P742" i="3" s="1"/>
  <c r="C743" i="3" s="1"/>
  <c r="P743" i="3" s="1"/>
  <c r="C744" i="3" s="1"/>
  <c r="P744" i="3" s="1"/>
  <c r="C745" i="3" s="1"/>
  <c r="P745" i="3" s="1"/>
  <c r="C746" i="3" s="1"/>
  <c r="P746" i="3" s="1"/>
  <c r="C747" i="3" s="1"/>
  <c r="P747" i="3" s="1"/>
  <c r="C748" i="3" s="1"/>
  <c r="P748" i="3" s="1"/>
  <c r="C749" i="3" s="1"/>
  <c r="P749" i="3" s="1"/>
  <c r="C750" i="3" s="1"/>
  <c r="P750" i="3" s="1"/>
  <c r="C751" i="3" s="1"/>
  <c r="P751" i="3" s="1"/>
  <c r="C752" i="3" s="1"/>
  <c r="P752" i="3" s="1"/>
  <c r="C753" i="3" s="1"/>
  <c r="P753" i="3" s="1"/>
  <c r="C754" i="3" s="1"/>
  <c r="P754" i="3" s="1"/>
  <c r="C755" i="3" s="1"/>
  <c r="P755" i="3" s="1"/>
  <c r="C756" i="3" s="1"/>
  <c r="P756" i="3" s="1"/>
  <c r="C757" i="3" s="1"/>
  <c r="P757" i="3" s="1"/>
  <c r="C758" i="3" s="1"/>
  <c r="P758" i="3" s="1"/>
  <c r="C759" i="3" s="1"/>
  <c r="P759" i="3" s="1"/>
  <c r="C760" i="3" s="1"/>
  <c r="P760" i="3" s="1"/>
  <c r="C761" i="3" s="1"/>
  <c r="P761" i="3" s="1"/>
  <c r="C762" i="3" s="1"/>
  <c r="P762" i="3" s="1"/>
  <c r="C763" i="3" s="1"/>
  <c r="P763" i="3" s="1"/>
  <c r="C764" i="3" s="1"/>
  <c r="P764" i="3" s="1"/>
  <c r="C765" i="3" s="1"/>
  <c r="P765" i="3" s="1"/>
  <c r="C766" i="3" s="1"/>
  <c r="P766" i="3" s="1"/>
  <c r="C767" i="3" s="1"/>
  <c r="P767" i="3" s="1"/>
  <c r="C768" i="3" s="1"/>
  <c r="P768" i="3" s="1"/>
  <c r="C769" i="3" s="1"/>
  <c r="P769" i="3" s="1"/>
  <c r="C770" i="3" s="1"/>
  <c r="P770" i="3" s="1"/>
  <c r="C771" i="3" s="1"/>
  <c r="P771" i="3" s="1"/>
  <c r="C772" i="3" s="1"/>
  <c r="P772" i="3" s="1"/>
  <c r="C773" i="3" s="1"/>
  <c r="P773" i="3" s="1"/>
  <c r="C774" i="3" s="1"/>
  <c r="P774" i="3" s="1"/>
  <c r="C775" i="3" s="1"/>
  <c r="P775" i="3" s="1"/>
  <c r="C776" i="3" s="1"/>
  <c r="P776" i="3" s="1"/>
  <c r="C777" i="3" s="1"/>
  <c r="P777" i="3" s="1"/>
  <c r="C778" i="3" s="1"/>
  <c r="P778" i="3" s="1"/>
  <c r="C779" i="3" s="1"/>
  <c r="P779" i="3" s="1"/>
  <c r="C780" i="3" s="1"/>
  <c r="P780" i="3" s="1"/>
  <c r="C781" i="3" s="1"/>
  <c r="P781" i="3" s="1"/>
  <c r="C782" i="3" s="1"/>
  <c r="P782" i="3" s="1"/>
  <c r="C783" i="3" s="1"/>
  <c r="P783" i="3" s="1"/>
  <c r="C784" i="3" s="1"/>
  <c r="P784" i="3" s="1"/>
  <c r="C785" i="3" s="1"/>
  <c r="P785" i="3" s="1"/>
  <c r="C786" i="3" s="1"/>
  <c r="P786" i="3" s="1"/>
  <c r="C787" i="3" s="1"/>
  <c r="P787" i="3" s="1"/>
  <c r="C788" i="3" s="1"/>
  <c r="P788" i="3" s="1"/>
  <c r="C789" i="3" s="1"/>
  <c r="P789" i="3" s="1"/>
  <c r="C790" i="3" s="1"/>
  <c r="P790" i="3" s="1"/>
  <c r="C791" i="3" s="1"/>
  <c r="P791" i="3" s="1"/>
  <c r="C792" i="3" s="1"/>
  <c r="P792" i="3" s="1"/>
  <c r="C793" i="3" s="1"/>
  <c r="P793" i="3" s="1"/>
  <c r="C794" i="3" s="1"/>
  <c r="P794" i="3" s="1"/>
  <c r="C795" i="3" s="1"/>
  <c r="P795" i="3" s="1"/>
  <c r="C796" i="3" s="1"/>
  <c r="P796" i="3" s="1"/>
  <c r="C797" i="3" s="1"/>
  <c r="P797" i="3" s="1"/>
  <c r="C798" i="3" s="1"/>
  <c r="P798" i="3" s="1"/>
  <c r="C799" i="3" s="1"/>
  <c r="P799" i="3" s="1"/>
  <c r="C800" i="3" s="1"/>
  <c r="P800" i="3" s="1"/>
  <c r="C801" i="3" s="1"/>
  <c r="P801" i="3" s="1"/>
  <c r="C802" i="3" s="1"/>
  <c r="P802" i="3" s="1"/>
  <c r="C803" i="3" s="1"/>
  <c r="P803" i="3" s="1"/>
  <c r="C804" i="3" s="1"/>
  <c r="P804" i="3" s="1"/>
  <c r="C805" i="3" s="1"/>
  <c r="P805" i="3" s="1"/>
  <c r="C806" i="3" s="1"/>
  <c r="P806" i="3" s="1"/>
  <c r="C807" i="3" s="1"/>
  <c r="P807" i="3" s="1"/>
  <c r="C808" i="3" s="1"/>
  <c r="P808" i="3" s="1"/>
  <c r="C809" i="3" s="1"/>
  <c r="P809" i="3" s="1"/>
  <c r="C810" i="3" s="1"/>
  <c r="P810" i="3" s="1"/>
  <c r="C811" i="3" s="1"/>
  <c r="P811" i="3" s="1"/>
  <c r="C812" i="3" s="1"/>
  <c r="P812" i="3" s="1"/>
  <c r="C813" i="3" s="1"/>
  <c r="P813" i="3" s="1"/>
  <c r="C814" i="3" s="1"/>
  <c r="P814" i="3" s="1"/>
  <c r="C815" i="3" s="1"/>
  <c r="P815" i="3" s="1"/>
  <c r="C816" i="3" s="1"/>
  <c r="P816" i="3" s="1"/>
  <c r="C817" i="3" s="1"/>
  <c r="P817" i="3" s="1"/>
  <c r="C818" i="3" s="1"/>
  <c r="P818" i="3" s="1"/>
  <c r="C819" i="3" s="1"/>
  <c r="P819" i="3" s="1"/>
  <c r="C820" i="3" s="1"/>
  <c r="P820" i="3" s="1"/>
  <c r="C821" i="3" s="1"/>
  <c r="P821" i="3" s="1"/>
  <c r="C822" i="3" s="1"/>
  <c r="P822" i="3" s="1"/>
  <c r="C823" i="3" s="1"/>
  <c r="P823" i="3" s="1"/>
  <c r="C824" i="3" s="1"/>
  <c r="P824" i="3" s="1"/>
  <c r="C825" i="3" s="1"/>
  <c r="P825" i="3" s="1"/>
  <c r="C826" i="3" s="1"/>
  <c r="P826" i="3" s="1"/>
  <c r="C827" i="3" s="1"/>
  <c r="P827" i="3" s="1"/>
  <c r="C828" i="3" s="1"/>
  <c r="P828" i="3" s="1"/>
  <c r="C829" i="3" s="1"/>
  <c r="P829" i="3" s="1"/>
  <c r="C830" i="3" s="1"/>
  <c r="P830" i="3" s="1"/>
  <c r="C831" i="3" s="1"/>
  <c r="P831" i="3" s="1"/>
  <c r="C832" i="3" s="1"/>
  <c r="P832" i="3" s="1"/>
  <c r="C833" i="3" s="1"/>
  <c r="P833" i="3" s="1"/>
  <c r="C834" i="3" s="1"/>
  <c r="P834" i="3" s="1"/>
  <c r="C835" i="3" s="1"/>
  <c r="P835" i="3" s="1"/>
  <c r="C836" i="3" s="1"/>
  <c r="P836" i="3" s="1"/>
  <c r="C837" i="3" s="1"/>
  <c r="P837" i="3" s="1"/>
  <c r="C838" i="3" s="1"/>
  <c r="P838" i="3" s="1"/>
  <c r="C839" i="3" s="1"/>
  <c r="P839" i="3" s="1"/>
  <c r="C840" i="3" s="1"/>
  <c r="P840" i="3" s="1"/>
  <c r="C841" i="3" s="1"/>
  <c r="P841" i="3" s="1"/>
  <c r="C842" i="3" s="1"/>
  <c r="P842" i="3" s="1"/>
  <c r="C843" i="3" s="1"/>
  <c r="P843" i="3" s="1"/>
  <c r="C844" i="3" s="1"/>
  <c r="P844" i="3" s="1"/>
  <c r="C845" i="3" s="1"/>
  <c r="P845" i="3" s="1"/>
  <c r="C846" i="3" s="1"/>
  <c r="P846" i="3" s="1"/>
  <c r="C847" i="3" s="1"/>
  <c r="P847" i="3" s="1"/>
  <c r="C848" i="3" s="1"/>
  <c r="P848" i="3" s="1"/>
  <c r="C849" i="3" s="1"/>
  <c r="P849" i="3" s="1"/>
  <c r="C850" i="3" s="1"/>
  <c r="P850" i="3" s="1"/>
  <c r="C851" i="3" s="1"/>
  <c r="P851" i="3" s="1"/>
  <c r="C852" i="3" s="1"/>
  <c r="P852" i="3" s="1"/>
  <c r="C853" i="3" s="1"/>
  <c r="P853" i="3" s="1"/>
  <c r="C854" i="3" s="1"/>
  <c r="P854" i="3" s="1"/>
  <c r="C855" i="3" s="1"/>
  <c r="P855" i="3" s="1"/>
  <c r="C856" i="3" s="1"/>
  <c r="P856" i="3" s="1"/>
  <c r="C857" i="3" s="1"/>
  <c r="P857" i="3" s="1"/>
  <c r="C858" i="3" s="1"/>
  <c r="P858" i="3" s="1"/>
  <c r="C859" i="3" s="1"/>
  <c r="P859" i="3" s="1"/>
  <c r="C860" i="3" s="1"/>
  <c r="P860" i="3" s="1"/>
  <c r="C861" i="3" s="1"/>
  <c r="P861" i="3" s="1"/>
  <c r="C862" i="3" s="1"/>
  <c r="P862" i="3" s="1"/>
  <c r="C863" i="3" s="1"/>
  <c r="P863" i="3" s="1"/>
  <c r="C864" i="3" s="1"/>
  <c r="P864" i="3" s="1"/>
  <c r="C865" i="3" s="1"/>
  <c r="P865" i="3" s="1"/>
  <c r="C866" i="3" s="1"/>
  <c r="P866" i="3" s="1"/>
  <c r="C867" i="3" s="1"/>
  <c r="P867" i="3" s="1"/>
  <c r="C868" i="3" s="1"/>
  <c r="P868" i="3" s="1"/>
  <c r="C869" i="3" s="1"/>
  <c r="P869" i="3" s="1"/>
  <c r="C870" i="3" s="1"/>
  <c r="P870" i="3" s="1"/>
  <c r="C871" i="3" s="1"/>
  <c r="P871" i="3" s="1"/>
  <c r="C872" i="3" s="1"/>
  <c r="P872" i="3" s="1"/>
  <c r="C873" i="3" s="1"/>
  <c r="P873" i="3" s="1"/>
  <c r="C874" i="3" s="1"/>
  <c r="P874" i="3" s="1"/>
  <c r="C875" i="3" s="1"/>
  <c r="P875" i="3" s="1"/>
  <c r="C876" i="3" s="1"/>
  <c r="P876" i="3" s="1"/>
  <c r="C877" i="3" s="1"/>
  <c r="P877" i="3" s="1"/>
  <c r="C878" i="3" s="1"/>
  <c r="P878" i="3" s="1"/>
  <c r="C879" i="3" s="1"/>
  <c r="P879" i="3" s="1"/>
  <c r="C880" i="3" s="1"/>
  <c r="P880" i="3" s="1"/>
  <c r="C881" i="3" s="1"/>
  <c r="P881" i="3" s="1"/>
  <c r="C882" i="3" s="1"/>
  <c r="P882" i="3" s="1"/>
  <c r="C883" i="3" s="1"/>
  <c r="P883" i="3" s="1"/>
  <c r="C884" i="3" s="1"/>
  <c r="P884" i="3" s="1"/>
  <c r="C885" i="3" s="1"/>
  <c r="P885" i="3" s="1"/>
  <c r="C886" i="3" s="1"/>
  <c r="P886" i="3" s="1"/>
  <c r="C887" i="3" s="1"/>
  <c r="P887" i="3" s="1"/>
  <c r="C888" i="3" s="1"/>
  <c r="P888" i="3" s="1"/>
  <c r="C889" i="3" s="1"/>
  <c r="P889" i="3" s="1"/>
  <c r="C890" i="3" s="1"/>
  <c r="P890" i="3" s="1"/>
  <c r="C891" i="3" s="1"/>
  <c r="P891" i="3" s="1"/>
  <c r="C892" i="3" s="1"/>
  <c r="P892" i="3" s="1"/>
  <c r="C893" i="3" s="1"/>
  <c r="P893" i="3" s="1"/>
  <c r="C894" i="3" s="1"/>
  <c r="P894" i="3" s="1"/>
  <c r="C895" i="3" s="1"/>
  <c r="P895" i="3" s="1"/>
  <c r="C896" i="3" s="1"/>
  <c r="P896" i="3" s="1"/>
  <c r="C897" i="3" s="1"/>
  <c r="P897" i="3" s="1"/>
  <c r="C898" i="3" s="1"/>
  <c r="P898" i="3" s="1"/>
  <c r="C899" i="3" s="1"/>
  <c r="P899" i="3" s="1"/>
  <c r="C900" i="3" s="1"/>
  <c r="P900" i="3" s="1"/>
  <c r="C901" i="3" s="1"/>
  <c r="P901" i="3" s="1"/>
  <c r="C902" i="3" s="1"/>
  <c r="P902" i="3" s="1"/>
  <c r="C903" i="3" s="1"/>
  <c r="P903" i="3" s="1"/>
  <c r="C904" i="3" s="1"/>
  <c r="P904" i="3" s="1"/>
  <c r="C905" i="3" s="1"/>
  <c r="P905" i="3" s="1"/>
  <c r="C906" i="3" s="1"/>
  <c r="P906" i="3" s="1"/>
  <c r="C907" i="3" s="1"/>
  <c r="P907" i="3" s="1"/>
  <c r="C908" i="3" s="1"/>
  <c r="P908" i="3" s="1"/>
  <c r="C909" i="3" s="1"/>
  <c r="P909" i="3" s="1"/>
  <c r="C910" i="3" s="1"/>
  <c r="P910" i="3" s="1"/>
  <c r="C911" i="3" s="1"/>
  <c r="P911" i="3" s="1"/>
  <c r="C912" i="3" s="1"/>
  <c r="P912" i="3" s="1"/>
  <c r="C913" i="3" s="1"/>
  <c r="P913" i="3" s="1"/>
  <c r="C914" i="3" s="1"/>
  <c r="P914" i="3" s="1"/>
  <c r="C915" i="3" s="1"/>
  <c r="P915" i="3" s="1"/>
  <c r="C916" i="3" s="1"/>
  <c r="P916" i="3" s="1"/>
  <c r="C917" i="3" s="1"/>
  <c r="P917" i="3" s="1"/>
  <c r="C918" i="3" s="1"/>
  <c r="P918" i="3" s="1"/>
  <c r="C919" i="3" s="1"/>
  <c r="P919" i="3" s="1"/>
  <c r="C920" i="3" s="1"/>
  <c r="P920" i="3" s="1"/>
  <c r="C921" i="3" s="1"/>
  <c r="P921" i="3" s="1"/>
  <c r="C922" i="3" s="1"/>
  <c r="P922" i="3" s="1"/>
  <c r="C923" i="3" s="1"/>
  <c r="P923" i="3" s="1"/>
  <c r="C924" i="3" s="1"/>
  <c r="P924" i="3" s="1"/>
  <c r="C925" i="3" s="1"/>
  <c r="P925" i="3" s="1"/>
  <c r="C926" i="3" s="1"/>
  <c r="P926" i="3" s="1"/>
  <c r="C927" i="3" s="1"/>
  <c r="P927" i="3" s="1"/>
  <c r="C928" i="3" s="1"/>
  <c r="P928" i="3" s="1"/>
  <c r="C929" i="3" s="1"/>
  <c r="P929" i="3" s="1"/>
  <c r="C930" i="3" s="1"/>
  <c r="P930" i="3" s="1"/>
  <c r="C931" i="3" s="1"/>
  <c r="P931" i="3" s="1"/>
  <c r="C932" i="3" s="1"/>
  <c r="P932" i="3" s="1"/>
  <c r="C933" i="3" s="1"/>
  <c r="P933" i="3" s="1"/>
  <c r="C934" i="3" s="1"/>
  <c r="P934" i="3" s="1"/>
  <c r="C935" i="3" s="1"/>
  <c r="P935" i="3" s="1"/>
  <c r="C936" i="3" s="1"/>
  <c r="P936" i="3" s="1"/>
  <c r="C937" i="3" s="1"/>
  <c r="P937" i="3" s="1"/>
  <c r="C938" i="3" s="1"/>
  <c r="P938" i="3" s="1"/>
  <c r="C939" i="3" s="1"/>
  <c r="P939" i="3" s="1"/>
  <c r="C940" i="3" s="1"/>
  <c r="P940" i="3" s="1"/>
  <c r="C941" i="3" s="1"/>
  <c r="P941" i="3" s="1"/>
  <c r="C942" i="3" s="1"/>
  <c r="P942" i="3" s="1"/>
  <c r="C943" i="3" s="1"/>
  <c r="P943" i="3" s="1"/>
  <c r="C944" i="3" s="1"/>
  <c r="P944" i="3" s="1"/>
  <c r="C945" i="3" s="1"/>
  <c r="P945" i="3" s="1"/>
  <c r="C946" i="3" s="1"/>
  <c r="P946" i="3" s="1"/>
  <c r="C947" i="3" s="1"/>
  <c r="P947" i="3" s="1"/>
  <c r="C948" i="3" s="1"/>
  <c r="P948" i="3" s="1"/>
  <c r="C949" i="3" s="1"/>
  <c r="P949" i="3" s="1"/>
  <c r="C950" i="3" s="1"/>
  <c r="P950" i="3" s="1"/>
  <c r="C951" i="3" s="1"/>
  <c r="P951" i="3" s="1"/>
  <c r="C952" i="3" s="1"/>
  <c r="P952" i="3" s="1"/>
  <c r="C953" i="3" s="1"/>
  <c r="P953" i="3" s="1"/>
  <c r="C954" i="3" s="1"/>
  <c r="P954" i="3" s="1"/>
  <c r="C955" i="3" s="1"/>
  <c r="P955" i="3" s="1"/>
  <c r="C956" i="3" s="1"/>
  <c r="P956" i="3" s="1"/>
  <c r="C957" i="3" s="1"/>
  <c r="P957" i="3" s="1"/>
  <c r="C958" i="3" s="1"/>
  <c r="P958" i="3" s="1"/>
  <c r="C959" i="3" s="1"/>
  <c r="P959" i="3" s="1"/>
  <c r="C960" i="3" s="1"/>
  <c r="P960" i="3" s="1"/>
  <c r="C961" i="3" s="1"/>
  <c r="P961" i="3" s="1"/>
  <c r="C962" i="3" s="1"/>
  <c r="P962" i="3" s="1"/>
  <c r="C963" i="3" s="1"/>
  <c r="P963" i="3" s="1"/>
  <c r="C964" i="3" s="1"/>
  <c r="P964" i="3" s="1"/>
  <c r="C965" i="3" s="1"/>
  <c r="P965" i="3" s="1"/>
  <c r="C966" i="3" s="1"/>
  <c r="P966" i="3" s="1"/>
  <c r="C967" i="3" s="1"/>
  <c r="P967" i="3" s="1"/>
  <c r="C968" i="3" s="1"/>
  <c r="P968" i="3" s="1"/>
  <c r="C969" i="3" s="1"/>
  <c r="P969" i="3" s="1"/>
  <c r="C970" i="3" s="1"/>
  <c r="P970" i="3" s="1"/>
  <c r="C971" i="3" s="1"/>
  <c r="P971" i="3" s="1"/>
  <c r="C972" i="3" s="1"/>
  <c r="P972" i="3" s="1"/>
  <c r="C973" i="3" s="1"/>
  <c r="P973" i="3" s="1"/>
  <c r="C974" i="3" s="1"/>
  <c r="P974" i="3" s="1"/>
  <c r="C975" i="3" s="1"/>
  <c r="P975" i="3" s="1"/>
  <c r="C976" i="3" s="1"/>
  <c r="P976" i="3" s="1"/>
  <c r="C977" i="3" s="1"/>
  <c r="P977" i="3" s="1"/>
  <c r="C978" i="3" s="1"/>
  <c r="P978" i="3" s="1"/>
  <c r="C979" i="3" s="1"/>
  <c r="P979" i="3" s="1"/>
  <c r="C980" i="3" s="1"/>
  <c r="P980" i="3" s="1"/>
  <c r="C981" i="3" s="1"/>
  <c r="P981" i="3" s="1"/>
  <c r="C982" i="3" s="1"/>
  <c r="P982" i="3" s="1"/>
  <c r="C983" i="3" s="1"/>
  <c r="P983" i="3" s="1"/>
  <c r="C984" i="3" s="1"/>
  <c r="P984" i="3" s="1"/>
  <c r="C985" i="3" s="1"/>
  <c r="P985" i="3" s="1"/>
  <c r="C986" i="3" s="1"/>
  <c r="P986" i="3" s="1"/>
  <c r="C987" i="3" s="1"/>
  <c r="P987" i="3" s="1"/>
  <c r="C988" i="3" s="1"/>
  <c r="P988" i="3" s="1"/>
  <c r="C989" i="3" s="1"/>
  <c r="P989" i="3" s="1"/>
  <c r="C990" i="3" s="1"/>
  <c r="P990" i="3" s="1"/>
  <c r="C991" i="3" s="1"/>
  <c r="P991" i="3" s="1"/>
  <c r="C992" i="3" s="1"/>
  <c r="P992" i="3" s="1"/>
  <c r="C993" i="3" s="1"/>
  <c r="P993" i="3" s="1"/>
  <c r="C994" i="3" s="1"/>
  <c r="P994" i="3" s="1"/>
  <c r="C995" i="3" s="1"/>
  <c r="P995" i="3" s="1"/>
  <c r="C996" i="3" s="1"/>
  <c r="P996" i="3" s="1"/>
  <c r="C997" i="3" s="1"/>
  <c r="P997" i="3" s="1"/>
  <c r="C998" i="3" s="1"/>
  <c r="P998" i="3" s="1"/>
  <c r="C999" i="3" s="1"/>
  <c r="P999" i="3" s="1"/>
  <c r="C1000" i="3" s="1"/>
  <c r="P1000" i="3" s="1"/>
  <c r="C1001" i="3" s="1"/>
  <c r="P1001" i="3" s="1"/>
  <c r="C1002" i="3" s="1"/>
  <c r="P1002" i="3" s="1"/>
  <c r="C1003" i="3" s="1"/>
  <c r="P1003" i="3" s="1"/>
  <c r="C1004" i="3" s="1"/>
  <c r="P1004" i="3" s="1"/>
  <c r="C1005" i="3" s="1"/>
  <c r="P1005" i="3" s="1"/>
  <c r="C1006" i="3" s="1"/>
  <c r="P1006" i="3" s="1"/>
  <c r="C1007" i="3" s="1"/>
  <c r="P1007" i="3" s="1"/>
  <c r="C1008" i="3" s="1"/>
  <c r="P1008" i="3" s="1"/>
  <c r="C1009" i="3" s="1"/>
  <c r="P1009" i="3" s="1"/>
  <c r="C1010" i="3" s="1"/>
  <c r="P1010" i="3" s="1"/>
  <c r="C1011" i="3" s="1"/>
  <c r="P1011" i="3" s="1"/>
  <c r="C1012" i="3" s="1"/>
  <c r="P1012" i="3" s="1"/>
  <c r="C1013" i="3" s="1"/>
  <c r="P1013" i="3" s="1"/>
  <c r="C1014" i="3" s="1"/>
  <c r="P1014" i="3" s="1"/>
  <c r="C1015" i="3" s="1"/>
  <c r="P1015" i="3" s="1"/>
  <c r="C1016" i="3" s="1"/>
  <c r="P1016" i="3" s="1"/>
  <c r="C1017" i="3" s="1"/>
  <c r="P1017" i="3" s="1"/>
  <c r="C1018" i="3" s="1"/>
  <c r="P1018" i="3" s="1"/>
  <c r="C1019" i="3" s="1"/>
  <c r="P1019" i="3" s="1"/>
  <c r="C1020" i="3" s="1"/>
  <c r="P1020" i="3" s="1"/>
  <c r="C1021" i="3" s="1"/>
  <c r="P1021" i="3" s="1"/>
  <c r="C1022" i="3" s="1"/>
  <c r="P1022" i="3" s="1"/>
  <c r="C1023" i="3" s="1"/>
  <c r="P1023" i="3" s="1"/>
  <c r="C1024" i="3" s="1"/>
  <c r="P1024" i="3" s="1"/>
  <c r="C1025" i="3" s="1"/>
  <c r="P1025" i="3" s="1"/>
  <c r="C1026" i="3" s="1"/>
  <c r="P1026" i="3" s="1"/>
  <c r="C1027" i="3" s="1"/>
  <c r="P1027" i="3" s="1"/>
  <c r="C1028" i="3" s="1"/>
  <c r="P1028" i="3" s="1"/>
  <c r="C1029" i="3" s="1"/>
  <c r="P1029" i="3" s="1"/>
  <c r="C1030" i="3" s="1"/>
  <c r="P1030" i="3" s="1"/>
  <c r="C1031" i="3" s="1"/>
  <c r="P1031" i="3" s="1"/>
  <c r="C1032" i="3" s="1"/>
  <c r="P1032" i="3" s="1"/>
  <c r="C1033" i="3" s="1"/>
  <c r="P1033" i="3" s="1"/>
  <c r="C1034" i="3" s="1"/>
  <c r="P1034" i="3" s="1"/>
  <c r="C1035" i="3" s="1"/>
  <c r="P1035" i="3" s="1"/>
  <c r="C1036" i="3" s="1"/>
  <c r="P1036" i="3" s="1"/>
  <c r="C1037" i="3" s="1"/>
  <c r="P1037" i="3" s="1"/>
  <c r="C1038" i="3" s="1"/>
  <c r="P1038" i="3" s="1"/>
  <c r="C1039" i="3" s="1"/>
  <c r="P1039" i="3" s="1"/>
  <c r="C1040" i="3" s="1"/>
  <c r="P1040" i="3" s="1"/>
  <c r="C1041" i="3" s="1"/>
  <c r="P1041" i="3" s="1"/>
  <c r="C1042" i="3" s="1"/>
  <c r="P1042" i="3" s="1"/>
  <c r="C1043" i="3" s="1"/>
  <c r="P1043" i="3" s="1"/>
  <c r="C1044" i="3" s="1"/>
  <c r="P1044" i="3" s="1"/>
  <c r="C1045" i="3" s="1"/>
  <c r="P1045" i="3" s="1"/>
  <c r="C1046" i="3" s="1"/>
  <c r="P1046" i="3" s="1"/>
  <c r="C1047" i="3" s="1"/>
  <c r="P1047" i="3" s="1"/>
  <c r="C1048" i="3" s="1"/>
  <c r="P1048" i="3" s="1"/>
  <c r="C1049" i="3" s="1"/>
  <c r="P1049" i="3" s="1"/>
  <c r="C1050" i="3" s="1"/>
  <c r="P1050" i="3" s="1"/>
  <c r="C1051" i="3" s="1"/>
  <c r="P1051" i="3" s="1"/>
  <c r="C1052" i="3" s="1"/>
  <c r="P1052" i="3" s="1"/>
  <c r="C1053" i="3" s="1"/>
  <c r="P1053" i="3" s="1"/>
  <c r="C1054" i="3" s="1"/>
  <c r="P1054" i="3" s="1"/>
  <c r="C1055" i="3" s="1"/>
  <c r="P1055" i="3" s="1"/>
  <c r="C1056" i="3" s="1"/>
  <c r="P1056" i="3" s="1"/>
  <c r="C1057" i="3" s="1"/>
  <c r="P1057" i="3" s="1"/>
  <c r="C1058" i="3" s="1"/>
  <c r="P1058" i="3" s="1"/>
  <c r="C1059" i="3" s="1"/>
  <c r="P1059" i="3" s="1"/>
  <c r="C1060" i="3" s="1"/>
  <c r="P1060" i="3" s="1"/>
  <c r="C1061" i="3" s="1"/>
  <c r="P1061" i="3" s="1"/>
  <c r="C1062" i="3" s="1"/>
  <c r="P1062" i="3" s="1"/>
  <c r="C1063" i="3" s="1"/>
  <c r="P1063" i="3" s="1"/>
  <c r="C1064" i="3" s="1"/>
  <c r="P1064" i="3" s="1"/>
  <c r="C1065" i="3" s="1"/>
  <c r="P1065" i="3" s="1"/>
  <c r="C1066" i="3" s="1"/>
  <c r="P1066" i="3" s="1"/>
  <c r="C1067" i="3" s="1"/>
  <c r="P1067" i="3" s="1"/>
  <c r="C1068" i="3" s="1"/>
  <c r="P1068" i="3" s="1"/>
  <c r="C1069" i="3" s="1"/>
  <c r="P1069" i="3" s="1"/>
  <c r="C1070" i="3" s="1"/>
  <c r="P1070" i="3" s="1"/>
  <c r="C1071" i="3" s="1"/>
  <c r="P1071" i="3" s="1"/>
  <c r="C1072" i="3" s="1"/>
  <c r="P1072" i="3" s="1"/>
  <c r="C1073" i="3" s="1"/>
  <c r="P1073" i="3" s="1"/>
  <c r="C1074" i="3" s="1"/>
  <c r="P1074" i="3" s="1"/>
  <c r="C1075" i="3" s="1"/>
  <c r="P1075" i="3" s="1"/>
  <c r="C1076" i="3" s="1"/>
  <c r="P1076" i="3" s="1"/>
  <c r="C1077" i="3" s="1"/>
  <c r="P1077" i="3" s="1"/>
  <c r="C1078" i="3" s="1"/>
  <c r="P1078" i="3" s="1"/>
  <c r="C1079" i="3" s="1"/>
  <c r="P1079" i="3" s="1"/>
  <c r="C1080" i="3" s="1"/>
  <c r="P1080" i="3" s="1"/>
  <c r="C1081" i="3" s="1"/>
  <c r="P1081" i="3" s="1"/>
  <c r="C1082" i="3" s="1"/>
  <c r="P1082" i="3" s="1"/>
  <c r="C1083" i="3" s="1"/>
  <c r="P1083" i="3" s="1"/>
  <c r="C1084" i="3" s="1"/>
  <c r="P1084" i="3" s="1"/>
  <c r="C1085" i="3" s="1"/>
  <c r="P1085" i="3" s="1"/>
  <c r="C1086" i="3" s="1"/>
  <c r="P1086" i="3" s="1"/>
  <c r="C1087" i="3" s="1"/>
  <c r="P1087" i="3" s="1"/>
  <c r="C1088" i="3" s="1"/>
  <c r="P1088" i="3" s="1"/>
  <c r="C1089" i="3" s="1"/>
  <c r="P1089" i="3" s="1"/>
  <c r="C1090" i="3" s="1"/>
  <c r="P1090" i="3" s="1"/>
  <c r="C1091" i="3" s="1"/>
  <c r="P1091" i="3" s="1"/>
  <c r="C1092" i="3" s="1"/>
  <c r="P1092" i="3" s="1"/>
  <c r="C1093" i="3" s="1"/>
  <c r="P1093" i="3" s="1"/>
  <c r="C1094" i="3" s="1"/>
  <c r="P1094" i="3" s="1"/>
  <c r="C1095" i="3" s="1"/>
  <c r="P1095" i="3" s="1"/>
  <c r="C1096" i="3" s="1"/>
  <c r="P1096" i="3" s="1"/>
  <c r="C1097" i="3" s="1"/>
  <c r="P1097" i="3" s="1"/>
  <c r="C1098" i="3" s="1"/>
  <c r="P1098" i="3" s="1"/>
  <c r="C1099" i="3" s="1"/>
  <c r="P1099" i="3" s="1"/>
  <c r="C1100" i="3" s="1"/>
  <c r="P1100" i="3" s="1"/>
  <c r="C1101" i="3" s="1"/>
  <c r="P1101" i="3" s="1"/>
  <c r="C1102" i="3" s="1"/>
  <c r="P1102" i="3" s="1"/>
  <c r="C1103" i="3" s="1"/>
  <c r="P1103" i="3" s="1"/>
  <c r="C1104" i="3" s="1"/>
  <c r="P1104" i="3" s="1"/>
  <c r="C1105" i="3" s="1"/>
  <c r="P1105" i="3" s="1"/>
  <c r="C1106" i="3" s="1"/>
  <c r="P1106" i="3" s="1"/>
  <c r="C1107" i="3" s="1"/>
  <c r="P1107" i="3" s="1"/>
  <c r="C1108" i="3" s="1"/>
  <c r="P1108" i="3" s="1"/>
  <c r="C1109" i="3" s="1"/>
  <c r="P1109" i="3" s="1"/>
  <c r="C1110" i="3" s="1"/>
  <c r="P1110" i="3" s="1"/>
  <c r="C1111" i="3" s="1"/>
  <c r="P1111" i="3" s="1"/>
  <c r="C1112" i="3" s="1"/>
  <c r="P1112" i="3" s="1"/>
  <c r="C1113" i="3" s="1"/>
  <c r="P1113" i="3" s="1"/>
  <c r="C1114" i="3" s="1"/>
  <c r="P1114" i="3" s="1"/>
  <c r="C1115" i="3" s="1"/>
  <c r="P1115" i="3" s="1"/>
  <c r="C1116" i="3" s="1"/>
  <c r="P1116" i="3" s="1"/>
  <c r="C1117" i="3" s="1"/>
  <c r="P1117" i="3" s="1"/>
  <c r="C1118" i="3" s="1"/>
  <c r="P1118" i="3" s="1"/>
  <c r="C1119" i="3" s="1"/>
  <c r="P1119" i="3" s="1"/>
  <c r="C1120" i="3" s="1"/>
  <c r="P1120" i="3" s="1"/>
  <c r="C1121" i="3" s="1"/>
  <c r="P1121" i="3" s="1"/>
  <c r="C1122" i="3" s="1"/>
  <c r="P1122" i="3" s="1"/>
  <c r="C1123" i="3" s="1"/>
  <c r="P1123" i="3" s="1"/>
  <c r="C1124" i="3" s="1"/>
  <c r="P1124" i="3" s="1"/>
  <c r="C1125" i="3" s="1"/>
  <c r="P1125" i="3" s="1"/>
  <c r="C1126" i="3" s="1"/>
  <c r="P1126" i="3" s="1"/>
  <c r="C1127" i="3" s="1"/>
  <c r="P1127" i="3" s="1"/>
  <c r="C1128" i="3" s="1"/>
  <c r="P1128" i="3" s="1"/>
  <c r="C1129" i="3" s="1"/>
  <c r="P1129" i="3" s="1"/>
  <c r="C1130" i="3" s="1"/>
  <c r="P1130" i="3" s="1"/>
  <c r="C1131" i="3" s="1"/>
  <c r="P1131" i="3" s="1"/>
  <c r="C1132" i="3" s="1"/>
  <c r="P1132" i="3" s="1"/>
  <c r="C1133" i="3" s="1"/>
  <c r="P1133" i="3" s="1"/>
  <c r="C1134" i="3" s="1"/>
  <c r="P1134" i="3" s="1"/>
  <c r="C1135" i="3" s="1"/>
  <c r="P1135" i="3" s="1"/>
  <c r="C1136" i="3" s="1"/>
  <c r="P1136" i="3" s="1"/>
  <c r="C1137" i="3" s="1"/>
  <c r="P1137" i="3" s="1"/>
  <c r="C1138" i="3" s="1"/>
  <c r="P1138" i="3" s="1"/>
  <c r="C1139" i="3" s="1"/>
  <c r="P1139" i="3" s="1"/>
  <c r="C1140" i="3" s="1"/>
  <c r="P1140" i="3" s="1"/>
  <c r="C1141" i="3" s="1"/>
  <c r="P1141" i="3" s="1"/>
  <c r="C1142" i="3" s="1"/>
  <c r="P1142" i="3" s="1"/>
  <c r="C1143" i="3" s="1"/>
  <c r="P1143" i="3" s="1"/>
  <c r="C1144" i="3" s="1"/>
  <c r="P1144" i="3" s="1"/>
  <c r="C1145" i="3" s="1"/>
  <c r="P1145" i="3" s="1"/>
  <c r="C1146" i="3" s="1"/>
  <c r="P1146" i="3" s="1"/>
  <c r="C1147" i="3" s="1"/>
  <c r="P1147" i="3" s="1"/>
  <c r="C1148" i="3" s="1"/>
  <c r="P1148" i="3" s="1"/>
  <c r="C1149" i="3" s="1"/>
  <c r="P1149" i="3" s="1"/>
  <c r="C1150" i="3" s="1"/>
  <c r="P1150" i="3" s="1"/>
  <c r="C1151" i="3" s="1"/>
  <c r="P1151" i="3" s="1"/>
  <c r="C1152" i="3" s="1"/>
  <c r="P1152" i="3" s="1"/>
  <c r="C1153" i="3" s="1"/>
  <c r="P1153" i="3" s="1"/>
  <c r="C1154" i="3" s="1"/>
  <c r="P1154" i="3" s="1"/>
  <c r="C1155" i="3" s="1"/>
  <c r="P1155" i="3" s="1"/>
  <c r="C1156" i="3" s="1"/>
  <c r="P1156" i="3" s="1"/>
  <c r="C1157" i="3" s="1"/>
  <c r="P1157" i="3" s="1"/>
  <c r="C1158" i="3" s="1"/>
  <c r="P1158" i="3" s="1"/>
  <c r="C1159" i="3" s="1"/>
  <c r="P1159" i="3" s="1"/>
  <c r="C1160" i="3" s="1"/>
  <c r="P1160" i="3" s="1"/>
  <c r="C1161" i="3" s="1"/>
  <c r="P1161" i="3" s="1"/>
  <c r="C1162" i="3" s="1"/>
  <c r="P1162" i="3" s="1"/>
  <c r="C1163" i="3" s="1"/>
  <c r="P1163" i="3" s="1"/>
  <c r="C1164" i="3" s="1"/>
  <c r="P1164" i="3" s="1"/>
  <c r="C1165" i="3" s="1"/>
  <c r="P1165" i="3" s="1"/>
  <c r="C1166" i="3" s="1"/>
  <c r="P1166" i="3" s="1"/>
  <c r="C1167" i="3" s="1"/>
  <c r="P1167" i="3" s="1"/>
  <c r="C1168" i="3" s="1"/>
  <c r="P1168" i="3" s="1"/>
  <c r="C1169" i="3" s="1"/>
  <c r="P1169" i="3" s="1"/>
  <c r="C1170" i="3" s="1"/>
  <c r="P1170" i="3" s="1"/>
  <c r="C1171" i="3" s="1"/>
  <c r="P1171" i="3" s="1"/>
  <c r="C1172" i="3" s="1"/>
  <c r="P1172" i="3" s="1"/>
  <c r="C1173" i="3" s="1"/>
  <c r="P1173" i="3" s="1"/>
  <c r="C1174" i="3" s="1"/>
  <c r="P1174" i="3" s="1"/>
  <c r="C1175" i="3" s="1"/>
  <c r="P1175" i="3" s="1"/>
  <c r="C1176" i="3" s="1"/>
  <c r="P1176" i="3" s="1"/>
  <c r="C1177" i="3" s="1"/>
  <c r="P1177" i="3" s="1"/>
  <c r="C1178" i="3" s="1"/>
  <c r="P1178" i="3" s="1"/>
  <c r="C1179" i="3" s="1"/>
  <c r="P1179" i="3" s="1"/>
  <c r="C1180" i="3" s="1"/>
  <c r="P1180" i="3" s="1"/>
  <c r="C1181" i="3" s="1"/>
  <c r="P1181" i="3" s="1"/>
  <c r="C1182" i="3" s="1"/>
  <c r="P1182" i="3" s="1"/>
  <c r="C1183" i="3" s="1"/>
  <c r="P1183" i="3" s="1"/>
  <c r="C1184" i="3" s="1"/>
  <c r="P1184" i="3" s="1"/>
  <c r="C1185" i="3" s="1"/>
  <c r="P1185" i="3" s="1"/>
  <c r="C1186" i="3" s="1"/>
  <c r="P1186" i="3" s="1"/>
  <c r="C1187" i="3" s="1"/>
  <c r="P1187" i="3" s="1"/>
  <c r="C1188" i="3" s="1"/>
  <c r="P1188" i="3" s="1"/>
  <c r="C1189" i="3" s="1"/>
  <c r="P1189" i="3" s="1"/>
  <c r="C1190" i="3" s="1"/>
  <c r="P1190" i="3" s="1"/>
  <c r="C1191" i="3" s="1"/>
  <c r="P1191" i="3" s="1"/>
  <c r="C1192" i="3" s="1"/>
  <c r="P1192" i="3" s="1"/>
  <c r="C1193" i="3" s="1"/>
  <c r="P1193" i="3" s="1"/>
  <c r="C1194" i="3" s="1"/>
  <c r="P1194" i="3" s="1"/>
  <c r="C1195" i="3" s="1"/>
  <c r="P1195" i="3" s="1"/>
  <c r="C1196" i="3" s="1"/>
  <c r="P1196" i="3" s="1"/>
  <c r="C1197" i="3" s="1"/>
  <c r="P1197" i="3" s="1"/>
  <c r="C1198" i="3" s="1"/>
  <c r="P1198" i="3" s="1"/>
  <c r="C1199" i="3" s="1"/>
  <c r="P1199" i="3" s="1"/>
  <c r="C1200" i="3" s="1"/>
  <c r="P1200" i="3" s="1"/>
  <c r="C1201" i="3" s="1"/>
  <c r="P1201" i="3" s="1"/>
  <c r="C1202" i="3" s="1"/>
  <c r="P1202" i="3" s="1"/>
  <c r="C1203" i="3" s="1"/>
  <c r="P1203" i="3" s="1"/>
  <c r="C1204" i="3" s="1"/>
  <c r="P1204" i="3" s="1"/>
  <c r="C1205" i="3" s="1"/>
  <c r="P1205" i="3" s="1"/>
  <c r="C1206" i="3" s="1"/>
  <c r="P1206" i="3" s="1"/>
  <c r="C1207" i="3" s="1"/>
  <c r="P1207" i="3" s="1"/>
  <c r="C1208" i="3" s="1"/>
  <c r="P1208" i="3" s="1"/>
  <c r="C1209" i="3" s="1"/>
  <c r="P1209" i="3" s="1"/>
  <c r="C1210" i="3" s="1"/>
  <c r="P1210" i="3" s="1"/>
  <c r="C1211" i="3" s="1"/>
  <c r="P1211" i="3" s="1"/>
  <c r="C1212" i="3" s="1"/>
  <c r="P1212" i="3" s="1"/>
  <c r="C1213" i="3" s="1"/>
  <c r="P1213" i="3" s="1"/>
  <c r="C1214" i="3" s="1"/>
  <c r="P1214" i="3" s="1"/>
  <c r="C1215" i="3" s="1"/>
  <c r="P1215" i="3" s="1"/>
  <c r="C1216" i="3" s="1"/>
  <c r="P1216" i="3" s="1"/>
  <c r="C1217" i="3" s="1"/>
  <c r="P1217" i="3" s="1"/>
  <c r="C1218" i="3" s="1"/>
  <c r="P1218" i="3" s="1"/>
  <c r="C1219" i="3" s="1"/>
  <c r="P1219" i="3" s="1"/>
  <c r="C1220" i="3" s="1"/>
  <c r="P1220" i="3" s="1"/>
  <c r="C1221" i="3" s="1"/>
  <c r="P1221" i="3" s="1"/>
  <c r="C1222" i="3" s="1"/>
  <c r="P1222" i="3" s="1"/>
  <c r="C1223" i="3" s="1"/>
  <c r="P1223" i="3" s="1"/>
  <c r="C1224" i="3" s="1"/>
  <c r="P1224" i="3" s="1"/>
  <c r="C1225" i="3" s="1"/>
  <c r="P1225" i="3" s="1"/>
  <c r="C1226" i="3" s="1"/>
  <c r="P1226" i="3" s="1"/>
  <c r="C1227" i="3" s="1"/>
  <c r="P1227" i="3" s="1"/>
  <c r="C1228" i="3" s="1"/>
  <c r="P1228" i="3" s="1"/>
  <c r="C1229" i="3" s="1"/>
  <c r="P1229" i="3" s="1"/>
  <c r="C1230" i="3" s="1"/>
  <c r="P1230" i="3" s="1"/>
  <c r="C1231" i="3" s="1"/>
  <c r="P1231" i="3" s="1"/>
  <c r="C1232" i="3" s="1"/>
  <c r="P1232" i="3" s="1"/>
  <c r="C1233" i="3" s="1"/>
  <c r="P1233" i="3" s="1"/>
  <c r="C1234" i="3" s="1"/>
  <c r="P1234" i="3" s="1"/>
  <c r="C1235" i="3" s="1"/>
  <c r="P1235" i="3" s="1"/>
  <c r="C1236" i="3" s="1"/>
  <c r="P1236" i="3" s="1"/>
  <c r="C1237" i="3" s="1"/>
  <c r="P1237" i="3" s="1"/>
  <c r="C1238" i="3" s="1"/>
  <c r="P1238" i="3" s="1"/>
  <c r="C1239" i="3" s="1"/>
  <c r="P1239" i="3" s="1"/>
  <c r="C1240" i="3" s="1"/>
  <c r="P1240" i="3" s="1"/>
  <c r="C1241" i="3" s="1"/>
  <c r="P1241" i="3" s="1"/>
  <c r="C1242" i="3" s="1"/>
  <c r="P1242" i="3" s="1"/>
  <c r="C1243" i="3" s="1"/>
  <c r="P1243" i="3" s="1"/>
  <c r="C1244" i="3" s="1"/>
  <c r="P1244" i="3" s="1"/>
  <c r="C1245" i="3" s="1"/>
  <c r="P1245" i="3" s="1"/>
  <c r="C1246" i="3" s="1"/>
  <c r="P1246" i="3" s="1"/>
  <c r="C1247" i="3" s="1"/>
  <c r="P1247" i="3" s="1"/>
  <c r="C1248" i="3" s="1"/>
  <c r="P1248" i="3" s="1"/>
  <c r="C1249" i="3" s="1"/>
  <c r="P1249" i="3" s="1"/>
  <c r="C1250" i="3" s="1"/>
  <c r="P1250" i="3" s="1"/>
  <c r="C1251" i="3" s="1"/>
  <c r="P1251" i="3" s="1"/>
  <c r="C1252" i="3" s="1"/>
  <c r="P1252" i="3" s="1"/>
  <c r="C1253" i="3" s="1"/>
  <c r="P1253" i="3" s="1"/>
  <c r="C1254" i="3" s="1"/>
  <c r="P1254" i="3" s="1"/>
  <c r="C1255" i="3" s="1"/>
  <c r="P1255" i="3" s="1"/>
  <c r="C1256" i="3" s="1"/>
  <c r="P1256" i="3" s="1"/>
  <c r="C1257" i="3" s="1"/>
  <c r="P1257" i="3" s="1"/>
  <c r="C1258" i="3" s="1"/>
  <c r="P1258" i="3" s="1"/>
  <c r="C1259" i="3" s="1"/>
  <c r="P1259" i="3" s="1"/>
  <c r="C1260" i="3" s="1"/>
  <c r="P1260" i="3" s="1"/>
  <c r="C1261" i="3" s="1"/>
  <c r="P1261" i="3" s="1"/>
  <c r="C1262" i="3" s="1"/>
  <c r="P1262" i="3" s="1"/>
  <c r="C1263" i="3" s="1"/>
  <c r="P1263" i="3" s="1"/>
  <c r="C1264" i="3" s="1"/>
  <c r="P1264" i="3" s="1"/>
  <c r="C1265" i="3" s="1"/>
  <c r="P1265" i="3" s="1"/>
  <c r="C1266" i="3" s="1"/>
  <c r="P1266" i="3" s="1"/>
  <c r="C1267" i="3" s="1"/>
  <c r="P1267" i="3" s="1"/>
  <c r="C1268" i="3" s="1"/>
  <c r="P1268" i="3" s="1"/>
  <c r="C1269" i="3" s="1"/>
  <c r="P1269" i="3" s="1"/>
  <c r="C1270" i="3" s="1"/>
  <c r="P1270" i="3" s="1"/>
  <c r="C1271" i="3" s="1"/>
  <c r="P1271" i="3" s="1"/>
  <c r="C1272" i="3" s="1"/>
  <c r="P1272" i="3" s="1"/>
  <c r="C1273" i="3" s="1"/>
  <c r="P1273" i="3" s="1"/>
  <c r="C1274" i="3" s="1"/>
  <c r="P1274" i="3" s="1"/>
  <c r="C1275" i="3" s="1"/>
  <c r="P1275" i="3" s="1"/>
  <c r="C1276" i="3" s="1"/>
  <c r="P1276" i="3" s="1"/>
  <c r="C1277" i="3" s="1"/>
  <c r="P1277" i="3" s="1"/>
  <c r="C1278" i="3" s="1"/>
  <c r="P1278" i="3" s="1"/>
  <c r="C1279" i="3" s="1"/>
  <c r="P1279" i="3" s="1"/>
  <c r="C1280" i="3" s="1"/>
  <c r="P1280" i="3" s="1"/>
  <c r="C1281" i="3" s="1"/>
  <c r="P1281" i="3" s="1"/>
  <c r="C1282" i="3" s="1"/>
  <c r="P1282" i="3" s="1"/>
  <c r="C1283" i="3" s="1"/>
  <c r="P1283" i="3" s="1"/>
  <c r="C1284" i="3" s="1"/>
  <c r="P1284" i="3" s="1"/>
  <c r="C1285" i="3" s="1"/>
  <c r="P1285" i="3" s="1"/>
  <c r="C1286" i="3" s="1"/>
  <c r="P1286" i="3" s="1"/>
  <c r="C1287" i="3" s="1"/>
  <c r="P1287" i="3" s="1"/>
  <c r="C1288" i="3" s="1"/>
  <c r="P1288" i="3" s="1"/>
  <c r="C1289" i="3" s="1"/>
  <c r="P1289" i="3" s="1"/>
  <c r="C1290" i="3" s="1"/>
  <c r="P1290" i="3" s="1"/>
  <c r="C1291" i="3" s="1"/>
  <c r="P1291" i="3" s="1"/>
  <c r="C1292" i="3" s="1"/>
  <c r="P1292" i="3" s="1"/>
  <c r="C1293" i="3" s="1"/>
  <c r="P1293" i="3" s="1"/>
  <c r="C1294" i="3" s="1"/>
  <c r="P1294" i="3" s="1"/>
  <c r="C1295" i="3" s="1"/>
  <c r="P1295" i="3" s="1"/>
  <c r="C1296" i="3" s="1"/>
  <c r="P1296" i="3" s="1"/>
  <c r="C1297" i="3" s="1"/>
  <c r="P1297" i="3" s="1"/>
  <c r="C1298" i="3" s="1"/>
  <c r="P1298" i="3" s="1"/>
  <c r="C1299" i="3" s="1"/>
  <c r="P1299" i="3" s="1"/>
  <c r="C1300" i="3" s="1"/>
  <c r="P1300" i="3" s="1"/>
  <c r="C1301" i="3" s="1"/>
  <c r="P1301" i="3" s="1"/>
  <c r="C1302" i="3" s="1"/>
  <c r="P1302" i="3" s="1"/>
  <c r="C1303" i="3" s="1"/>
  <c r="P1303" i="3" s="1"/>
  <c r="C1304" i="3" s="1"/>
  <c r="P1304" i="3" s="1"/>
  <c r="C1305" i="3" s="1"/>
  <c r="P1305" i="3" s="1"/>
  <c r="C1306" i="3" s="1"/>
  <c r="P1306" i="3" s="1"/>
  <c r="C1307" i="3" s="1"/>
  <c r="P1307" i="3" s="1"/>
  <c r="C1308" i="3" s="1"/>
  <c r="P1308" i="3" s="1"/>
  <c r="C1309" i="3" s="1"/>
  <c r="P1309" i="3" s="1"/>
  <c r="C1310" i="3" s="1"/>
  <c r="P1310" i="3" s="1"/>
  <c r="C1311" i="3" s="1"/>
  <c r="P1311" i="3" s="1"/>
  <c r="C1312" i="3" s="1"/>
  <c r="P1312" i="3" s="1"/>
  <c r="C1313" i="3" s="1"/>
  <c r="P1313" i="3" s="1"/>
  <c r="C1314" i="3" s="1"/>
  <c r="P1314" i="3" s="1"/>
  <c r="C1315" i="3" s="1"/>
  <c r="P1315" i="3" s="1"/>
  <c r="C1316" i="3" s="1"/>
  <c r="P1316" i="3" s="1"/>
  <c r="C1317" i="3" s="1"/>
  <c r="P1317" i="3" s="1"/>
  <c r="C1318" i="3" s="1"/>
  <c r="P1318" i="3" s="1"/>
  <c r="C1319" i="3" s="1"/>
  <c r="P1319" i="3" s="1"/>
  <c r="C1320" i="3" s="1"/>
  <c r="P1320" i="3" s="1"/>
  <c r="C1321" i="3" s="1"/>
  <c r="P1321" i="3" s="1"/>
  <c r="C1322" i="3" s="1"/>
  <c r="P1322" i="3" s="1"/>
  <c r="C1323" i="3" s="1"/>
  <c r="P1323" i="3" s="1"/>
  <c r="C1324" i="3" s="1"/>
  <c r="P1324" i="3" s="1"/>
  <c r="C1325" i="3" s="1"/>
  <c r="P1325" i="3" s="1"/>
  <c r="C1326" i="3" s="1"/>
  <c r="P1326" i="3" s="1"/>
  <c r="C1327" i="3" s="1"/>
  <c r="P1327" i="3" s="1"/>
  <c r="C1328" i="3" s="1"/>
  <c r="P1328" i="3" s="1"/>
  <c r="C1329" i="3" s="1"/>
  <c r="P1329" i="3" s="1"/>
  <c r="C1330" i="3" s="1"/>
  <c r="P1330" i="3" s="1"/>
  <c r="C1331" i="3" s="1"/>
  <c r="P1331" i="3" s="1"/>
  <c r="C1332" i="3" s="1"/>
  <c r="P1332" i="3" s="1"/>
  <c r="C1333" i="3" s="1"/>
  <c r="P1333" i="3" s="1"/>
  <c r="C1334" i="3" s="1"/>
  <c r="P1334" i="3" s="1"/>
  <c r="C1335" i="3" s="1"/>
  <c r="P1335" i="3" s="1"/>
  <c r="C1336" i="3" s="1"/>
  <c r="P1336" i="3" s="1"/>
  <c r="C1337" i="3" s="1"/>
  <c r="P1337" i="3" s="1"/>
  <c r="C1338" i="3" s="1"/>
  <c r="P1338" i="3" s="1"/>
  <c r="C1339" i="3" s="1"/>
  <c r="P1339" i="3" s="1"/>
  <c r="C1340" i="3" s="1"/>
  <c r="P1340" i="3" s="1"/>
  <c r="C1341" i="3" s="1"/>
  <c r="P1341" i="3" s="1"/>
  <c r="C1342" i="3" s="1"/>
  <c r="P1342" i="3" s="1"/>
  <c r="C1343" i="3" s="1"/>
  <c r="P1343" i="3" s="1"/>
  <c r="C1344" i="3" s="1"/>
  <c r="P1344" i="3" s="1"/>
  <c r="C1345" i="3" s="1"/>
  <c r="P1345" i="3" s="1"/>
  <c r="C1346" i="3" s="1"/>
  <c r="P1346" i="3" s="1"/>
  <c r="C1347" i="3" s="1"/>
  <c r="P1347" i="3" s="1"/>
  <c r="C1348" i="3" s="1"/>
  <c r="P1348" i="3" s="1"/>
  <c r="C1349" i="3" s="1"/>
  <c r="P1349" i="3" s="1"/>
  <c r="C1350" i="3" s="1"/>
  <c r="P1350" i="3" s="1"/>
  <c r="C1351" i="3" s="1"/>
  <c r="P1351" i="3" s="1"/>
  <c r="C1352" i="3" s="1"/>
  <c r="P1352" i="3" s="1"/>
  <c r="C1353" i="3" s="1"/>
  <c r="P1353" i="3" s="1"/>
  <c r="C1354" i="3" s="1"/>
  <c r="P1354" i="3" s="1"/>
  <c r="C1355" i="3" s="1"/>
  <c r="P1355" i="3" s="1"/>
  <c r="C1356" i="3" s="1"/>
  <c r="P1356" i="3" s="1"/>
  <c r="C1357" i="3" s="1"/>
  <c r="P1357" i="3" s="1"/>
  <c r="C1358" i="3" s="1"/>
  <c r="P1358" i="3" s="1"/>
  <c r="C1359" i="3" s="1"/>
  <c r="P1359" i="3" s="1"/>
  <c r="C1360" i="3" s="1"/>
  <c r="P1360" i="3" s="1"/>
  <c r="C1361" i="3" s="1"/>
  <c r="P1361" i="3" s="1"/>
  <c r="C1362" i="3" s="1"/>
  <c r="P1362" i="3" s="1"/>
  <c r="C1363" i="3" s="1"/>
  <c r="P1363" i="3" s="1"/>
  <c r="C1364" i="3" s="1"/>
  <c r="P1364" i="3" s="1"/>
  <c r="C1365" i="3" s="1"/>
  <c r="P1365" i="3" s="1"/>
  <c r="C1366" i="3" s="1"/>
  <c r="P1366" i="3" s="1"/>
  <c r="C1367" i="3" s="1"/>
  <c r="P1367" i="3" s="1"/>
  <c r="C1368" i="3" s="1"/>
  <c r="P1368" i="3" s="1"/>
  <c r="C1369" i="3" s="1"/>
  <c r="P1369" i="3" s="1"/>
  <c r="C1370" i="3" s="1"/>
  <c r="P1370" i="3" s="1"/>
  <c r="C1371" i="3" s="1"/>
  <c r="P1371" i="3" s="1"/>
  <c r="C1372" i="3" s="1"/>
  <c r="P1372" i="3" s="1"/>
  <c r="C1373" i="3" s="1"/>
  <c r="P1373" i="3" s="1"/>
  <c r="C1374" i="3" s="1"/>
  <c r="P1374" i="3" s="1"/>
  <c r="D15" i="6"/>
  <c r="J15" i="6"/>
  <c r="A16" i="6" s="1"/>
  <c r="I15" i="6"/>
  <c r="J3" i="5"/>
  <c r="B3" i="5"/>
  <c r="C3" i="4"/>
  <c r="B3" i="3"/>
  <c r="F21" i="2"/>
  <c r="E35" i="2"/>
  <c r="G29" i="2"/>
  <c r="H29" i="2" s="1"/>
  <c r="F29" i="2"/>
  <c r="F32" i="2" s="1"/>
  <c r="G30" i="2"/>
  <c r="H30" i="2" s="1"/>
  <c r="C38" i="1"/>
  <c r="J13" i="1"/>
  <c r="E33" i="1"/>
  <c r="B62" i="1" s="1"/>
  <c r="B64" i="1" s="1"/>
  <c r="C37" i="1"/>
  <c r="J12" i="1"/>
  <c r="E39" i="1"/>
  <c r="F39" i="1"/>
  <c r="D39" i="1" s="1"/>
  <c r="J19" i="1" s="1"/>
  <c r="J14" i="1"/>
  <c r="H41" i="2"/>
  <c r="L3" i="4" l="1"/>
  <c r="C4" i="4" s="1"/>
  <c r="D3" i="4"/>
  <c r="I40" i="2"/>
  <c r="H32" i="2"/>
  <c r="B45" i="1"/>
  <c r="C45" i="1"/>
  <c r="O3" i="3"/>
  <c r="Q3" i="3" s="1"/>
  <c r="Q2" i="3"/>
  <c r="J16" i="6"/>
  <c r="A17" i="6" s="1"/>
  <c r="K16" i="6"/>
  <c r="L16" i="6"/>
  <c r="B16" i="6"/>
  <c r="C16" i="6"/>
  <c r="F16" i="6"/>
  <c r="G16" i="6"/>
  <c r="H16" i="6"/>
  <c r="I16" i="6"/>
  <c r="D16" i="6"/>
  <c r="E16" i="6"/>
  <c r="B4" i="5"/>
  <c r="J4" i="5"/>
  <c r="M2" i="4"/>
  <c r="K4" i="4"/>
  <c r="L4" i="4"/>
  <c r="C5" i="4" s="1"/>
  <c r="D4" i="4"/>
  <c r="M3" i="4"/>
  <c r="B4" i="3"/>
  <c r="O4" i="3" s="1"/>
  <c r="G32" i="2"/>
  <c r="G35" i="2" s="1"/>
  <c r="H35" i="2" s="1"/>
  <c r="F35" i="2"/>
  <c r="G60" i="1"/>
  <c r="G61" i="1"/>
  <c r="G62" i="1"/>
  <c r="G63" i="1"/>
  <c r="D37" i="1"/>
  <c r="F37" i="1"/>
  <c r="C40" i="1"/>
  <c r="E38" i="1"/>
  <c r="F38" i="1"/>
  <c r="D38" i="1" s="1"/>
  <c r="I41" i="2"/>
  <c r="J41" i="2" s="1"/>
  <c r="K41" i="2" s="1"/>
  <c r="J18" i="1" l="1"/>
  <c r="G40" i="2"/>
  <c r="E40" i="1"/>
  <c r="F40" i="2"/>
  <c r="L17" i="6"/>
  <c r="C17" i="6"/>
  <c r="D17" i="6"/>
  <c r="E17" i="6"/>
  <c r="H17" i="6"/>
  <c r="K17" i="6"/>
  <c r="B17" i="6"/>
  <c r="F17" i="6"/>
  <c r="G17" i="6"/>
  <c r="I17" i="6"/>
  <c r="J17" i="6"/>
  <c r="A18" i="6" s="1"/>
  <c r="B5" i="5"/>
  <c r="J5" i="5"/>
  <c r="M4" i="4"/>
  <c r="B5" i="4"/>
  <c r="C51" i="1"/>
  <c r="Q4" i="3"/>
  <c r="B5" i="3"/>
  <c r="O5" i="3" s="1"/>
  <c r="F40" i="1"/>
  <c r="J17" i="1"/>
  <c r="D40" i="1"/>
  <c r="G64" i="1"/>
  <c r="B18" i="6" l="1"/>
  <c r="E18" i="6"/>
  <c r="F18" i="6"/>
  <c r="H18" i="6"/>
  <c r="G18" i="6"/>
  <c r="J18" i="6"/>
  <c r="A19" i="6" s="1"/>
  <c r="L18" i="6"/>
  <c r="I18" i="6"/>
  <c r="D18" i="6"/>
  <c r="C18" i="6"/>
  <c r="K18" i="6"/>
  <c r="J6" i="5"/>
  <c r="B6" i="5"/>
  <c r="D5" i="4"/>
  <c r="L5" i="4"/>
  <c r="C6" i="4" s="1"/>
  <c r="K5" i="4"/>
  <c r="Q5" i="3"/>
  <c r="B6" i="3"/>
  <c r="O6" i="3" s="1"/>
  <c r="B19" i="6" l="1"/>
  <c r="C19" i="6"/>
  <c r="D19" i="6"/>
  <c r="G19" i="6"/>
  <c r="H19" i="6"/>
  <c r="J19" i="6"/>
  <c r="A20" i="6" s="1"/>
  <c r="I19" i="6"/>
  <c r="L19" i="6"/>
  <c r="E19" i="6"/>
  <c r="F19" i="6"/>
  <c r="K19" i="6"/>
  <c r="B7" i="5"/>
  <c r="J7" i="5"/>
  <c r="M5" i="4"/>
  <c r="B6" i="4"/>
  <c r="Q6" i="3"/>
  <c r="B7" i="3"/>
  <c r="O7" i="3" s="1"/>
  <c r="D20" i="6" l="1"/>
  <c r="E20" i="6"/>
  <c r="F20" i="6"/>
  <c r="I20" i="6"/>
  <c r="J20" i="6"/>
  <c r="A21" i="6" s="1"/>
  <c r="L20" i="6"/>
  <c r="K20" i="6"/>
  <c r="H20" i="6"/>
  <c r="G20" i="6"/>
  <c r="B20" i="6"/>
  <c r="C20" i="6"/>
  <c r="J8" i="5"/>
  <c r="B8" i="5"/>
  <c r="D6" i="4"/>
  <c r="K6" i="4"/>
  <c r="L6" i="4"/>
  <c r="C7" i="4" s="1"/>
  <c r="B8" i="3"/>
  <c r="O8" i="3" s="1"/>
  <c r="Q7" i="3"/>
  <c r="F21" i="6" l="1"/>
  <c r="G21" i="6"/>
  <c r="H21" i="6"/>
  <c r="K21" i="6"/>
  <c r="L21" i="6"/>
  <c r="B21" i="6"/>
  <c r="I21" i="6"/>
  <c r="J21" i="6"/>
  <c r="A22" i="6" s="1"/>
  <c r="C21" i="6"/>
  <c r="D21" i="6"/>
  <c r="E21" i="6"/>
  <c r="B9" i="5"/>
  <c r="J9" i="5"/>
  <c r="B7" i="4"/>
  <c r="M6" i="4"/>
  <c r="B9" i="3"/>
  <c r="O9" i="3" s="1"/>
  <c r="Q8" i="3"/>
  <c r="H22" i="6" l="1"/>
  <c r="I22" i="6"/>
  <c r="J22" i="6"/>
  <c r="A23" i="6" s="1"/>
  <c r="B22" i="6"/>
  <c r="D22" i="6"/>
  <c r="C22" i="6"/>
  <c r="E22" i="6"/>
  <c r="F22" i="6"/>
  <c r="G22" i="6"/>
  <c r="K22" i="6"/>
  <c r="L22" i="6"/>
  <c r="J10" i="5"/>
  <c r="B10" i="5"/>
  <c r="D7" i="4"/>
  <c r="K7" i="4"/>
  <c r="L7" i="4"/>
  <c r="C8" i="4" s="1"/>
  <c r="Q9" i="3"/>
  <c r="B10" i="3"/>
  <c r="O10" i="3" s="1"/>
  <c r="J23" i="6" l="1"/>
  <c r="A24" i="6" s="1"/>
  <c r="K23" i="6"/>
  <c r="L23" i="6"/>
  <c r="B23" i="6"/>
  <c r="D23" i="6"/>
  <c r="C23" i="6"/>
  <c r="F23" i="6"/>
  <c r="G23" i="6"/>
  <c r="I23" i="6"/>
  <c r="E23" i="6"/>
  <c r="H23" i="6"/>
  <c r="J11" i="5"/>
  <c r="B11" i="5"/>
  <c r="M7" i="4"/>
  <c r="B8" i="4"/>
  <c r="Q10" i="3"/>
  <c r="B11" i="3"/>
  <c r="O11" i="3" s="1"/>
  <c r="L24" i="6" l="1"/>
  <c r="C24" i="6"/>
  <c r="D24" i="6"/>
  <c r="F24" i="6"/>
  <c r="E24" i="6"/>
  <c r="H24" i="6"/>
  <c r="G24" i="6"/>
  <c r="I24" i="6"/>
  <c r="J24" i="6"/>
  <c r="A25" i="6" s="1"/>
  <c r="K24" i="6"/>
  <c r="B24" i="6"/>
  <c r="B12" i="5"/>
  <c r="J12" i="5"/>
  <c r="L8" i="4"/>
  <c r="C9" i="4" s="1"/>
  <c r="K8" i="4"/>
  <c r="D8" i="4"/>
  <c r="Q11" i="3"/>
  <c r="B12" i="3"/>
  <c r="O12" i="3" s="1"/>
  <c r="B25" i="6" l="1"/>
  <c r="E25" i="6"/>
  <c r="F25" i="6"/>
  <c r="H25" i="6"/>
  <c r="G25" i="6"/>
  <c r="J25" i="6"/>
  <c r="A26" i="6" s="1"/>
  <c r="C25" i="6"/>
  <c r="D25" i="6"/>
  <c r="I25" i="6"/>
  <c r="L25" i="6"/>
  <c r="K25" i="6"/>
  <c r="J13" i="5"/>
  <c r="B13" i="5"/>
  <c r="B9" i="4"/>
  <c r="M8" i="4"/>
  <c r="Q12" i="3"/>
  <c r="B13" i="3"/>
  <c r="O13" i="3" s="1"/>
  <c r="B14" i="5" l="1"/>
  <c r="J14" i="5"/>
  <c r="B26" i="6"/>
  <c r="C26" i="6"/>
  <c r="D26" i="6"/>
  <c r="G26" i="6"/>
  <c r="H26" i="6"/>
  <c r="J26" i="6"/>
  <c r="A27" i="6" s="1"/>
  <c r="I26" i="6"/>
  <c r="L26" i="6"/>
  <c r="E26" i="6"/>
  <c r="F26" i="6"/>
  <c r="K26" i="6"/>
  <c r="K9" i="4"/>
  <c r="L9" i="4"/>
  <c r="C10" i="4" s="1"/>
  <c r="D9" i="4"/>
  <c r="Q13" i="3"/>
  <c r="B14" i="3"/>
  <c r="O14" i="3" s="1"/>
  <c r="J15" i="5" l="1"/>
  <c r="B15" i="5"/>
  <c r="D27" i="6"/>
  <c r="E27" i="6"/>
  <c r="F27" i="6"/>
  <c r="I27" i="6"/>
  <c r="J27" i="6"/>
  <c r="A28" i="6" s="1"/>
  <c r="L27" i="6"/>
  <c r="K27" i="6"/>
  <c r="B27" i="6"/>
  <c r="C27" i="6"/>
  <c r="G27" i="6"/>
  <c r="H27" i="6"/>
  <c r="B10" i="4"/>
  <c r="M9" i="4"/>
  <c r="B15" i="3"/>
  <c r="O15" i="3" s="1"/>
  <c r="Q14" i="3"/>
  <c r="B16" i="5" l="1"/>
  <c r="J16" i="5"/>
  <c r="F28" i="6"/>
  <c r="G28" i="6"/>
  <c r="H28" i="6"/>
  <c r="K28" i="6"/>
  <c r="L28" i="6"/>
  <c r="B28" i="6"/>
  <c r="I28" i="6"/>
  <c r="J28" i="6"/>
  <c r="A29" i="6" s="1"/>
  <c r="C28" i="6"/>
  <c r="D28" i="6"/>
  <c r="E28" i="6"/>
  <c r="D10" i="4"/>
  <c r="K10" i="4"/>
  <c r="L10" i="4"/>
  <c r="C11" i="4" s="1"/>
  <c r="B16" i="3"/>
  <c r="O16" i="3" s="1"/>
  <c r="Q15" i="3"/>
  <c r="B17" i="5" l="1"/>
  <c r="J17" i="5"/>
  <c r="H29" i="6"/>
  <c r="I29" i="6"/>
  <c r="J29" i="6"/>
  <c r="A30" i="6" s="1"/>
  <c r="B29" i="6"/>
  <c r="D29" i="6"/>
  <c r="K29" i="6"/>
  <c r="L29" i="6"/>
  <c r="C29" i="6"/>
  <c r="E29" i="6"/>
  <c r="F29" i="6"/>
  <c r="G29" i="6"/>
  <c r="B11" i="4"/>
  <c r="M10" i="4"/>
  <c r="Q16" i="3"/>
  <c r="B17" i="3"/>
  <c r="O17" i="3" s="1"/>
  <c r="B18" i="5" l="1"/>
  <c r="J18" i="5"/>
  <c r="J30" i="6"/>
  <c r="A31" i="6" s="1"/>
  <c r="K30" i="6"/>
  <c r="L30" i="6"/>
  <c r="B30" i="6"/>
  <c r="D30" i="6"/>
  <c r="C30" i="6"/>
  <c r="F30" i="6"/>
  <c r="G30" i="6"/>
  <c r="E30" i="6"/>
  <c r="H30" i="6"/>
  <c r="I30" i="6"/>
  <c r="D11" i="4"/>
  <c r="K11" i="4"/>
  <c r="L11" i="4"/>
  <c r="C12" i="4" s="1"/>
  <c r="Q17" i="3"/>
  <c r="B18" i="3"/>
  <c r="O18" i="3" s="1"/>
  <c r="B19" i="5" l="1"/>
  <c r="J19" i="5"/>
  <c r="L31" i="6"/>
  <c r="C31" i="6"/>
  <c r="D31" i="6"/>
  <c r="F31" i="6"/>
  <c r="E31" i="6"/>
  <c r="H31" i="6"/>
  <c r="G31" i="6"/>
  <c r="I31" i="6"/>
  <c r="B31" i="6"/>
  <c r="J31" i="6"/>
  <c r="A32" i="6" s="1"/>
  <c r="K31" i="6"/>
  <c r="M11" i="4"/>
  <c r="B12" i="4"/>
  <c r="B19" i="3"/>
  <c r="O19" i="3" s="1"/>
  <c r="Q18" i="3"/>
  <c r="J20" i="5" l="1"/>
  <c r="B20" i="5"/>
  <c r="B32" i="6"/>
  <c r="E32" i="6"/>
  <c r="F32" i="6"/>
  <c r="H32" i="6"/>
  <c r="G32" i="6"/>
  <c r="J32" i="6"/>
  <c r="A33" i="6" s="1"/>
  <c r="I32" i="6"/>
  <c r="K32" i="6"/>
  <c r="L32" i="6"/>
  <c r="C32" i="6"/>
  <c r="D32" i="6"/>
  <c r="D12" i="4"/>
  <c r="L12" i="4"/>
  <c r="C13" i="4" s="1"/>
  <c r="K12" i="4"/>
  <c r="Q19" i="3"/>
  <c r="B20" i="3"/>
  <c r="O20" i="3" s="1"/>
  <c r="B21" i="5" l="1"/>
  <c r="J21" i="5"/>
  <c r="B33" i="6"/>
  <c r="C33" i="6"/>
  <c r="D33" i="6"/>
  <c r="G33" i="6"/>
  <c r="H33" i="6"/>
  <c r="J33" i="6"/>
  <c r="A34" i="6" s="1"/>
  <c r="I33" i="6"/>
  <c r="L33" i="6"/>
  <c r="E33" i="6"/>
  <c r="F33" i="6"/>
  <c r="K33" i="6"/>
  <c r="M12" i="4"/>
  <c r="B13" i="4"/>
  <c r="Q20" i="3"/>
  <c r="B21" i="3"/>
  <c r="O21" i="3" s="1"/>
  <c r="J22" i="5" l="1"/>
  <c r="B22" i="5"/>
  <c r="D34" i="6"/>
  <c r="E34" i="6"/>
  <c r="F34" i="6"/>
  <c r="I34" i="6"/>
  <c r="J34" i="6"/>
  <c r="A35" i="6" s="1"/>
  <c r="L34" i="6"/>
  <c r="K34" i="6"/>
  <c r="B34" i="6"/>
  <c r="C34" i="6"/>
  <c r="G34" i="6"/>
  <c r="H34" i="6"/>
  <c r="K13" i="4"/>
  <c r="L13" i="4"/>
  <c r="C14" i="4" s="1"/>
  <c r="D13" i="4"/>
  <c r="B22" i="3"/>
  <c r="O22" i="3" s="1"/>
  <c r="Q21" i="3"/>
  <c r="B23" i="5" l="1"/>
  <c r="J23" i="5"/>
  <c r="F35" i="6"/>
  <c r="G35" i="6"/>
  <c r="H35" i="6"/>
  <c r="K35" i="6"/>
  <c r="L35" i="6"/>
  <c r="B35" i="6"/>
  <c r="D35" i="6"/>
  <c r="E35" i="6"/>
  <c r="I35" i="6"/>
  <c r="J35" i="6"/>
  <c r="A36" i="6" s="1"/>
  <c r="C35" i="6"/>
  <c r="M13" i="4"/>
  <c r="B14" i="4"/>
  <c r="B23" i="3"/>
  <c r="O23" i="3" s="1"/>
  <c r="Q22" i="3"/>
  <c r="B24" i="5" l="1"/>
  <c r="J24" i="5"/>
  <c r="H36" i="6"/>
  <c r="I36" i="6"/>
  <c r="J36" i="6"/>
  <c r="A37" i="6" s="1"/>
  <c r="B36" i="6"/>
  <c r="D36" i="6"/>
  <c r="K36" i="6"/>
  <c r="L36" i="6"/>
  <c r="C36" i="6"/>
  <c r="E36" i="6"/>
  <c r="F36" i="6"/>
  <c r="G36" i="6"/>
  <c r="L14" i="4"/>
  <c r="C15" i="4" s="1"/>
  <c r="D14" i="4"/>
  <c r="K14" i="4"/>
  <c r="Q23" i="3"/>
  <c r="B24" i="3"/>
  <c r="O24" i="3" s="1"/>
  <c r="J25" i="5" l="1"/>
  <c r="B25" i="5"/>
  <c r="J37" i="6"/>
  <c r="A38" i="6" s="1"/>
  <c r="K37" i="6"/>
  <c r="L37" i="6"/>
  <c r="B37" i="6"/>
  <c r="D37" i="6"/>
  <c r="C37" i="6"/>
  <c r="F37" i="6"/>
  <c r="E37" i="6"/>
  <c r="G37" i="6"/>
  <c r="H37" i="6"/>
  <c r="I37" i="6"/>
  <c r="M14" i="4"/>
  <c r="B15" i="4"/>
  <c r="Q24" i="3"/>
  <c r="B25" i="3"/>
  <c r="O25" i="3" s="1"/>
  <c r="B26" i="5" l="1"/>
  <c r="J26" i="5"/>
  <c r="L38" i="6"/>
  <c r="C38" i="6"/>
  <c r="D38" i="6"/>
  <c r="F38" i="6"/>
  <c r="E38" i="6"/>
  <c r="H38" i="6"/>
  <c r="B38" i="6"/>
  <c r="G38" i="6"/>
  <c r="I38" i="6"/>
  <c r="J38" i="6"/>
  <c r="A39" i="6" s="1"/>
  <c r="K38" i="6"/>
  <c r="K15" i="4"/>
  <c r="L15" i="4"/>
  <c r="C16" i="4" s="1"/>
  <c r="D15" i="4"/>
  <c r="B26" i="3"/>
  <c r="O26" i="3" s="1"/>
  <c r="Q25" i="3"/>
  <c r="J27" i="5" l="1"/>
  <c r="B27" i="5"/>
  <c r="B39" i="6"/>
  <c r="E39" i="6"/>
  <c r="F39" i="6"/>
  <c r="H39" i="6"/>
  <c r="G39" i="6"/>
  <c r="J39" i="6"/>
  <c r="A40" i="6" s="1"/>
  <c r="I39" i="6"/>
  <c r="K39" i="6"/>
  <c r="C39" i="6"/>
  <c r="D39" i="6"/>
  <c r="L39" i="6"/>
  <c r="B16" i="4"/>
  <c r="M15" i="4"/>
  <c r="Q26" i="3"/>
  <c r="B27" i="3"/>
  <c r="O27" i="3" s="1"/>
  <c r="B28" i="5" l="1"/>
  <c r="J28" i="5"/>
  <c r="B40" i="6"/>
  <c r="C40" i="6"/>
  <c r="D40" i="6"/>
  <c r="G40" i="6"/>
  <c r="H40" i="6"/>
  <c r="J40" i="6"/>
  <c r="A41" i="6" s="1"/>
  <c r="I40" i="6"/>
  <c r="L40" i="6"/>
  <c r="K40" i="6"/>
  <c r="E40" i="6"/>
  <c r="F40" i="6"/>
  <c r="D16" i="4"/>
  <c r="K16" i="4"/>
  <c r="L16" i="4"/>
  <c r="C17" i="4" s="1"/>
  <c r="Q27" i="3"/>
  <c r="B28" i="3"/>
  <c r="O28" i="3" s="1"/>
  <c r="J29" i="5" l="1"/>
  <c r="B29" i="5"/>
  <c r="D41" i="6"/>
  <c r="E41" i="6"/>
  <c r="F41" i="6"/>
  <c r="I41" i="6"/>
  <c r="J41" i="6"/>
  <c r="A42" i="6" s="1"/>
  <c r="L41" i="6"/>
  <c r="K41" i="6"/>
  <c r="B41" i="6"/>
  <c r="C41" i="6"/>
  <c r="G41" i="6"/>
  <c r="H41" i="6"/>
  <c r="M16" i="4"/>
  <c r="B17" i="4"/>
  <c r="B29" i="3"/>
  <c r="O29" i="3" s="1"/>
  <c r="Q28" i="3"/>
  <c r="B30" i="5" l="1"/>
  <c r="J30" i="5"/>
  <c r="F42" i="6"/>
  <c r="G42" i="6"/>
  <c r="H42" i="6"/>
  <c r="K42" i="6"/>
  <c r="L42" i="6"/>
  <c r="B42" i="6"/>
  <c r="D42" i="6"/>
  <c r="E42" i="6"/>
  <c r="C42" i="6"/>
  <c r="I42" i="6"/>
  <c r="J42" i="6"/>
  <c r="A43" i="6" s="1"/>
  <c r="K17" i="4"/>
  <c r="L17" i="4"/>
  <c r="C18" i="4" s="1"/>
  <c r="D17" i="4"/>
  <c r="B30" i="3"/>
  <c r="O30" i="3" s="1"/>
  <c r="Q29" i="3"/>
  <c r="B31" i="5" l="1"/>
  <c r="J31" i="5"/>
  <c r="H43" i="6"/>
  <c r="I43" i="6"/>
  <c r="J43" i="6"/>
  <c r="A44" i="6" s="1"/>
  <c r="B43" i="6"/>
  <c r="D43" i="6"/>
  <c r="F43" i="6"/>
  <c r="G43" i="6"/>
  <c r="K43" i="6"/>
  <c r="L43" i="6"/>
  <c r="C43" i="6"/>
  <c r="E43" i="6"/>
  <c r="M17" i="4"/>
  <c r="B18" i="4"/>
  <c r="Q30" i="3"/>
  <c r="B31" i="3"/>
  <c r="O31" i="3" s="1"/>
  <c r="J32" i="5" l="1"/>
  <c r="B32" i="5"/>
  <c r="J44" i="6"/>
  <c r="A45" i="6" s="1"/>
  <c r="K44" i="6"/>
  <c r="L44" i="6"/>
  <c r="B44" i="6"/>
  <c r="D44" i="6"/>
  <c r="C44" i="6"/>
  <c r="F44" i="6"/>
  <c r="E44" i="6"/>
  <c r="G44" i="6"/>
  <c r="H44" i="6"/>
  <c r="I44" i="6"/>
  <c r="K18" i="4"/>
  <c r="L18" i="4"/>
  <c r="C19" i="4" s="1"/>
  <c r="D18" i="4"/>
  <c r="Q31" i="3"/>
  <c r="B32" i="3"/>
  <c r="O32" i="3" s="1"/>
  <c r="B33" i="5" l="1"/>
  <c r="J33" i="5"/>
  <c r="L45" i="6"/>
  <c r="C45" i="6"/>
  <c r="D45" i="6"/>
  <c r="F45" i="6"/>
  <c r="E45" i="6"/>
  <c r="H45" i="6"/>
  <c r="B45" i="6"/>
  <c r="G45" i="6"/>
  <c r="I45" i="6"/>
  <c r="J45" i="6"/>
  <c r="A46" i="6" s="1"/>
  <c r="K45" i="6"/>
  <c r="M18" i="4"/>
  <c r="B19" i="4"/>
  <c r="Q32" i="3"/>
  <c r="B33" i="3"/>
  <c r="O33" i="3" s="1"/>
  <c r="J34" i="5" l="1"/>
  <c r="B34" i="5"/>
  <c r="B46" i="6"/>
  <c r="E46" i="6"/>
  <c r="F46" i="6"/>
  <c r="H46" i="6"/>
  <c r="G46" i="6"/>
  <c r="J46" i="6"/>
  <c r="A47" i="6" s="1"/>
  <c r="C46" i="6"/>
  <c r="D46" i="6"/>
  <c r="I46" i="6"/>
  <c r="K46" i="6"/>
  <c r="L46" i="6"/>
  <c r="D19" i="4"/>
  <c r="K19" i="4"/>
  <c r="L19" i="4"/>
  <c r="C20" i="4" s="1"/>
  <c r="Q33" i="3"/>
  <c r="B34" i="3"/>
  <c r="O34" i="3" s="1"/>
  <c r="B35" i="5" l="1"/>
  <c r="J35" i="5"/>
  <c r="B47" i="6"/>
  <c r="C47" i="6"/>
  <c r="D47" i="6"/>
  <c r="G47" i="6"/>
  <c r="H47" i="6"/>
  <c r="J47" i="6"/>
  <c r="A48" i="6" s="1"/>
  <c r="I47" i="6"/>
  <c r="L47" i="6"/>
  <c r="K47" i="6"/>
  <c r="E47" i="6"/>
  <c r="F47" i="6"/>
  <c r="M19" i="4"/>
  <c r="B20" i="4"/>
  <c r="Q34" i="3"/>
  <c r="B35" i="3"/>
  <c r="O35" i="3" s="1"/>
  <c r="J36" i="5" l="1"/>
  <c r="B36" i="5"/>
  <c r="D48" i="6"/>
  <c r="E48" i="6"/>
  <c r="F48" i="6"/>
  <c r="I48" i="6"/>
  <c r="J48" i="6"/>
  <c r="A49" i="6" s="1"/>
  <c r="L48" i="6"/>
  <c r="K48" i="6"/>
  <c r="B48" i="6"/>
  <c r="C48" i="6"/>
  <c r="G48" i="6"/>
  <c r="H48" i="6"/>
  <c r="D20" i="4"/>
  <c r="K20" i="4"/>
  <c r="L20" i="4"/>
  <c r="C21" i="4" s="1"/>
  <c r="B36" i="3"/>
  <c r="O36" i="3" s="1"/>
  <c r="Q35" i="3"/>
  <c r="B37" i="5" l="1"/>
  <c r="J37" i="5"/>
  <c r="F49" i="6"/>
  <c r="G49" i="6"/>
  <c r="H49" i="6"/>
  <c r="K49" i="6"/>
  <c r="L49" i="6"/>
  <c r="B49" i="6"/>
  <c r="C49" i="6"/>
  <c r="D49" i="6"/>
  <c r="E49" i="6"/>
  <c r="I49" i="6"/>
  <c r="J49" i="6"/>
  <c r="A50" i="6" s="1"/>
  <c r="B21" i="4"/>
  <c r="M20" i="4"/>
  <c r="B37" i="3"/>
  <c r="O37" i="3" s="1"/>
  <c r="Q36" i="3"/>
  <c r="B38" i="5" l="1"/>
  <c r="J38" i="5"/>
  <c r="H50" i="6"/>
  <c r="I50" i="6"/>
  <c r="J50" i="6"/>
  <c r="A51" i="6" s="1"/>
  <c r="B50" i="6"/>
  <c r="D50" i="6"/>
  <c r="F50" i="6"/>
  <c r="G50" i="6"/>
  <c r="C50" i="6"/>
  <c r="E50" i="6"/>
  <c r="K50" i="6"/>
  <c r="L50" i="6"/>
  <c r="D21" i="4"/>
  <c r="K21" i="4"/>
  <c r="L21" i="4"/>
  <c r="C22" i="4" s="1"/>
  <c r="Q37" i="3"/>
  <c r="B38" i="3"/>
  <c r="O38" i="3" s="1"/>
  <c r="J39" i="5" l="1"/>
  <c r="B39" i="5"/>
  <c r="J51" i="6"/>
  <c r="A52" i="6" s="1"/>
  <c r="K51" i="6"/>
  <c r="L51" i="6"/>
  <c r="B51" i="6"/>
  <c r="D51" i="6"/>
  <c r="C51" i="6"/>
  <c r="F51" i="6"/>
  <c r="H51" i="6"/>
  <c r="I51" i="6"/>
  <c r="E51" i="6"/>
  <c r="G51" i="6"/>
  <c r="M21" i="4"/>
  <c r="B22" i="4"/>
  <c r="Q38" i="3"/>
  <c r="B39" i="3"/>
  <c r="O39" i="3" s="1"/>
  <c r="B40" i="5" l="1"/>
  <c r="J40" i="5"/>
  <c r="L52" i="6"/>
  <c r="C52" i="6"/>
  <c r="D52" i="6"/>
  <c r="F52" i="6"/>
  <c r="E52" i="6"/>
  <c r="H52" i="6"/>
  <c r="B52" i="6"/>
  <c r="G52" i="6"/>
  <c r="I52" i="6"/>
  <c r="J52" i="6"/>
  <c r="A53" i="6" s="1"/>
  <c r="K52" i="6"/>
  <c r="L22" i="4"/>
  <c r="C23" i="4" s="1"/>
  <c r="K22" i="4"/>
  <c r="D22" i="4"/>
  <c r="Q39" i="3"/>
  <c r="B40" i="3"/>
  <c r="O40" i="3" s="1"/>
  <c r="J41" i="5" l="1"/>
  <c r="B41" i="5"/>
  <c r="B53" i="6"/>
  <c r="E53" i="6"/>
  <c r="F53" i="6"/>
  <c r="H53" i="6"/>
  <c r="G53" i="6"/>
  <c r="J53" i="6"/>
  <c r="A54" i="6" s="1"/>
  <c r="C53" i="6"/>
  <c r="D53" i="6"/>
  <c r="I53" i="6"/>
  <c r="K53" i="6"/>
  <c r="L53" i="6"/>
  <c r="B23" i="4"/>
  <c r="M22" i="4"/>
  <c r="Q40" i="3"/>
  <c r="B41" i="3"/>
  <c r="O41" i="3" s="1"/>
  <c r="B42" i="5" l="1"/>
  <c r="J42" i="5"/>
  <c r="B54" i="6"/>
  <c r="C54" i="6"/>
  <c r="D54" i="6"/>
  <c r="G54" i="6"/>
  <c r="H54" i="6"/>
  <c r="J54" i="6"/>
  <c r="A55" i="6" s="1"/>
  <c r="I54" i="6"/>
  <c r="L54" i="6"/>
  <c r="E54" i="6"/>
  <c r="F54" i="6"/>
  <c r="K54" i="6"/>
  <c r="K23" i="4"/>
  <c r="L23" i="4"/>
  <c r="C24" i="4" s="1"/>
  <c r="D23" i="4"/>
  <c r="Q41" i="3"/>
  <c r="B42" i="3"/>
  <c r="O42" i="3" s="1"/>
  <c r="J43" i="5" l="1"/>
  <c r="B43" i="5"/>
  <c r="D55" i="6"/>
  <c r="E55" i="6"/>
  <c r="F55" i="6"/>
  <c r="I55" i="6"/>
  <c r="J55" i="6"/>
  <c r="A56" i="6" s="1"/>
  <c r="L55" i="6"/>
  <c r="K55" i="6"/>
  <c r="B55" i="6"/>
  <c r="C55" i="6"/>
  <c r="G55" i="6"/>
  <c r="H55" i="6"/>
  <c r="M23" i="4"/>
  <c r="B24" i="4"/>
  <c r="B43" i="3"/>
  <c r="O43" i="3" s="1"/>
  <c r="Q42" i="3"/>
  <c r="B44" i="5" l="1"/>
  <c r="J44" i="5"/>
  <c r="F56" i="6"/>
  <c r="G56" i="6"/>
  <c r="H56" i="6"/>
  <c r="K56" i="6"/>
  <c r="L56" i="6"/>
  <c r="B56" i="6"/>
  <c r="C56" i="6"/>
  <c r="D56" i="6"/>
  <c r="E56" i="6"/>
  <c r="I56" i="6"/>
  <c r="J56" i="6"/>
  <c r="A57" i="6" s="1"/>
  <c r="D24" i="4"/>
  <c r="L24" i="4"/>
  <c r="C25" i="4" s="1"/>
  <c r="K24" i="4"/>
  <c r="B44" i="3"/>
  <c r="O44" i="3" s="1"/>
  <c r="Q43" i="3"/>
  <c r="B45" i="5" l="1"/>
  <c r="J45" i="5"/>
  <c r="H57" i="6"/>
  <c r="I57" i="6"/>
  <c r="J57" i="6"/>
  <c r="A58" i="6" s="1"/>
  <c r="D57" i="6"/>
  <c r="B57" i="6"/>
  <c r="C57" i="6"/>
  <c r="E57" i="6"/>
  <c r="F57" i="6"/>
  <c r="G57" i="6"/>
  <c r="K57" i="6"/>
  <c r="L57" i="6"/>
  <c r="B25" i="4"/>
  <c r="M24" i="4"/>
  <c r="Q44" i="3"/>
  <c r="B45" i="3"/>
  <c r="O45" i="3" s="1"/>
  <c r="J46" i="5" l="1"/>
  <c r="B46" i="5"/>
  <c r="J58" i="6"/>
  <c r="A59" i="6" s="1"/>
  <c r="K58" i="6"/>
  <c r="L58" i="6"/>
  <c r="B58" i="6"/>
  <c r="C58" i="6"/>
  <c r="F58" i="6"/>
  <c r="E58" i="6"/>
  <c r="G58" i="6"/>
  <c r="D58" i="6"/>
  <c r="H58" i="6"/>
  <c r="I58" i="6"/>
  <c r="D25" i="4"/>
  <c r="K25" i="4"/>
  <c r="L25" i="4"/>
  <c r="C26" i="4" s="1"/>
  <c r="Q45" i="3"/>
  <c r="B46" i="3"/>
  <c r="O46" i="3" s="1"/>
  <c r="B47" i="5" l="1"/>
  <c r="J47" i="5"/>
  <c r="L59" i="6"/>
  <c r="C59" i="6"/>
  <c r="D59" i="6"/>
  <c r="E59" i="6"/>
  <c r="H59" i="6"/>
  <c r="F59" i="6"/>
  <c r="G59" i="6"/>
  <c r="I59" i="6"/>
  <c r="J59" i="6"/>
  <c r="A60" i="6" s="1"/>
  <c r="K59" i="6"/>
  <c r="B59" i="6"/>
  <c r="M25" i="4"/>
  <c r="B26" i="4"/>
  <c r="Q46" i="3"/>
  <c r="B47" i="3"/>
  <c r="O47" i="3" s="1"/>
  <c r="J48" i="5" l="1"/>
  <c r="B48" i="5"/>
  <c r="B60" i="6"/>
  <c r="E60" i="6"/>
  <c r="F60" i="6"/>
  <c r="G60" i="6"/>
  <c r="J60" i="6"/>
  <c r="A61" i="6" s="1"/>
  <c r="I60" i="6"/>
  <c r="K60" i="6"/>
  <c r="C60" i="6"/>
  <c r="D60" i="6"/>
  <c r="H60" i="6"/>
  <c r="L60" i="6"/>
  <c r="D26" i="4"/>
  <c r="L26" i="4"/>
  <c r="C27" i="4" s="1"/>
  <c r="K26" i="4"/>
  <c r="Q47" i="3"/>
  <c r="B48" i="3"/>
  <c r="O48" i="3" s="1"/>
  <c r="B49" i="5" l="1"/>
  <c r="J49" i="5"/>
  <c r="B61" i="6"/>
  <c r="C61" i="6"/>
  <c r="D61" i="6"/>
  <c r="G61" i="6"/>
  <c r="H61" i="6"/>
  <c r="I61" i="6"/>
  <c r="L61" i="6"/>
  <c r="J61" i="6"/>
  <c r="A62" i="6" s="1"/>
  <c r="K61" i="6"/>
  <c r="E61" i="6"/>
  <c r="F61" i="6"/>
  <c r="M26" i="4"/>
  <c r="B27" i="4"/>
  <c r="Q48" i="3"/>
  <c r="B49" i="3"/>
  <c r="O49" i="3" s="1"/>
  <c r="J50" i="5" l="1"/>
  <c r="B50" i="5"/>
  <c r="D62" i="6"/>
  <c r="E62" i="6"/>
  <c r="F62" i="6"/>
  <c r="I62" i="6"/>
  <c r="J62" i="6"/>
  <c r="A63" i="6" s="1"/>
  <c r="K62" i="6"/>
  <c r="B62" i="6"/>
  <c r="C62" i="6"/>
  <c r="G62" i="6"/>
  <c r="H62" i="6"/>
  <c r="L62" i="6"/>
  <c r="K27" i="4"/>
  <c r="L27" i="4"/>
  <c r="C28" i="4" s="1"/>
  <c r="D27" i="4"/>
  <c r="B50" i="3"/>
  <c r="O50" i="3" s="1"/>
  <c r="Q49" i="3"/>
  <c r="B51" i="5" l="1"/>
  <c r="J51" i="5"/>
  <c r="F63" i="6"/>
  <c r="G63" i="6"/>
  <c r="H63" i="6"/>
  <c r="K63" i="6"/>
  <c r="L63" i="6"/>
  <c r="B63" i="6"/>
  <c r="C63" i="6"/>
  <c r="D63" i="6"/>
  <c r="E63" i="6"/>
  <c r="I63" i="6"/>
  <c r="J63" i="6"/>
  <c r="A64" i="6" s="1"/>
  <c r="M27" i="4"/>
  <c r="B28" i="4"/>
  <c r="B51" i="3"/>
  <c r="O51" i="3" s="1"/>
  <c r="Q50" i="3"/>
  <c r="B52" i="5" l="1"/>
  <c r="J52" i="5"/>
  <c r="H64" i="6"/>
  <c r="I64" i="6"/>
  <c r="J64" i="6"/>
  <c r="A65" i="6" s="1"/>
  <c r="D64" i="6"/>
  <c r="B64" i="6"/>
  <c r="C64" i="6"/>
  <c r="E64" i="6"/>
  <c r="F64" i="6"/>
  <c r="G64" i="6"/>
  <c r="K64" i="6"/>
  <c r="L64" i="6"/>
  <c r="L28" i="4"/>
  <c r="C29" i="4" s="1"/>
  <c r="D28" i="4"/>
  <c r="K28" i="4"/>
  <c r="Q51" i="3"/>
  <c r="B52" i="3"/>
  <c r="O52" i="3" s="1"/>
  <c r="J53" i="5" l="1"/>
  <c r="B53" i="5"/>
  <c r="J65" i="6"/>
  <c r="A66" i="6" s="1"/>
  <c r="K65" i="6"/>
  <c r="L65" i="6"/>
  <c r="B65" i="6"/>
  <c r="C65" i="6"/>
  <c r="F65" i="6"/>
  <c r="E65" i="6"/>
  <c r="G65" i="6"/>
  <c r="D65" i="6"/>
  <c r="H65" i="6"/>
  <c r="I65" i="6"/>
  <c r="M28" i="4"/>
  <c r="B29" i="4"/>
  <c r="Q52" i="3"/>
  <c r="B53" i="3"/>
  <c r="O53" i="3" s="1"/>
  <c r="B54" i="5" l="1"/>
  <c r="J54" i="5"/>
  <c r="L66" i="6"/>
  <c r="C66" i="6"/>
  <c r="D66" i="6"/>
  <c r="E66" i="6"/>
  <c r="H66" i="6"/>
  <c r="F66" i="6"/>
  <c r="G66" i="6"/>
  <c r="I66" i="6"/>
  <c r="B66" i="6"/>
  <c r="J66" i="6"/>
  <c r="A67" i="6" s="1"/>
  <c r="K66" i="6"/>
  <c r="D29" i="4"/>
  <c r="K29" i="4"/>
  <c r="L29" i="4"/>
  <c r="C30" i="4" s="1"/>
  <c r="Q53" i="3"/>
  <c r="B54" i="3"/>
  <c r="O54" i="3" s="1"/>
  <c r="J55" i="5" l="1"/>
  <c r="B55" i="5"/>
  <c r="B67" i="6"/>
  <c r="E67" i="6"/>
  <c r="F67" i="6"/>
  <c r="G67" i="6"/>
  <c r="J67" i="6"/>
  <c r="A68" i="6" s="1"/>
  <c r="I67" i="6"/>
  <c r="K67" i="6"/>
  <c r="C67" i="6"/>
  <c r="D67" i="6"/>
  <c r="H67" i="6"/>
  <c r="L67" i="6"/>
  <c r="B30" i="4"/>
  <c r="M29" i="4"/>
  <c r="Q54" i="3"/>
  <c r="B55" i="3"/>
  <c r="O55" i="3" s="1"/>
  <c r="B56" i="5" l="1"/>
  <c r="J56" i="5"/>
  <c r="B68" i="6"/>
  <c r="C68" i="6"/>
  <c r="D68" i="6"/>
  <c r="G68" i="6"/>
  <c r="H68" i="6"/>
  <c r="I68" i="6"/>
  <c r="L68" i="6"/>
  <c r="J68" i="6"/>
  <c r="A69" i="6" s="1"/>
  <c r="K68" i="6"/>
  <c r="E68" i="6"/>
  <c r="F68" i="6"/>
  <c r="D30" i="4"/>
  <c r="K30" i="4"/>
  <c r="L30" i="4"/>
  <c r="C31" i="4" s="1"/>
  <c r="Q55" i="3"/>
  <c r="B56" i="3"/>
  <c r="O56" i="3" s="1"/>
  <c r="J57" i="5" l="1"/>
  <c r="B57" i="5"/>
  <c r="D69" i="6"/>
  <c r="E69" i="6"/>
  <c r="F69" i="6"/>
  <c r="I69" i="6"/>
  <c r="J69" i="6"/>
  <c r="A70" i="6" s="1"/>
  <c r="K69" i="6"/>
  <c r="B69" i="6"/>
  <c r="C69" i="6"/>
  <c r="G69" i="6"/>
  <c r="H69" i="6"/>
  <c r="L69" i="6"/>
  <c r="M30" i="4"/>
  <c r="B31" i="4"/>
  <c r="B57" i="3"/>
  <c r="O57" i="3" s="1"/>
  <c r="Q56" i="3"/>
  <c r="B58" i="5" l="1"/>
  <c r="J58" i="5"/>
  <c r="F70" i="6"/>
  <c r="G70" i="6"/>
  <c r="H70" i="6"/>
  <c r="K70" i="6"/>
  <c r="L70" i="6"/>
  <c r="B70" i="6"/>
  <c r="C70" i="6"/>
  <c r="D70" i="6"/>
  <c r="E70" i="6"/>
  <c r="I70" i="6"/>
  <c r="J70" i="6"/>
  <c r="A71" i="6" s="1"/>
  <c r="K31" i="4"/>
  <c r="D31" i="4"/>
  <c r="L31" i="4"/>
  <c r="C32" i="4" s="1"/>
  <c r="B58" i="3"/>
  <c r="O58" i="3" s="1"/>
  <c r="Q57" i="3"/>
  <c r="B59" i="5" l="1"/>
  <c r="J59" i="5"/>
  <c r="H71" i="6"/>
  <c r="I71" i="6"/>
  <c r="J71" i="6"/>
  <c r="A72" i="6" s="1"/>
  <c r="D71" i="6"/>
  <c r="B71" i="6"/>
  <c r="C71" i="6"/>
  <c r="E71" i="6"/>
  <c r="F71" i="6"/>
  <c r="G71" i="6"/>
  <c r="K71" i="6"/>
  <c r="L71" i="6"/>
  <c r="M31" i="4"/>
  <c r="B32" i="4"/>
  <c r="Q58" i="3"/>
  <c r="B59" i="3"/>
  <c r="O59" i="3" s="1"/>
  <c r="J60" i="5" l="1"/>
  <c r="B60" i="5"/>
  <c r="J72" i="6"/>
  <c r="A73" i="6" s="1"/>
  <c r="K72" i="6"/>
  <c r="L72" i="6"/>
  <c r="B72" i="6"/>
  <c r="C72" i="6"/>
  <c r="F72" i="6"/>
  <c r="E72" i="6"/>
  <c r="G72" i="6"/>
  <c r="D72" i="6"/>
  <c r="H72" i="6"/>
  <c r="I72" i="6"/>
  <c r="K32" i="4"/>
  <c r="L32" i="4"/>
  <c r="C33" i="4" s="1"/>
  <c r="D32" i="4"/>
  <c r="Q59" i="3"/>
  <c r="B60" i="3"/>
  <c r="O60" i="3" s="1"/>
  <c r="B61" i="5" l="1"/>
  <c r="J61" i="5"/>
  <c r="L73" i="6"/>
  <c r="C73" i="6"/>
  <c r="D73" i="6"/>
  <c r="E73" i="6"/>
  <c r="H73" i="6"/>
  <c r="F73" i="6"/>
  <c r="G73" i="6"/>
  <c r="I73" i="6"/>
  <c r="J73" i="6"/>
  <c r="A74" i="6" s="1"/>
  <c r="K73" i="6"/>
  <c r="B73" i="6"/>
  <c r="M32" i="4"/>
  <c r="B33" i="4"/>
  <c r="Q60" i="3"/>
  <c r="B61" i="3"/>
  <c r="O61" i="3" s="1"/>
  <c r="J62" i="5" l="1"/>
  <c r="B62" i="5"/>
  <c r="B74" i="6"/>
  <c r="E74" i="6"/>
  <c r="F74" i="6"/>
  <c r="G74" i="6"/>
  <c r="J74" i="6"/>
  <c r="I74" i="6"/>
  <c r="E7" i="6" s="1"/>
  <c r="K74" i="6"/>
  <c r="C74" i="6"/>
  <c r="D74" i="6"/>
  <c r="H74" i="6"/>
  <c r="E5" i="6" s="1"/>
  <c r="E6" i="6" s="1"/>
  <c r="L74" i="6"/>
  <c r="E9" i="6"/>
  <c r="E8" i="6"/>
  <c r="D33" i="4"/>
  <c r="L33" i="4"/>
  <c r="C34" i="4" s="1"/>
  <c r="K33" i="4"/>
  <c r="Q61" i="3"/>
  <c r="B62" i="3"/>
  <c r="O62" i="3" s="1"/>
  <c r="B63" i="5" l="1"/>
  <c r="J63" i="5"/>
  <c r="M33" i="4"/>
  <c r="B34" i="4"/>
  <c r="Q62" i="3"/>
  <c r="B63" i="3"/>
  <c r="O63" i="3" s="1"/>
  <c r="B64" i="5" l="1"/>
  <c r="J64" i="5"/>
  <c r="D34" i="4"/>
  <c r="K34" i="4"/>
  <c r="L34" i="4"/>
  <c r="C35" i="4" s="1"/>
  <c r="B64" i="3"/>
  <c r="O64" i="3" s="1"/>
  <c r="Q63" i="3"/>
  <c r="B65" i="5" l="1"/>
  <c r="J65" i="5"/>
  <c r="Q64" i="3"/>
  <c r="B65" i="3"/>
  <c r="O65" i="3" s="1"/>
  <c r="M34" i="4"/>
  <c r="B35" i="4"/>
  <c r="B66" i="5" l="1"/>
  <c r="J66" i="5"/>
  <c r="Q65" i="3"/>
  <c r="B66" i="3"/>
  <c r="O66" i="3" s="1"/>
  <c r="D35" i="4"/>
  <c r="K35" i="4"/>
  <c r="L35" i="4"/>
  <c r="C36" i="4" s="1"/>
  <c r="J67" i="5" l="1"/>
  <c r="B67" i="5"/>
  <c r="B67" i="3"/>
  <c r="O67" i="3" s="1"/>
  <c r="Q66" i="3"/>
  <c r="M35" i="4"/>
  <c r="B36" i="4"/>
  <c r="B68" i="5" l="1"/>
  <c r="J68" i="5"/>
  <c r="B68" i="3"/>
  <c r="O68" i="3" s="1"/>
  <c r="Q67" i="3"/>
  <c r="L36" i="4"/>
  <c r="C37" i="4" s="1"/>
  <c r="K36" i="4"/>
  <c r="D36" i="4"/>
  <c r="J69" i="5" l="1"/>
  <c r="B69" i="5"/>
  <c r="Q68" i="3"/>
  <c r="B69" i="3"/>
  <c r="O69" i="3" s="1"/>
  <c r="B37" i="4"/>
  <c r="M36" i="4"/>
  <c r="B70" i="5" l="1"/>
  <c r="J70" i="5"/>
  <c r="Q69" i="3"/>
  <c r="B70" i="3"/>
  <c r="O70" i="3" s="1"/>
  <c r="K37" i="4"/>
  <c r="L37" i="4"/>
  <c r="C38" i="4" s="1"/>
  <c r="D37" i="4"/>
  <c r="J71" i="5" l="1"/>
  <c r="B71" i="5"/>
  <c r="B71" i="3"/>
  <c r="O71" i="3" s="1"/>
  <c r="Q70" i="3"/>
  <c r="B38" i="4"/>
  <c r="M37" i="4"/>
  <c r="B72" i="5" l="1"/>
  <c r="J72" i="5"/>
  <c r="Q71" i="3"/>
  <c r="B72" i="3"/>
  <c r="O72" i="3" s="1"/>
  <c r="D38" i="4"/>
  <c r="L38" i="4"/>
  <c r="C39" i="4" s="1"/>
  <c r="K38" i="4"/>
  <c r="J73" i="5" l="1"/>
  <c r="B73" i="5"/>
  <c r="Q72" i="3"/>
  <c r="B73" i="3"/>
  <c r="O73" i="3" s="1"/>
  <c r="B39" i="4"/>
  <c r="M38" i="4"/>
  <c r="J74" i="5" l="1"/>
  <c r="B74" i="5"/>
  <c r="B74" i="3"/>
  <c r="O74" i="3" s="1"/>
  <c r="Q73" i="3"/>
  <c r="D39" i="4"/>
  <c r="K39" i="4"/>
  <c r="L39" i="4"/>
  <c r="C40" i="4" s="1"/>
  <c r="B75" i="5" l="1"/>
  <c r="J75" i="5"/>
  <c r="Q74" i="3"/>
  <c r="B75" i="3"/>
  <c r="O75" i="3" s="1"/>
  <c r="M39" i="4"/>
  <c r="B40" i="4"/>
  <c r="J76" i="5" l="1"/>
  <c r="B76" i="5"/>
  <c r="B76" i="3"/>
  <c r="O76" i="3" s="1"/>
  <c r="Q75" i="3"/>
  <c r="D40" i="4"/>
  <c r="L40" i="4"/>
  <c r="C41" i="4" s="1"/>
  <c r="K40" i="4"/>
  <c r="B77" i="5" l="1"/>
  <c r="J77" i="5"/>
  <c r="Q76" i="3"/>
  <c r="B77" i="3"/>
  <c r="O77" i="3" s="1"/>
  <c r="M40" i="4"/>
  <c r="B41" i="4"/>
  <c r="J78" i="5" l="1"/>
  <c r="B78" i="5"/>
  <c r="Q77" i="3"/>
  <c r="B78" i="3"/>
  <c r="O78" i="3" s="1"/>
  <c r="K41" i="4"/>
  <c r="L41" i="4"/>
  <c r="C42" i="4" s="1"/>
  <c r="D41" i="4"/>
  <c r="B79" i="5" l="1"/>
  <c r="J79" i="5"/>
  <c r="B79" i="3"/>
  <c r="O79" i="3" s="1"/>
  <c r="Q78" i="3"/>
  <c r="M41" i="4"/>
  <c r="B42" i="4"/>
  <c r="B80" i="5" l="1"/>
  <c r="J80" i="5"/>
  <c r="B80" i="3"/>
  <c r="O80" i="3" s="1"/>
  <c r="Q79" i="3"/>
  <c r="L42" i="4"/>
  <c r="C43" i="4" s="1"/>
  <c r="D42" i="4"/>
  <c r="K42" i="4"/>
  <c r="J81" i="5" l="1"/>
  <c r="B81" i="5"/>
  <c r="Q80" i="3"/>
  <c r="B81" i="3"/>
  <c r="O81" i="3" s="1"/>
  <c r="M42" i="4"/>
  <c r="B43" i="4"/>
  <c r="B82" i="5" l="1"/>
  <c r="J82" i="5"/>
  <c r="B82" i="3"/>
  <c r="O82" i="3" s="1"/>
  <c r="Q81" i="3"/>
  <c r="K43" i="4"/>
  <c r="L43" i="4"/>
  <c r="C44" i="4" s="1"/>
  <c r="D43" i="4"/>
  <c r="J83" i="5" l="1"/>
  <c r="B83" i="5"/>
  <c r="Q82" i="3"/>
  <c r="B83" i="3"/>
  <c r="O83" i="3" s="1"/>
  <c r="B44" i="4"/>
  <c r="M43" i="4"/>
  <c r="B84" i="5" l="1"/>
  <c r="J84" i="5"/>
  <c r="B84" i="3"/>
  <c r="O84" i="3" s="1"/>
  <c r="Q83" i="3"/>
  <c r="D44" i="4"/>
  <c r="K44" i="4"/>
  <c r="L44" i="4"/>
  <c r="C45" i="4" s="1"/>
  <c r="J85" i="5" l="1"/>
  <c r="B85" i="5"/>
  <c r="Q84" i="3"/>
  <c r="B85" i="3"/>
  <c r="O85" i="3" s="1"/>
  <c r="B45" i="4"/>
  <c r="M44" i="4"/>
  <c r="J86" i="5" l="1"/>
  <c r="B86" i="5"/>
  <c r="Q85" i="3"/>
  <c r="B86" i="3"/>
  <c r="O86" i="3" s="1"/>
  <c r="K45" i="4"/>
  <c r="D45" i="4"/>
  <c r="L45" i="4"/>
  <c r="C46" i="4" s="1"/>
  <c r="B87" i="5" l="1"/>
  <c r="J87" i="5"/>
  <c r="Q86" i="3"/>
  <c r="B87" i="3"/>
  <c r="O87" i="3" s="1"/>
  <c r="M45" i="4"/>
  <c r="B46" i="4"/>
  <c r="B88" i="5" l="1"/>
  <c r="J88" i="5"/>
  <c r="Q87" i="3"/>
  <c r="B88" i="3"/>
  <c r="O88" i="3" s="1"/>
  <c r="K46" i="4"/>
  <c r="L46" i="4"/>
  <c r="C47" i="4" s="1"/>
  <c r="D46" i="4"/>
  <c r="J89" i="5" l="1"/>
  <c r="B89" i="5"/>
  <c r="B89" i="3"/>
  <c r="O89" i="3" s="1"/>
  <c r="Q88" i="3"/>
  <c r="M46" i="4"/>
  <c r="B47" i="4"/>
  <c r="B90" i="5" l="1"/>
  <c r="J90" i="5"/>
  <c r="B90" i="3"/>
  <c r="O90" i="3" s="1"/>
  <c r="Q89" i="3"/>
  <c r="D47" i="4"/>
  <c r="K47" i="4"/>
  <c r="L47" i="4"/>
  <c r="C48" i="4" s="1"/>
  <c r="B91" i="5" l="1"/>
  <c r="J91" i="5"/>
  <c r="B91" i="3"/>
  <c r="O91" i="3" s="1"/>
  <c r="Q90" i="3"/>
  <c r="M47" i="4"/>
  <c r="B48" i="4"/>
  <c r="B92" i="5" l="1"/>
  <c r="J92" i="5"/>
  <c r="B92" i="3"/>
  <c r="O92" i="3" s="1"/>
  <c r="Q91" i="3"/>
  <c r="D48" i="4"/>
  <c r="L48" i="4"/>
  <c r="C49" i="4" s="1"/>
  <c r="K48" i="4"/>
  <c r="B93" i="5" l="1"/>
  <c r="J93" i="5"/>
  <c r="B93" i="3"/>
  <c r="O93" i="3" s="1"/>
  <c r="Q92" i="3"/>
  <c r="M48" i="4"/>
  <c r="B49" i="4"/>
  <c r="J94" i="5" l="1"/>
  <c r="B94" i="5"/>
  <c r="B94" i="3"/>
  <c r="O94" i="3" s="1"/>
  <c r="Q93" i="3"/>
  <c r="D49" i="4"/>
  <c r="K49" i="4"/>
  <c r="L49" i="4"/>
  <c r="C50" i="4" s="1"/>
  <c r="J95" i="5" l="1"/>
  <c r="B95" i="5"/>
  <c r="Q94" i="3"/>
  <c r="B95" i="3"/>
  <c r="O95" i="3" s="1"/>
  <c r="M49" i="4"/>
  <c r="B50" i="4"/>
  <c r="J96" i="5" l="1"/>
  <c r="B96" i="5"/>
  <c r="B96" i="3"/>
  <c r="O96" i="3" s="1"/>
  <c r="Q95" i="3"/>
  <c r="L50" i="4"/>
  <c r="C51" i="4" s="1"/>
  <c r="K50" i="4"/>
  <c r="D50" i="4"/>
  <c r="J97" i="5" l="1"/>
  <c r="B97" i="5"/>
  <c r="Q96" i="3"/>
  <c r="B97" i="3"/>
  <c r="O97" i="3" s="1"/>
  <c r="B51" i="4"/>
  <c r="M50" i="4"/>
  <c r="J98" i="5" l="1"/>
  <c r="B98" i="5"/>
  <c r="Q97" i="3"/>
  <c r="B98" i="3"/>
  <c r="O98" i="3" s="1"/>
  <c r="K51" i="4"/>
  <c r="L51" i="4"/>
  <c r="C52" i="4" s="1"/>
  <c r="D51" i="4"/>
  <c r="J99" i="5" l="1"/>
  <c r="B99" i="5"/>
  <c r="B99" i="3"/>
  <c r="O99" i="3" s="1"/>
  <c r="Q98" i="3"/>
  <c r="B52" i="4"/>
  <c r="M51" i="4"/>
  <c r="J100" i="5" l="1"/>
  <c r="B100" i="5"/>
  <c r="B100" i="3"/>
  <c r="O100" i="3" s="1"/>
  <c r="Q99" i="3"/>
  <c r="D52" i="4"/>
  <c r="K52" i="4"/>
  <c r="L52" i="4"/>
  <c r="C53" i="4" s="1"/>
  <c r="B101" i="5" l="1"/>
  <c r="J101" i="5"/>
  <c r="Q100" i="3"/>
  <c r="B101" i="3"/>
  <c r="O101" i="3" s="1"/>
  <c r="B53" i="4"/>
  <c r="M52" i="4"/>
  <c r="J102" i="5" l="1"/>
  <c r="B102" i="5"/>
  <c r="B102" i="3"/>
  <c r="O102" i="3" s="1"/>
  <c r="Q101" i="3"/>
  <c r="D53" i="4"/>
  <c r="K53" i="4"/>
  <c r="L53" i="4"/>
  <c r="C54" i="4" s="1"/>
  <c r="J103" i="5" l="1"/>
  <c r="B103" i="5"/>
  <c r="B103" i="3"/>
  <c r="O103" i="3" s="1"/>
  <c r="Q102" i="3"/>
  <c r="B54" i="4"/>
  <c r="M53" i="4"/>
  <c r="J104" i="5" l="1"/>
  <c r="B104" i="5"/>
  <c r="Q103" i="3"/>
  <c r="B104" i="3"/>
  <c r="O104" i="3" s="1"/>
  <c r="D54" i="4"/>
  <c r="L54" i="4"/>
  <c r="C55" i="4" s="1"/>
  <c r="K54" i="4"/>
  <c r="B105" i="5" l="1"/>
  <c r="J105" i="5"/>
  <c r="B105" i="3"/>
  <c r="O105" i="3" s="1"/>
  <c r="Q104" i="3"/>
  <c r="M54" i="4"/>
  <c r="B55" i="4"/>
  <c r="J106" i="5" l="1"/>
  <c r="B106" i="5"/>
  <c r="B106" i="3"/>
  <c r="O106" i="3" s="1"/>
  <c r="Q105" i="3"/>
  <c r="K55" i="4"/>
  <c r="L55" i="4"/>
  <c r="C56" i="4" s="1"/>
  <c r="D55" i="4"/>
  <c r="B107" i="5" l="1"/>
  <c r="J107" i="5"/>
  <c r="B107" i="3"/>
  <c r="O107" i="3" s="1"/>
  <c r="Q106" i="3"/>
  <c r="M55" i="4"/>
  <c r="B56" i="4"/>
  <c r="B108" i="5" l="1"/>
  <c r="J108" i="5"/>
  <c r="B108" i="3"/>
  <c r="O108" i="3" s="1"/>
  <c r="Q107" i="3"/>
  <c r="L56" i="4"/>
  <c r="C57" i="4" s="1"/>
  <c r="D56" i="4"/>
  <c r="K56" i="4"/>
  <c r="J109" i="5" l="1"/>
  <c r="B109" i="5"/>
  <c r="Q108" i="3"/>
  <c r="B109" i="3"/>
  <c r="O109" i="3" s="1"/>
  <c r="M56" i="4"/>
  <c r="B57" i="4"/>
  <c r="B110" i="5" l="1"/>
  <c r="J110" i="5"/>
  <c r="B110" i="3"/>
  <c r="O110" i="3" s="1"/>
  <c r="Q109" i="3"/>
  <c r="D57" i="4"/>
  <c r="K57" i="4"/>
  <c r="L57" i="4"/>
  <c r="C58" i="4" s="1"/>
  <c r="J111" i="5" l="1"/>
  <c r="B111" i="5"/>
  <c r="Q110" i="3"/>
  <c r="B111" i="3"/>
  <c r="O111" i="3" s="1"/>
  <c r="B58" i="4"/>
  <c r="M57" i="4"/>
  <c r="B112" i="5" l="1"/>
  <c r="J112" i="5"/>
  <c r="Q111" i="3"/>
  <c r="B112" i="3"/>
  <c r="O112" i="3" s="1"/>
  <c r="D58" i="4"/>
  <c r="K58" i="4"/>
  <c r="L58" i="4"/>
  <c r="C59" i="4" s="1"/>
  <c r="B113" i="5" l="1"/>
  <c r="J113" i="5"/>
  <c r="Q112" i="3"/>
  <c r="B113" i="3"/>
  <c r="O113" i="3" s="1"/>
  <c r="M58" i="4"/>
  <c r="B59" i="4"/>
  <c r="J114" i="5" l="1"/>
  <c r="B114" i="5"/>
  <c r="Q113" i="3"/>
  <c r="B114" i="3"/>
  <c r="O114" i="3" s="1"/>
  <c r="K59" i="4"/>
  <c r="L59" i="4"/>
  <c r="C60" i="4" s="1"/>
  <c r="D59" i="4"/>
  <c r="J115" i="5" l="1"/>
  <c r="B115" i="5"/>
  <c r="Q114" i="3"/>
  <c r="B115" i="3"/>
  <c r="O115" i="3" s="1"/>
  <c r="M59" i="4"/>
  <c r="B60" i="4"/>
  <c r="B116" i="5" l="1"/>
  <c r="J116" i="5"/>
  <c r="B116" i="3"/>
  <c r="O116" i="3" s="1"/>
  <c r="Q115" i="3"/>
  <c r="K60" i="4"/>
  <c r="L60" i="4"/>
  <c r="C61" i="4" s="1"/>
  <c r="D60" i="4"/>
  <c r="B117" i="5" l="1"/>
  <c r="J117" i="5"/>
  <c r="Q116" i="3"/>
  <c r="B117" i="3"/>
  <c r="O117" i="3" s="1"/>
  <c r="M60" i="4"/>
  <c r="B61" i="4"/>
  <c r="J118" i="5" l="1"/>
  <c r="B118" i="5"/>
  <c r="Q117" i="3"/>
  <c r="B118" i="3"/>
  <c r="O118" i="3" s="1"/>
  <c r="D61" i="4"/>
  <c r="K61" i="4"/>
  <c r="L61" i="4"/>
  <c r="C62" i="4" s="1"/>
  <c r="B119" i="5" l="1"/>
  <c r="J119" i="5"/>
  <c r="B119" i="3"/>
  <c r="O119" i="3" s="1"/>
  <c r="Q118" i="3"/>
  <c r="M61" i="4"/>
  <c r="B62" i="4"/>
  <c r="J120" i="5" l="1"/>
  <c r="B120" i="5"/>
  <c r="Q119" i="3"/>
  <c r="B120" i="3"/>
  <c r="O120" i="3" s="1"/>
  <c r="D62" i="4"/>
  <c r="L62" i="4"/>
  <c r="C63" i="4" s="1"/>
  <c r="K62" i="4"/>
  <c r="B121" i="5" l="1"/>
  <c r="J121" i="5"/>
  <c r="B121" i="3"/>
  <c r="O121" i="3" s="1"/>
  <c r="Q120" i="3"/>
  <c r="M62" i="4"/>
  <c r="B63" i="4"/>
  <c r="B122" i="5" l="1"/>
  <c r="J122" i="5"/>
  <c r="B122" i="3"/>
  <c r="O122" i="3" s="1"/>
  <c r="Q121" i="3"/>
  <c r="D63" i="4"/>
  <c r="K63" i="4"/>
  <c r="L63" i="4"/>
  <c r="C64" i="4" s="1"/>
  <c r="J123" i="5" l="1"/>
  <c r="B123" i="5"/>
  <c r="Q122" i="3"/>
  <c r="B123" i="3"/>
  <c r="O123" i="3" s="1"/>
  <c r="M63" i="4"/>
  <c r="B64" i="4"/>
  <c r="J124" i="5" l="1"/>
  <c r="B124" i="5"/>
  <c r="Q123" i="3"/>
  <c r="B124" i="3"/>
  <c r="O124" i="3" s="1"/>
  <c r="L64" i="4"/>
  <c r="C65" i="4" s="1"/>
  <c r="K64" i="4"/>
  <c r="D64" i="4"/>
  <c r="B125" i="5" l="1"/>
  <c r="J125" i="5"/>
  <c r="B125" i="3"/>
  <c r="O125" i="3" s="1"/>
  <c r="Q124" i="3"/>
  <c r="B65" i="4"/>
  <c r="M64" i="4"/>
  <c r="J126" i="5" l="1"/>
  <c r="B126" i="5"/>
  <c r="Q125" i="3"/>
  <c r="B126" i="3"/>
  <c r="O126" i="3" s="1"/>
  <c r="K65" i="4"/>
  <c r="L65" i="4"/>
  <c r="C66" i="4" s="1"/>
  <c r="D65" i="4"/>
  <c r="J127" i="5" l="1"/>
  <c r="B127" i="5"/>
  <c r="B127" i="3"/>
  <c r="O127" i="3" s="1"/>
  <c r="Q126" i="3"/>
  <c r="B66" i="4"/>
  <c r="M65" i="4"/>
  <c r="B128" i="5" l="1"/>
  <c r="J128" i="5"/>
  <c r="B128" i="3"/>
  <c r="O128" i="3" s="1"/>
  <c r="Q127" i="3"/>
  <c r="D66" i="4"/>
  <c r="K66" i="4"/>
  <c r="L66" i="4"/>
  <c r="C67" i="4" s="1"/>
  <c r="J129" i="5" l="1"/>
  <c r="B129" i="5"/>
  <c r="Q128" i="3"/>
  <c r="B129" i="3"/>
  <c r="O129" i="3" s="1"/>
  <c r="B67" i="4"/>
  <c r="M66" i="4"/>
  <c r="B130" i="5" l="1"/>
  <c r="J130" i="5"/>
  <c r="Q129" i="3"/>
  <c r="B130" i="3"/>
  <c r="O130" i="3" s="1"/>
  <c r="D67" i="4"/>
  <c r="K67" i="4"/>
  <c r="L67" i="4"/>
  <c r="C68" i="4" s="1"/>
  <c r="B131" i="5" l="1"/>
  <c r="J131" i="5"/>
  <c r="Q130" i="3"/>
  <c r="B131" i="3"/>
  <c r="O131" i="3" s="1"/>
  <c r="M67" i="4"/>
  <c r="B68" i="4"/>
  <c r="J132" i="5" l="1"/>
  <c r="B132" i="5"/>
  <c r="Q131" i="3"/>
  <c r="B132" i="3"/>
  <c r="O132" i="3" s="1"/>
  <c r="D68" i="4"/>
  <c r="L68" i="4"/>
  <c r="C69" i="4" s="1"/>
  <c r="K68" i="4"/>
  <c r="B133" i="5" l="1"/>
  <c r="J133" i="5"/>
  <c r="Q132" i="3"/>
  <c r="B133" i="3"/>
  <c r="O133" i="3" s="1"/>
  <c r="M68" i="4"/>
  <c r="B69" i="4"/>
  <c r="B134" i="5" l="1"/>
  <c r="J134" i="5"/>
  <c r="B134" i="3"/>
  <c r="O134" i="3" s="1"/>
  <c r="Q133" i="3"/>
  <c r="K69" i="4"/>
  <c r="L69" i="4"/>
  <c r="C70" i="4" s="1"/>
  <c r="D69" i="4"/>
  <c r="B135" i="5" l="1"/>
  <c r="J135" i="5"/>
  <c r="Q134" i="3"/>
  <c r="B135" i="3"/>
  <c r="O135" i="3" s="1"/>
  <c r="M69" i="4"/>
  <c r="B70" i="4"/>
  <c r="J136" i="5" l="1"/>
  <c r="B136" i="5"/>
  <c r="Q135" i="3"/>
  <c r="B136" i="3"/>
  <c r="O136" i="3" s="1"/>
  <c r="L70" i="4"/>
  <c r="C71" i="4" s="1"/>
  <c r="D70" i="4"/>
  <c r="K70" i="4"/>
  <c r="B137" i="5" l="1"/>
  <c r="J137" i="5"/>
  <c r="Q136" i="3"/>
  <c r="B137" i="3"/>
  <c r="O137" i="3" s="1"/>
  <c r="M70" i="4"/>
  <c r="B71" i="4"/>
  <c r="B138" i="5" l="1"/>
  <c r="J138" i="5"/>
  <c r="Q137" i="3"/>
  <c r="B138" i="3"/>
  <c r="O138" i="3" s="1"/>
  <c r="D71" i="4"/>
  <c r="K71" i="4"/>
  <c r="L71" i="4"/>
  <c r="C72" i="4" s="1"/>
  <c r="B139" i="5" l="1"/>
  <c r="J139" i="5"/>
  <c r="B139" i="3"/>
  <c r="O139" i="3" s="1"/>
  <c r="Q138" i="3"/>
  <c r="B72" i="4"/>
  <c r="M71" i="4"/>
  <c r="B140" i="5" l="1"/>
  <c r="J140" i="5"/>
  <c r="B140" i="3"/>
  <c r="O140" i="3" s="1"/>
  <c r="Q139" i="3"/>
  <c r="D72" i="4"/>
  <c r="K72" i="4"/>
  <c r="L72" i="4"/>
  <c r="C73" i="4" s="1"/>
  <c r="J141" i="5" l="1"/>
  <c r="B141" i="5"/>
  <c r="B141" i="3"/>
  <c r="O141" i="3" s="1"/>
  <c r="Q140" i="3"/>
  <c r="B73" i="4"/>
  <c r="M72" i="4"/>
  <c r="J142" i="5" l="1"/>
  <c r="B142" i="5"/>
  <c r="B142" i="3"/>
  <c r="O142" i="3" s="1"/>
  <c r="Q141" i="3"/>
  <c r="K73" i="4"/>
  <c r="D73" i="4"/>
  <c r="L73" i="4"/>
  <c r="C74" i="4" s="1"/>
  <c r="B143" i="5" l="1"/>
  <c r="J143" i="5"/>
  <c r="B143" i="3"/>
  <c r="O143" i="3" s="1"/>
  <c r="Q142" i="3"/>
  <c r="M73" i="4"/>
  <c r="B74" i="4"/>
  <c r="J144" i="5" l="1"/>
  <c r="B144" i="5"/>
  <c r="B144" i="3"/>
  <c r="O144" i="3" s="1"/>
  <c r="Q143" i="3"/>
  <c r="K74" i="4"/>
  <c r="L74" i="4"/>
  <c r="C75" i="4" s="1"/>
  <c r="D74" i="4"/>
  <c r="J145" i="5" l="1"/>
  <c r="B145" i="5"/>
  <c r="Q144" i="3"/>
  <c r="B145" i="3"/>
  <c r="O145" i="3" s="1"/>
  <c r="M74" i="4"/>
  <c r="B75" i="4"/>
  <c r="J146" i="5" l="1"/>
  <c r="B146" i="5"/>
  <c r="B146" i="3"/>
  <c r="O146" i="3" s="1"/>
  <c r="Q145" i="3"/>
  <c r="D75" i="4"/>
  <c r="L75" i="4"/>
  <c r="C76" i="4" s="1"/>
  <c r="K75" i="4"/>
  <c r="J147" i="5" l="1"/>
  <c r="B147" i="5"/>
  <c r="B147" i="3"/>
  <c r="O147" i="3" s="1"/>
  <c r="Q146" i="3"/>
  <c r="M75" i="4"/>
  <c r="B76" i="4"/>
  <c r="J148" i="5" l="1"/>
  <c r="B148" i="5"/>
  <c r="Q147" i="3"/>
  <c r="B148" i="3"/>
  <c r="O148" i="3" s="1"/>
  <c r="D76" i="4"/>
  <c r="K76" i="4"/>
  <c r="L76" i="4"/>
  <c r="C77" i="4" s="1"/>
  <c r="B149" i="5" l="1"/>
  <c r="J149" i="5"/>
  <c r="Q148" i="3"/>
  <c r="B149" i="3"/>
  <c r="O149" i="3" s="1"/>
  <c r="M76" i="4"/>
  <c r="B77" i="4"/>
  <c r="B150" i="5" l="1"/>
  <c r="J150" i="5"/>
  <c r="B150" i="3"/>
  <c r="O150" i="3" s="1"/>
  <c r="Q149" i="3"/>
  <c r="D77" i="4"/>
  <c r="K77" i="4"/>
  <c r="L77" i="4"/>
  <c r="C78" i="4" s="1"/>
  <c r="B151" i="5" l="1"/>
  <c r="J151" i="5"/>
  <c r="B151" i="3"/>
  <c r="O151" i="3" s="1"/>
  <c r="Q150" i="3"/>
  <c r="M77" i="4"/>
  <c r="B78" i="4"/>
  <c r="J152" i="5" l="1"/>
  <c r="B152" i="5"/>
  <c r="B152" i="3"/>
  <c r="O152" i="3" s="1"/>
  <c r="Q151" i="3"/>
  <c r="K78" i="4"/>
  <c r="L78" i="4"/>
  <c r="C79" i="4" s="1"/>
  <c r="D78" i="4"/>
  <c r="B153" i="5" l="1"/>
  <c r="J153" i="5"/>
  <c r="B153" i="3"/>
  <c r="O153" i="3" s="1"/>
  <c r="Q152" i="3"/>
  <c r="B79" i="4"/>
  <c r="M78" i="4"/>
  <c r="J154" i="5" l="1"/>
  <c r="B154" i="5"/>
  <c r="B154" i="3"/>
  <c r="O154" i="3" s="1"/>
  <c r="Q153" i="3"/>
  <c r="K79" i="4"/>
  <c r="L79" i="4"/>
  <c r="C80" i="4" s="1"/>
  <c r="D79" i="4"/>
  <c r="B155" i="5" l="1"/>
  <c r="J155" i="5"/>
  <c r="B155" i="3"/>
  <c r="O155" i="3" s="1"/>
  <c r="Q154" i="3"/>
  <c r="B80" i="4"/>
  <c r="M79" i="4"/>
  <c r="B156" i="5" l="1"/>
  <c r="J156" i="5"/>
  <c r="Q155" i="3"/>
  <c r="B156" i="3"/>
  <c r="O156" i="3" s="1"/>
  <c r="D80" i="4"/>
  <c r="K80" i="4"/>
  <c r="L80" i="4"/>
  <c r="C81" i="4" s="1"/>
  <c r="J157" i="5" l="1"/>
  <c r="B157" i="5"/>
  <c r="Q156" i="3"/>
  <c r="B157" i="3"/>
  <c r="O157" i="3" s="1"/>
  <c r="B81" i="4"/>
  <c r="M80" i="4"/>
  <c r="J158" i="5" l="1"/>
  <c r="B158" i="5"/>
  <c r="Q157" i="3"/>
  <c r="B158" i="3"/>
  <c r="O158" i="3" s="1"/>
  <c r="D81" i="4"/>
  <c r="K81" i="4"/>
  <c r="L81" i="4"/>
  <c r="C82" i="4" s="1"/>
  <c r="B159" i="5" l="1"/>
  <c r="J159" i="5"/>
  <c r="Q158" i="3"/>
  <c r="B159" i="3"/>
  <c r="O159" i="3" s="1"/>
  <c r="B82" i="4"/>
  <c r="M81" i="4"/>
  <c r="J160" i="5" l="1"/>
  <c r="B160" i="5"/>
  <c r="Q159" i="3"/>
  <c r="B160" i="3"/>
  <c r="O160" i="3" s="1"/>
  <c r="D82" i="4"/>
  <c r="L82" i="4"/>
  <c r="C83" i="4" s="1"/>
  <c r="K82" i="4"/>
  <c r="B161" i="5" l="1"/>
  <c r="J161" i="5"/>
  <c r="Q160" i="3"/>
  <c r="B161" i="3"/>
  <c r="O161" i="3" s="1"/>
  <c r="M82" i="4"/>
  <c r="B83" i="4"/>
  <c r="J162" i="5" l="1"/>
  <c r="B162" i="5"/>
  <c r="Q161" i="3"/>
  <c r="B162" i="3"/>
  <c r="O162" i="3" s="1"/>
  <c r="K83" i="4"/>
  <c r="L83" i="4"/>
  <c r="C84" i="4" s="1"/>
  <c r="D83" i="4"/>
  <c r="B163" i="5" l="1"/>
  <c r="J163" i="5"/>
  <c r="B163" i="3"/>
  <c r="O163" i="3" s="1"/>
  <c r="Q162" i="3"/>
  <c r="M83" i="4"/>
  <c r="B84" i="4"/>
  <c r="B164" i="5" l="1"/>
  <c r="J164" i="5"/>
  <c r="Q163" i="3"/>
  <c r="B164" i="3"/>
  <c r="O164" i="3" s="1"/>
  <c r="L84" i="4"/>
  <c r="C85" i="4" s="1"/>
  <c r="D84" i="4"/>
  <c r="K84" i="4"/>
  <c r="J165" i="5" l="1"/>
  <c r="B165" i="5"/>
  <c r="B165" i="3"/>
  <c r="O165" i="3" s="1"/>
  <c r="Q164" i="3"/>
  <c r="M84" i="4"/>
  <c r="B85" i="4"/>
  <c r="B166" i="5" l="1"/>
  <c r="J166" i="5"/>
  <c r="B166" i="3"/>
  <c r="O166" i="3" s="1"/>
  <c r="Q165" i="3"/>
  <c r="L85" i="4"/>
  <c r="C86" i="4" s="1"/>
  <c r="D85" i="4"/>
  <c r="K85" i="4"/>
  <c r="J167" i="5" l="1"/>
  <c r="B167" i="5"/>
  <c r="B167" i="3"/>
  <c r="O167" i="3" s="1"/>
  <c r="Q166" i="3"/>
  <c r="B86" i="4"/>
  <c r="M85" i="4"/>
  <c r="B168" i="5" l="1"/>
  <c r="J168" i="5"/>
  <c r="B168" i="3"/>
  <c r="O168" i="3" s="1"/>
  <c r="Q167" i="3"/>
  <c r="D86" i="4"/>
  <c r="K86" i="4"/>
  <c r="L86" i="4"/>
  <c r="C87" i="4" s="1"/>
  <c r="J169" i="5" l="1"/>
  <c r="B169" i="5"/>
  <c r="B169" i="3"/>
  <c r="O169" i="3" s="1"/>
  <c r="Q168" i="3"/>
  <c r="M86" i="4"/>
  <c r="B87" i="4"/>
  <c r="J170" i="5" l="1"/>
  <c r="B170" i="5"/>
  <c r="Q169" i="3"/>
  <c r="B170" i="3"/>
  <c r="O170" i="3" s="1"/>
  <c r="K87" i="4"/>
  <c r="L87" i="4"/>
  <c r="C88" i="4" s="1"/>
  <c r="D87" i="4"/>
  <c r="B171" i="5" l="1"/>
  <c r="J171" i="5"/>
  <c r="B171" i="3"/>
  <c r="O171" i="3" s="1"/>
  <c r="Q170" i="3"/>
  <c r="M87" i="4"/>
  <c r="B88" i="4"/>
  <c r="J172" i="5" l="1"/>
  <c r="B172" i="5"/>
  <c r="Q171" i="3"/>
  <c r="B172" i="3"/>
  <c r="O172" i="3" s="1"/>
  <c r="K88" i="4"/>
  <c r="L88" i="4"/>
  <c r="C89" i="4" s="1"/>
  <c r="D88" i="4"/>
  <c r="B173" i="5" l="1"/>
  <c r="J173" i="5"/>
  <c r="Q172" i="3"/>
  <c r="B173" i="3"/>
  <c r="O173" i="3" s="1"/>
  <c r="M88" i="4"/>
  <c r="B89" i="4"/>
  <c r="J174" i="5" l="1"/>
  <c r="B174" i="5"/>
  <c r="Q173" i="3"/>
  <c r="B174" i="3"/>
  <c r="O174" i="3" s="1"/>
  <c r="D89" i="4"/>
  <c r="K89" i="4"/>
  <c r="L89" i="4"/>
  <c r="C90" i="4" s="1"/>
  <c r="B175" i="5" l="1"/>
  <c r="J175" i="5"/>
  <c r="Q174" i="3"/>
  <c r="B175" i="3"/>
  <c r="O175" i="3" s="1"/>
  <c r="M89" i="4"/>
  <c r="B90" i="4"/>
  <c r="J176" i="5" l="1"/>
  <c r="B176" i="5"/>
  <c r="Q175" i="3"/>
  <c r="B176" i="3"/>
  <c r="O176" i="3" s="1"/>
  <c r="D90" i="4"/>
  <c r="K90" i="4"/>
  <c r="L90" i="4"/>
  <c r="C91" i="4" s="1"/>
  <c r="B177" i="5" l="1"/>
  <c r="J177" i="5"/>
  <c r="Q176" i="3"/>
  <c r="B177" i="3"/>
  <c r="O177" i="3" s="1"/>
  <c r="B91" i="4"/>
  <c r="M90" i="4"/>
  <c r="B178" i="5" l="1"/>
  <c r="J178" i="5"/>
  <c r="Q177" i="3"/>
  <c r="B178" i="3"/>
  <c r="O178" i="3" s="1"/>
  <c r="D91" i="4"/>
  <c r="K91" i="4"/>
  <c r="L91" i="4"/>
  <c r="C92" i="4" s="1"/>
  <c r="J179" i="5" l="1"/>
  <c r="B179" i="5"/>
  <c r="B179" i="3"/>
  <c r="O179" i="3" s="1"/>
  <c r="Q178" i="3"/>
  <c r="M91" i="4"/>
  <c r="B92" i="4"/>
  <c r="B180" i="5" l="1"/>
  <c r="J180" i="5"/>
  <c r="B180" i="3"/>
  <c r="O180" i="3" s="1"/>
  <c r="Q179" i="3"/>
  <c r="L92" i="4"/>
  <c r="C93" i="4" s="1"/>
  <c r="K92" i="4"/>
  <c r="D92" i="4"/>
  <c r="J181" i="5" l="1"/>
  <c r="B181" i="5"/>
  <c r="Q180" i="3"/>
  <c r="B181" i="3"/>
  <c r="O181" i="3" s="1"/>
  <c r="B93" i="4"/>
  <c r="M92" i="4"/>
  <c r="B182" i="5" l="1"/>
  <c r="J182" i="5"/>
  <c r="B182" i="3"/>
  <c r="O182" i="3" s="1"/>
  <c r="Q181" i="3"/>
  <c r="K93" i="4"/>
  <c r="L93" i="4"/>
  <c r="C94" i="4" s="1"/>
  <c r="D93" i="4"/>
  <c r="J183" i="5" l="1"/>
  <c r="B183" i="5"/>
  <c r="Q182" i="3"/>
  <c r="B183" i="3"/>
  <c r="O183" i="3" s="1"/>
  <c r="M93" i="4"/>
  <c r="B94" i="4"/>
  <c r="J184" i="5" l="1"/>
  <c r="B184" i="5"/>
  <c r="Q183" i="3"/>
  <c r="B184" i="3"/>
  <c r="O184" i="3" s="1"/>
  <c r="D94" i="4"/>
  <c r="K94" i="4"/>
  <c r="L94" i="4"/>
  <c r="C95" i="4" s="1"/>
  <c r="B185" i="5" l="1"/>
  <c r="J185" i="5"/>
  <c r="B185" i="3"/>
  <c r="O185" i="3" s="1"/>
  <c r="Q184" i="3"/>
  <c r="B95" i="4"/>
  <c r="M94" i="4"/>
  <c r="J186" i="5" l="1"/>
  <c r="B186" i="5"/>
  <c r="Q185" i="3"/>
  <c r="B186" i="3"/>
  <c r="O186" i="3" s="1"/>
  <c r="D95" i="4"/>
  <c r="K95" i="4"/>
  <c r="B96" i="4" s="1"/>
  <c r="L95" i="4"/>
  <c r="C96" i="4" s="1"/>
  <c r="B187" i="5" l="1"/>
  <c r="J187" i="5"/>
  <c r="K96" i="4"/>
  <c r="D96" i="4"/>
  <c r="L96" i="4"/>
  <c r="C97" i="4" s="1"/>
  <c r="Q186" i="3"/>
  <c r="B187" i="3"/>
  <c r="O187" i="3" s="1"/>
  <c r="M95" i="4"/>
  <c r="J188" i="5" l="1"/>
  <c r="B188" i="5"/>
  <c r="M96" i="4"/>
  <c r="B97" i="4"/>
  <c r="B188" i="3"/>
  <c r="O188" i="3" s="1"/>
  <c r="Q187" i="3"/>
  <c r="B189" i="5" l="1"/>
  <c r="J189" i="5"/>
  <c r="K97" i="4"/>
  <c r="D97" i="4"/>
  <c r="L97" i="4"/>
  <c r="C98" i="4" s="1"/>
  <c r="B189" i="3"/>
  <c r="O189" i="3" s="1"/>
  <c r="Q188" i="3"/>
  <c r="J190" i="5" l="1"/>
  <c r="B190" i="5"/>
  <c r="B98" i="4"/>
  <c r="M97" i="4"/>
  <c r="Q189" i="3"/>
  <c r="B190" i="3"/>
  <c r="O190" i="3" s="1"/>
  <c r="J191" i="5" l="1"/>
  <c r="B191" i="5"/>
  <c r="D98" i="4"/>
  <c r="K98" i="4"/>
  <c r="L98" i="4"/>
  <c r="C99" i="4" s="1"/>
  <c r="Q190" i="3"/>
  <c r="B191" i="3"/>
  <c r="O191" i="3" s="1"/>
  <c r="B192" i="5" l="1"/>
  <c r="J192" i="5"/>
  <c r="M98" i="4"/>
  <c r="B99" i="4"/>
  <c r="B192" i="3"/>
  <c r="O192" i="3" s="1"/>
  <c r="Q191" i="3"/>
  <c r="J193" i="5" l="1"/>
  <c r="B193" i="5"/>
  <c r="L99" i="4"/>
  <c r="D99" i="4"/>
  <c r="K99" i="4"/>
  <c r="Q192" i="3"/>
  <c r="B193" i="3"/>
  <c r="O193" i="3" s="1"/>
  <c r="B194" i="5" l="1"/>
  <c r="J194" i="5"/>
  <c r="M99" i="4"/>
  <c r="K101" i="4"/>
  <c r="B194" i="3"/>
  <c r="O194" i="3" s="1"/>
  <c r="Q193" i="3"/>
  <c r="J195" i="5" l="1"/>
  <c r="B195" i="5"/>
  <c r="B195" i="3"/>
  <c r="O195" i="3" s="1"/>
  <c r="Q194" i="3"/>
  <c r="B196" i="5" l="1"/>
  <c r="J196" i="5"/>
  <c r="B196" i="3"/>
  <c r="O196" i="3" s="1"/>
  <c r="Q195" i="3"/>
  <c r="J197" i="5" l="1"/>
  <c r="B197" i="5"/>
  <c r="B197" i="3"/>
  <c r="O197" i="3" s="1"/>
  <c r="Q196" i="3"/>
  <c r="B198" i="5" l="1"/>
  <c r="J198" i="5"/>
  <c r="Q197" i="3"/>
  <c r="B198" i="3"/>
  <c r="O198" i="3" s="1"/>
  <c r="B199" i="5" l="1"/>
  <c r="J199" i="5"/>
  <c r="B199" i="3"/>
  <c r="O199" i="3" s="1"/>
  <c r="Q198" i="3"/>
  <c r="J200" i="5" l="1"/>
  <c r="B200" i="5"/>
  <c r="B200" i="3"/>
  <c r="O200" i="3" s="1"/>
  <c r="Q199" i="3"/>
  <c r="B201" i="5" l="1"/>
  <c r="J201" i="5"/>
  <c r="Q200" i="3"/>
  <c r="B201" i="3"/>
  <c r="O201" i="3" s="1"/>
  <c r="J202" i="5" l="1"/>
  <c r="B202" i="5"/>
  <c r="Q201" i="3"/>
  <c r="B202" i="3"/>
  <c r="O202" i="3" s="1"/>
  <c r="B203" i="5" l="1"/>
  <c r="J203" i="5"/>
  <c r="Q202" i="3"/>
  <c r="B203" i="3"/>
  <c r="O203" i="3" s="1"/>
  <c r="J204" i="5" l="1"/>
  <c r="B204" i="5"/>
  <c r="B204" i="3"/>
  <c r="O204" i="3" s="1"/>
  <c r="Q203" i="3"/>
  <c r="B205" i="5" l="1"/>
  <c r="J205" i="5"/>
  <c r="B205" i="3"/>
  <c r="O205" i="3" s="1"/>
  <c r="Q204" i="3"/>
  <c r="B206" i="5" l="1"/>
  <c r="J206" i="5"/>
  <c r="Q205" i="3"/>
  <c r="B206" i="3"/>
  <c r="O206" i="3" s="1"/>
  <c r="J207" i="5" l="1"/>
  <c r="B207" i="5"/>
  <c r="Q206" i="3"/>
  <c r="B207" i="3"/>
  <c r="O207" i="3" s="1"/>
  <c r="B208" i="5" l="1"/>
  <c r="J208" i="5"/>
  <c r="B208" i="3"/>
  <c r="O208" i="3" s="1"/>
  <c r="Q207" i="3"/>
  <c r="J209" i="5" l="1"/>
  <c r="B209" i="5"/>
  <c r="Q208" i="3"/>
  <c r="B209" i="3"/>
  <c r="O209" i="3" s="1"/>
  <c r="B210" i="5" l="1"/>
  <c r="J210" i="5"/>
  <c r="B210" i="3"/>
  <c r="O210" i="3" s="1"/>
  <c r="Q209" i="3"/>
  <c r="J211" i="5" l="1"/>
  <c r="B211" i="5"/>
  <c r="Q210" i="3"/>
  <c r="B211" i="3"/>
  <c r="O211" i="3" s="1"/>
  <c r="H40" i="2" s="1"/>
  <c r="J40" i="2" s="1"/>
  <c r="K40" i="2" s="1"/>
  <c r="C49" i="1" l="1"/>
  <c r="H39" i="2"/>
  <c r="J39" i="2" s="1"/>
  <c r="B212" i="5"/>
  <c r="J212" i="5"/>
  <c r="Q211" i="3"/>
  <c r="C50" i="1" s="1"/>
  <c r="C52" i="1" s="1"/>
  <c r="D45" i="1" s="1"/>
  <c r="B212" i="3"/>
  <c r="O212" i="3" s="1"/>
  <c r="J42" i="2" l="1"/>
  <c r="K42" i="2" s="1"/>
  <c r="K39" i="2"/>
  <c r="B213" i="5"/>
  <c r="J213" i="5"/>
  <c r="Q212" i="3"/>
  <c r="B213" i="3"/>
  <c r="O213" i="3" s="1"/>
  <c r="J214" i="5" l="1"/>
  <c r="B214" i="5"/>
  <c r="B214" i="3"/>
  <c r="O214" i="3" s="1"/>
  <c r="Q213" i="3"/>
  <c r="B215" i="5" l="1"/>
  <c r="J215" i="5"/>
  <c r="Q214" i="3"/>
  <c r="B215" i="3"/>
  <c r="O215" i="3" s="1"/>
  <c r="J216" i="5" l="1"/>
  <c r="B216" i="5"/>
  <c r="Q215" i="3"/>
  <c r="B216" i="3"/>
  <c r="O216" i="3" s="1"/>
  <c r="B217" i="5" l="1"/>
  <c r="J217" i="5"/>
  <c r="B217" i="3"/>
  <c r="O217" i="3" s="1"/>
  <c r="Q216" i="3"/>
  <c r="J218" i="5" l="1"/>
  <c r="B218" i="5"/>
  <c r="Q217" i="3"/>
  <c r="B218" i="3"/>
  <c r="O218" i="3" s="1"/>
  <c r="J219" i="5" l="1"/>
  <c r="B219" i="5"/>
  <c r="Q218" i="3"/>
  <c r="B219" i="3"/>
  <c r="O219" i="3" s="1"/>
  <c r="J220" i="5" l="1"/>
  <c r="B220" i="5"/>
  <c r="B220" i="3"/>
  <c r="O220" i="3" s="1"/>
  <c r="Q219" i="3"/>
  <c r="B221" i="5" l="1"/>
  <c r="J221" i="5"/>
  <c r="Q220" i="3"/>
  <c r="B221" i="3"/>
  <c r="O221" i="3" s="1"/>
  <c r="B222" i="5" l="1"/>
  <c r="J222" i="5"/>
  <c r="B222" i="3"/>
  <c r="O222" i="3" s="1"/>
  <c r="Q221" i="3"/>
  <c r="B223" i="5" l="1"/>
  <c r="J223" i="5"/>
  <c r="Q222" i="3"/>
  <c r="B223" i="3"/>
  <c r="O223" i="3" s="1"/>
  <c r="B224" i="5" l="1"/>
  <c r="J224" i="5"/>
  <c r="Q223" i="3"/>
  <c r="B224" i="3"/>
  <c r="O224" i="3" s="1"/>
  <c r="J225" i="5" l="1"/>
  <c r="B225" i="5"/>
  <c r="B225" i="3"/>
  <c r="O225" i="3" s="1"/>
  <c r="Q224" i="3"/>
  <c r="B226" i="5" l="1"/>
  <c r="J226" i="5"/>
  <c r="Q225" i="3"/>
  <c r="B226" i="3"/>
  <c r="O226" i="3" s="1"/>
  <c r="B227" i="5" l="1"/>
  <c r="J227" i="5"/>
  <c r="B227" i="3"/>
  <c r="O227" i="3" s="1"/>
  <c r="Q226" i="3"/>
  <c r="J228" i="5" l="1"/>
  <c r="B228" i="5"/>
  <c r="Q227" i="3"/>
  <c r="B228" i="3"/>
  <c r="O228" i="3" s="1"/>
  <c r="J229" i="5" l="1"/>
  <c r="B229" i="5"/>
  <c r="B229" i="3"/>
  <c r="O229" i="3" s="1"/>
  <c r="Q228" i="3"/>
  <c r="B230" i="5" l="1"/>
  <c r="J230" i="5"/>
  <c r="Q229" i="3"/>
  <c r="B230" i="3"/>
  <c r="O230" i="3" s="1"/>
  <c r="B231" i="5" l="1"/>
  <c r="J231" i="5"/>
  <c r="Q230" i="3"/>
  <c r="B231" i="3"/>
  <c r="O231" i="3" s="1"/>
  <c r="J232" i="5" l="1"/>
  <c r="B232" i="5"/>
  <c r="Q231" i="3"/>
  <c r="B232" i="3"/>
  <c r="O232" i="3" s="1"/>
  <c r="B233" i="5" l="1"/>
  <c r="J233" i="5"/>
  <c r="Q232" i="3"/>
  <c r="B233" i="3"/>
  <c r="O233" i="3" s="1"/>
  <c r="J234" i="5" l="1"/>
  <c r="B234" i="5"/>
  <c r="B234" i="3"/>
  <c r="O234" i="3" s="1"/>
  <c r="Q233" i="3"/>
  <c r="B235" i="5" l="1"/>
  <c r="J235" i="5"/>
  <c r="Q234" i="3"/>
  <c r="B235" i="3"/>
  <c r="O235" i="3" s="1"/>
  <c r="B236" i="5" l="1"/>
  <c r="J236" i="5"/>
  <c r="B236" i="3"/>
  <c r="O236" i="3" s="1"/>
  <c r="Q235" i="3"/>
  <c r="J237" i="5" l="1"/>
  <c r="B237" i="5"/>
  <c r="Q236" i="3"/>
  <c r="B237" i="3"/>
  <c r="O237" i="3" s="1"/>
  <c r="B238" i="5" l="1"/>
  <c r="J238" i="5"/>
  <c r="Q237" i="3"/>
  <c r="B238" i="3"/>
  <c r="O238" i="3" s="1"/>
  <c r="J239" i="5" l="1"/>
  <c r="B239" i="5"/>
  <c r="Q238" i="3"/>
  <c r="B239" i="3"/>
  <c r="O239" i="3" s="1"/>
  <c r="J240" i="5" l="1"/>
  <c r="B240" i="5"/>
  <c r="Q239" i="3"/>
  <c r="B240" i="3"/>
  <c r="O240" i="3" s="1"/>
  <c r="J241" i="5" l="1"/>
  <c r="B241" i="5"/>
  <c r="B241" i="3"/>
  <c r="O241" i="3" s="1"/>
  <c r="Q240" i="3"/>
  <c r="B242" i="5" l="1"/>
  <c r="J242" i="5"/>
  <c r="B242" i="3"/>
  <c r="O242" i="3" s="1"/>
  <c r="Q241" i="3"/>
  <c r="J243" i="5" l="1"/>
  <c r="B243" i="5"/>
  <c r="B243" i="3"/>
  <c r="O243" i="3" s="1"/>
  <c r="Q242" i="3"/>
  <c r="J244" i="5" l="1"/>
  <c r="B244" i="5"/>
  <c r="Q243" i="3"/>
  <c r="B244" i="3"/>
  <c r="O244" i="3" s="1"/>
  <c r="J245" i="5" l="1"/>
  <c r="B245" i="5"/>
  <c r="Q244" i="3"/>
  <c r="B245" i="3"/>
  <c r="O245" i="3" s="1"/>
  <c r="J246" i="5" l="1"/>
  <c r="B246" i="5"/>
  <c r="Q245" i="3"/>
  <c r="B246" i="3"/>
  <c r="O246" i="3" s="1"/>
  <c r="B247" i="5" l="1"/>
  <c r="J247" i="5"/>
  <c r="Q246" i="3"/>
  <c r="B247" i="3"/>
  <c r="O247" i="3" s="1"/>
  <c r="J248" i="5" l="1"/>
  <c r="B248" i="5"/>
  <c r="B248" i="3"/>
  <c r="O248" i="3" s="1"/>
  <c r="Q247" i="3"/>
  <c r="B249" i="5" l="1"/>
  <c r="J249" i="5"/>
  <c r="Q248" i="3"/>
  <c r="B249" i="3"/>
  <c r="O249" i="3" s="1"/>
  <c r="B250" i="5" l="1"/>
  <c r="J250" i="5"/>
  <c r="B250" i="3"/>
  <c r="O250" i="3" s="1"/>
  <c r="Q249" i="3"/>
  <c r="J251" i="5" l="1"/>
  <c r="B251" i="5"/>
  <c r="Q250" i="3"/>
  <c r="B251" i="3"/>
  <c r="O251" i="3" s="1"/>
  <c r="J252" i="5" l="1"/>
  <c r="B252" i="5"/>
  <c r="Q251" i="3"/>
  <c r="B252" i="3"/>
  <c r="O252" i="3" s="1"/>
  <c r="J253" i="5" l="1"/>
  <c r="B253" i="5"/>
  <c r="Q252" i="3"/>
  <c r="B253" i="3"/>
  <c r="O253" i="3" s="1"/>
  <c r="B254" i="5" l="1"/>
  <c r="J254" i="5"/>
  <c r="B254" i="3"/>
  <c r="O254" i="3" s="1"/>
  <c r="Q253" i="3"/>
  <c r="B255" i="5" l="1"/>
  <c r="J255" i="5"/>
  <c r="B255" i="3"/>
  <c r="O255" i="3" s="1"/>
  <c r="Q254" i="3"/>
  <c r="J256" i="5" l="1"/>
  <c r="B256" i="5"/>
  <c r="B256" i="3"/>
  <c r="O256" i="3" s="1"/>
  <c r="Q255" i="3"/>
  <c r="J257" i="5" l="1"/>
  <c r="B257" i="5"/>
  <c r="Q256" i="3"/>
  <c r="B257" i="3"/>
  <c r="O257" i="3" s="1"/>
  <c r="J258" i="5" l="1"/>
  <c r="B258" i="5"/>
  <c r="Q257" i="3"/>
  <c r="B258" i="3"/>
  <c r="O258" i="3" s="1"/>
  <c r="J259" i="5" l="1"/>
  <c r="B259" i="5"/>
  <c r="Q258" i="3"/>
  <c r="B259" i="3"/>
  <c r="O259" i="3" s="1"/>
  <c r="J260" i="5" l="1"/>
  <c r="B260" i="5"/>
  <c r="Q259" i="3"/>
  <c r="B260" i="3"/>
  <c r="O260" i="3" s="1"/>
  <c r="J261" i="5" l="1"/>
  <c r="B261" i="5"/>
  <c r="B261" i="3"/>
  <c r="O261" i="3" s="1"/>
  <c r="Q260" i="3"/>
  <c r="B262" i="5" l="1"/>
  <c r="J262" i="5"/>
  <c r="B262" i="3"/>
  <c r="O262" i="3" s="1"/>
  <c r="Q261" i="3"/>
  <c r="B263" i="5" l="1"/>
  <c r="J263" i="5"/>
  <c r="Q262" i="3"/>
  <c r="B263" i="3"/>
  <c r="O263" i="3" s="1"/>
  <c r="J264" i="5" l="1"/>
  <c r="B264" i="5"/>
  <c r="Q263" i="3"/>
  <c r="B264" i="3"/>
  <c r="O264" i="3" s="1"/>
  <c r="B265" i="5" l="1"/>
  <c r="J265" i="5"/>
  <c r="B265" i="3"/>
  <c r="O265" i="3" s="1"/>
  <c r="Q264" i="3"/>
  <c r="B266" i="5" l="1"/>
  <c r="J266" i="5"/>
  <c r="B266" i="3"/>
  <c r="O266" i="3" s="1"/>
  <c r="Q265" i="3"/>
  <c r="J267" i="5" l="1"/>
  <c r="B267" i="5"/>
  <c r="B267" i="3"/>
  <c r="O267" i="3" s="1"/>
  <c r="Q266" i="3"/>
  <c r="B268" i="5" l="1"/>
  <c r="J268" i="5"/>
  <c r="B268" i="3"/>
  <c r="O268" i="3" s="1"/>
  <c r="Q267" i="3"/>
  <c r="J269" i="5" l="1"/>
  <c r="B269" i="5"/>
  <c r="Q268" i="3"/>
  <c r="B269" i="3"/>
  <c r="O269" i="3" s="1"/>
  <c r="J270" i="5" l="1"/>
  <c r="B270" i="5"/>
  <c r="Q269" i="3"/>
  <c r="B270" i="3"/>
  <c r="O270" i="3" s="1"/>
  <c r="B271" i="5" l="1"/>
  <c r="J271" i="5"/>
  <c r="Q270" i="3"/>
  <c r="B271" i="3"/>
  <c r="O271" i="3" s="1"/>
  <c r="B272" i="5" l="1"/>
  <c r="J272" i="5"/>
  <c r="Q271" i="3"/>
  <c r="B272" i="3"/>
  <c r="O272" i="3" s="1"/>
  <c r="B273" i="5" l="1"/>
  <c r="J273" i="5"/>
  <c r="B273" i="3"/>
  <c r="O273" i="3" s="1"/>
  <c r="Q272" i="3"/>
  <c r="J274" i="5" l="1"/>
  <c r="B274" i="5"/>
  <c r="B274" i="3"/>
  <c r="O274" i="3" s="1"/>
  <c r="Q273" i="3"/>
  <c r="B275" i="5" l="1"/>
  <c r="J275" i="5"/>
  <c r="Q274" i="3"/>
  <c r="B275" i="3"/>
  <c r="O275" i="3" s="1"/>
  <c r="J276" i="5" l="1"/>
  <c r="B276" i="5"/>
  <c r="Q275" i="3"/>
  <c r="B276" i="3"/>
  <c r="O276" i="3" s="1"/>
  <c r="B277" i="5" l="1"/>
  <c r="J277" i="5"/>
  <c r="Q276" i="3"/>
  <c r="B277" i="3"/>
  <c r="O277" i="3" s="1"/>
  <c r="J278" i="5" l="1"/>
  <c r="B278" i="5"/>
  <c r="Q277" i="3"/>
  <c r="B278" i="3"/>
  <c r="O278" i="3" s="1"/>
  <c r="B279" i="5" l="1"/>
  <c r="J279" i="5"/>
  <c r="Q278" i="3"/>
  <c r="B279" i="3"/>
  <c r="O279" i="3" s="1"/>
  <c r="B280" i="5" l="1"/>
  <c r="J280" i="5"/>
  <c r="B280" i="3"/>
  <c r="O280" i="3" s="1"/>
  <c r="Q279" i="3"/>
  <c r="J281" i="5" l="1"/>
  <c r="B281" i="5"/>
  <c r="B281" i="3"/>
  <c r="O281" i="3" s="1"/>
  <c r="Q280" i="3"/>
  <c r="J282" i="5" l="1"/>
  <c r="B282" i="5"/>
  <c r="Q281" i="3"/>
  <c r="B282" i="3"/>
  <c r="O282" i="3" s="1"/>
  <c r="B283" i="5" l="1"/>
  <c r="J283" i="5"/>
  <c r="B283" i="3"/>
  <c r="O283" i="3" s="1"/>
  <c r="Q282" i="3"/>
  <c r="B284" i="5" l="1"/>
  <c r="J284" i="5"/>
  <c r="Q283" i="3"/>
  <c r="B284" i="3"/>
  <c r="O284" i="3" s="1"/>
  <c r="B285" i="5" l="1"/>
  <c r="J285" i="5"/>
  <c r="Q284" i="3"/>
  <c r="B285" i="3"/>
  <c r="O285" i="3" s="1"/>
  <c r="J286" i="5" l="1"/>
  <c r="B286" i="5"/>
  <c r="Q285" i="3"/>
  <c r="B286" i="3"/>
  <c r="O286" i="3" s="1"/>
  <c r="B287" i="5" l="1"/>
  <c r="J287" i="5"/>
  <c r="Q286" i="3"/>
  <c r="B287" i="3"/>
  <c r="O287" i="3" s="1"/>
  <c r="J288" i="5" l="1"/>
  <c r="B288" i="5"/>
  <c r="B288" i="3"/>
  <c r="O288" i="3" s="1"/>
  <c r="Q287" i="3"/>
  <c r="B289" i="5" l="1"/>
  <c r="J289" i="5"/>
  <c r="Q288" i="3"/>
  <c r="B289" i="3"/>
  <c r="O289" i="3" s="1"/>
  <c r="B290" i="5" l="1"/>
  <c r="J290" i="5"/>
  <c r="B290" i="3"/>
  <c r="O290" i="3" s="1"/>
  <c r="Q289" i="3"/>
  <c r="J291" i="5" l="1"/>
  <c r="B291" i="5"/>
  <c r="Q290" i="3"/>
  <c r="B291" i="3"/>
  <c r="O291" i="3" s="1"/>
  <c r="J292" i="5" l="1"/>
  <c r="B292" i="5"/>
  <c r="Q291" i="3"/>
  <c r="B292" i="3"/>
  <c r="O292" i="3" s="1"/>
  <c r="B293" i="5" l="1"/>
  <c r="J293" i="5"/>
  <c r="Q292" i="3"/>
  <c r="B293" i="3"/>
  <c r="O293" i="3" s="1"/>
  <c r="B294" i="5" l="1"/>
  <c r="J294" i="5"/>
  <c r="Q293" i="3"/>
  <c r="B294" i="3"/>
  <c r="O294" i="3" s="1"/>
  <c r="J295" i="5" l="1"/>
  <c r="B295" i="5"/>
  <c r="B295" i="3"/>
  <c r="O295" i="3" s="1"/>
  <c r="Q294" i="3"/>
  <c r="B296" i="5" l="1"/>
  <c r="J296" i="5"/>
  <c r="Q295" i="3"/>
  <c r="B296" i="3"/>
  <c r="O296" i="3" s="1"/>
  <c r="J297" i="5" l="1"/>
  <c r="B297" i="5"/>
  <c r="B297" i="3"/>
  <c r="O297" i="3" s="1"/>
  <c r="Q296" i="3"/>
  <c r="B298" i="5" l="1"/>
  <c r="J298" i="5"/>
  <c r="Q297" i="3"/>
  <c r="B298" i="3"/>
  <c r="O298" i="3" s="1"/>
  <c r="J299" i="5" l="1"/>
  <c r="B299" i="5"/>
  <c r="Q298" i="3"/>
  <c r="B299" i="3"/>
  <c r="O299" i="3" s="1"/>
  <c r="J300" i="5" l="1"/>
  <c r="B300" i="5"/>
  <c r="B300" i="3"/>
  <c r="O300" i="3" s="1"/>
  <c r="Q299" i="3"/>
  <c r="B301" i="5" l="1"/>
  <c r="J301" i="5"/>
  <c r="Q300" i="3"/>
  <c r="B301" i="3"/>
  <c r="O301" i="3" s="1"/>
  <c r="B302" i="5" l="1"/>
  <c r="J302" i="5"/>
  <c r="B302" i="3"/>
  <c r="O302" i="3" s="1"/>
  <c r="Q301" i="3"/>
  <c r="B303" i="5" l="1"/>
  <c r="J303" i="5"/>
  <c r="Q302" i="3"/>
  <c r="B303" i="3"/>
  <c r="O303" i="3" s="1"/>
  <c r="J304" i="5" l="1"/>
  <c r="B304" i="5"/>
  <c r="B304" i="3"/>
  <c r="O304" i="3" s="1"/>
  <c r="Q303" i="3"/>
  <c r="J305" i="5" l="1"/>
  <c r="B305" i="5"/>
  <c r="Q304" i="3"/>
  <c r="B305" i="3"/>
  <c r="O305" i="3" s="1"/>
  <c r="J306" i="5" l="1"/>
  <c r="B306" i="5"/>
  <c r="Q305" i="3"/>
  <c r="B306" i="3"/>
  <c r="O306" i="3" s="1"/>
  <c r="B307" i="5" l="1"/>
  <c r="J307" i="5"/>
  <c r="Q306" i="3"/>
  <c r="B307" i="3"/>
  <c r="O307" i="3" s="1"/>
  <c r="B308" i="5" l="1"/>
  <c r="J308" i="5"/>
  <c r="Q307" i="3"/>
  <c r="B308" i="3"/>
  <c r="O308" i="3" s="1"/>
  <c r="B309" i="5" l="1"/>
  <c r="J309" i="5"/>
  <c r="Q308" i="3"/>
  <c r="B309" i="3"/>
  <c r="O309" i="3" s="1"/>
  <c r="J310" i="5" l="1"/>
  <c r="B310" i="5"/>
  <c r="B310" i="3"/>
  <c r="O310" i="3" s="1"/>
  <c r="Q309" i="3"/>
  <c r="J311" i="5" l="1"/>
  <c r="B311" i="5"/>
  <c r="B311" i="3"/>
  <c r="O311" i="3" s="1"/>
  <c r="Q310" i="3"/>
  <c r="B312" i="5" l="1"/>
  <c r="J312" i="5"/>
  <c r="Q311" i="3"/>
  <c r="B312" i="3"/>
  <c r="O312" i="3" s="1"/>
  <c r="J313" i="5" l="1"/>
  <c r="B313" i="5"/>
  <c r="Q312" i="3"/>
  <c r="B313" i="3"/>
  <c r="O313" i="3" s="1"/>
  <c r="B314" i="5" l="1"/>
  <c r="J314" i="5"/>
  <c r="Q313" i="3"/>
  <c r="B314" i="3"/>
  <c r="O314" i="3" s="1"/>
  <c r="B315" i="5" l="1"/>
  <c r="J315" i="5"/>
  <c r="Q314" i="3"/>
  <c r="B315" i="3"/>
  <c r="O315" i="3" s="1"/>
  <c r="J316" i="5" l="1"/>
  <c r="B316" i="5"/>
  <c r="Q315" i="3"/>
  <c r="B316" i="3"/>
  <c r="O316" i="3" s="1"/>
  <c r="B317" i="5" l="1"/>
  <c r="J317" i="5"/>
  <c r="Q316" i="3"/>
  <c r="B317" i="3"/>
  <c r="O317" i="3" s="1"/>
  <c r="J318" i="5" l="1"/>
  <c r="B318" i="5"/>
  <c r="B318" i="3"/>
  <c r="O318" i="3" s="1"/>
  <c r="Q317" i="3"/>
  <c r="J319" i="5" l="1"/>
  <c r="B319" i="5"/>
  <c r="Q318" i="3"/>
  <c r="B319" i="3"/>
  <c r="O319" i="3" s="1"/>
  <c r="B320" i="5" l="1"/>
  <c r="J320" i="5"/>
  <c r="Q319" i="3"/>
  <c r="B320" i="3"/>
  <c r="O320" i="3" s="1"/>
  <c r="J321" i="5" l="1"/>
  <c r="B321" i="5"/>
  <c r="Q320" i="3"/>
  <c r="B321" i="3"/>
  <c r="O321" i="3" s="1"/>
  <c r="B322" i="5" l="1"/>
  <c r="J322" i="5"/>
  <c r="Q321" i="3"/>
  <c r="B322" i="3"/>
  <c r="O322" i="3" s="1"/>
  <c r="J323" i="5" l="1"/>
  <c r="B323" i="5"/>
  <c r="B323" i="3"/>
  <c r="O323" i="3" s="1"/>
  <c r="Q322" i="3"/>
  <c r="J324" i="5" l="1"/>
  <c r="B324" i="5"/>
  <c r="B324" i="3"/>
  <c r="O324" i="3" s="1"/>
  <c r="Q323" i="3"/>
  <c r="J325" i="5" l="1"/>
  <c r="B325" i="5"/>
  <c r="B325" i="3"/>
  <c r="O325" i="3" s="1"/>
  <c r="Q324" i="3"/>
  <c r="B326" i="5" l="1"/>
  <c r="J326" i="5"/>
  <c r="Q325" i="3"/>
  <c r="B326" i="3"/>
  <c r="O326" i="3" s="1"/>
  <c r="B327" i="5" l="1"/>
  <c r="J327" i="5"/>
  <c r="Q326" i="3"/>
  <c r="B327" i="3"/>
  <c r="O327" i="3" s="1"/>
  <c r="J328" i="5" l="1"/>
  <c r="B328" i="5"/>
  <c r="Q327" i="3"/>
  <c r="B328" i="3"/>
  <c r="O328" i="3" s="1"/>
  <c r="B329" i="5" l="1"/>
  <c r="J329" i="5"/>
  <c r="Q328" i="3"/>
  <c r="B329" i="3"/>
  <c r="O329" i="3" s="1"/>
  <c r="J330" i="5" l="1"/>
  <c r="B330" i="5"/>
  <c r="Q329" i="3"/>
  <c r="B330" i="3"/>
  <c r="O330" i="3" s="1"/>
  <c r="B331" i="5" l="1"/>
  <c r="J331" i="5"/>
  <c r="Q330" i="3"/>
  <c r="B331" i="3"/>
  <c r="O331" i="3" s="1"/>
  <c r="J332" i="5" l="1"/>
  <c r="B332" i="5"/>
  <c r="B332" i="3"/>
  <c r="O332" i="3" s="1"/>
  <c r="Q331" i="3"/>
  <c r="B333" i="5" l="1"/>
  <c r="J333" i="5"/>
  <c r="B333" i="3"/>
  <c r="O333" i="3" s="1"/>
  <c r="Q332" i="3"/>
  <c r="J334" i="5" l="1"/>
  <c r="B334" i="5"/>
  <c r="Q333" i="3"/>
  <c r="B334" i="3"/>
  <c r="O334" i="3" s="1"/>
  <c r="J335" i="5" l="1"/>
  <c r="B335" i="5"/>
  <c r="Q334" i="3"/>
  <c r="B335" i="3"/>
  <c r="O335" i="3" s="1"/>
  <c r="B336" i="5" l="1"/>
  <c r="J336" i="5"/>
  <c r="Q335" i="3"/>
  <c r="B336" i="3"/>
  <c r="O336" i="3" s="1"/>
  <c r="B337" i="5" l="1"/>
  <c r="J337" i="5"/>
  <c r="Q336" i="3"/>
  <c r="B337" i="3"/>
  <c r="O337" i="3" s="1"/>
  <c r="J338" i="5" l="1"/>
  <c r="B338" i="5"/>
  <c r="Q337" i="3"/>
  <c r="B338" i="3"/>
  <c r="O338" i="3" s="1"/>
  <c r="J339" i="5" l="1"/>
  <c r="B339" i="5"/>
  <c r="Q338" i="3"/>
  <c r="B339" i="3"/>
  <c r="O339" i="3" s="1"/>
  <c r="J340" i="5" l="1"/>
  <c r="B340" i="5"/>
  <c r="B340" i="3"/>
  <c r="O340" i="3" s="1"/>
  <c r="Q339" i="3"/>
  <c r="B341" i="5" l="1"/>
  <c r="J341" i="5"/>
  <c r="Q340" i="3"/>
  <c r="B341" i="3"/>
  <c r="O341" i="3" s="1"/>
  <c r="J342" i="5" l="1"/>
  <c r="B342" i="5"/>
  <c r="Q341" i="3"/>
  <c r="B342" i="3"/>
  <c r="O342" i="3" s="1"/>
  <c r="B343" i="5" l="1"/>
  <c r="J343" i="5"/>
  <c r="B343" i="3"/>
  <c r="O343" i="3" s="1"/>
  <c r="Q342" i="3"/>
  <c r="J344" i="5" l="1"/>
  <c r="B344" i="5"/>
  <c r="B344" i="3"/>
  <c r="O344" i="3" s="1"/>
  <c r="Q343" i="3"/>
  <c r="B345" i="5" l="1"/>
  <c r="J345" i="5"/>
  <c r="Q344" i="3"/>
  <c r="B345" i="3"/>
  <c r="O345" i="3" s="1"/>
  <c r="B346" i="5" l="1"/>
  <c r="J346" i="5"/>
  <c r="Q345" i="3"/>
  <c r="B346" i="3"/>
  <c r="O346" i="3" s="1"/>
  <c r="J347" i="5" l="1"/>
  <c r="B347" i="5"/>
  <c r="Q346" i="3"/>
  <c r="B347" i="3"/>
  <c r="O347" i="3" s="1"/>
  <c r="B348" i="5" l="1"/>
  <c r="J348" i="5"/>
  <c r="B348" i="3"/>
  <c r="O348" i="3" s="1"/>
  <c r="Q347" i="3"/>
  <c r="J349" i="5" l="1"/>
  <c r="B349" i="5"/>
  <c r="Q348" i="3"/>
  <c r="B349" i="3"/>
  <c r="O349" i="3" s="1"/>
  <c r="B350" i="5" l="1"/>
  <c r="J350" i="5"/>
  <c r="Q349" i="3"/>
  <c r="B350" i="3"/>
  <c r="O350" i="3" s="1"/>
  <c r="J351" i="5" l="1"/>
  <c r="B351" i="5"/>
  <c r="B351" i="3"/>
  <c r="O351" i="3" s="1"/>
  <c r="Q350" i="3"/>
  <c r="B352" i="5" l="1"/>
  <c r="J352" i="5"/>
  <c r="Q351" i="3"/>
  <c r="B352" i="3"/>
  <c r="O352" i="3" s="1"/>
  <c r="J353" i="5" l="1"/>
  <c r="B353" i="5"/>
  <c r="Q352" i="3"/>
  <c r="B353" i="3"/>
  <c r="O353" i="3" s="1"/>
  <c r="J354" i="5" l="1"/>
  <c r="B354" i="5"/>
  <c r="Q353" i="3"/>
  <c r="B354" i="3"/>
  <c r="O354" i="3" s="1"/>
  <c r="B355" i="5" l="1"/>
  <c r="J355" i="5"/>
  <c r="B355" i="3"/>
  <c r="O355" i="3" s="1"/>
  <c r="Q354" i="3"/>
  <c r="J356" i="5" l="1"/>
  <c r="B356" i="5"/>
  <c r="Q355" i="3"/>
  <c r="B356" i="3"/>
  <c r="O356" i="3" s="1"/>
  <c r="B357" i="5" l="1"/>
  <c r="J357" i="5"/>
  <c r="Q356" i="3"/>
  <c r="B357" i="3"/>
  <c r="O357" i="3" s="1"/>
  <c r="J358" i="5" l="1"/>
  <c r="B358" i="5"/>
  <c r="B358" i="3"/>
  <c r="O358" i="3" s="1"/>
  <c r="Q357" i="3"/>
  <c r="B359" i="5" l="1"/>
  <c r="J359" i="5"/>
  <c r="Q358" i="3"/>
  <c r="B359" i="3"/>
  <c r="O359" i="3" s="1"/>
  <c r="B360" i="5" l="1"/>
  <c r="J360" i="5"/>
  <c r="Q359" i="3"/>
  <c r="B360" i="3"/>
  <c r="O360" i="3" s="1"/>
  <c r="B361" i="5" l="1"/>
  <c r="J361" i="5"/>
  <c r="B361" i="3"/>
  <c r="O361" i="3" s="1"/>
  <c r="Q360" i="3"/>
  <c r="B362" i="5" l="1"/>
  <c r="J362" i="5"/>
  <c r="B362" i="3"/>
  <c r="O362" i="3" s="1"/>
  <c r="Q361" i="3"/>
  <c r="J363" i="5" l="1"/>
  <c r="B363" i="5"/>
  <c r="Q362" i="3"/>
  <c r="B363" i="3"/>
  <c r="O363" i="3" s="1"/>
  <c r="B364" i="5" l="1"/>
  <c r="J364" i="5"/>
  <c r="Q363" i="3"/>
  <c r="B364" i="3"/>
  <c r="O364" i="3" s="1"/>
  <c r="J365" i="5" l="1"/>
  <c r="B365" i="5"/>
  <c r="B365" i="3"/>
  <c r="O365" i="3" s="1"/>
  <c r="Q364" i="3"/>
  <c r="J366" i="5" l="1"/>
  <c r="B366" i="5"/>
  <c r="Q365" i="3"/>
  <c r="B366" i="3"/>
  <c r="O366" i="3" s="1"/>
  <c r="B367" i="5" l="1"/>
  <c r="J367" i="5"/>
  <c r="Q366" i="3"/>
  <c r="B367" i="3"/>
  <c r="O367" i="3" s="1"/>
  <c r="J368" i="5" l="1"/>
  <c r="B368" i="5"/>
  <c r="Q367" i="3"/>
  <c r="B368" i="3"/>
  <c r="O368" i="3" s="1"/>
  <c r="J369" i="5" l="1"/>
  <c r="B369" i="5"/>
  <c r="B369" i="3"/>
  <c r="O369" i="3" s="1"/>
  <c r="Q368" i="3"/>
  <c r="B370" i="5" l="1"/>
  <c r="J370" i="5"/>
  <c r="Q369" i="3"/>
  <c r="B370" i="3"/>
  <c r="O370" i="3" s="1"/>
  <c r="B371" i="5" l="1"/>
  <c r="J371" i="5"/>
  <c r="Q370" i="3"/>
  <c r="B371" i="3"/>
  <c r="O371" i="3" s="1"/>
  <c r="J372" i="5" l="1"/>
  <c r="B372" i="5"/>
  <c r="B372" i="3"/>
  <c r="O372" i="3" s="1"/>
  <c r="Q371" i="3"/>
  <c r="J373" i="5" l="1"/>
  <c r="B373" i="5"/>
  <c r="Q372" i="3"/>
  <c r="B373" i="3"/>
  <c r="O373" i="3" s="1"/>
  <c r="B374" i="5" l="1"/>
  <c r="J374" i="5"/>
  <c r="Q373" i="3"/>
  <c r="B374" i="3"/>
  <c r="O374" i="3" s="1"/>
  <c r="B375" i="5" l="1"/>
  <c r="J375" i="5"/>
  <c r="Q374" i="3"/>
  <c r="B375" i="3"/>
  <c r="O375" i="3" s="1"/>
  <c r="B376" i="5" l="1"/>
  <c r="J376" i="5"/>
  <c r="B376" i="3"/>
  <c r="O376" i="3" s="1"/>
  <c r="Q375" i="3"/>
  <c r="J377" i="5" l="1"/>
  <c r="B377" i="5"/>
  <c r="Q376" i="3"/>
  <c r="B377" i="3"/>
  <c r="O377" i="3" s="1"/>
  <c r="B378" i="5" l="1"/>
  <c r="J378" i="5"/>
  <c r="Q377" i="3"/>
  <c r="B378" i="3"/>
  <c r="O378" i="3" s="1"/>
  <c r="J379" i="5" l="1"/>
  <c r="B379" i="5"/>
  <c r="B379" i="3"/>
  <c r="O379" i="3" s="1"/>
  <c r="Q378" i="3"/>
  <c r="B380" i="5" l="1"/>
  <c r="J380" i="5"/>
  <c r="Q379" i="3"/>
  <c r="B380" i="3"/>
  <c r="O380" i="3" s="1"/>
  <c r="J381" i="5" l="1"/>
  <c r="B381" i="5"/>
  <c r="Q380" i="3"/>
  <c r="B381" i="3"/>
  <c r="O381" i="3" s="1"/>
  <c r="B382" i="5" l="1"/>
  <c r="J382" i="5"/>
  <c r="Q381" i="3"/>
  <c r="B382" i="3"/>
  <c r="O382" i="3" s="1"/>
  <c r="B383" i="5" l="1"/>
  <c r="J383" i="5"/>
  <c r="B383" i="3"/>
  <c r="O383" i="3" s="1"/>
  <c r="Q382" i="3"/>
  <c r="J384" i="5" l="1"/>
  <c r="B384" i="5"/>
  <c r="Q383" i="3"/>
  <c r="B384" i="3"/>
  <c r="O384" i="3" s="1"/>
  <c r="B385" i="5" l="1"/>
  <c r="J385" i="5"/>
  <c r="Q384" i="3"/>
  <c r="B385" i="3"/>
  <c r="O385" i="3" s="1"/>
  <c r="B386" i="5" l="1"/>
  <c r="J386" i="5"/>
  <c r="B386" i="3"/>
  <c r="O386" i="3" s="1"/>
  <c r="Q385" i="3"/>
  <c r="J387" i="5" l="1"/>
  <c r="B387" i="5"/>
  <c r="Q386" i="3"/>
  <c r="B387" i="3"/>
  <c r="O387" i="3" s="1"/>
  <c r="J388" i="5" l="1"/>
  <c r="B388" i="5"/>
  <c r="Q387" i="3"/>
  <c r="B388" i="3"/>
  <c r="O388" i="3" s="1"/>
  <c r="B389" i="5" l="1"/>
  <c r="J389" i="5"/>
  <c r="Q388" i="3"/>
  <c r="B389" i="3"/>
  <c r="O389" i="3" s="1"/>
  <c r="B390" i="5" l="1"/>
  <c r="J390" i="5"/>
  <c r="B390" i="3"/>
  <c r="O390" i="3" s="1"/>
  <c r="Q389" i="3"/>
  <c r="J391" i="5" l="1"/>
  <c r="B391" i="5"/>
  <c r="Q390" i="3"/>
  <c r="B391" i="3"/>
  <c r="O391" i="3" s="1"/>
  <c r="B392" i="5" l="1"/>
  <c r="J392" i="5"/>
  <c r="B392" i="3"/>
  <c r="O392" i="3" s="1"/>
  <c r="Q391" i="3"/>
  <c r="J393" i="5" l="1"/>
  <c r="B393" i="5"/>
  <c r="B393" i="3"/>
  <c r="O393" i="3" s="1"/>
  <c r="Q392" i="3"/>
  <c r="B394" i="5" l="1"/>
  <c r="J394" i="5"/>
  <c r="Q393" i="3"/>
  <c r="B394" i="3"/>
  <c r="O394" i="3" s="1"/>
  <c r="B395" i="5" l="1"/>
  <c r="J395" i="5"/>
  <c r="Q394" i="3"/>
  <c r="B395" i="3"/>
  <c r="O395" i="3" s="1"/>
  <c r="J396" i="5" l="1"/>
  <c r="B396" i="5"/>
  <c r="Q395" i="3"/>
  <c r="B396" i="3"/>
  <c r="O396" i="3" s="1"/>
  <c r="B397" i="5" l="1"/>
  <c r="J397" i="5"/>
  <c r="B397" i="3"/>
  <c r="O397" i="3" s="1"/>
  <c r="Q396" i="3"/>
  <c r="J398" i="5" l="1"/>
  <c r="B398" i="5"/>
  <c r="Q397" i="3"/>
  <c r="B398" i="3"/>
  <c r="O398" i="3" s="1"/>
  <c r="B399" i="5" l="1"/>
  <c r="J399" i="5"/>
  <c r="Q398" i="3"/>
  <c r="B399" i="3"/>
  <c r="O399" i="3" s="1"/>
  <c r="J400" i="5" l="1"/>
  <c r="B400" i="5"/>
  <c r="Q399" i="3"/>
  <c r="B400" i="3"/>
  <c r="O400" i="3" s="1"/>
  <c r="B401" i="5" l="1"/>
  <c r="J401" i="5"/>
  <c r="B401" i="3"/>
  <c r="O401" i="3" s="1"/>
  <c r="Q400" i="3"/>
  <c r="J402" i="5" l="1"/>
  <c r="B402" i="5"/>
  <c r="B402" i="3"/>
  <c r="O402" i="3" s="1"/>
  <c r="Q401" i="3"/>
  <c r="J403" i="5" l="1"/>
  <c r="B403" i="5"/>
  <c r="Q402" i="3"/>
  <c r="B403" i="3"/>
  <c r="O403" i="3" s="1"/>
  <c r="B404" i="5" l="1"/>
  <c r="J404" i="5"/>
  <c r="Q403" i="3"/>
  <c r="B404" i="3"/>
  <c r="O404" i="3" s="1"/>
  <c r="J405" i="5" l="1"/>
  <c r="B405" i="5"/>
  <c r="Q404" i="3"/>
  <c r="B405" i="3"/>
  <c r="O405" i="3" s="1"/>
  <c r="J406" i="5" l="1"/>
  <c r="B406" i="5"/>
  <c r="Q405" i="3"/>
  <c r="B406" i="3"/>
  <c r="O406" i="3" s="1"/>
  <c r="J407" i="5" l="1"/>
  <c r="B407" i="5"/>
  <c r="Q406" i="3"/>
  <c r="B407" i="3"/>
  <c r="O407" i="3" s="1"/>
  <c r="J408" i="5" l="1"/>
  <c r="B408" i="5"/>
  <c r="B408" i="3"/>
  <c r="O408" i="3" s="1"/>
  <c r="Q407" i="3"/>
  <c r="B409" i="5" l="1"/>
  <c r="J409" i="5"/>
  <c r="Q408" i="3"/>
  <c r="B409" i="3"/>
  <c r="O409" i="3" s="1"/>
  <c r="B410" i="5" l="1"/>
  <c r="J410" i="5"/>
  <c r="Q409" i="3"/>
  <c r="B410" i="3"/>
  <c r="O410" i="3" s="1"/>
  <c r="B411" i="5" l="1"/>
  <c r="J411" i="5"/>
  <c r="Q410" i="3"/>
  <c r="B411" i="3"/>
  <c r="O411" i="3" s="1"/>
  <c r="J412" i="5" l="1"/>
  <c r="B412" i="5"/>
  <c r="B412" i="3"/>
  <c r="O412" i="3" s="1"/>
  <c r="Q411" i="3"/>
  <c r="J413" i="5" l="1"/>
  <c r="B413" i="5"/>
  <c r="Q412" i="3"/>
  <c r="B413" i="3"/>
  <c r="O413" i="3" s="1"/>
  <c r="J414" i="5" l="1"/>
  <c r="B414" i="5"/>
  <c r="Q413" i="3"/>
  <c r="B414" i="3"/>
  <c r="O414" i="3" s="1"/>
  <c r="J415" i="5" l="1"/>
  <c r="B415" i="5"/>
  <c r="Q414" i="3"/>
  <c r="B415" i="3"/>
  <c r="O415" i="3" s="1"/>
  <c r="B416" i="5" l="1"/>
  <c r="J416" i="5"/>
  <c r="B416" i="3"/>
  <c r="O416" i="3" s="1"/>
  <c r="Q415" i="3"/>
  <c r="J417" i="5" l="1"/>
  <c r="B417" i="5"/>
  <c r="Q416" i="3"/>
  <c r="B417" i="3"/>
  <c r="O417" i="3" s="1"/>
  <c r="B418" i="5" l="1"/>
  <c r="J418" i="5"/>
  <c r="B418" i="3"/>
  <c r="O418" i="3" s="1"/>
  <c r="Q417" i="3"/>
  <c r="B419" i="5" l="1"/>
  <c r="J419" i="5"/>
  <c r="B419" i="3"/>
  <c r="O419" i="3" s="1"/>
  <c r="Q418" i="3"/>
  <c r="B420" i="5" l="1"/>
  <c r="J420" i="5"/>
  <c r="Q419" i="3"/>
  <c r="B420" i="3"/>
  <c r="O420" i="3" s="1"/>
  <c r="J421" i="5" l="1"/>
  <c r="B421" i="5"/>
  <c r="Q420" i="3"/>
  <c r="B421" i="3"/>
  <c r="O421" i="3" s="1"/>
  <c r="J422" i="5" l="1"/>
  <c r="B422" i="5"/>
  <c r="Q421" i="3"/>
  <c r="B422" i="3"/>
  <c r="O422" i="3" s="1"/>
  <c r="B423" i="5" l="1"/>
  <c r="J423" i="5"/>
  <c r="Q422" i="3"/>
  <c r="B423" i="3"/>
  <c r="O423" i="3" s="1"/>
  <c r="B424" i="5" l="1"/>
  <c r="J424" i="5"/>
  <c r="B424" i="3"/>
  <c r="O424" i="3" s="1"/>
  <c r="Q423" i="3"/>
  <c r="B425" i="5" l="1"/>
  <c r="J425" i="5"/>
  <c r="B425" i="3"/>
  <c r="O425" i="3" s="1"/>
  <c r="Q424" i="3"/>
  <c r="J426" i="5" l="1"/>
  <c r="B426" i="5"/>
  <c r="Q425" i="3"/>
  <c r="B426" i="3"/>
  <c r="O426" i="3" s="1"/>
  <c r="B427" i="5" l="1"/>
  <c r="J427" i="5"/>
  <c r="Q426" i="3"/>
  <c r="B427" i="3"/>
  <c r="O427" i="3" s="1"/>
  <c r="J428" i="5" l="1"/>
  <c r="B428" i="5"/>
  <c r="B428" i="3"/>
  <c r="O428" i="3" s="1"/>
  <c r="Q427" i="3"/>
  <c r="B429" i="5" l="1"/>
  <c r="J429" i="5"/>
  <c r="Q428" i="3"/>
  <c r="B429" i="3"/>
  <c r="O429" i="3" s="1"/>
  <c r="B430" i="5" l="1"/>
  <c r="J430" i="5"/>
  <c r="B430" i="3"/>
  <c r="O430" i="3" s="1"/>
  <c r="Q429" i="3"/>
  <c r="J431" i="5" l="1"/>
  <c r="B431" i="5"/>
  <c r="Q430" i="3"/>
  <c r="B431" i="3"/>
  <c r="O431" i="3" s="1"/>
  <c r="B432" i="5" l="1"/>
  <c r="J432" i="5"/>
  <c r="Q431" i="3"/>
  <c r="B432" i="3"/>
  <c r="O432" i="3" s="1"/>
  <c r="J433" i="5" l="1"/>
  <c r="B433" i="5"/>
  <c r="B433" i="3"/>
  <c r="O433" i="3" s="1"/>
  <c r="Q432" i="3"/>
  <c r="B434" i="5" l="1"/>
  <c r="J434" i="5"/>
  <c r="B434" i="3"/>
  <c r="O434" i="3" s="1"/>
  <c r="Q433" i="3"/>
  <c r="J435" i="5" l="1"/>
  <c r="B435" i="5"/>
  <c r="Q434" i="3"/>
  <c r="B435" i="3"/>
  <c r="O435" i="3" s="1"/>
  <c r="B436" i="5" l="1"/>
  <c r="J436" i="5"/>
  <c r="B436" i="3"/>
  <c r="O436" i="3" s="1"/>
  <c r="Q435" i="3"/>
  <c r="J437" i="5" l="1"/>
  <c r="B437" i="5"/>
  <c r="Q436" i="3"/>
  <c r="B437" i="3"/>
  <c r="O437" i="3" s="1"/>
  <c r="B438" i="5" l="1"/>
  <c r="J438" i="5"/>
  <c r="B438" i="3"/>
  <c r="O438" i="3" s="1"/>
  <c r="Q437" i="3"/>
  <c r="B439" i="5" l="1"/>
  <c r="J439" i="5"/>
  <c r="B439" i="3"/>
  <c r="O439" i="3" s="1"/>
  <c r="Q438" i="3"/>
  <c r="J440" i="5" l="1"/>
  <c r="B440" i="5"/>
  <c r="Q439" i="3"/>
  <c r="B440" i="3"/>
  <c r="O440" i="3" s="1"/>
  <c r="B441" i="5" l="1"/>
  <c r="J441" i="5"/>
  <c r="Q440" i="3"/>
  <c r="B441" i="3"/>
  <c r="O441" i="3" s="1"/>
  <c r="J442" i="5" l="1"/>
  <c r="B442" i="5"/>
  <c r="B442" i="3"/>
  <c r="O442" i="3" s="1"/>
  <c r="Q441" i="3"/>
  <c r="B443" i="5" l="1"/>
  <c r="J443" i="5"/>
  <c r="Q442" i="3"/>
  <c r="B443" i="3"/>
  <c r="O443" i="3" s="1"/>
  <c r="J444" i="5" l="1"/>
  <c r="B444" i="5"/>
  <c r="B444" i="3"/>
  <c r="O444" i="3" s="1"/>
  <c r="Q443" i="3"/>
  <c r="J445" i="5" l="1"/>
  <c r="B445" i="5"/>
  <c r="Q444" i="3"/>
  <c r="B445" i="3"/>
  <c r="O445" i="3" s="1"/>
  <c r="B446" i="5" l="1"/>
  <c r="J446" i="5"/>
  <c r="B446" i="3"/>
  <c r="O446" i="3" s="1"/>
  <c r="Q445" i="3"/>
  <c r="B447" i="5" l="1"/>
  <c r="J447" i="5"/>
  <c r="B447" i="3"/>
  <c r="O447" i="3" s="1"/>
  <c r="Q446" i="3"/>
  <c r="B448" i="5" l="1"/>
  <c r="J448" i="5"/>
  <c r="B448" i="3"/>
  <c r="O448" i="3" s="1"/>
  <c r="Q447" i="3"/>
  <c r="J449" i="5" l="1"/>
  <c r="B449" i="5"/>
  <c r="Q448" i="3"/>
  <c r="B449" i="3"/>
  <c r="O449" i="3" s="1"/>
  <c r="J450" i="5" l="1"/>
  <c r="B450" i="5"/>
  <c r="B450" i="3"/>
  <c r="O450" i="3" s="1"/>
  <c r="Q449" i="3"/>
  <c r="B451" i="5" l="1"/>
  <c r="J451" i="5"/>
  <c r="Q450" i="3"/>
  <c r="B451" i="3"/>
  <c r="O451" i="3" s="1"/>
  <c r="B452" i="5" l="1"/>
  <c r="J452" i="5"/>
  <c r="B452" i="3"/>
  <c r="O452" i="3" s="1"/>
  <c r="Q451" i="3"/>
  <c r="B453" i="5" l="1"/>
  <c r="J453" i="5"/>
  <c r="Q452" i="3"/>
  <c r="B453" i="3"/>
  <c r="O453" i="3" s="1"/>
  <c r="J454" i="5" l="1"/>
  <c r="B454" i="5"/>
  <c r="Q453" i="3"/>
  <c r="B454" i="3"/>
  <c r="O454" i="3" s="1"/>
  <c r="J455" i="5" l="1"/>
  <c r="B455" i="5"/>
  <c r="Q454" i="3"/>
  <c r="B455" i="3"/>
  <c r="O455" i="3" s="1"/>
  <c r="J456" i="5" l="1"/>
  <c r="B456" i="5"/>
  <c r="B456" i="3"/>
  <c r="O456" i="3" s="1"/>
  <c r="Q455" i="3"/>
  <c r="J457" i="5" l="1"/>
  <c r="B457" i="5"/>
  <c r="Q456" i="3"/>
  <c r="B457" i="3"/>
  <c r="O457" i="3" s="1"/>
  <c r="B458" i="5" l="1"/>
  <c r="J458" i="5"/>
  <c r="B458" i="3"/>
  <c r="O458" i="3" s="1"/>
  <c r="Q457" i="3"/>
  <c r="J459" i="5" l="1"/>
  <c r="B459" i="5"/>
  <c r="Q458" i="3"/>
  <c r="B459" i="3"/>
  <c r="O459" i="3" s="1"/>
  <c r="B460" i="5" l="1"/>
  <c r="J460" i="5"/>
  <c r="B460" i="3"/>
  <c r="O460" i="3" s="1"/>
  <c r="Q459" i="3"/>
  <c r="J461" i="5" l="1"/>
  <c r="B461" i="5"/>
  <c r="B461" i="3"/>
  <c r="O461" i="3" s="1"/>
  <c r="Q460" i="3"/>
  <c r="B462" i="5" l="1"/>
  <c r="J462" i="5"/>
  <c r="B462" i="3"/>
  <c r="O462" i="3" s="1"/>
  <c r="Q461" i="3"/>
  <c r="J463" i="5" l="1"/>
  <c r="B463" i="5"/>
  <c r="Q462" i="3"/>
  <c r="B463" i="3"/>
  <c r="O463" i="3" s="1"/>
  <c r="B464" i="5" l="1"/>
  <c r="J464" i="5"/>
  <c r="B464" i="3"/>
  <c r="O464" i="3" s="1"/>
  <c r="Q463" i="3"/>
  <c r="B465" i="5" l="1"/>
  <c r="J465" i="5"/>
  <c r="Q464" i="3"/>
  <c r="B465" i="3"/>
  <c r="O465" i="3" s="1"/>
  <c r="B466" i="5" l="1"/>
  <c r="J466" i="5"/>
  <c r="B466" i="3"/>
  <c r="O466" i="3" s="1"/>
  <c r="Q465" i="3"/>
  <c r="J467" i="5" l="1"/>
  <c r="B467" i="5"/>
  <c r="B467" i="3"/>
  <c r="O467" i="3" s="1"/>
  <c r="Q466" i="3"/>
  <c r="B468" i="5" l="1"/>
  <c r="J468" i="5"/>
  <c r="B468" i="3"/>
  <c r="O468" i="3" s="1"/>
  <c r="Q467" i="3"/>
  <c r="J469" i="5" l="1"/>
  <c r="B469" i="5"/>
  <c r="B469" i="3"/>
  <c r="O469" i="3" s="1"/>
  <c r="Q468" i="3"/>
  <c r="J470" i="5" l="1"/>
  <c r="B470" i="5"/>
  <c r="Q469" i="3"/>
  <c r="B470" i="3"/>
  <c r="O470" i="3" s="1"/>
  <c r="J471" i="5" l="1"/>
  <c r="B471" i="5"/>
  <c r="Q470" i="3"/>
  <c r="B471" i="3"/>
  <c r="O471" i="3" s="1"/>
  <c r="B472" i="5" l="1"/>
  <c r="J472" i="5"/>
  <c r="Q471" i="3"/>
  <c r="B472" i="3"/>
  <c r="O472" i="3" s="1"/>
  <c r="B473" i="5" l="1"/>
  <c r="J473" i="5"/>
  <c r="Q472" i="3"/>
  <c r="B473" i="3"/>
  <c r="O473" i="3" s="1"/>
  <c r="J474" i="5" l="1"/>
  <c r="B474" i="5"/>
  <c r="B474" i="3"/>
  <c r="O474" i="3" s="1"/>
  <c r="Q473" i="3"/>
  <c r="B475" i="5" l="1"/>
  <c r="J475" i="5"/>
  <c r="B475" i="3"/>
  <c r="O475" i="3" s="1"/>
  <c r="Q474" i="3"/>
  <c r="B476" i="5" l="1"/>
  <c r="J476" i="5"/>
  <c r="B476" i="3"/>
  <c r="O476" i="3" s="1"/>
  <c r="Q475" i="3"/>
  <c r="B477" i="5" l="1"/>
  <c r="J477" i="5"/>
  <c r="Q476" i="3"/>
  <c r="B477" i="3"/>
  <c r="O477" i="3" s="1"/>
  <c r="J478" i="5" l="1"/>
  <c r="B478" i="5"/>
  <c r="Q477" i="3"/>
  <c r="B478" i="3"/>
  <c r="O478" i="3" s="1"/>
  <c r="J479" i="5" l="1"/>
  <c r="B479" i="5"/>
  <c r="Q478" i="3"/>
  <c r="B479" i="3"/>
  <c r="O479" i="3" s="1"/>
  <c r="J480" i="5" l="1"/>
  <c r="B480" i="5"/>
  <c r="B480" i="3"/>
  <c r="O480" i="3" s="1"/>
  <c r="Q479" i="3"/>
  <c r="B481" i="5" l="1"/>
  <c r="J481" i="5"/>
  <c r="Q480" i="3"/>
  <c r="B481" i="3"/>
  <c r="O481" i="3" s="1"/>
  <c r="J482" i="5" l="1"/>
  <c r="B482" i="5"/>
  <c r="Q481" i="3"/>
  <c r="B482" i="3"/>
  <c r="O482" i="3" s="1"/>
  <c r="B483" i="5" l="1"/>
  <c r="J483" i="5"/>
  <c r="Q482" i="3"/>
  <c r="B483" i="3"/>
  <c r="O483" i="3" s="1"/>
  <c r="B484" i="5" l="1"/>
  <c r="J484" i="5"/>
  <c r="Q483" i="3"/>
  <c r="B484" i="3"/>
  <c r="O484" i="3" s="1"/>
  <c r="J485" i="5" l="1"/>
  <c r="B485" i="5"/>
  <c r="Q484" i="3"/>
  <c r="B485" i="3"/>
  <c r="O485" i="3" s="1"/>
  <c r="B486" i="5" l="1"/>
  <c r="J486" i="5"/>
  <c r="B486" i="3"/>
  <c r="O486" i="3" s="1"/>
  <c r="Q485" i="3"/>
  <c r="J487" i="5" l="1"/>
  <c r="B487" i="5"/>
  <c r="B487" i="3"/>
  <c r="O487" i="3" s="1"/>
  <c r="Q486" i="3"/>
  <c r="B488" i="5" l="1"/>
  <c r="J488" i="5"/>
  <c r="B488" i="3"/>
  <c r="O488" i="3" s="1"/>
  <c r="Q487" i="3"/>
  <c r="J489" i="5" l="1"/>
  <c r="B489" i="5"/>
  <c r="Q488" i="3"/>
  <c r="B489" i="3"/>
  <c r="O489" i="3" s="1"/>
  <c r="B490" i="5" l="1"/>
  <c r="J490" i="5"/>
  <c r="B490" i="3"/>
  <c r="O490" i="3" s="1"/>
  <c r="Q489" i="3"/>
  <c r="J491" i="5" l="1"/>
  <c r="B491" i="5"/>
  <c r="Q490" i="3"/>
  <c r="B491" i="3"/>
  <c r="O491" i="3" s="1"/>
  <c r="J492" i="5" l="1"/>
  <c r="B492" i="5"/>
  <c r="B492" i="3"/>
  <c r="O492" i="3" s="1"/>
  <c r="Q491" i="3"/>
  <c r="J493" i="5" l="1"/>
  <c r="B493" i="5"/>
  <c r="Q492" i="3"/>
  <c r="B493" i="3"/>
  <c r="O493" i="3" s="1"/>
  <c r="J494" i="5" l="1"/>
  <c r="B494" i="5"/>
  <c r="Q493" i="3"/>
  <c r="B494" i="3"/>
  <c r="O494" i="3" s="1"/>
  <c r="J495" i="5" l="1"/>
  <c r="B495" i="5"/>
  <c r="B495" i="3"/>
  <c r="O495" i="3" s="1"/>
  <c r="Q494" i="3"/>
  <c r="B496" i="5" l="1"/>
  <c r="J496" i="5"/>
  <c r="Q495" i="3"/>
  <c r="B496" i="3"/>
  <c r="O496" i="3" s="1"/>
  <c r="B497" i="5" l="1"/>
  <c r="J497" i="5"/>
  <c r="Q496" i="3"/>
  <c r="B497" i="3"/>
  <c r="O497" i="3" s="1"/>
  <c r="J498" i="5" l="1"/>
  <c r="B498" i="5"/>
  <c r="B498" i="3"/>
  <c r="O498" i="3" s="1"/>
  <c r="Q497" i="3"/>
  <c r="B499" i="5" l="1"/>
  <c r="J499" i="5"/>
  <c r="Q498" i="3"/>
  <c r="B499" i="3"/>
  <c r="O499" i="3" s="1"/>
  <c r="J500" i="5" l="1"/>
  <c r="B500" i="5"/>
  <c r="B500" i="3"/>
  <c r="O500" i="3" s="1"/>
  <c r="Q499" i="3"/>
  <c r="J501" i="5" l="1"/>
  <c r="B501" i="5"/>
  <c r="Q500" i="3"/>
  <c r="B501" i="3"/>
  <c r="O501" i="3" s="1"/>
  <c r="J502" i="5" l="1"/>
  <c r="B502" i="5"/>
  <c r="Q501" i="3"/>
  <c r="B502" i="3"/>
  <c r="O502" i="3" s="1"/>
  <c r="B503" i="5" l="1"/>
  <c r="J503" i="5"/>
  <c r="Q502" i="3"/>
  <c r="B503" i="3"/>
  <c r="O503" i="3" s="1"/>
  <c r="B504" i="5" l="1"/>
  <c r="J504" i="5"/>
  <c r="B504" i="3"/>
  <c r="O504" i="3" s="1"/>
  <c r="Q503" i="3"/>
  <c r="J505" i="5" l="1"/>
  <c r="B505" i="5"/>
  <c r="Q504" i="3"/>
  <c r="B505" i="3"/>
  <c r="O505" i="3" s="1"/>
  <c r="B506" i="5" l="1"/>
  <c r="J506" i="5"/>
  <c r="B506" i="3"/>
  <c r="O506" i="3" s="1"/>
  <c r="Q505" i="3"/>
  <c r="J507" i="5" l="1"/>
  <c r="B507" i="5"/>
  <c r="Q506" i="3"/>
  <c r="B507" i="3"/>
  <c r="O507" i="3" s="1"/>
  <c r="B508" i="5" l="1"/>
  <c r="J508" i="5"/>
  <c r="Q507" i="3"/>
  <c r="B508" i="3"/>
  <c r="O508" i="3" s="1"/>
  <c r="B509" i="5" l="1"/>
  <c r="J509" i="5"/>
  <c r="B509" i="3"/>
  <c r="O509" i="3" s="1"/>
  <c r="Q508" i="3"/>
  <c r="J510" i="5" l="1"/>
  <c r="B510" i="5"/>
  <c r="Q509" i="3"/>
  <c r="B510" i="3"/>
  <c r="O510" i="3" s="1"/>
  <c r="B511" i="5" l="1"/>
  <c r="J511" i="5"/>
  <c r="B511" i="3"/>
  <c r="O511" i="3" s="1"/>
  <c r="Q510" i="3"/>
  <c r="J512" i="5" l="1"/>
  <c r="B512" i="5"/>
  <c r="B512" i="3"/>
  <c r="O512" i="3" s="1"/>
  <c r="Q511" i="3"/>
  <c r="J513" i="5" l="1"/>
  <c r="B513" i="5"/>
  <c r="B513" i="3"/>
  <c r="O513" i="3" s="1"/>
  <c r="Q512" i="3"/>
  <c r="J514" i="5" l="1"/>
  <c r="B514" i="5"/>
  <c r="B514" i="3"/>
  <c r="O514" i="3" s="1"/>
  <c r="Q513" i="3"/>
  <c r="J515" i="5" l="1"/>
  <c r="B515" i="5"/>
  <c r="Q514" i="3"/>
  <c r="B515" i="3"/>
  <c r="O515" i="3" s="1"/>
  <c r="J516" i="5" l="1"/>
  <c r="B516" i="5"/>
  <c r="B516" i="3"/>
  <c r="O516" i="3" s="1"/>
  <c r="Q515" i="3"/>
  <c r="J517" i="5" l="1"/>
  <c r="B517" i="5"/>
  <c r="B517" i="3"/>
  <c r="O517" i="3" s="1"/>
  <c r="Q516" i="3"/>
  <c r="B518" i="5" l="1"/>
  <c r="J518" i="5"/>
  <c r="B518" i="3"/>
  <c r="O518" i="3" s="1"/>
  <c r="Q517" i="3"/>
  <c r="J519" i="5" l="1"/>
  <c r="B519" i="5"/>
  <c r="Q518" i="3"/>
  <c r="B519" i="3"/>
  <c r="O519" i="3" s="1"/>
  <c r="B520" i="5" l="1"/>
  <c r="J520" i="5"/>
  <c r="B520" i="3"/>
  <c r="O520" i="3" s="1"/>
  <c r="Q519" i="3"/>
  <c r="J521" i="5" l="1"/>
  <c r="B521" i="5"/>
  <c r="B521" i="3"/>
  <c r="O521" i="3" s="1"/>
  <c r="Q520" i="3"/>
  <c r="B522" i="5" l="1"/>
  <c r="J522" i="5"/>
  <c r="Q521" i="3"/>
  <c r="B522" i="3"/>
  <c r="O522" i="3" s="1"/>
  <c r="J523" i="5" l="1"/>
  <c r="B523" i="5"/>
  <c r="B523" i="3"/>
  <c r="O523" i="3" s="1"/>
  <c r="Q522" i="3"/>
  <c r="B524" i="5" l="1"/>
  <c r="J524" i="5"/>
  <c r="Q523" i="3"/>
  <c r="B524" i="3"/>
  <c r="O524" i="3" s="1"/>
  <c r="B525" i="5" l="1"/>
  <c r="J525" i="5"/>
  <c r="B525" i="3"/>
  <c r="O525" i="3" s="1"/>
  <c r="Q524" i="3"/>
  <c r="J526" i="5" l="1"/>
  <c r="B526" i="5"/>
  <c r="Q525" i="3"/>
  <c r="B526" i="3"/>
  <c r="O526" i="3" s="1"/>
  <c r="B527" i="5" l="1"/>
  <c r="J527" i="5"/>
  <c r="B527" i="3"/>
  <c r="O527" i="3" s="1"/>
  <c r="Q526" i="3"/>
  <c r="J528" i="5" l="1"/>
  <c r="B528" i="5"/>
  <c r="B528" i="3"/>
  <c r="O528" i="3" s="1"/>
  <c r="Q527" i="3"/>
  <c r="J529" i="5" l="1"/>
  <c r="B529" i="5"/>
  <c r="Q528" i="3"/>
  <c r="B529" i="3"/>
  <c r="O529" i="3" s="1"/>
  <c r="B530" i="5" l="1"/>
  <c r="J530" i="5"/>
  <c r="B530" i="3"/>
  <c r="O530" i="3" s="1"/>
  <c r="Q529" i="3"/>
  <c r="B531" i="5" l="1"/>
  <c r="J531" i="5"/>
  <c r="B531" i="3"/>
  <c r="O531" i="3" s="1"/>
  <c r="Q530" i="3"/>
  <c r="B532" i="5" l="1"/>
  <c r="J532" i="5"/>
  <c r="Q531" i="3"/>
  <c r="B532" i="3"/>
  <c r="O532" i="3" s="1"/>
  <c r="J533" i="5" l="1"/>
  <c r="B533" i="5"/>
  <c r="Q532" i="3"/>
  <c r="B533" i="3"/>
  <c r="O533" i="3" s="1"/>
  <c r="B534" i="5" l="1"/>
  <c r="J534" i="5"/>
  <c r="Q533" i="3"/>
  <c r="B534" i="3"/>
  <c r="O534" i="3" s="1"/>
  <c r="J535" i="5" l="1"/>
  <c r="B535" i="5"/>
  <c r="Q534" i="3"/>
  <c r="B535" i="3"/>
  <c r="O535" i="3" s="1"/>
  <c r="J536" i="5" l="1"/>
  <c r="B536" i="5"/>
  <c r="B536" i="3"/>
  <c r="O536" i="3" s="1"/>
  <c r="Q535" i="3"/>
  <c r="B537" i="5" l="1"/>
  <c r="J537" i="5"/>
  <c r="Q536" i="3"/>
  <c r="B537" i="3"/>
  <c r="O537" i="3" s="1"/>
  <c r="J538" i="5" l="1"/>
  <c r="B538" i="5"/>
  <c r="Q537" i="3"/>
  <c r="B538" i="3"/>
  <c r="O538" i="3" s="1"/>
  <c r="B539" i="5" l="1"/>
  <c r="J539" i="5"/>
  <c r="Q538" i="3"/>
  <c r="B539" i="3"/>
  <c r="O539" i="3" s="1"/>
  <c r="J540" i="5" l="1"/>
  <c r="B540" i="5"/>
  <c r="Q539" i="3"/>
  <c r="B540" i="3"/>
  <c r="O540" i="3" s="1"/>
  <c r="B541" i="5" l="1"/>
  <c r="J541" i="5"/>
  <c r="Q540" i="3"/>
  <c r="B541" i="3"/>
  <c r="O541" i="3" s="1"/>
  <c r="J542" i="5" l="1"/>
  <c r="B542" i="5"/>
  <c r="Q541" i="3"/>
  <c r="B542" i="3"/>
  <c r="O542" i="3" s="1"/>
  <c r="B543" i="5" l="1"/>
  <c r="J543" i="5"/>
  <c r="Q542" i="3"/>
  <c r="B543" i="3"/>
  <c r="O543" i="3" s="1"/>
  <c r="J544" i="5" l="1"/>
  <c r="B544" i="5"/>
  <c r="Q543" i="3"/>
  <c r="B544" i="3"/>
  <c r="O544" i="3" s="1"/>
  <c r="B545" i="5" l="1"/>
  <c r="J545" i="5"/>
  <c r="B545" i="3"/>
  <c r="O545" i="3" s="1"/>
  <c r="Q544" i="3"/>
  <c r="B546" i="5" l="1"/>
  <c r="J546" i="5"/>
  <c r="Q545" i="3"/>
  <c r="B546" i="3"/>
  <c r="O546" i="3" s="1"/>
  <c r="B547" i="5" l="1"/>
  <c r="J547" i="5"/>
  <c r="B547" i="3"/>
  <c r="O547" i="3" s="1"/>
  <c r="Q546" i="3"/>
  <c r="J548" i="5" l="1"/>
  <c r="B548" i="5"/>
  <c r="Q547" i="3"/>
  <c r="B548" i="3"/>
  <c r="O548" i="3" s="1"/>
  <c r="J549" i="5" l="1"/>
  <c r="B549" i="5"/>
  <c r="Q548" i="3"/>
  <c r="B549" i="3"/>
  <c r="O549" i="3" s="1"/>
  <c r="B550" i="5" l="1"/>
  <c r="J550" i="5"/>
  <c r="B550" i="3"/>
  <c r="O550" i="3" s="1"/>
  <c r="Q549" i="3"/>
  <c r="J551" i="5" l="1"/>
  <c r="B551" i="5"/>
  <c r="Q550" i="3"/>
  <c r="B551" i="3"/>
  <c r="O551" i="3" s="1"/>
  <c r="B552" i="5" l="1"/>
  <c r="J552" i="5"/>
  <c r="B552" i="3"/>
  <c r="O552" i="3" s="1"/>
  <c r="Q551" i="3"/>
  <c r="B553" i="5" l="1"/>
  <c r="J553" i="5"/>
  <c r="B553" i="3"/>
  <c r="O553" i="3" s="1"/>
  <c r="Q552" i="3"/>
  <c r="B554" i="5" l="1"/>
  <c r="J554" i="5"/>
  <c r="Q553" i="3"/>
  <c r="B554" i="3"/>
  <c r="O554" i="3" s="1"/>
  <c r="B555" i="5" l="1"/>
  <c r="J555" i="5"/>
  <c r="B555" i="3"/>
  <c r="O555" i="3" s="1"/>
  <c r="Q554" i="3"/>
  <c r="B556" i="5" l="1"/>
  <c r="J556" i="5"/>
  <c r="Q555" i="3"/>
  <c r="B556" i="3"/>
  <c r="O556" i="3" s="1"/>
  <c r="J557" i="5" l="1"/>
  <c r="B557" i="5"/>
  <c r="B557" i="3"/>
  <c r="O557" i="3" s="1"/>
  <c r="Q556" i="3"/>
  <c r="B558" i="5" l="1"/>
  <c r="J558" i="5"/>
  <c r="Q557" i="3"/>
  <c r="B558" i="3"/>
  <c r="O558" i="3" s="1"/>
  <c r="J559" i="5" l="1"/>
  <c r="B559" i="5"/>
  <c r="Q558" i="3"/>
  <c r="B559" i="3"/>
  <c r="O559" i="3" s="1"/>
  <c r="J560" i="5" l="1"/>
  <c r="B560" i="5"/>
  <c r="B560" i="3"/>
  <c r="O560" i="3" s="1"/>
  <c r="Q559" i="3"/>
  <c r="B561" i="5" l="1"/>
  <c r="J561" i="5"/>
  <c r="B561" i="3"/>
  <c r="O561" i="3" s="1"/>
  <c r="Q560" i="3"/>
  <c r="B562" i="5" l="1"/>
  <c r="J562" i="5"/>
  <c r="Q561" i="3"/>
  <c r="B562" i="3"/>
  <c r="O562" i="3" s="1"/>
  <c r="J563" i="5" l="1"/>
  <c r="B563" i="5"/>
  <c r="Q562" i="3"/>
  <c r="B563" i="3"/>
  <c r="O563" i="3" s="1"/>
  <c r="B564" i="5" l="1"/>
  <c r="J564" i="5"/>
  <c r="Q563" i="3"/>
  <c r="B564" i="3"/>
  <c r="O564" i="3" s="1"/>
  <c r="J565" i="5" l="1"/>
  <c r="B565" i="5"/>
  <c r="Q564" i="3"/>
  <c r="B565" i="3"/>
  <c r="O565" i="3" s="1"/>
  <c r="J566" i="5" l="1"/>
  <c r="B566" i="5"/>
  <c r="B566" i="3"/>
  <c r="O566" i="3" s="1"/>
  <c r="Q565" i="3"/>
  <c r="B567" i="5" l="1"/>
  <c r="J567" i="5"/>
  <c r="Q566" i="3"/>
  <c r="B567" i="3"/>
  <c r="O567" i="3" s="1"/>
  <c r="J568" i="5" l="1"/>
  <c r="B568" i="5"/>
  <c r="Q567" i="3"/>
  <c r="B568" i="3"/>
  <c r="O568" i="3" s="1"/>
  <c r="B569" i="5" l="1"/>
  <c r="J569" i="5"/>
  <c r="B569" i="3"/>
  <c r="O569" i="3" s="1"/>
  <c r="Q568" i="3"/>
  <c r="J570" i="5" l="1"/>
  <c r="B570" i="5"/>
  <c r="B570" i="3"/>
  <c r="O570" i="3" s="1"/>
  <c r="Q569" i="3"/>
  <c r="B571" i="5" l="1"/>
  <c r="J571" i="5"/>
  <c r="Q570" i="3"/>
  <c r="B571" i="3"/>
  <c r="O571" i="3" s="1"/>
  <c r="B572" i="5" l="1"/>
  <c r="J572" i="5"/>
  <c r="Q571" i="3"/>
  <c r="B572" i="3"/>
  <c r="O572" i="3" s="1"/>
  <c r="B573" i="5" l="1"/>
  <c r="J573" i="5"/>
  <c r="Q572" i="3"/>
  <c r="B573" i="3"/>
  <c r="O573" i="3" s="1"/>
  <c r="B574" i="5" l="1"/>
  <c r="J574" i="5"/>
  <c r="B574" i="3"/>
  <c r="O574" i="3" s="1"/>
  <c r="Q573" i="3"/>
  <c r="J575" i="5" l="1"/>
  <c r="B575" i="5"/>
  <c r="B575" i="3"/>
  <c r="O575" i="3" s="1"/>
  <c r="Q574" i="3"/>
  <c r="B576" i="5" l="1"/>
  <c r="J576" i="5"/>
  <c r="Q575" i="3"/>
  <c r="B576" i="3"/>
  <c r="O576" i="3" s="1"/>
  <c r="J577" i="5" l="1"/>
  <c r="B577" i="5"/>
  <c r="Q576" i="3"/>
  <c r="B577" i="3"/>
  <c r="O577" i="3" s="1"/>
  <c r="J578" i="5" l="1"/>
  <c r="B578" i="5"/>
  <c r="B578" i="3"/>
  <c r="O578" i="3" s="1"/>
  <c r="Q577" i="3"/>
  <c r="B579" i="5" l="1"/>
  <c r="J579" i="5"/>
  <c r="Q578" i="3"/>
  <c r="B579" i="3"/>
  <c r="O579" i="3" s="1"/>
  <c r="J580" i="5" l="1"/>
  <c r="B580" i="5"/>
  <c r="Q579" i="3"/>
  <c r="B580" i="3"/>
  <c r="O580" i="3" s="1"/>
  <c r="J581" i="5" l="1"/>
  <c r="B581" i="5"/>
  <c r="B581" i="3"/>
  <c r="O581" i="3" s="1"/>
  <c r="Q580" i="3"/>
  <c r="J582" i="5" l="1"/>
  <c r="B582" i="5"/>
  <c r="Q581" i="3"/>
  <c r="B582" i="3"/>
  <c r="O582" i="3" s="1"/>
  <c r="J583" i="5" l="1"/>
  <c r="B583" i="5"/>
  <c r="B583" i="3"/>
  <c r="O583" i="3" s="1"/>
  <c r="Q582" i="3"/>
  <c r="J584" i="5" l="1"/>
  <c r="B584" i="5"/>
  <c r="B584" i="3"/>
  <c r="O584" i="3" s="1"/>
  <c r="Q583" i="3"/>
  <c r="J585" i="5" l="1"/>
  <c r="B585" i="5"/>
  <c r="Q584" i="3"/>
  <c r="B585" i="3"/>
  <c r="O585" i="3" s="1"/>
  <c r="B586" i="5" l="1"/>
  <c r="J586" i="5"/>
  <c r="B586" i="3"/>
  <c r="O586" i="3" s="1"/>
  <c r="Q585" i="3"/>
  <c r="J587" i="5" l="1"/>
  <c r="B587" i="5"/>
  <c r="B587" i="3"/>
  <c r="O587" i="3" s="1"/>
  <c r="Q586" i="3"/>
  <c r="B588" i="5" l="1"/>
  <c r="J588" i="5"/>
  <c r="B588" i="3"/>
  <c r="O588" i="3" s="1"/>
  <c r="Q587" i="3"/>
  <c r="J589" i="5" l="1"/>
  <c r="B589" i="5"/>
  <c r="B589" i="3"/>
  <c r="O589" i="3" s="1"/>
  <c r="Q588" i="3"/>
  <c r="B590" i="5" l="1"/>
  <c r="J590" i="5"/>
  <c r="Q589" i="3"/>
  <c r="B590" i="3"/>
  <c r="O590" i="3" s="1"/>
  <c r="J591" i="5" l="1"/>
  <c r="B591" i="5"/>
  <c r="Q590" i="3"/>
  <c r="B591" i="3"/>
  <c r="O591" i="3" s="1"/>
  <c r="B592" i="5" l="1"/>
  <c r="J592" i="5"/>
  <c r="B592" i="3"/>
  <c r="O592" i="3" s="1"/>
  <c r="Q591" i="3"/>
  <c r="J593" i="5" l="1"/>
  <c r="B593" i="5"/>
  <c r="Q592" i="3"/>
  <c r="B593" i="3"/>
  <c r="O593" i="3" s="1"/>
  <c r="B594" i="5" l="1"/>
  <c r="J594" i="5"/>
  <c r="B594" i="3"/>
  <c r="O594" i="3" s="1"/>
  <c r="Q593" i="3"/>
  <c r="B595" i="5" l="1"/>
  <c r="J595" i="5"/>
  <c r="Q594" i="3"/>
  <c r="B595" i="3"/>
  <c r="O595" i="3" s="1"/>
  <c r="B596" i="5" l="1"/>
  <c r="J596" i="5"/>
  <c r="B596" i="3"/>
  <c r="O596" i="3" s="1"/>
  <c r="Q595" i="3"/>
  <c r="B597" i="5" l="1"/>
  <c r="J597" i="5"/>
  <c r="B597" i="3"/>
  <c r="O597" i="3" s="1"/>
  <c r="Q596" i="3"/>
  <c r="J598" i="5" l="1"/>
  <c r="B598" i="5"/>
  <c r="Q597" i="3"/>
  <c r="B598" i="3"/>
  <c r="O598" i="3" s="1"/>
  <c r="J599" i="5" l="1"/>
  <c r="B599" i="5"/>
  <c r="Q598" i="3"/>
  <c r="B599" i="3"/>
  <c r="O599" i="3" s="1"/>
  <c r="J600" i="5" l="1"/>
  <c r="B600" i="5"/>
  <c r="B600" i="3"/>
  <c r="O600" i="3" s="1"/>
  <c r="Q599" i="3"/>
  <c r="B601" i="5" l="1"/>
  <c r="J601" i="5"/>
  <c r="Q600" i="3"/>
  <c r="B601" i="3"/>
  <c r="O601" i="3" s="1"/>
  <c r="B602" i="5" l="1"/>
  <c r="J602" i="5"/>
  <c r="B602" i="3"/>
  <c r="O602" i="3" s="1"/>
  <c r="Q601" i="3"/>
  <c r="J603" i="5" l="1"/>
  <c r="B603" i="5"/>
  <c r="Q602" i="3"/>
  <c r="B603" i="3"/>
  <c r="O603" i="3" s="1"/>
  <c r="B604" i="5" l="1"/>
  <c r="J604" i="5"/>
  <c r="B604" i="3"/>
  <c r="O604" i="3" s="1"/>
  <c r="Q603" i="3"/>
  <c r="J605" i="5" l="1"/>
  <c r="B605" i="5"/>
  <c r="Q604" i="3"/>
  <c r="B605" i="3"/>
  <c r="O605" i="3" s="1"/>
  <c r="B606" i="5" l="1"/>
  <c r="J606" i="5"/>
  <c r="Q605" i="3"/>
  <c r="B606" i="3"/>
  <c r="O606" i="3" s="1"/>
  <c r="B607" i="5" l="1"/>
  <c r="J607" i="5"/>
  <c r="Q606" i="3"/>
  <c r="B607" i="3"/>
  <c r="O607" i="3" s="1"/>
  <c r="J608" i="5" l="1"/>
  <c r="B608" i="5"/>
  <c r="Q607" i="3"/>
  <c r="B608" i="3"/>
  <c r="O608" i="3" s="1"/>
  <c r="B609" i="5" l="1"/>
  <c r="J609" i="5"/>
  <c r="Q608" i="3"/>
  <c r="B609" i="3"/>
  <c r="O609" i="3" s="1"/>
  <c r="J610" i="5" l="1"/>
  <c r="B610" i="5"/>
  <c r="Q609" i="3"/>
  <c r="B610" i="3"/>
  <c r="O610" i="3" s="1"/>
  <c r="B611" i="5" l="1"/>
  <c r="J611" i="5"/>
  <c r="Q610" i="3"/>
  <c r="B611" i="3"/>
  <c r="O611" i="3" s="1"/>
  <c r="J612" i="5" l="1"/>
  <c r="B612" i="5"/>
  <c r="Q611" i="3"/>
  <c r="B612" i="3"/>
  <c r="O612" i="3" s="1"/>
  <c r="B613" i="5" l="1"/>
  <c r="J613" i="5"/>
  <c r="B613" i="3"/>
  <c r="O613" i="3" s="1"/>
  <c r="Q612" i="3"/>
  <c r="J614" i="5" l="1"/>
  <c r="B614" i="5"/>
  <c r="B614" i="3"/>
  <c r="O614" i="3" s="1"/>
  <c r="Q613" i="3"/>
  <c r="J615" i="5" l="1"/>
  <c r="B615" i="5"/>
  <c r="Q614" i="3"/>
  <c r="B615" i="3"/>
  <c r="O615" i="3" s="1"/>
  <c r="B616" i="5" l="1"/>
  <c r="J616" i="5"/>
  <c r="B616" i="3"/>
  <c r="O616" i="3" s="1"/>
  <c r="Q615" i="3"/>
  <c r="J617" i="5" l="1"/>
  <c r="B617" i="5"/>
  <c r="B617" i="3"/>
  <c r="O617" i="3" s="1"/>
  <c r="Q616" i="3"/>
  <c r="B618" i="5" l="1"/>
  <c r="J618" i="5"/>
  <c r="Q617" i="3"/>
  <c r="B618" i="3"/>
  <c r="O618" i="3" s="1"/>
  <c r="J619" i="5" l="1"/>
  <c r="B619" i="5"/>
  <c r="Q618" i="3"/>
  <c r="B619" i="3"/>
  <c r="O619" i="3" s="1"/>
  <c r="B620" i="5" l="1"/>
  <c r="J620" i="5"/>
  <c r="B620" i="3"/>
  <c r="O620" i="3" s="1"/>
  <c r="Q619" i="3"/>
  <c r="J621" i="5" l="1"/>
  <c r="B621" i="5"/>
  <c r="B621" i="3"/>
  <c r="O621" i="3" s="1"/>
  <c r="Q620" i="3"/>
  <c r="B622" i="5" l="1"/>
  <c r="J622" i="5"/>
  <c r="Q621" i="3"/>
  <c r="B622" i="3"/>
  <c r="O622" i="3" s="1"/>
  <c r="B623" i="5" l="1"/>
  <c r="J623" i="5"/>
  <c r="B623" i="3"/>
  <c r="O623" i="3" s="1"/>
  <c r="Q622" i="3"/>
  <c r="J624" i="5" l="1"/>
  <c r="B624" i="5"/>
  <c r="Q623" i="3"/>
  <c r="B624" i="3"/>
  <c r="O624" i="3" s="1"/>
  <c r="B625" i="5" l="1"/>
  <c r="J625" i="5"/>
  <c r="Q624" i="3"/>
  <c r="B625" i="3"/>
  <c r="O625" i="3" s="1"/>
  <c r="J626" i="5" l="1"/>
  <c r="B626" i="5"/>
  <c r="B626" i="3"/>
  <c r="O626" i="3" s="1"/>
  <c r="Q625" i="3"/>
  <c r="B627" i="5" l="1"/>
  <c r="J627" i="5"/>
  <c r="Q626" i="3"/>
  <c r="B627" i="3"/>
  <c r="O627" i="3" s="1"/>
  <c r="B628" i="5" l="1"/>
  <c r="J628" i="5"/>
  <c r="Q627" i="3"/>
  <c r="B628" i="3"/>
  <c r="O628" i="3" s="1"/>
  <c r="J629" i="5" l="1"/>
  <c r="B629" i="5"/>
  <c r="Q628" i="3"/>
  <c r="B629" i="3"/>
  <c r="O629" i="3" s="1"/>
  <c r="B630" i="5" l="1"/>
  <c r="J630" i="5"/>
  <c r="B630" i="3"/>
  <c r="O630" i="3" s="1"/>
  <c r="Q629" i="3"/>
  <c r="J631" i="5" l="1"/>
  <c r="B631" i="5"/>
  <c r="Q630" i="3"/>
  <c r="B631" i="3"/>
  <c r="O631" i="3" s="1"/>
  <c r="B632" i="5" l="1"/>
  <c r="J632" i="5"/>
  <c r="Q631" i="3"/>
  <c r="B632" i="3"/>
  <c r="O632" i="3" s="1"/>
  <c r="J633" i="5" l="1"/>
  <c r="B633" i="5"/>
  <c r="B633" i="3"/>
  <c r="O633" i="3" s="1"/>
  <c r="Q632" i="3"/>
  <c r="J634" i="5" l="1"/>
  <c r="B634" i="5"/>
  <c r="Q633" i="3"/>
  <c r="B634" i="3"/>
  <c r="O634" i="3" s="1"/>
  <c r="B635" i="5" l="1"/>
  <c r="J635" i="5"/>
  <c r="B635" i="3"/>
  <c r="O635" i="3" s="1"/>
  <c r="Q634" i="3"/>
  <c r="J636" i="5" l="1"/>
  <c r="B636" i="5"/>
  <c r="Q635" i="3"/>
  <c r="B636" i="3"/>
  <c r="O636" i="3" s="1"/>
  <c r="B637" i="5" l="1"/>
  <c r="J637" i="5"/>
  <c r="Q636" i="3"/>
  <c r="B637" i="3"/>
  <c r="O637" i="3" s="1"/>
  <c r="J638" i="5" l="1"/>
  <c r="B638" i="5"/>
  <c r="Q637" i="3"/>
  <c r="B638" i="3"/>
  <c r="O638" i="3" s="1"/>
  <c r="J639" i="5" l="1"/>
  <c r="B639" i="5"/>
  <c r="B639" i="3"/>
  <c r="O639" i="3" s="1"/>
  <c r="Q638" i="3"/>
  <c r="J640" i="5" l="1"/>
  <c r="B640" i="5"/>
  <c r="Q639" i="3"/>
  <c r="B640" i="3"/>
  <c r="O640" i="3" s="1"/>
  <c r="J641" i="5" l="1"/>
  <c r="B641" i="5"/>
  <c r="B641" i="3"/>
  <c r="O641" i="3" s="1"/>
  <c r="Q640" i="3"/>
  <c r="J642" i="5" l="1"/>
  <c r="B642" i="5"/>
  <c r="Q641" i="3"/>
  <c r="B642" i="3"/>
  <c r="O642" i="3" s="1"/>
  <c r="B643" i="5" l="1"/>
  <c r="J643" i="5"/>
  <c r="Q642" i="3"/>
  <c r="B643" i="3"/>
  <c r="O643" i="3" s="1"/>
  <c r="J644" i="5" l="1"/>
  <c r="B644" i="5"/>
  <c r="B644" i="3"/>
  <c r="O644" i="3" s="1"/>
  <c r="Q643" i="3"/>
  <c r="J645" i="5" l="1"/>
  <c r="B645" i="5"/>
  <c r="B645" i="3"/>
  <c r="O645" i="3" s="1"/>
  <c r="Q644" i="3"/>
  <c r="B646" i="5" l="1"/>
  <c r="J646" i="5"/>
  <c r="Q645" i="3"/>
  <c r="B646" i="3"/>
  <c r="O646" i="3" s="1"/>
  <c r="J647" i="5" l="1"/>
  <c r="B647" i="5"/>
  <c r="B647" i="3"/>
  <c r="O647" i="3" s="1"/>
  <c r="Q646" i="3"/>
  <c r="J648" i="5" l="1"/>
  <c r="B648" i="5"/>
  <c r="Q647" i="3"/>
  <c r="B648" i="3"/>
  <c r="O648" i="3" s="1"/>
  <c r="B649" i="5" l="1"/>
  <c r="J649" i="5"/>
  <c r="B649" i="3"/>
  <c r="O649" i="3" s="1"/>
  <c r="Q648" i="3"/>
  <c r="B650" i="5" l="1"/>
  <c r="J650" i="5"/>
  <c r="Q649" i="3"/>
  <c r="B650" i="3"/>
  <c r="O650" i="3" s="1"/>
  <c r="B651" i="5" l="1"/>
  <c r="J651" i="5"/>
  <c r="Q650" i="3"/>
  <c r="B651" i="3"/>
  <c r="O651" i="3" s="1"/>
  <c r="J652" i="5" l="1"/>
  <c r="B652" i="5"/>
  <c r="Q651" i="3"/>
  <c r="B652" i="3"/>
  <c r="O652" i="3" s="1"/>
  <c r="B653" i="5" l="1"/>
  <c r="J653" i="5"/>
  <c r="B653" i="3"/>
  <c r="O653" i="3" s="1"/>
  <c r="Q652" i="3"/>
  <c r="J654" i="5" l="1"/>
  <c r="B654" i="5"/>
  <c r="Q653" i="3"/>
  <c r="B654" i="3"/>
  <c r="O654" i="3" s="1"/>
  <c r="J655" i="5" l="1"/>
  <c r="B655" i="5"/>
  <c r="B655" i="3"/>
  <c r="O655" i="3" s="1"/>
  <c r="Q654" i="3"/>
  <c r="B656" i="5" l="1"/>
  <c r="J656" i="5"/>
  <c r="Q655" i="3"/>
  <c r="B656" i="3"/>
  <c r="O656" i="3" s="1"/>
  <c r="J657" i="5" l="1"/>
  <c r="B657" i="5"/>
  <c r="B657" i="3"/>
  <c r="O657" i="3" s="1"/>
  <c r="Q656" i="3"/>
  <c r="B658" i="5" l="1"/>
  <c r="J658" i="5"/>
  <c r="B658" i="3"/>
  <c r="O658" i="3" s="1"/>
  <c r="Q657" i="3"/>
  <c r="J659" i="5" l="1"/>
  <c r="B659" i="5"/>
  <c r="Q658" i="3"/>
  <c r="B659" i="3"/>
  <c r="O659" i="3" s="1"/>
  <c r="J660" i="5" l="1"/>
  <c r="B660" i="5"/>
  <c r="Q659" i="3"/>
  <c r="B660" i="3"/>
  <c r="O660" i="3" s="1"/>
  <c r="J661" i="5" l="1"/>
  <c r="B661" i="5"/>
  <c r="B661" i="3"/>
  <c r="O661" i="3" s="1"/>
  <c r="Q660" i="3"/>
  <c r="B662" i="5" l="1"/>
  <c r="J662" i="5"/>
  <c r="Q661" i="3"/>
  <c r="B662" i="3"/>
  <c r="O662" i="3" s="1"/>
  <c r="J663" i="5" l="1"/>
  <c r="B663" i="5"/>
  <c r="Q662" i="3"/>
  <c r="B663" i="3"/>
  <c r="O663" i="3" s="1"/>
  <c r="B664" i="5" l="1"/>
  <c r="J664" i="5"/>
  <c r="Q663" i="3"/>
  <c r="B664" i="3"/>
  <c r="O664" i="3" s="1"/>
  <c r="B665" i="5" l="1"/>
  <c r="J665" i="5"/>
  <c r="Q664" i="3"/>
  <c r="B665" i="3"/>
  <c r="O665" i="3" s="1"/>
  <c r="J666" i="5" l="1"/>
  <c r="B666" i="5"/>
  <c r="B666" i="3"/>
  <c r="O666" i="3" s="1"/>
  <c r="Q665" i="3"/>
  <c r="B667" i="5" l="1"/>
  <c r="J667" i="5"/>
  <c r="Q666" i="3"/>
  <c r="B667" i="3"/>
  <c r="O667" i="3" s="1"/>
  <c r="J668" i="5" l="1"/>
  <c r="B668" i="5"/>
  <c r="B668" i="3"/>
  <c r="O668" i="3" s="1"/>
  <c r="Q667" i="3"/>
  <c r="B669" i="5" l="1"/>
  <c r="J669" i="5"/>
  <c r="B669" i="3"/>
  <c r="O669" i="3" s="1"/>
  <c r="Q668" i="3"/>
  <c r="J670" i="5" l="1"/>
  <c r="B670" i="5"/>
  <c r="Q669" i="3"/>
  <c r="B670" i="3"/>
  <c r="O670" i="3" s="1"/>
  <c r="B671" i="5" l="1"/>
  <c r="J671" i="5"/>
  <c r="Q670" i="3"/>
  <c r="B671" i="3"/>
  <c r="O671" i="3" s="1"/>
  <c r="B672" i="5" l="1"/>
  <c r="J672" i="5"/>
  <c r="Q671" i="3"/>
  <c r="B672" i="3"/>
  <c r="O672" i="3" s="1"/>
  <c r="J673" i="5" l="1"/>
  <c r="B673" i="5"/>
  <c r="B673" i="3"/>
  <c r="O673" i="3" s="1"/>
  <c r="Q672" i="3"/>
  <c r="B674" i="5" l="1"/>
  <c r="J674" i="5"/>
  <c r="B674" i="3"/>
  <c r="O674" i="3" s="1"/>
  <c r="Q673" i="3"/>
  <c r="J675" i="5" l="1"/>
  <c r="B675" i="5"/>
  <c r="B675" i="3"/>
  <c r="O675" i="3" s="1"/>
  <c r="Q674" i="3"/>
  <c r="J676" i="5" l="1"/>
  <c r="B676" i="5"/>
  <c r="Q675" i="3"/>
  <c r="B676" i="3"/>
  <c r="O676" i="3" s="1"/>
  <c r="J677" i="5" l="1"/>
  <c r="B677" i="5"/>
  <c r="Q676" i="3"/>
  <c r="B677" i="3"/>
  <c r="O677" i="3" s="1"/>
  <c r="B678" i="5" l="1"/>
  <c r="J678" i="5"/>
  <c r="Q677" i="3"/>
  <c r="B678" i="3"/>
  <c r="O678" i="3" s="1"/>
  <c r="J679" i="5" l="1"/>
  <c r="B679" i="5"/>
  <c r="Q678" i="3"/>
  <c r="B679" i="3"/>
  <c r="O679" i="3" s="1"/>
  <c r="J680" i="5" l="1"/>
  <c r="B680" i="5"/>
  <c r="Q679" i="3"/>
  <c r="B680" i="3"/>
  <c r="O680" i="3" s="1"/>
  <c r="B681" i="5" l="1"/>
  <c r="J681" i="5"/>
  <c r="Q680" i="3"/>
  <c r="B681" i="3"/>
  <c r="O681" i="3" s="1"/>
  <c r="B682" i="5" l="1"/>
  <c r="J682" i="5"/>
  <c r="Q681" i="3"/>
  <c r="B682" i="3"/>
  <c r="O682" i="3" s="1"/>
  <c r="J683" i="5" l="1"/>
  <c r="B683" i="5"/>
  <c r="Q682" i="3"/>
  <c r="B683" i="3"/>
  <c r="O683" i="3" s="1"/>
  <c r="J684" i="5" l="1"/>
  <c r="B684" i="5"/>
  <c r="B684" i="3"/>
  <c r="O684" i="3" s="1"/>
  <c r="Q683" i="3"/>
  <c r="B685" i="5" l="1"/>
  <c r="J685" i="5"/>
  <c r="Q684" i="3"/>
  <c r="B685" i="3"/>
  <c r="O685" i="3" s="1"/>
  <c r="B686" i="5" l="1"/>
  <c r="J686" i="5"/>
  <c r="B686" i="3"/>
  <c r="O686" i="3" s="1"/>
  <c r="Q685" i="3"/>
  <c r="J687" i="5" l="1"/>
  <c r="B687" i="5"/>
  <c r="Q686" i="3"/>
  <c r="B687" i="3"/>
  <c r="O687" i="3" s="1"/>
  <c r="B688" i="5" l="1"/>
  <c r="J688" i="5"/>
  <c r="B688" i="3"/>
  <c r="O688" i="3" s="1"/>
  <c r="Q687" i="3"/>
  <c r="J689" i="5" l="1"/>
  <c r="B689" i="5"/>
  <c r="Q688" i="3"/>
  <c r="B689" i="3"/>
  <c r="O689" i="3" s="1"/>
  <c r="B690" i="5" l="1"/>
  <c r="J690" i="5"/>
  <c r="Q689" i="3"/>
  <c r="B690" i="3"/>
  <c r="O690" i="3" s="1"/>
  <c r="B691" i="5" l="1"/>
  <c r="J691" i="5"/>
  <c r="Q690" i="3"/>
  <c r="B691" i="3"/>
  <c r="O691" i="3" s="1"/>
  <c r="B692" i="5" l="1"/>
  <c r="J692" i="5"/>
  <c r="Q691" i="3"/>
  <c r="B692" i="3"/>
  <c r="O692" i="3" s="1"/>
  <c r="B693" i="5" l="1"/>
  <c r="J693" i="5"/>
  <c r="B693" i="3"/>
  <c r="O693" i="3" s="1"/>
  <c r="Q692" i="3"/>
  <c r="J694" i="5" l="1"/>
  <c r="B694" i="5"/>
  <c r="Q693" i="3"/>
  <c r="B694" i="3"/>
  <c r="O694" i="3" s="1"/>
  <c r="B695" i="5" l="1"/>
  <c r="J695" i="5"/>
  <c r="Q694" i="3"/>
  <c r="B695" i="3"/>
  <c r="O695" i="3" s="1"/>
  <c r="B696" i="5" l="1"/>
  <c r="J696" i="5"/>
  <c r="Q695" i="3"/>
  <c r="B696" i="3"/>
  <c r="O696" i="3" s="1"/>
  <c r="B697" i="5" l="1"/>
  <c r="J697" i="5"/>
  <c r="Q696" i="3"/>
  <c r="B697" i="3"/>
  <c r="O697" i="3" s="1"/>
  <c r="J698" i="5" l="1"/>
  <c r="B698" i="5"/>
  <c r="B698" i="3"/>
  <c r="O698" i="3" s="1"/>
  <c r="Q697" i="3"/>
  <c r="B699" i="5" l="1"/>
  <c r="J699" i="5"/>
  <c r="Q698" i="3"/>
  <c r="B699" i="3"/>
  <c r="O699" i="3" s="1"/>
  <c r="B700" i="5" l="1"/>
  <c r="J700" i="5"/>
  <c r="Q699" i="3"/>
  <c r="B700" i="3"/>
  <c r="O700" i="3" s="1"/>
  <c r="B701" i="5" l="1"/>
  <c r="J701" i="5"/>
  <c r="B701" i="3"/>
  <c r="O701" i="3" s="1"/>
  <c r="Q700" i="3"/>
  <c r="B702" i="5" l="1"/>
  <c r="J702" i="5"/>
  <c r="Q701" i="3"/>
  <c r="B702" i="3"/>
  <c r="O702" i="3" s="1"/>
  <c r="J703" i="5" l="1"/>
  <c r="B703" i="5"/>
  <c r="Q702" i="3"/>
  <c r="B703" i="3"/>
  <c r="O703" i="3" s="1"/>
  <c r="B704" i="5" l="1"/>
  <c r="J704" i="5"/>
  <c r="Q703" i="3"/>
  <c r="B704" i="3"/>
  <c r="O704" i="3" s="1"/>
  <c r="J705" i="5" l="1"/>
  <c r="B705" i="5"/>
  <c r="B705" i="3"/>
  <c r="O705" i="3" s="1"/>
  <c r="Q704" i="3"/>
  <c r="B706" i="5" l="1"/>
  <c r="J706" i="5"/>
  <c r="Q705" i="3"/>
  <c r="B706" i="3"/>
  <c r="O706" i="3" s="1"/>
  <c r="J707" i="5" l="1"/>
  <c r="B707" i="5"/>
  <c r="Q706" i="3"/>
  <c r="B707" i="3"/>
  <c r="O707" i="3" s="1"/>
  <c r="J708" i="5" l="1"/>
  <c r="B708" i="5"/>
  <c r="Q707" i="3"/>
  <c r="B708" i="3"/>
  <c r="O708" i="3" s="1"/>
  <c r="B709" i="5" l="1"/>
  <c r="J709" i="5"/>
  <c r="Q708" i="3"/>
  <c r="B709" i="3"/>
  <c r="O709" i="3" s="1"/>
  <c r="J710" i="5" l="1"/>
  <c r="B710" i="5"/>
  <c r="Q709" i="3"/>
  <c r="B710" i="3"/>
  <c r="O710" i="3" s="1"/>
  <c r="Q710" i="3" l="1"/>
  <c r="B711" i="3"/>
  <c r="O711" i="3" s="1"/>
  <c r="B712" i="3" l="1"/>
  <c r="O712" i="3" s="1"/>
  <c r="Q711" i="3"/>
  <c r="Q712" i="3" l="1"/>
  <c r="B713" i="3"/>
  <c r="O713" i="3" s="1"/>
  <c r="Q713" i="3" l="1"/>
  <c r="B714" i="3"/>
  <c r="O714" i="3" s="1"/>
  <c r="Q714" i="3" l="1"/>
  <c r="B715" i="3"/>
  <c r="O715" i="3" s="1"/>
  <c r="Q715" i="3" l="1"/>
  <c r="B716" i="3"/>
  <c r="O716" i="3" s="1"/>
  <c r="Q716" i="3" l="1"/>
  <c r="B717" i="3"/>
  <c r="O717" i="3" s="1"/>
  <c r="Q717" i="3" l="1"/>
  <c r="B718" i="3"/>
  <c r="O718" i="3" s="1"/>
  <c r="B719" i="3" l="1"/>
  <c r="O719" i="3" s="1"/>
  <c r="Q718" i="3"/>
  <c r="Q719" i="3" l="1"/>
  <c r="B720" i="3"/>
  <c r="O720" i="3" s="1"/>
  <c r="Q720" i="3" l="1"/>
  <c r="B721" i="3"/>
  <c r="O721" i="3" s="1"/>
  <c r="Q721" i="3" l="1"/>
  <c r="B722" i="3"/>
  <c r="O722" i="3" s="1"/>
  <c r="Q722" i="3" l="1"/>
  <c r="B723" i="3"/>
  <c r="O723" i="3" s="1"/>
  <c r="Q723" i="3" l="1"/>
  <c r="B724" i="3"/>
  <c r="O724" i="3" s="1"/>
  <c r="Q724" i="3" l="1"/>
  <c r="B725" i="3"/>
  <c r="O725" i="3" s="1"/>
  <c r="B726" i="3" l="1"/>
  <c r="O726" i="3" s="1"/>
  <c r="Q725" i="3"/>
  <c r="Q726" i="3" l="1"/>
  <c r="B727" i="3"/>
  <c r="O727" i="3" s="1"/>
  <c r="Q727" i="3" l="1"/>
  <c r="B728" i="3"/>
  <c r="O728" i="3" s="1"/>
  <c r="Q728" i="3" l="1"/>
  <c r="B729" i="3"/>
  <c r="O729" i="3" s="1"/>
  <c r="B730" i="3" l="1"/>
  <c r="O730" i="3" s="1"/>
  <c r="Q729" i="3"/>
  <c r="Q730" i="3" l="1"/>
  <c r="B731" i="3"/>
  <c r="O731" i="3" s="1"/>
  <c r="B732" i="3" l="1"/>
  <c r="O732" i="3" s="1"/>
  <c r="Q731" i="3"/>
  <c r="B733" i="3" l="1"/>
  <c r="O733" i="3" s="1"/>
  <c r="Q732" i="3"/>
  <c r="Q733" i="3" l="1"/>
  <c r="B734" i="3"/>
  <c r="O734" i="3" s="1"/>
  <c r="Q734" i="3" l="1"/>
  <c r="B735" i="3"/>
  <c r="O735" i="3" s="1"/>
  <c r="Q735" i="3" l="1"/>
  <c r="B736" i="3"/>
  <c r="O736" i="3" s="1"/>
  <c r="Q736" i="3" l="1"/>
  <c r="B737" i="3"/>
  <c r="O737" i="3" s="1"/>
  <c r="Q737" i="3" l="1"/>
  <c r="B738" i="3"/>
  <c r="O738" i="3" s="1"/>
  <c r="B739" i="3" l="1"/>
  <c r="O739" i="3" s="1"/>
  <c r="Q738" i="3"/>
  <c r="B740" i="3" l="1"/>
  <c r="O740" i="3" s="1"/>
  <c r="Q739" i="3"/>
  <c r="B741" i="3" l="1"/>
  <c r="O741" i="3" s="1"/>
  <c r="Q740" i="3"/>
  <c r="Q741" i="3" l="1"/>
  <c r="B742" i="3"/>
  <c r="O742" i="3" s="1"/>
  <c r="B743" i="3" l="1"/>
  <c r="O743" i="3" s="1"/>
  <c r="Q742" i="3"/>
  <c r="B744" i="3" l="1"/>
  <c r="O744" i="3" s="1"/>
  <c r="Q743" i="3"/>
  <c r="Q744" i="3" l="1"/>
  <c r="B745" i="3"/>
  <c r="O745" i="3" s="1"/>
  <c r="Q745" i="3" l="1"/>
  <c r="B746" i="3"/>
  <c r="O746" i="3" s="1"/>
  <c r="B747" i="3" l="1"/>
  <c r="O747" i="3" s="1"/>
  <c r="Q746" i="3"/>
  <c r="Q747" i="3" l="1"/>
  <c r="B748" i="3"/>
  <c r="O748" i="3" s="1"/>
  <c r="Q748" i="3" l="1"/>
  <c r="B749" i="3"/>
  <c r="O749" i="3" s="1"/>
  <c r="B750" i="3" l="1"/>
  <c r="O750" i="3" s="1"/>
  <c r="Q749" i="3"/>
  <c r="Q750" i="3" l="1"/>
  <c r="B751" i="3"/>
  <c r="O751" i="3" s="1"/>
  <c r="B752" i="3" l="1"/>
  <c r="O752" i="3" s="1"/>
  <c r="Q751" i="3"/>
  <c r="Q752" i="3" l="1"/>
  <c r="B753" i="3"/>
  <c r="O753" i="3" s="1"/>
  <c r="Q753" i="3" l="1"/>
  <c r="B754" i="3"/>
  <c r="O754" i="3" s="1"/>
  <c r="B755" i="3" l="1"/>
  <c r="O755" i="3" s="1"/>
  <c r="Q754" i="3"/>
  <c r="B756" i="3" l="1"/>
  <c r="O756" i="3" s="1"/>
  <c r="Q755" i="3"/>
  <c r="Q756" i="3" l="1"/>
  <c r="B757" i="3"/>
  <c r="O757" i="3" s="1"/>
  <c r="Q757" i="3" l="1"/>
  <c r="B758" i="3"/>
  <c r="O758" i="3" s="1"/>
  <c r="B759" i="3" l="1"/>
  <c r="O759" i="3" s="1"/>
  <c r="Q758" i="3"/>
  <c r="Q759" i="3" l="1"/>
  <c r="B760" i="3"/>
  <c r="O760" i="3" s="1"/>
  <c r="Q760" i="3" l="1"/>
  <c r="B761" i="3"/>
  <c r="O761" i="3" s="1"/>
  <c r="Q761" i="3" l="1"/>
  <c r="B762" i="3"/>
  <c r="O762" i="3" s="1"/>
  <c r="B763" i="3" l="1"/>
  <c r="O763" i="3" s="1"/>
  <c r="Q762" i="3"/>
  <c r="Q763" i="3" l="1"/>
  <c r="B764" i="3"/>
  <c r="O764" i="3" s="1"/>
  <c r="Q764" i="3" l="1"/>
  <c r="B765" i="3"/>
  <c r="O765" i="3" s="1"/>
  <c r="B766" i="3" l="1"/>
  <c r="O766" i="3" s="1"/>
  <c r="Q765" i="3"/>
  <c r="Q766" i="3" l="1"/>
  <c r="B767" i="3"/>
  <c r="O767" i="3" s="1"/>
  <c r="Q767" i="3" l="1"/>
  <c r="B768" i="3"/>
  <c r="O768" i="3" s="1"/>
  <c r="Q768" i="3" l="1"/>
  <c r="B769" i="3"/>
  <c r="O769" i="3" s="1"/>
  <c r="B770" i="3" l="1"/>
  <c r="O770" i="3" s="1"/>
  <c r="Q769" i="3"/>
  <c r="Q770" i="3" l="1"/>
  <c r="B771" i="3"/>
  <c r="O771" i="3" s="1"/>
  <c r="Q771" i="3" l="1"/>
  <c r="B772" i="3"/>
  <c r="O772" i="3" s="1"/>
  <c r="B773" i="3" l="1"/>
  <c r="O773" i="3" s="1"/>
  <c r="Q772" i="3"/>
  <c r="Q773" i="3" l="1"/>
  <c r="B774" i="3"/>
  <c r="O774" i="3" s="1"/>
  <c r="Q774" i="3" l="1"/>
  <c r="B775" i="3"/>
  <c r="O775" i="3" s="1"/>
  <c r="Q775" i="3" l="1"/>
  <c r="B776" i="3"/>
  <c r="O776" i="3" s="1"/>
  <c r="Q776" i="3" l="1"/>
  <c r="B777" i="3"/>
  <c r="O777" i="3" s="1"/>
  <c r="B778" i="3" l="1"/>
  <c r="O778" i="3" s="1"/>
  <c r="Q777" i="3"/>
  <c r="Q778" i="3" l="1"/>
  <c r="B779" i="3"/>
  <c r="O779" i="3" s="1"/>
  <c r="B780" i="3" l="1"/>
  <c r="O780" i="3" s="1"/>
  <c r="Q779" i="3"/>
  <c r="Q780" i="3" l="1"/>
  <c r="B781" i="3"/>
  <c r="O781" i="3" s="1"/>
  <c r="Q781" i="3" l="1"/>
  <c r="B782" i="3"/>
  <c r="O782" i="3" s="1"/>
  <c r="Q782" i="3" l="1"/>
  <c r="B783" i="3"/>
  <c r="O783" i="3" s="1"/>
  <c r="B784" i="3" l="1"/>
  <c r="O784" i="3" s="1"/>
  <c r="Q783" i="3"/>
  <c r="Q784" i="3" l="1"/>
  <c r="B785" i="3"/>
  <c r="O785" i="3" s="1"/>
  <c r="Q785" i="3" l="1"/>
  <c r="B786" i="3"/>
  <c r="O786" i="3" s="1"/>
  <c r="B787" i="3" l="1"/>
  <c r="O787" i="3" s="1"/>
  <c r="Q786" i="3"/>
  <c r="Q787" i="3" l="1"/>
  <c r="B788" i="3"/>
  <c r="O788" i="3" s="1"/>
  <c r="Q788" i="3" l="1"/>
  <c r="B789" i="3"/>
  <c r="O789" i="3" s="1"/>
  <c r="Q789" i="3" l="1"/>
  <c r="B790" i="3"/>
  <c r="O790" i="3" s="1"/>
  <c r="Q790" i="3" l="1"/>
  <c r="B791" i="3"/>
  <c r="O791" i="3" s="1"/>
  <c r="Q791" i="3" l="1"/>
  <c r="B792" i="3"/>
  <c r="O792" i="3" s="1"/>
  <c r="Q792" i="3" l="1"/>
  <c r="B793" i="3"/>
  <c r="O793" i="3" s="1"/>
  <c r="B794" i="3" l="1"/>
  <c r="O794" i="3" s="1"/>
  <c r="Q793" i="3"/>
  <c r="Q794" i="3" l="1"/>
  <c r="B795" i="3"/>
  <c r="O795" i="3" s="1"/>
  <c r="Q795" i="3" l="1"/>
  <c r="B796" i="3"/>
  <c r="O796" i="3" s="1"/>
  <c r="Q796" i="3" l="1"/>
  <c r="B797" i="3"/>
  <c r="O797" i="3" s="1"/>
  <c r="B798" i="3" l="1"/>
  <c r="O798" i="3" s="1"/>
  <c r="Q797" i="3"/>
  <c r="B799" i="3" l="1"/>
  <c r="O799" i="3" s="1"/>
  <c r="Q798" i="3"/>
  <c r="Q799" i="3" l="1"/>
  <c r="B800" i="3"/>
  <c r="O800" i="3" s="1"/>
  <c r="B801" i="3" l="1"/>
  <c r="O801" i="3" s="1"/>
  <c r="Q800" i="3"/>
  <c r="Q801" i="3" l="1"/>
  <c r="B802" i="3"/>
  <c r="O802" i="3" s="1"/>
  <c r="Q802" i="3" l="1"/>
  <c r="B803" i="3"/>
  <c r="O803" i="3" s="1"/>
  <c r="Q803" i="3" l="1"/>
  <c r="B804" i="3"/>
  <c r="O804" i="3" s="1"/>
  <c r="Q804" i="3" l="1"/>
  <c r="B805" i="3"/>
  <c r="O805" i="3" s="1"/>
  <c r="Q805" i="3" l="1"/>
  <c r="B806" i="3"/>
  <c r="O806" i="3" s="1"/>
  <c r="Q806" i="3" l="1"/>
  <c r="B807" i="3"/>
  <c r="O807" i="3" s="1"/>
  <c r="Q807" i="3" l="1"/>
  <c r="B808" i="3"/>
  <c r="O808" i="3" s="1"/>
  <c r="B809" i="3" l="1"/>
  <c r="O809" i="3" s="1"/>
  <c r="Q808" i="3"/>
  <c r="Q809" i="3" l="1"/>
  <c r="B810" i="3"/>
  <c r="O810" i="3" s="1"/>
  <c r="B811" i="3" l="1"/>
  <c r="O811" i="3" s="1"/>
  <c r="Q810" i="3"/>
  <c r="Q811" i="3" l="1"/>
  <c r="B812" i="3"/>
  <c r="O812" i="3" s="1"/>
  <c r="Q812" i="3" l="1"/>
  <c r="B813" i="3"/>
  <c r="O813" i="3" s="1"/>
  <c r="Q813" i="3" l="1"/>
  <c r="B814" i="3"/>
  <c r="O814" i="3" s="1"/>
  <c r="Q814" i="3" l="1"/>
  <c r="B815" i="3"/>
  <c r="O815" i="3" s="1"/>
  <c r="Q815" i="3" l="1"/>
  <c r="B816" i="3"/>
  <c r="O816" i="3" s="1"/>
  <c r="B817" i="3" l="1"/>
  <c r="O817" i="3" s="1"/>
  <c r="Q816" i="3"/>
  <c r="B818" i="3" l="1"/>
  <c r="O818" i="3" s="1"/>
  <c r="Q817" i="3"/>
  <c r="B819" i="3" l="1"/>
  <c r="O819" i="3" s="1"/>
  <c r="Q818" i="3"/>
  <c r="B820" i="3" l="1"/>
  <c r="O820" i="3" s="1"/>
  <c r="Q819" i="3"/>
  <c r="Q820" i="3" l="1"/>
  <c r="B821" i="3"/>
  <c r="O821" i="3" s="1"/>
  <c r="Q821" i="3" l="1"/>
  <c r="B822" i="3"/>
  <c r="O822" i="3" s="1"/>
  <c r="Q822" i="3" l="1"/>
  <c r="B823" i="3"/>
  <c r="O823" i="3" s="1"/>
  <c r="B824" i="3" l="1"/>
  <c r="O824" i="3" s="1"/>
  <c r="Q823" i="3"/>
  <c r="B825" i="3" l="1"/>
  <c r="O825" i="3" s="1"/>
  <c r="Q824" i="3"/>
  <c r="Q825" i="3" l="1"/>
  <c r="B826" i="3"/>
  <c r="O826" i="3" s="1"/>
  <c r="B827" i="3" l="1"/>
  <c r="O827" i="3" s="1"/>
  <c r="Q826" i="3"/>
  <c r="Q827" i="3" l="1"/>
  <c r="B828" i="3"/>
  <c r="O828" i="3" s="1"/>
  <c r="Q828" i="3" l="1"/>
  <c r="B829" i="3"/>
  <c r="O829" i="3" s="1"/>
  <c r="Q829" i="3" l="1"/>
  <c r="B830" i="3"/>
  <c r="O830" i="3" s="1"/>
  <c r="Q830" i="3" l="1"/>
  <c r="B831" i="3"/>
  <c r="O831" i="3" s="1"/>
  <c r="B832" i="3" l="1"/>
  <c r="O832" i="3" s="1"/>
  <c r="Q831" i="3"/>
  <c r="Q832" i="3" l="1"/>
  <c r="B833" i="3"/>
  <c r="O833" i="3" s="1"/>
  <c r="B834" i="3" l="1"/>
  <c r="O834" i="3" s="1"/>
  <c r="Q833" i="3"/>
  <c r="Q834" i="3" l="1"/>
  <c r="B835" i="3"/>
  <c r="O835" i="3" s="1"/>
  <c r="Q835" i="3" l="1"/>
  <c r="B836" i="3"/>
  <c r="O836" i="3" s="1"/>
  <c r="Q836" i="3" l="1"/>
  <c r="B837" i="3"/>
  <c r="O837" i="3" s="1"/>
  <c r="Q837" i="3" l="1"/>
  <c r="B838" i="3"/>
  <c r="O838" i="3" s="1"/>
  <c r="B839" i="3" l="1"/>
  <c r="O839" i="3" s="1"/>
  <c r="Q838" i="3"/>
  <c r="Q839" i="3" l="1"/>
  <c r="B840" i="3"/>
  <c r="O840" i="3" s="1"/>
  <c r="B841" i="3" l="1"/>
  <c r="O841" i="3" s="1"/>
  <c r="Q840" i="3"/>
  <c r="Q841" i="3" l="1"/>
  <c r="B842" i="3"/>
  <c r="O842" i="3" s="1"/>
  <c r="Q842" i="3" l="1"/>
  <c r="B843" i="3"/>
  <c r="O843" i="3" s="1"/>
  <c r="Q843" i="3" l="1"/>
  <c r="B844" i="3"/>
  <c r="O844" i="3" s="1"/>
  <c r="Q844" i="3" l="1"/>
  <c r="B845" i="3"/>
  <c r="O845" i="3" s="1"/>
  <c r="B846" i="3" l="1"/>
  <c r="O846" i="3" s="1"/>
  <c r="Q845" i="3"/>
  <c r="B847" i="3" l="1"/>
  <c r="O847" i="3" s="1"/>
  <c r="Q846" i="3"/>
  <c r="B848" i="3" l="1"/>
  <c r="O848" i="3" s="1"/>
  <c r="Q847" i="3"/>
  <c r="Q848" i="3" l="1"/>
  <c r="B849" i="3"/>
  <c r="O849" i="3" s="1"/>
  <c r="Q849" i="3" l="1"/>
  <c r="B850" i="3"/>
  <c r="O850" i="3" s="1"/>
  <c r="Q850" i="3" l="1"/>
  <c r="B851" i="3"/>
  <c r="O851" i="3" s="1"/>
  <c r="Q851" i="3" l="1"/>
  <c r="B852" i="3"/>
  <c r="O852" i="3" s="1"/>
  <c r="B853" i="3" l="1"/>
  <c r="O853" i="3" s="1"/>
  <c r="Q852" i="3"/>
  <c r="Q853" i="3" l="1"/>
  <c r="B854" i="3"/>
  <c r="O854" i="3" s="1"/>
  <c r="B855" i="3" l="1"/>
  <c r="O855" i="3" s="1"/>
  <c r="Q854" i="3"/>
  <c r="Q855" i="3" l="1"/>
  <c r="B856" i="3"/>
  <c r="O856" i="3" s="1"/>
  <c r="Q856" i="3" l="1"/>
  <c r="B857" i="3"/>
  <c r="O857" i="3" s="1"/>
  <c r="Q857" i="3" l="1"/>
  <c r="B858" i="3"/>
  <c r="O858" i="3" s="1"/>
  <c r="Q858" i="3" l="1"/>
  <c r="B859" i="3"/>
  <c r="O859" i="3" s="1"/>
  <c r="B860" i="3" l="1"/>
  <c r="O860" i="3" s="1"/>
  <c r="Q859" i="3"/>
  <c r="Q860" i="3" l="1"/>
  <c r="B861" i="3"/>
  <c r="O861" i="3" s="1"/>
  <c r="B862" i="3" l="1"/>
  <c r="O862" i="3" s="1"/>
  <c r="Q861" i="3"/>
  <c r="Q862" i="3" l="1"/>
  <c r="B863" i="3"/>
  <c r="O863" i="3" s="1"/>
  <c r="Q863" i="3" l="1"/>
  <c r="B864" i="3"/>
  <c r="O864" i="3" s="1"/>
  <c r="Q864" i="3" l="1"/>
  <c r="B865" i="3"/>
  <c r="O865" i="3" s="1"/>
  <c r="Q865" i="3" l="1"/>
  <c r="B866" i="3"/>
  <c r="O866" i="3" s="1"/>
  <c r="B867" i="3" l="1"/>
  <c r="O867" i="3" s="1"/>
  <c r="Q866" i="3"/>
  <c r="B868" i="3" l="1"/>
  <c r="O868" i="3" s="1"/>
  <c r="Q867" i="3"/>
  <c r="B869" i="3" l="1"/>
  <c r="O869" i="3" s="1"/>
  <c r="Q868" i="3"/>
  <c r="Q869" i="3" l="1"/>
  <c r="B870" i="3"/>
  <c r="O870" i="3" s="1"/>
  <c r="Q870" i="3" l="1"/>
  <c r="B871" i="3"/>
  <c r="O871" i="3" s="1"/>
  <c r="Q871" i="3" l="1"/>
  <c r="B872" i="3"/>
  <c r="O872" i="3" s="1"/>
  <c r="Q872" i="3" l="1"/>
  <c r="B873" i="3"/>
  <c r="O873" i="3" s="1"/>
  <c r="B874" i="3" l="1"/>
  <c r="O874" i="3" s="1"/>
  <c r="Q873" i="3"/>
  <c r="Q874" i="3" l="1"/>
  <c r="B875" i="3"/>
  <c r="O875" i="3" s="1"/>
  <c r="Q875" i="3" l="1"/>
  <c r="B876" i="3"/>
  <c r="O876" i="3" s="1"/>
  <c r="B877" i="3" l="1"/>
  <c r="O877" i="3" s="1"/>
  <c r="Q876" i="3"/>
  <c r="Q877" i="3" l="1"/>
  <c r="B878" i="3"/>
  <c r="O878" i="3" s="1"/>
  <c r="Q878" i="3" l="1"/>
  <c r="B879" i="3"/>
  <c r="O879" i="3" s="1"/>
  <c r="Q879" i="3" l="1"/>
  <c r="B880" i="3"/>
  <c r="O880" i="3" s="1"/>
  <c r="Q880" i="3" l="1"/>
  <c r="B881" i="3"/>
  <c r="O881" i="3" s="1"/>
  <c r="Q881" i="3" l="1"/>
  <c r="B882" i="3"/>
  <c r="O882" i="3" s="1"/>
  <c r="Q882" i="3" l="1"/>
  <c r="B883" i="3"/>
  <c r="O883" i="3" s="1"/>
  <c r="Q883" i="3" l="1"/>
  <c r="B884" i="3"/>
  <c r="O884" i="3" s="1"/>
  <c r="Q884" i="3" l="1"/>
  <c r="B885" i="3"/>
  <c r="O885" i="3" s="1"/>
  <c r="Q885" i="3" l="1"/>
  <c r="B886" i="3"/>
  <c r="O886" i="3" s="1"/>
  <c r="Q886" i="3" l="1"/>
  <c r="B887" i="3"/>
  <c r="O887" i="3" s="1"/>
  <c r="B888" i="3" l="1"/>
  <c r="O888" i="3" s="1"/>
  <c r="Q887" i="3"/>
  <c r="B889" i="3" l="1"/>
  <c r="O889" i="3" s="1"/>
  <c r="Q888" i="3"/>
  <c r="Q889" i="3" l="1"/>
  <c r="B890" i="3"/>
  <c r="O890" i="3" s="1"/>
  <c r="Q890" i="3" l="1"/>
  <c r="B891" i="3"/>
  <c r="O891" i="3" s="1"/>
  <c r="Q891" i="3" l="1"/>
  <c r="B892" i="3"/>
  <c r="O892" i="3" s="1"/>
  <c r="Q892" i="3" l="1"/>
  <c r="B893" i="3"/>
  <c r="O893" i="3" s="1"/>
  <c r="Q893" i="3" l="1"/>
  <c r="B894" i="3"/>
  <c r="O894" i="3" s="1"/>
  <c r="B895" i="3" l="1"/>
  <c r="O895" i="3" s="1"/>
  <c r="Q894" i="3"/>
  <c r="Q895" i="3" l="1"/>
  <c r="B896" i="3"/>
  <c r="O896" i="3" s="1"/>
  <c r="Q896" i="3" l="1"/>
  <c r="B897" i="3"/>
  <c r="O897" i="3" s="1"/>
  <c r="Q897" i="3" l="1"/>
  <c r="B898" i="3"/>
  <c r="O898" i="3" s="1"/>
  <c r="Q898" i="3" l="1"/>
  <c r="B899" i="3"/>
  <c r="O899" i="3" s="1"/>
  <c r="B900" i="3" l="1"/>
  <c r="O900" i="3" s="1"/>
  <c r="Q899" i="3"/>
  <c r="B901" i="3" l="1"/>
  <c r="O901" i="3" s="1"/>
  <c r="Q900" i="3"/>
  <c r="Q901" i="3" l="1"/>
  <c r="B902" i="3"/>
  <c r="O902" i="3" s="1"/>
  <c r="Q902" i="3" l="1"/>
  <c r="B903" i="3"/>
  <c r="O903" i="3" s="1"/>
  <c r="B904" i="3" l="1"/>
  <c r="O904" i="3" s="1"/>
  <c r="Q903" i="3"/>
  <c r="Q904" i="3" l="1"/>
  <c r="B905" i="3"/>
  <c r="O905" i="3" s="1"/>
  <c r="B906" i="3" l="1"/>
  <c r="O906" i="3" s="1"/>
  <c r="Q905" i="3"/>
  <c r="Q906" i="3" l="1"/>
  <c r="B907" i="3"/>
  <c r="O907" i="3" s="1"/>
  <c r="B908" i="3" l="1"/>
  <c r="O908" i="3" s="1"/>
  <c r="Q907" i="3"/>
  <c r="B909" i="3" l="1"/>
  <c r="O909" i="3" s="1"/>
  <c r="Q908" i="3"/>
  <c r="B910" i="3" l="1"/>
  <c r="O910" i="3" s="1"/>
  <c r="Q909" i="3"/>
  <c r="Q910" i="3" l="1"/>
  <c r="B911" i="3"/>
  <c r="O911" i="3" s="1"/>
  <c r="B912" i="3" l="1"/>
  <c r="O912" i="3" s="1"/>
  <c r="Q911" i="3"/>
  <c r="Q912" i="3" l="1"/>
  <c r="B913" i="3"/>
  <c r="O913" i="3" s="1"/>
  <c r="B914" i="3" l="1"/>
  <c r="O914" i="3" s="1"/>
  <c r="Q913" i="3"/>
  <c r="Q914" i="3" l="1"/>
  <c r="B915" i="3"/>
  <c r="O915" i="3" s="1"/>
  <c r="Q915" i="3" l="1"/>
  <c r="B916" i="3"/>
  <c r="O916" i="3" s="1"/>
  <c r="Q916" i="3" l="1"/>
  <c r="B917" i="3"/>
  <c r="O917" i="3" s="1"/>
  <c r="B918" i="3" l="1"/>
  <c r="O918" i="3" s="1"/>
  <c r="Q917" i="3"/>
  <c r="Q918" i="3" l="1"/>
  <c r="B919" i="3"/>
  <c r="O919" i="3" s="1"/>
  <c r="B920" i="3" l="1"/>
  <c r="O920" i="3" s="1"/>
  <c r="Q919" i="3"/>
  <c r="B921" i="3" l="1"/>
  <c r="O921" i="3" s="1"/>
  <c r="Q920" i="3"/>
  <c r="Q921" i="3" l="1"/>
  <c r="B922" i="3"/>
  <c r="O922" i="3" s="1"/>
  <c r="B923" i="3" l="1"/>
  <c r="O923" i="3" s="1"/>
  <c r="Q922" i="3"/>
  <c r="B924" i="3" l="1"/>
  <c r="O924" i="3" s="1"/>
  <c r="Q923" i="3"/>
  <c r="Q924" i="3" l="1"/>
  <c r="B925" i="3"/>
  <c r="O925" i="3" s="1"/>
  <c r="B926" i="3" l="1"/>
  <c r="O926" i="3" s="1"/>
  <c r="Q925" i="3"/>
  <c r="Q926" i="3" l="1"/>
  <c r="B927" i="3"/>
  <c r="O927" i="3" s="1"/>
  <c r="Q927" i="3" l="1"/>
  <c r="B928" i="3"/>
  <c r="O928" i="3" s="1"/>
  <c r="B929" i="3" l="1"/>
  <c r="O929" i="3" s="1"/>
  <c r="Q928" i="3"/>
  <c r="Q929" i="3" l="1"/>
  <c r="B930" i="3"/>
  <c r="O930" i="3" s="1"/>
  <c r="Q930" i="3" l="1"/>
  <c r="B931" i="3"/>
  <c r="O931" i="3" s="1"/>
  <c r="B932" i="3" l="1"/>
  <c r="O932" i="3" s="1"/>
  <c r="Q931" i="3"/>
  <c r="Q932" i="3" l="1"/>
  <c r="B933" i="3"/>
  <c r="O933" i="3" s="1"/>
  <c r="B934" i="3" l="1"/>
  <c r="O934" i="3" s="1"/>
  <c r="Q933" i="3"/>
  <c r="Q934" i="3" l="1"/>
  <c r="B935" i="3"/>
  <c r="O935" i="3" s="1"/>
  <c r="B936" i="3" l="1"/>
  <c r="O936" i="3" s="1"/>
  <c r="Q935" i="3"/>
  <c r="B937" i="3" l="1"/>
  <c r="O937" i="3" s="1"/>
  <c r="Q936" i="3"/>
  <c r="B938" i="3" l="1"/>
  <c r="O938" i="3" s="1"/>
  <c r="Q937" i="3"/>
  <c r="Q938" i="3" l="1"/>
  <c r="B939" i="3"/>
  <c r="O939" i="3" s="1"/>
  <c r="B940" i="3" l="1"/>
  <c r="O940" i="3" s="1"/>
  <c r="Q939" i="3"/>
  <c r="Q940" i="3" l="1"/>
  <c r="B941" i="3"/>
  <c r="O941" i="3" s="1"/>
  <c r="Q941" i="3" l="1"/>
  <c r="B942" i="3"/>
  <c r="O942" i="3" s="1"/>
  <c r="Q942" i="3" l="1"/>
  <c r="B943" i="3"/>
  <c r="O943" i="3" s="1"/>
  <c r="B944" i="3" l="1"/>
  <c r="O944" i="3" s="1"/>
  <c r="Q943" i="3"/>
  <c r="B945" i="3" l="1"/>
  <c r="O945" i="3" s="1"/>
  <c r="Q944" i="3"/>
  <c r="Q945" i="3" l="1"/>
  <c r="B946" i="3"/>
  <c r="O946" i="3" s="1"/>
  <c r="Q946" i="3" l="1"/>
  <c r="B947" i="3"/>
  <c r="O947" i="3" s="1"/>
  <c r="Q947" i="3" l="1"/>
  <c r="B948" i="3"/>
  <c r="O948" i="3" s="1"/>
  <c r="Q948" i="3" l="1"/>
  <c r="B949" i="3"/>
  <c r="O949" i="3" s="1"/>
  <c r="Q949" i="3" l="1"/>
  <c r="B950" i="3"/>
  <c r="O950" i="3" s="1"/>
  <c r="Q950" i="3" l="1"/>
  <c r="B951" i="3"/>
  <c r="O951" i="3" s="1"/>
  <c r="B952" i="3" l="1"/>
  <c r="O952" i="3" s="1"/>
  <c r="Q951" i="3"/>
  <c r="B953" i="3" l="1"/>
  <c r="O953" i="3" s="1"/>
  <c r="Q952" i="3"/>
  <c r="Q953" i="3" l="1"/>
  <c r="B954" i="3"/>
  <c r="O954" i="3" s="1"/>
  <c r="Q954" i="3" l="1"/>
  <c r="B955" i="3"/>
  <c r="O955" i="3" s="1"/>
  <c r="B956" i="3" l="1"/>
  <c r="O956" i="3" s="1"/>
  <c r="Q955" i="3"/>
  <c r="Q956" i="3" l="1"/>
  <c r="B957" i="3"/>
  <c r="O957" i="3" s="1"/>
  <c r="Q957" i="3" l="1"/>
  <c r="B958" i="3"/>
  <c r="O958" i="3" s="1"/>
  <c r="Q958" i="3" l="1"/>
  <c r="B959" i="3"/>
  <c r="O959" i="3" s="1"/>
  <c r="B960" i="3" l="1"/>
  <c r="O960" i="3" s="1"/>
  <c r="Q959" i="3"/>
  <c r="Q960" i="3" l="1"/>
  <c r="B961" i="3"/>
  <c r="O961" i="3" s="1"/>
  <c r="B962" i="3" l="1"/>
  <c r="O962" i="3" s="1"/>
  <c r="Q961" i="3"/>
  <c r="B963" i="3" l="1"/>
  <c r="O963" i="3" s="1"/>
  <c r="Q962" i="3"/>
  <c r="B964" i="3" l="1"/>
  <c r="O964" i="3" s="1"/>
  <c r="Q963" i="3"/>
  <c r="Q964" i="3" l="1"/>
  <c r="B965" i="3"/>
  <c r="O965" i="3" s="1"/>
  <c r="B966" i="3" l="1"/>
  <c r="O966" i="3" s="1"/>
  <c r="Q965" i="3"/>
  <c r="B967" i="3" l="1"/>
  <c r="O967" i="3" s="1"/>
  <c r="Q966" i="3"/>
  <c r="B968" i="3" l="1"/>
  <c r="O968" i="3" s="1"/>
  <c r="Q967" i="3"/>
  <c r="B969" i="3" l="1"/>
  <c r="O969" i="3" s="1"/>
  <c r="Q968" i="3"/>
  <c r="Q969" i="3" l="1"/>
  <c r="B970" i="3"/>
  <c r="O970" i="3" s="1"/>
  <c r="B971" i="3" l="1"/>
  <c r="O971" i="3" s="1"/>
  <c r="Q970" i="3"/>
  <c r="Q971" i="3" l="1"/>
  <c r="B972" i="3"/>
  <c r="O972" i="3" s="1"/>
  <c r="B973" i="3" l="1"/>
  <c r="O973" i="3" s="1"/>
  <c r="Q972" i="3"/>
  <c r="B974" i="3" l="1"/>
  <c r="O974" i="3" s="1"/>
  <c r="Q973" i="3"/>
  <c r="B975" i="3" l="1"/>
  <c r="O975" i="3" s="1"/>
  <c r="Q974" i="3"/>
  <c r="B976" i="3" l="1"/>
  <c r="O976" i="3" s="1"/>
  <c r="Q975" i="3"/>
  <c r="B977" i="3" l="1"/>
  <c r="O977" i="3" s="1"/>
  <c r="Q976" i="3"/>
  <c r="Q977" i="3" l="1"/>
  <c r="B978" i="3"/>
  <c r="O978" i="3" s="1"/>
  <c r="B979" i="3" l="1"/>
  <c r="O979" i="3" s="1"/>
  <c r="Q978" i="3"/>
  <c r="Q979" i="3" l="1"/>
  <c r="B980" i="3"/>
  <c r="O980" i="3" s="1"/>
  <c r="B981" i="3" l="1"/>
  <c r="O981" i="3" s="1"/>
  <c r="Q980" i="3"/>
  <c r="B982" i="3" l="1"/>
  <c r="O982" i="3" s="1"/>
  <c r="Q981" i="3"/>
  <c r="B983" i="3" l="1"/>
  <c r="O983" i="3" s="1"/>
  <c r="Q982" i="3"/>
  <c r="Q983" i="3" l="1"/>
  <c r="B984" i="3"/>
  <c r="O984" i="3" s="1"/>
  <c r="B985" i="3" l="1"/>
  <c r="O985" i="3" s="1"/>
  <c r="Q984" i="3"/>
  <c r="Q985" i="3" l="1"/>
  <c r="B986" i="3"/>
  <c r="O986" i="3" s="1"/>
  <c r="Q986" i="3" l="1"/>
  <c r="B987" i="3"/>
  <c r="O987" i="3" s="1"/>
  <c r="B988" i="3" l="1"/>
  <c r="O988" i="3" s="1"/>
  <c r="Q987" i="3"/>
  <c r="B989" i="3" l="1"/>
  <c r="O989" i="3" s="1"/>
  <c r="Q988" i="3"/>
  <c r="B990" i="3" l="1"/>
  <c r="O990" i="3" s="1"/>
  <c r="Q989" i="3"/>
  <c r="Q990" i="3" l="1"/>
  <c r="B991" i="3"/>
  <c r="O991" i="3" s="1"/>
  <c r="Q991" i="3" l="1"/>
  <c r="B992" i="3"/>
  <c r="O992" i="3" s="1"/>
  <c r="B993" i="3" l="1"/>
  <c r="O993" i="3" s="1"/>
  <c r="Q992" i="3"/>
  <c r="B994" i="3" l="1"/>
  <c r="O994" i="3" s="1"/>
  <c r="Q993" i="3"/>
  <c r="Q994" i="3" l="1"/>
  <c r="B995" i="3"/>
  <c r="O995" i="3" s="1"/>
  <c r="B996" i="3" l="1"/>
  <c r="O996" i="3" s="1"/>
  <c r="Q995" i="3"/>
  <c r="Q996" i="3" l="1"/>
  <c r="B997" i="3"/>
  <c r="O997" i="3" s="1"/>
  <c r="Q997" i="3" l="1"/>
  <c r="B998" i="3"/>
  <c r="O998" i="3" s="1"/>
  <c r="B999" i="3" l="1"/>
  <c r="O999" i="3" s="1"/>
  <c r="Q998" i="3"/>
  <c r="B1000" i="3" l="1"/>
  <c r="O1000" i="3" s="1"/>
  <c r="Q999" i="3"/>
  <c r="B1001" i="3" l="1"/>
  <c r="O1001" i="3" s="1"/>
  <c r="Q1000" i="3"/>
  <c r="B1002" i="3" l="1"/>
  <c r="O1002" i="3" s="1"/>
  <c r="Q1001" i="3"/>
  <c r="B1003" i="3" l="1"/>
  <c r="O1003" i="3" s="1"/>
  <c r="Q1002" i="3"/>
  <c r="Q1003" i="3" l="1"/>
  <c r="B1004" i="3"/>
  <c r="O1004" i="3" s="1"/>
  <c r="B1005" i="3" l="1"/>
  <c r="O1005" i="3" s="1"/>
  <c r="Q1004" i="3"/>
  <c r="B1006" i="3" l="1"/>
  <c r="O1006" i="3" s="1"/>
  <c r="Q1005" i="3"/>
  <c r="B1007" i="3" l="1"/>
  <c r="O1007" i="3" s="1"/>
  <c r="Q1006" i="3"/>
  <c r="Q1007" i="3" l="1"/>
  <c r="B1008" i="3"/>
  <c r="O1008" i="3" s="1"/>
  <c r="Q1008" i="3" l="1"/>
  <c r="B1009" i="3"/>
  <c r="O1009" i="3" s="1"/>
  <c r="Q1009" i="3" l="1"/>
  <c r="B1010" i="3"/>
  <c r="O1010" i="3" s="1"/>
  <c r="Q1010" i="3" l="1"/>
  <c r="B1011" i="3"/>
  <c r="O1011" i="3" s="1"/>
  <c r="B1012" i="3" l="1"/>
  <c r="O1012" i="3" s="1"/>
  <c r="Q1011" i="3"/>
  <c r="Q1012" i="3" l="1"/>
  <c r="B1013" i="3"/>
  <c r="O1013" i="3" s="1"/>
  <c r="Q1013" i="3" l="1"/>
  <c r="B1014" i="3"/>
  <c r="O1014" i="3" s="1"/>
  <c r="Q1014" i="3" l="1"/>
  <c r="B1015" i="3"/>
  <c r="O1015" i="3" s="1"/>
  <c r="B1016" i="3" l="1"/>
  <c r="O1016" i="3" s="1"/>
  <c r="Q1015" i="3"/>
  <c r="Q1016" i="3" l="1"/>
  <c r="B1017" i="3"/>
  <c r="O1017" i="3" s="1"/>
  <c r="B1018" i="3" l="1"/>
  <c r="O1018" i="3" s="1"/>
  <c r="Q1017" i="3"/>
  <c r="Q1018" i="3" l="1"/>
  <c r="B1019" i="3"/>
  <c r="O1019" i="3" s="1"/>
  <c r="B1020" i="3" l="1"/>
  <c r="O1020" i="3" s="1"/>
  <c r="Q1019" i="3"/>
  <c r="Q1020" i="3" l="1"/>
  <c r="B1021" i="3"/>
  <c r="O1021" i="3" s="1"/>
  <c r="B1022" i="3" l="1"/>
  <c r="O1022" i="3" s="1"/>
  <c r="Q1021" i="3"/>
  <c r="Q1022" i="3" l="1"/>
  <c r="B1023" i="3"/>
  <c r="O1023" i="3" s="1"/>
  <c r="Q1023" i="3" l="1"/>
  <c r="B1024" i="3"/>
  <c r="O1024" i="3" s="1"/>
  <c r="Q1024" i="3" l="1"/>
  <c r="B1025" i="3"/>
  <c r="O1025" i="3" s="1"/>
  <c r="B1026" i="3" l="1"/>
  <c r="O1026" i="3" s="1"/>
  <c r="Q1025" i="3"/>
  <c r="Q1026" i="3" l="1"/>
  <c r="B1027" i="3"/>
  <c r="O1027" i="3" s="1"/>
  <c r="B1028" i="3" l="1"/>
  <c r="O1028" i="3" s="1"/>
  <c r="Q1027" i="3"/>
  <c r="B1029" i="3" l="1"/>
  <c r="O1029" i="3" s="1"/>
  <c r="Q1028" i="3"/>
  <c r="B1030" i="3" l="1"/>
  <c r="O1030" i="3" s="1"/>
  <c r="Q1029" i="3"/>
  <c r="Q1030" i="3" l="1"/>
  <c r="B1031" i="3"/>
  <c r="O1031" i="3" s="1"/>
  <c r="Q1031" i="3" l="1"/>
  <c r="B1032" i="3"/>
  <c r="O1032" i="3" s="1"/>
  <c r="Q1032" i="3" l="1"/>
  <c r="B1033" i="3"/>
  <c r="O1033" i="3" s="1"/>
  <c r="Q1033" i="3" l="1"/>
  <c r="B1034" i="3"/>
  <c r="O1034" i="3" s="1"/>
  <c r="Q1034" i="3" l="1"/>
  <c r="B1035" i="3"/>
  <c r="O1035" i="3" s="1"/>
  <c r="Q1035" i="3" l="1"/>
  <c r="B1036" i="3"/>
  <c r="O1036" i="3" s="1"/>
  <c r="Q1036" i="3" l="1"/>
  <c r="B1037" i="3"/>
  <c r="O1037" i="3" s="1"/>
  <c r="Q1037" i="3" l="1"/>
  <c r="B1038" i="3"/>
  <c r="O1038" i="3" s="1"/>
  <c r="Q1038" i="3" l="1"/>
  <c r="B1039" i="3"/>
  <c r="O1039" i="3" s="1"/>
  <c r="B1040" i="3" l="1"/>
  <c r="O1040" i="3" s="1"/>
  <c r="Q1039" i="3"/>
  <c r="B1041" i="3" l="1"/>
  <c r="O1041" i="3" s="1"/>
  <c r="Q1040" i="3"/>
  <c r="Q1041" i="3" l="1"/>
  <c r="B1042" i="3"/>
  <c r="O1042" i="3" s="1"/>
  <c r="Q1042" i="3" l="1"/>
  <c r="B1043" i="3"/>
  <c r="O1043" i="3" s="1"/>
  <c r="B1044" i="3" l="1"/>
  <c r="O1044" i="3" s="1"/>
  <c r="Q1043" i="3"/>
  <c r="B1045" i="3" l="1"/>
  <c r="O1045" i="3" s="1"/>
  <c r="Q1044" i="3"/>
  <c r="B1046" i="3" l="1"/>
  <c r="O1046" i="3" s="1"/>
  <c r="Q1045" i="3"/>
  <c r="Q1046" i="3" l="1"/>
  <c r="B1047" i="3"/>
  <c r="O1047" i="3" s="1"/>
  <c r="Q1047" i="3" l="1"/>
  <c r="B1048" i="3"/>
  <c r="O1048" i="3" s="1"/>
  <c r="Q1048" i="3" l="1"/>
  <c r="B1049" i="3"/>
  <c r="O1049" i="3" s="1"/>
  <c r="B1050" i="3" l="1"/>
  <c r="O1050" i="3" s="1"/>
  <c r="Q1049" i="3"/>
  <c r="Q1050" i="3" l="1"/>
  <c r="B1051" i="3"/>
  <c r="O1051" i="3" s="1"/>
  <c r="Q1051" i="3" l="1"/>
  <c r="B1052" i="3"/>
  <c r="O1052" i="3" s="1"/>
  <c r="Q1052" i="3" l="1"/>
  <c r="B1053" i="3"/>
  <c r="O1053" i="3" s="1"/>
  <c r="B1054" i="3" l="1"/>
  <c r="O1054" i="3" s="1"/>
  <c r="Q1053" i="3"/>
  <c r="Q1054" i="3" l="1"/>
  <c r="B1055" i="3"/>
  <c r="O1055" i="3" s="1"/>
  <c r="B1056" i="3" l="1"/>
  <c r="O1056" i="3" s="1"/>
  <c r="Q1055" i="3"/>
  <c r="Q1056" i="3" l="1"/>
  <c r="B1057" i="3"/>
  <c r="O1057" i="3" s="1"/>
  <c r="B1058" i="3" l="1"/>
  <c r="O1058" i="3" s="1"/>
  <c r="Q1057" i="3"/>
  <c r="B1059" i="3" l="1"/>
  <c r="O1059" i="3" s="1"/>
  <c r="Q1058" i="3"/>
  <c r="B1060" i="3" l="1"/>
  <c r="O1060" i="3" s="1"/>
  <c r="Q1059" i="3"/>
  <c r="Q1060" i="3" l="1"/>
  <c r="B1061" i="3"/>
  <c r="O1061" i="3" s="1"/>
  <c r="B1062" i="3" l="1"/>
  <c r="O1062" i="3" s="1"/>
  <c r="Q1061" i="3"/>
  <c r="B1063" i="3" l="1"/>
  <c r="O1063" i="3" s="1"/>
  <c r="Q1062" i="3"/>
  <c r="B1064" i="3" l="1"/>
  <c r="O1064" i="3" s="1"/>
  <c r="Q1063" i="3"/>
  <c r="Q1064" i="3" l="1"/>
  <c r="B1065" i="3"/>
  <c r="O1065" i="3" s="1"/>
  <c r="Q1065" i="3" l="1"/>
  <c r="B1066" i="3"/>
  <c r="O1066" i="3" s="1"/>
  <c r="Q1066" i="3" l="1"/>
  <c r="B1067" i="3"/>
  <c r="O1067" i="3" s="1"/>
  <c r="B1068" i="3" l="1"/>
  <c r="O1068" i="3" s="1"/>
  <c r="Q1067" i="3"/>
  <c r="Q1068" i="3" l="1"/>
  <c r="B1069" i="3"/>
  <c r="O1069" i="3" s="1"/>
  <c r="Q1069" i="3" l="1"/>
  <c r="B1070" i="3"/>
  <c r="O1070" i="3" s="1"/>
  <c r="B1071" i="3" l="1"/>
  <c r="O1071" i="3" s="1"/>
  <c r="Q1070" i="3"/>
  <c r="B1072" i="3" l="1"/>
  <c r="O1072" i="3" s="1"/>
  <c r="Q1071" i="3"/>
  <c r="Q1072" i="3" l="1"/>
  <c r="B1073" i="3"/>
  <c r="O1073" i="3" s="1"/>
  <c r="Q1073" i="3" l="1"/>
  <c r="B1074" i="3"/>
  <c r="O1074" i="3" s="1"/>
  <c r="B1075" i="3" l="1"/>
  <c r="O1075" i="3" s="1"/>
  <c r="Q1074" i="3"/>
  <c r="B1076" i="3" l="1"/>
  <c r="O1076" i="3" s="1"/>
  <c r="Q1075" i="3"/>
  <c r="Q1076" i="3" l="1"/>
  <c r="B1077" i="3"/>
  <c r="O1077" i="3" s="1"/>
  <c r="Q1077" i="3" l="1"/>
  <c r="B1078" i="3"/>
  <c r="O1078" i="3" s="1"/>
  <c r="Q1078" i="3" l="1"/>
  <c r="B1079" i="3"/>
  <c r="O1079" i="3" s="1"/>
  <c r="B1080" i="3" l="1"/>
  <c r="O1080" i="3" s="1"/>
  <c r="Q1079" i="3"/>
  <c r="Q1080" i="3" l="1"/>
  <c r="B1081" i="3"/>
  <c r="O1081" i="3" s="1"/>
  <c r="Q1081" i="3" l="1"/>
  <c r="B1082" i="3"/>
  <c r="O1082" i="3" s="1"/>
  <c r="Q1082" i="3" l="1"/>
  <c r="B1083" i="3"/>
  <c r="O1083" i="3" s="1"/>
  <c r="Q1083" i="3" l="1"/>
  <c r="B1084" i="3"/>
  <c r="O1084" i="3" s="1"/>
  <c r="Q1084" i="3" l="1"/>
  <c r="B1085" i="3"/>
  <c r="O1085" i="3" s="1"/>
  <c r="Q1085" i="3" l="1"/>
  <c r="B1086" i="3"/>
  <c r="O1086" i="3" s="1"/>
  <c r="Q1086" i="3" l="1"/>
  <c r="B1087" i="3"/>
  <c r="O1087" i="3" s="1"/>
  <c r="B1088" i="3" l="1"/>
  <c r="O1088" i="3" s="1"/>
  <c r="Q1087" i="3"/>
  <c r="B1089" i="3" l="1"/>
  <c r="O1089" i="3" s="1"/>
  <c r="Q1088" i="3"/>
  <c r="B1090" i="3" l="1"/>
  <c r="O1090" i="3" s="1"/>
  <c r="Q1089" i="3"/>
  <c r="B1091" i="3" l="1"/>
  <c r="O1091" i="3" s="1"/>
  <c r="Q1090" i="3"/>
  <c r="Q1091" i="3" l="1"/>
  <c r="B1092" i="3"/>
  <c r="O1092" i="3" s="1"/>
  <c r="Q1092" i="3" l="1"/>
  <c r="B1093" i="3"/>
  <c r="O1093" i="3" s="1"/>
  <c r="B1094" i="3" l="1"/>
  <c r="O1094" i="3" s="1"/>
  <c r="Q1093" i="3"/>
  <c r="B1095" i="3" l="1"/>
  <c r="O1095" i="3" s="1"/>
  <c r="Q1094" i="3"/>
  <c r="B1096" i="3" l="1"/>
  <c r="O1096" i="3" s="1"/>
  <c r="Q1095" i="3"/>
  <c r="Q1096" i="3" l="1"/>
  <c r="B1097" i="3"/>
  <c r="O1097" i="3" s="1"/>
  <c r="Q1097" i="3" l="1"/>
  <c r="B1098" i="3"/>
  <c r="O1098" i="3" s="1"/>
  <c r="B1099" i="3" l="1"/>
  <c r="O1099" i="3" s="1"/>
  <c r="Q1098" i="3"/>
  <c r="Q1099" i="3" l="1"/>
  <c r="B1100" i="3"/>
  <c r="O1100" i="3" s="1"/>
  <c r="Q1100" i="3" l="1"/>
  <c r="B1101" i="3"/>
  <c r="O1101" i="3" s="1"/>
  <c r="B1102" i="3" l="1"/>
  <c r="O1102" i="3" s="1"/>
  <c r="Q1101" i="3"/>
  <c r="B1103" i="3" l="1"/>
  <c r="O1103" i="3" s="1"/>
  <c r="Q1102" i="3"/>
  <c r="Q1103" i="3" l="1"/>
  <c r="B1104" i="3"/>
  <c r="O1104" i="3" s="1"/>
  <c r="Q1104" i="3" l="1"/>
  <c r="B1105" i="3"/>
  <c r="O1105" i="3" s="1"/>
  <c r="B1106" i="3" l="1"/>
  <c r="O1106" i="3" s="1"/>
  <c r="Q1105" i="3"/>
  <c r="Q1106" i="3" l="1"/>
  <c r="B1107" i="3"/>
  <c r="O1107" i="3" s="1"/>
  <c r="Q1107" i="3" l="1"/>
  <c r="B1108" i="3"/>
  <c r="O1108" i="3" s="1"/>
  <c r="B1109" i="3" l="1"/>
  <c r="O1109" i="3" s="1"/>
  <c r="Q1108" i="3"/>
  <c r="B1110" i="3" l="1"/>
  <c r="O1110" i="3" s="1"/>
  <c r="Q1109" i="3"/>
  <c r="B1111" i="3" l="1"/>
  <c r="O1111" i="3" s="1"/>
  <c r="Q1110" i="3"/>
  <c r="Q1111" i="3" l="1"/>
  <c r="B1112" i="3"/>
  <c r="O1112" i="3" s="1"/>
  <c r="Q1112" i="3" l="1"/>
  <c r="B1113" i="3"/>
  <c r="O1113" i="3" s="1"/>
  <c r="Q1113" i="3" l="1"/>
  <c r="B1114" i="3"/>
  <c r="O1114" i="3" s="1"/>
  <c r="Q1114" i="3" l="1"/>
  <c r="B1115" i="3"/>
  <c r="O1115" i="3" s="1"/>
  <c r="Q1115" i="3" l="1"/>
  <c r="B1116" i="3"/>
  <c r="O1116" i="3" s="1"/>
  <c r="Q1116" i="3" l="1"/>
  <c r="B1117" i="3"/>
  <c r="O1117" i="3" s="1"/>
  <c r="Q1117" i="3" l="1"/>
  <c r="B1118" i="3"/>
  <c r="O1118" i="3" s="1"/>
  <c r="B1119" i="3" l="1"/>
  <c r="O1119" i="3" s="1"/>
  <c r="Q1118" i="3"/>
  <c r="B1120" i="3" l="1"/>
  <c r="O1120" i="3" s="1"/>
  <c r="Q1119" i="3"/>
  <c r="Q1120" i="3" l="1"/>
  <c r="B1121" i="3"/>
  <c r="O1121" i="3" s="1"/>
  <c r="Q1121" i="3" l="1"/>
  <c r="B1122" i="3"/>
  <c r="O1122" i="3" s="1"/>
  <c r="B1123" i="3" l="1"/>
  <c r="O1123" i="3" s="1"/>
  <c r="Q1122" i="3"/>
  <c r="B1124" i="3" l="1"/>
  <c r="O1124" i="3" s="1"/>
  <c r="Q1123" i="3"/>
  <c r="B1125" i="3" l="1"/>
  <c r="O1125" i="3" s="1"/>
  <c r="Q1124" i="3"/>
  <c r="B1126" i="3" l="1"/>
  <c r="O1126" i="3" s="1"/>
  <c r="Q1125" i="3"/>
  <c r="B1127" i="3" l="1"/>
  <c r="O1127" i="3" s="1"/>
  <c r="Q1126" i="3"/>
  <c r="Q1127" i="3" l="1"/>
  <c r="B1128" i="3"/>
  <c r="O1128" i="3" s="1"/>
  <c r="B1129" i="3" l="1"/>
  <c r="O1129" i="3" s="1"/>
  <c r="Q1128" i="3"/>
  <c r="Q1129" i="3" l="1"/>
  <c r="B1130" i="3"/>
  <c r="O1130" i="3" s="1"/>
  <c r="Q1130" i="3" l="1"/>
  <c r="B1131" i="3"/>
  <c r="O1131" i="3" s="1"/>
  <c r="Q1131" i="3" l="1"/>
  <c r="B1132" i="3"/>
  <c r="O1132" i="3" s="1"/>
  <c r="Q1132" i="3" l="1"/>
  <c r="B1133" i="3"/>
  <c r="O1133" i="3" s="1"/>
  <c r="B1134" i="3" l="1"/>
  <c r="O1134" i="3" s="1"/>
  <c r="Q1133" i="3"/>
  <c r="Q1134" i="3" l="1"/>
  <c r="B1135" i="3"/>
  <c r="O1135" i="3" s="1"/>
  <c r="Q1135" i="3" l="1"/>
  <c r="B1136" i="3"/>
  <c r="O1136" i="3" s="1"/>
  <c r="Q1136" i="3" l="1"/>
  <c r="B1137" i="3"/>
  <c r="O1137" i="3" s="1"/>
  <c r="B1138" i="3" l="1"/>
  <c r="O1138" i="3" s="1"/>
  <c r="Q1137" i="3"/>
  <c r="Q1138" i="3" l="1"/>
  <c r="B1139" i="3"/>
  <c r="O1139" i="3" s="1"/>
  <c r="Q1139" i="3" l="1"/>
  <c r="B1140" i="3"/>
  <c r="O1140" i="3" s="1"/>
  <c r="Q1140" i="3" l="1"/>
  <c r="B1141" i="3"/>
  <c r="O1141" i="3" s="1"/>
  <c r="B1142" i="3" l="1"/>
  <c r="O1142" i="3" s="1"/>
  <c r="Q1141" i="3"/>
  <c r="B1143" i="3" l="1"/>
  <c r="O1143" i="3" s="1"/>
  <c r="Q1142" i="3"/>
  <c r="B1144" i="3" l="1"/>
  <c r="O1144" i="3" s="1"/>
  <c r="Q1143" i="3"/>
  <c r="B1145" i="3" l="1"/>
  <c r="O1145" i="3" s="1"/>
  <c r="Q1144" i="3"/>
  <c r="Q1145" i="3" l="1"/>
  <c r="B1146" i="3"/>
  <c r="O1146" i="3" s="1"/>
  <c r="B1147" i="3" l="1"/>
  <c r="O1147" i="3" s="1"/>
  <c r="Q1146" i="3"/>
  <c r="Q1147" i="3" l="1"/>
  <c r="B1148" i="3"/>
  <c r="O1148" i="3" s="1"/>
  <c r="B1149" i="3" l="1"/>
  <c r="O1149" i="3" s="1"/>
  <c r="Q1148" i="3"/>
  <c r="Q1149" i="3" l="1"/>
  <c r="B1150" i="3"/>
  <c r="O1150" i="3" s="1"/>
  <c r="B1151" i="3" l="1"/>
  <c r="O1151" i="3" s="1"/>
  <c r="Q1150" i="3"/>
  <c r="Q1151" i="3" l="1"/>
  <c r="B1152" i="3"/>
  <c r="O1152" i="3" s="1"/>
  <c r="Q1152" i="3" l="1"/>
  <c r="B1153" i="3"/>
  <c r="O1153" i="3" s="1"/>
  <c r="Q1153" i="3" l="1"/>
  <c r="B1154" i="3"/>
  <c r="O1154" i="3" s="1"/>
  <c r="Q1154" i="3" l="1"/>
  <c r="B1155" i="3"/>
  <c r="O1155" i="3" s="1"/>
  <c r="Q1155" i="3" l="1"/>
  <c r="B1156" i="3"/>
  <c r="O1156" i="3" s="1"/>
  <c r="B1157" i="3" l="1"/>
  <c r="O1157" i="3" s="1"/>
  <c r="Q1156" i="3"/>
  <c r="B1158" i="3" l="1"/>
  <c r="O1158" i="3" s="1"/>
  <c r="Q1157" i="3"/>
  <c r="B1159" i="3" l="1"/>
  <c r="O1159" i="3" s="1"/>
  <c r="Q1158" i="3"/>
  <c r="Q1159" i="3" l="1"/>
  <c r="B1160" i="3"/>
  <c r="O1160" i="3" s="1"/>
  <c r="Q1160" i="3" l="1"/>
  <c r="B1161" i="3"/>
  <c r="O1161" i="3" s="1"/>
  <c r="B1162" i="3" l="1"/>
  <c r="O1162" i="3" s="1"/>
  <c r="Q1161" i="3"/>
  <c r="Q1162" i="3" l="1"/>
  <c r="B1163" i="3"/>
  <c r="O1163" i="3" s="1"/>
  <c r="B1164" i="3" l="1"/>
  <c r="O1164" i="3" s="1"/>
  <c r="Q1163" i="3"/>
  <c r="Q1164" i="3" l="1"/>
  <c r="B1165" i="3"/>
  <c r="O1165" i="3" s="1"/>
  <c r="B1166" i="3" l="1"/>
  <c r="O1166" i="3" s="1"/>
  <c r="Q1165" i="3"/>
  <c r="B1167" i="3" l="1"/>
  <c r="O1167" i="3" s="1"/>
  <c r="Q1166" i="3"/>
  <c r="Q1167" i="3" l="1"/>
  <c r="B1168" i="3"/>
  <c r="O1168" i="3" s="1"/>
  <c r="Q1168" i="3" l="1"/>
  <c r="B1169" i="3"/>
  <c r="O1169" i="3" s="1"/>
  <c r="Q1169" i="3" l="1"/>
  <c r="B1170" i="3"/>
  <c r="O1170" i="3" s="1"/>
  <c r="Q1170" i="3" l="1"/>
  <c r="B1171" i="3"/>
  <c r="O1171" i="3" s="1"/>
  <c r="Q1171" i="3" l="1"/>
  <c r="B1172" i="3"/>
  <c r="O1172" i="3" s="1"/>
  <c r="B1173" i="3" l="1"/>
  <c r="O1173" i="3" s="1"/>
  <c r="Q1172" i="3"/>
  <c r="B1174" i="3" l="1"/>
  <c r="O1174" i="3" s="1"/>
  <c r="Q1173" i="3"/>
  <c r="Q1174" i="3" l="1"/>
  <c r="B1175" i="3"/>
  <c r="O1175" i="3" s="1"/>
  <c r="Q1175" i="3" l="1"/>
  <c r="B1176" i="3"/>
  <c r="O1176" i="3" s="1"/>
  <c r="Q1176" i="3" l="1"/>
  <c r="B1177" i="3"/>
  <c r="O1177" i="3" s="1"/>
  <c r="Q1177" i="3" l="1"/>
  <c r="B1178" i="3"/>
  <c r="O1178" i="3" s="1"/>
  <c r="Q1178" i="3" l="1"/>
  <c r="B1179" i="3"/>
  <c r="O1179" i="3" s="1"/>
  <c r="B1180" i="3" l="1"/>
  <c r="O1180" i="3" s="1"/>
  <c r="Q1179" i="3"/>
  <c r="B1181" i="3" l="1"/>
  <c r="O1181" i="3" s="1"/>
  <c r="Q1180" i="3"/>
  <c r="Q1181" i="3" l="1"/>
  <c r="B1182" i="3"/>
  <c r="O1182" i="3" s="1"/>
  <c r="Q1182" i="3" l="1"/>
  <c r="B1183" i="3"/>
  <c r="O1183" i="3" s="1"/>
  <c r="B1184" i="3" l="1"/>
  <c r="O1184" i="3" s="1"/>
  <c r="Q1183" i="3"/>
  <c r="Q1184" i="3" l="1"/>
  <c r="B1185" i="3"/>
  <c r="O1185" i="3" s="1"/>
  <c r="Q1185" i="3" l="1"/>
  <c r="B1186" i="3"/>
  <c r="O1186" i="3" s="1"/>
  <c r="B1187" i="3" l="1"/>
  <c r="O1187" i="3" s="1"/>
  <c r="Q1186" i="3"/>
  <c r="B1188" i="3" l="1"/>
  <c r="O1188" i="3" s="1"/>
  <c r="Q1187" i="3"/>
  <c r="Q1188" i="3" l="1"/>
  <c r="B1189" i="3"/>
  <c r="O1189" i="3" s="1"/>
  <c r="Q1189" i="3" l="1"/>
  <c r="B1190" i="3"/>
  <c r="O1190" i="3" s="1"/>
  <c r="Q1190" i="3" l="1"/>
  <c r="B1191" i="3"/>
  <c r="O1191" i="3" s="1"/>
  <c r="B1192" i="3" l="1"/>
  <c r="O1192" i="3" s="1"/>
  <c r="Q1191" i="3"/>
  <c r="Q1192" i="3" l="1"/>
  <c r="B1193" i="3"/>
  <c r="O1193" i="3" s="1"/>
  <c r="Q1193" i="3" l="1"/>
  <c r="B1194" i="3"/>
  <c r="O1194" i="3" s="1"/>
  <c r="B1195" i="3" l="1"/>
  <c r="O1195" i="3" s="1"/>
  <c r="Q1194" i="3"/>
  <c r="Q1195" i="3" l="1"/>
  <c r="B1196" i="3"/>
  <c r="O1196" i="3" s="1"/>
  <c r="Q1196" i="3" l="1"/>
  <c r="B1197" i="3"/>
  <c r="O1197" i="3" s="1"/>
  <c r="Q1197" i="3" l="1"/>
  <c r="B1198" i="3"/>
  <c r="O1198" i="3" s="1"/>
  <c r="B1199" i="3" l="1"/>
  <c r="O1199" i="3" s="1"/>
  <c r="Q1198" i="3"/>
  <c r="Q1199" i="3" l="1"/>
  <c r="B1200" i="3"/>
  <c r="O1200" i="3" s="1"/>
  <c r="B1201" i="3" l="1"/>
  <c r="O1201" i="3" s="1"/>
  <c r="Q1200" i="3"/>
  <c r="B1202" i="3" l="1"/>
  <c r="O1202" i="3" s="1"/>
  <c r="Q1201" i="3"/>
  <c r="Q1202" i="3" l="1"/>
  <c r="B1203" i="3"/>
  <c r="O1203" i="3" s="1"/>
  <c r="Q1203" i="3" l="1"/>
  <c r="B1204" i="3"/>
  <c r="O1204" i="3" s="1"/>
  <c r="Q1204" i="3" l="1"/>
  <c r="B1205" i="3"/>
  <c r="O1205" i="3" s="1"/>
  <c r="B1206" i="3" l="1"/>
  <c r="O1206" i="3" s="1"/>
  <c r="Q1205" i="3"/>
  <c r="Q1206" i="3" l="1"/>
  <c r="B1207" i="3"/>
  <c r="O1207" i="3" s="1"/>
  <c r="B1208" i="3" l="1"/>
  <c r="O1208" i="3" s="1"/>
  <c r="Q1207" i="3"/>
  <c r="Q1208" i="3" l="1"/>
  <c r="B1209" i="3"/>
  <c r="O1209" i="3" s="1"/>
  <c r="Q1209" i="3" l="1"/>
  <c r="B1210" i="3"/>
  <c r="O1210" i="3" s="1"/>
  <c r="Q1210" i="3" l="1"/>
  <c r="B1211" i="3"/>
  <c r="O1211" i="3" s="1"/>
  <c r="Q1211" i="3" l="1"/>
  <c r="B1212" i="3"/>
  <c r="O1212" i="3" s="1"/>
  <c r="B1213" i="3" l="1"/>
  <c r="O1213" i="3" s="1"/>
  <c r="Q1212" i="3"/>
  <c r="B1214" i="3" l="1"/>
  <c r="O1214" i="3" s="1"/>
  <c r="Q1213" i="3"/>
  <c r="Q1214" i="3" l="1"/>
  <c r="B1215" i="3"/>
  <c r="O1215" i="3" s="1"/>
  <c r="B1216" i="3" l="1"/>
  <c r="O1216" i="3" s="1"/>
  <c r="Q1215" i="3"/>
  <c r="Q1216" i="3" l="1"/>
  <c r="B1217" i="3"/>
  <c r="O1217" i="3" s="1"/>
  <c r="B1218" i="3" l="1"/>
  <c r="O1218" i="3" s="1"/>
  <c r="Q1217" i="3"/>
  <c r="Q1218" i="3" l="1"/>
  <c r="B1219" i="3"/>
  <c r="O1219" i="3" s="1"/>
  <c r="Q1219" i="3" l="1"/>
  <c r="B1220" i="3"/>
  <c r="O1220" i="3" s="1"/>
  <c r="Q1220" i="3" l="1"/>
  <c r="B1221" i="3"/>
  <c r="O1221" i="3" s="1"/>
  <c r="Q1221" i="3" l="1"/>
  <c r="B1222" i="3"/>
  <c r="O1222" i="3" s="1"/>
  <c r="B1223" i="3" l="1"/>
  <c r="O1223" i="3" s="1"/>
  <c r="Q1222" i="3"/>
  <c r="Q1223" i="3" l="1"/>
  <c r="B1224" i="3"/>
  <c r="O1224" i="3" s="1"/>
  <c r="Q1224" i="3" l="1"/>
  <c r="B1225" i="3"/>
  <c r="O1225" i="3" s="1"/>
  <c r="Q1225" i="3" l="1"/>
  <c r="B1226" i="3"/>
  <c r="O1226" i="3" s="1"/>
  <c r="Q1226" i="3" l="1"/>
  <c r="B1227" i="3"/>
  <c r="O1227" i="3" s="1"/>
  <c r="Q1227" i="3" l="1"/>
  <c r="B1228" i="3"/>
  <c r="O1228" i="3" s="1"/>
  <c r="Q1228" i="3" l="1"/>
  <c r="B1229" i="3"/>
  <c r="O1229" i="3" s="1"/>
  <c r="Q1229" i="3" l="1"/>
  <c r="B1230" i="3"/>
  <c r="O1230" i="3" s="1"/>
  <c r="B1231" i="3" l="1"/>
  <c r="O1231" i="3" s="1"/>
  <c r="Q1230" i="3"/>
  <c r="B1232" i="3" l="1"/>
  <c r="O1232" i="3" s="1"/>
  <c r="Q1231" i="3"/>
  <c r="B1233" i="3" l="1"/>
  <c r="O1233" i="3" s="1"/>
  <c r="Q1232" i="3"/>
  <c r="Q1233" i="3" l="1"/>
  <c r="B1234" i="3"/>
  <c r="O1234" i="3" s="1"/>
  <c r="B1235" i="3" l="1"/>
  <c r="O1235" i="3" s="1"/>
  <c r="Q1234" i="3"/>
  <c r="Q1235" i="3" l="1"/>
  <c r="B1236" i="3"/>
  <c r="O1236" i="3" s="1"/>
  <c r="Q1236" i="3" l="1"/>
  <c r="B1237" i="3"/>
  <c r="O1237" i="3" s="1"/>
  <c r="Q1237" i="3" l="1"/>
  <c r="B1238" i="3"/>
  <c r="O1238" i="3" s="1"/>
  <c r="Q1238" i="3" l="1"/>
  <c r="B1239" i="3"/>
  <c r="O1239" i="3" s="1"/>
  <c r="B1240" i="3" l="1"/>
  <c r="O1240" i="3" s="1"/>
  <c r="Q1239" i="3"/>
  <c r="Q1240" i="3" l="1"/>
  <c r="B1241" i="3"/>
  <c r="O1241" i="3" s="1"/>
  <c r="B1242" i="3" l="1"/>
  <c r="O1242" i="3" s="1"/>
  <c r="Q1241" i="3"/>
  <c r="Q1242" i="3" l="1"/>
  <c r="B1243" i="3"/>
  <c r="O1243" i="3" s="1"/>
  <c r="Q1243" i="3" l="1"/>
  <c r="B1244" i="3"/>
  <c r="O1244" i="3" s="1"/>
  <c r="Q1244" i="3" l="1"/>
  <c r="B1245" i="3"/>
  <c r="O1245" i="3" s="1"/>
  <c r="Q1245" i="3" l="1"/>
  <c r="B1246" i="3"/>
  <c r="O1246" i="3" s="1"/>
  <c r="B1247" i="3" l="1"/>
  <c r="O1247" i="3" s="1"/>
  <c r="Q1246" i="3"/>
  <c r="Q1247" i="3" l="1"/>
  <c r="B1248" i="3"/>
  <c r="O1248" i="3" s="1"/>
  <c r="B1249" i="3" l="1"/>
  <c r="O1249" i="3" s="1"/>
  <c r="Q1248" i="3"/>
  <c r="Q1249" i="3" l="1"/>
  <c r="B1250" i="3"/>
  <c r="O1250" i="3" s="1"/>
  <c r="Q1250" i="3" l="1"/>
  <c r="B1251" i="3"/>
  <c r="O1251" i="3" s="1"/>
  <c r="Q1251" i="3" l="1"/>
  <c r="B1252" i="3"/>
  <c r="O1252" i="3" s="1"/>
  <c r="Q1252" i="3" l="1"/>
  <c r="B1253" i="3"/>
  <c r="O1253" i="3" s="1"/>
  <c r="B1254" i="3" l="1"/>
  <c r="O1254" i="3" s="1"/>
  <c r="Q1253" i="3"/>
  <c r="Q1254" i="3" l="1"/>
  <c r="B1255" i="3"/>
  <c r="O1255" i="3" s="1"/>
  <c r="B1256" i="3" l="1"/>
  <c r="O1256" i="3" s="1"/>
  <c r="Q1255" i="3"/>
  <c r="Q1256" i="3" l="1"/>
  <c r="B1257" i="3"/>
  <c r="O1257" i="3" s="1"/>
  <c r="Q1257" i="3" l="1"/>
  <c r="B1258" i="3"/>
  <c r="O1258" i="3" s="1"/>
  <c r="Q1258" i="3" l="1"/>
  <c r="B1259" i="3"/>
  <c r="O1259" i="3" s="1"/>
  <c r="Q1259" i="3" l="1"/>
  <c r="B1260" i="3"/>
  <c r="O1260" i="3" s="1"/>
  <c r="Q1260" i="3" l="1"/>
  <c r="B1261" i="3"/>
  <c r="O1261" i="3" s="1"/>
  <c r="B1262" i="3" l="1"/>
  <c r="O1262" i="3" s="1"/>
  <c r="Q1261" i="3"/>
  <c r="B1263" i="3" l="1"/>
  <c r="O1263" i="3" s="1"/>
  <c r="Q1262" i="3"/>
  <c r="Q1263" i="3" l="1"/>
  <c r="B1264" i="3"/>
  <c r="O1264" i="3" s="1"/>
  <c r="Q1264" i="3" l="1"/>
  <c r="B1265" i="3"/>
  <c r="O1265" i="3" s="1"/>
  <c r="Q1265" i="3" l="1"/>
  <c r="B1266" i="3"/>
  <c r="O1266" i="3" s="1"/>
  <c r="Q1266" i="3" l="1"/>
  <c r="B1267" i="3"/>
  <c r="O1267" i="3" s="1"/>
  <c r="B1268" i="3" l="1"/>
  <c r="O1268" i="3" s="1"/>
  <c r="Q1267" i="3"/>
  <c r="B1269" i="3" l="1"/>
  <c r="O1269" i="3" s="1"/>
  <c r="Q1268" i="3"/>
  <c r="B1270" i="3" l="1"/>
  <c r="O1270" i="3" s="1"/>
  <c r="Q1269" i="3"/>
  <c r="Q1270" i="3" l="1"/>
  <c r="B1271" i="3"/>
  <c r="O1271" i="3" s="1"/>
  <c r="Q1271" i="3" l="1"/>
  <c r="B1272" i="3"/>
  <c r="O1272" i="3" s="1"/>
  <c r="Q1272" i="3" l="1"/>
  <c r="B1273" i="3"/>
  <c r="O1273" i="3" s="1"/>
  <c r="Q1273" i="3" l="1"/>
  <c r="B1274" i="3"/>
  <c r="O1274" i="3" s="1"/>
  <c r="Q1274" i="3" l="1"/>
  <c r="B1275" i="3"/>
  <c r="O1275" i="3" s="1"/>
  <c r="B1276" i="3" l="1"/>
  <c r="O1276" i="3" s="1"/>
  <c r="Q1275" i="3"/>
  <c r="B1277" i="3" l="1"/>
  <c r="O1277" i="3" s="1"/>
  <c r="Q1276" i="3"/>
  <c r="Q1277" i="3" l="1"/>
  <c r="B1278" i="3"/>
  <c r="O1278" i="3" s="1"/>
  <c r="Q1278" i="3" l="1"/>
  <c r="B1279" i="3"/>
  <c r="O1279" i="3" s="1"/>
  <c r="Q1279" i="3" l="1"/>
  <c r="B1280" i="3"/>
  <c r="O1280" i="3" s="1"/>
  <c r="Q1280" i="3" l="1"/>
  <c r="B1281" i="3"/>
  <c r="O1281" i="3" s="1"/>
  <c r="B1282" i="3" l="1"/>
  <c r="O1282" i="3" s="1"/>
  <c r="Q1281" i="3"/>
  <c r="B1283" i="3" l="1"/>
  <c r="O1283" i="3" s="1"/>
  <c r="Q1282" i="3"/>
  <c r="B1284" i="3" l="1"/>
  <c r="O1284" i="3" s="1"/>
  <c r="Q1283" i="3"/>
  <c r="Q1284" i="3" l="1"/>
  <c r="B1285" i="3"/>
  <c r="O1285" i="3" s="1"/>
  <c r="B1286" i="3" l="1"/>
  <c r="O1286" i="3" s="1"/>
  <c r="Q1285" i="3"/>
  <c r="B1287" i="3" l="1"/>
  <c r="O1287" i="3" s="1"/>
  <c r="Q1286" i="3"/>
  <c r="Q1287" i="3" l="1"/>
  <c r="B1288" i="3"/>
  <c r="O1288" i="3" s="1"/>
  <c r="Q1288" i="3" l="1"/>
  <c r="B1289" i="3"/>
  <c r="O1289" i="3" s="1"/>
  <c r="Q1289" i="3" l="1"/>
  <c r="B1290" i="3"/>
  <c r="O1290" i="3" s="1"/>
  <c r="Q1290" i="3" l="1"/>
  <c r="B1291" i="3"/>
  <c r="O1291" i="3" s="1"/>
  <c r="B1292" i="3" l="1"/>
  <c r="O1292" i="3" s="1"/>
  <c r="Q1291" i="3"/>
  <c r="B1293" i="3" l="1"/>
  <c r="O1293" i="3" s="1"/>
  <c r="Q1292" i="3"/>
  <c r="B1294" i="3" l="1"/>
  <c r="O1294" i="3" s="1"/>
  <c r="Q1293" i="3"/>
  <c r="Q1294" i="3" l="1"/>
  <c r="B1295" i="3"/>
  <c r="O1295" i="3" s="1"/>
  <c r="B1296" i="3" l="1"/>
  <c r="O1296" i="3" s="1"/>
  <c r="Q1295" i="3"/>
  <c r="Q1296" i="3" l="1"/>
  <c r="B1297" i="3"/>
  <c r="O1297" i="3" s="1"/>
  <c r="Q1297" i="3" l="1"/>
  <c r="B1298" i="3"/>
  <c r="O1298" i="3" s="1"/>
  <c r="Q1298" i="3" l="1"/>
  <c r="B1299" i="3"/>
  <c r="O1299" i="3" s="1"/>
  <c r="B1300" i="3" l="1"/>
  <c r="O1300" i="3" s="1"/>
  <c r="Q1299" i="3"/>
  <c r="Q1300" i="3" l="1"/>
  <c r="B1301" i="3"/>
  <c r="O1301" i="3" s="1"/>
  <c r="Q1301" i="3" l="1"/>
  <c r="B1302" i="3"/>
  <c r="O1302" i="3" s="1"/>
  <c r="B1303" i="3" l="1"/>
  <c r="O1303" i="3" s="1"/>
  <c r="Q1302" i="3"/>
  <c r="Q1303" i="3" l="1"/>
  <c r="B1304" i="3"/>
  <c r="O1304" i="3" s="1"/>
  <c r="Q1304" i="3" l="1"/>
  <c r="B1305" i="3"/>
  <c r="O1305" i="3" s="1"/>
  <c r="Q1305" i="3" l="1"/>
  <c r="B1306" i="3"/>
  <c r="O1306" i="3" s="1"/>
  <c r="Q1306" i="3" l="1"/>
  <c r="B1307" i="3"/>
  <c r="O1307" i="3" s="1"/>
  <c r="Q1307" i="3" l="1"/>
  <c r="B1308" i="3"/>
  <c r="O1308" i="3" s="1"/>
  <c r="Q1308" i="3" l="1"/>
  <c r="B1309" i="3"/>
  <c r="O1309" i="3" s="1"/>
  <c r="B1310" i="3" l="1"/>
  <c r="O1310" i="3" s="1"/>
  <c r="Q1309" i="3"/>
  <c r="Q1310" i="3" l="1"/>
  <c r="B1311" i="3"/>
  <c r="O1311" i="3" s="1"/>
  <c r="Q1311" i="3" l="1"/>
  <c r="B1312" i="3"/>
  <c r="O1312" i="3" s="1"/>
  <c r="Q1312" i="3" l="1"/>
  <c r="B1313" i="3"/>
  <c r="O1313" i="3" s="1"/>
  <c r="Q1313" i="3" l="1"/>
  <c r="B1314" i="3"/>
  <c r="O1314" i="3" s="1"/>
  <c r="Q1314" i="3" l="1"/>
  <c r="B1315" i="3"/>
  <c r="O1315" i="3" s="1"/>
  <c r="B1316" i="3" l="1"/>
  <c r="O1316" i="3" s="1"/>
  <c r="Q1315" i="3"/>
  <c r="B1317" i="3" l="1"/>
  <c r="O1317" i="3" s="1"/>
  <c r="Q1316" i="3"/>
  <c r="Q1317" i="3" l="1"/>
  <c r="B1318" i="3"/>
  <c r="O1318" i="3" s="1"/>
  <c r="Q1318" i="3" l="1"/>
  <c r="B1319" i="3"/>
  <c r="O1319" i="3" s="1"/>
  <c r="Q1319" i="3" l="1"/>
  <c r="B1320" i="3"/>
  <c r="O1320" i="3" s="1"/>
  <c r="Q1320" i="3" l="1"/>
  <c r="B1321" i="3"/>
  <c r="O1321" i="3" s="1"/>
  <c r="Q1321" i="3" l="1"/>
  <c r="B1322" i="3"/>
  <c r="O1322" i="3" s="1"/>
  <c r="B1323" i="3" l="1"/>
  <c r="O1323" i="3" s="1"/>
  <c r="Q1322" i="3"/>
  <c r="B1324" i="3" l="1"/>
  <c r="O1324" i="3" s="1"/>
  <c r="Q1323" i="3"/>
  <c r="Q1324" i="3" l="1"/>
  <c r="B1325" i="3"/>
  <c r="O1325" i="3" s="1"/>
  <c r="Q1325" i="3" l="1"/>
  <c r="B1326" i="3"/>
  <c r="O1326" i="3" s="1"/>
  <c r="Q1326" i="3" l="1"/>
  <c r="B1327" i="3"/>
  <c r="O1327" i="3" s="1"/>
  <c r="Q1327" i="3" l="1"/>
  <c r="B1328" i="3"/>
  <c r="O1328" i="3" s="1"/>
  <c r="B1329" i="3" l="1"/>
  <c r="O1329" i="3" s="1"/>
  <c r="Q1328" i="3"/>
  <c r="Q1329" i="3" l="1"/>
  <c r="B1330" i="3"/>
  <c r="O1330" i="3" s="1"/>
  <c r="B1331" i="3" l="1"/>
  <c r="O1331" i="3" s="1"/>
  <c r="Q1330" i="3"/>
  <c r="Q1331" i="3" l="1"/>
  <c r="B1332" i="3"/>
  <c r="O1332" i="3" s="1"/>
  <c r="Q1332" i="3" l="1"/>
  <c r="B1333" i="3"/>
  <c r="O1333" i="3" s="1"/>
  <c r="Q1333" i="3" l="1"/>
  <c r="B1334" i="3"/>
  <c r="O1334" i="3" s="1"/>
  <c r="Q1334" i="3" l="1"/>
  <c r="B1335" i="3"/>
  <c r="O1335" i="3" s="1"/>
  <c r="B1336" i="3" l="1"/>
  <c r="O1336" i="3" s="1"/>
  <c r="Q1335" i="3"/>
  <c r="Q1336" i="3" l="1"/>
  <c r="B1337" i="3"/>
  <c r="O1337" i="3" s="1"/>
  <c r="B1338" i="3" l="1"/>
  <c r="O1338" i="3" s="1"/>
  <c r="Q1337" i="3"/>
  <c r="Q1338" i="3" l="1"/>
  <c r="B1339" i="3"/>
  <c r="O1339" i="3" s="1"/>
  <c r="Q1339" i="3" l="1"/>
  <c r="B1340" i="3"/>
  <c r="O1340" i="3" s="1"/>
  <c r="Q1340" i="3" l="1"/>
  <c r="B1341" i="3"/>
  <c r="O1341" i="3" s="1"/>
  <c r="Q1341" i="3" l="1"/>
  <c r="B1342" i="3"/>
  <c r="O1342" i="3" s="1"/>
  <c r="B1343" i="3" l="1"/>
  <c r="O1343" i="3" s="1"/>
  <c r="Q1342" i="3"/>
  <c r="Q1343" i="3" l="1"/>
  <c r="B1344" i="3"/>
  <c r="O1344" i="3" s="1"/>
  <c r="B1345" i="3" l="1"/>
  <c r="O1345" i="3" s="1"/>
  <c r="Q1344" i="3"/>
  <c r="Q1345" i="3" l="1"/>
  <c r="B1346" i="3"/>
  <c r="O1346" i="3" s="1"/>
  <c r="Q1346" i="3" l="1"/>
  <c r="B1347" i="3"/>
  <c r="O1347" i="3" s="1"/>
  <c r="Q1347" i="3" l="1"/>
  <c r="B1348" i="3"/>
  <c r="O1348" i="3" s="1"/>
  <c r="Q1348" i="3" l="1"/>
  <c r="B1349" i="3"/>
  <c r="O1349" i="3" s="1"/>
  <c r="B1350" i="3" l="1"/>
  <c r="O1350" i="3" s="1"/>
  <c r="Q1349" i="3"/>
  <c r="Q1350" i="3" l="1"/>
  <c r="B1351" i="3"/>
  <c r="O1351" i="3" s="1"/>
  <c r="Q1351" i="3" l="1"/>
  <c r="B1352" i="3"/>
  <c r="O1352" i="3" s="1"/>
  <c r="Q1352" i="3" l="1"/>
  <c r="B1353" i="3"/>
  <c r="O1353" i="3" s="1"/>
  <c r="Q1353" i="3" l="1"/>
  <c r="B1354" i="3"/>
  <c r="O1354" i="3" s="1"/>
  <c r="B1355" i="3" l="1"/>
  <c r="O1355" i="3" s="1"/>
  <c r="Q1354" i="3"/>
  <c r="Q1355" i="3" l="1"/>
  <c r="B1356" i="3"/>
  <c r="O1356" i="3" s="1"/>
  <c r="Q1356" i="3" l="1"/>
  <c r="B1357" i="3"/>
  <c r="O1357" i="3" s="1"/>
  <c r="Q1357" i="3" l="1"/>
  <c r="B1358" i="3"/>
  <c r="O1358" i="3" s="1"/>
  <c r="Q1358" i="3" l="1"/>
  <c r="B1359" i="3"/>
  <c r="O1359" i="3" s="1"/>
  <c r="B1360" i="3" l="1"/>
  <c r="O1360" i="3" s="1"/>
  <c r="Q1359" i="3"/>
  <c r="Q1360" i="3" l="1"/>
  <c r="B1361" i="3"/>
  <c r="O1361" i="3" s="1"/>
  <c r="Q1361" i="3" l="1"/>
  <c r="B1362" i="3"/>
  <c r="O1362" i="3" s="1"/>
  <c r="Q1362" i="3" l="1"/>
  <c r="B1363" i="3"/>
  <c r="O1363" i="3" s="1"/>
  <c r="B1364" i="3" l="1"/>
  <c r="O1364" i="3" s="1"/>
  <c r="Q1363" i="3"/>
  <c r="B1365" i="3" l="1"/>
  <c r="O1365" i="3" s="1"/>
  <c r="Q1364" i="3"/>
  <c r="Q1365" i="3" l="1"/>
  <c r="B1366" i="3"/>
  <c r="O1366" i="3" s="1"/>
  <c r="Q1366" i="3" l="1"/>
  <c r="B1367" i="3"/>
  <c r="O1367" i="3" s="1"/>
  <c r="Q1367" i="3" l="1"/>
  <c r="B1368" i="3"/>
  <c r="O1368" i="3" s="1"/>
  <c r="Q1368" i="3" l="1"/>
  <c r="B1369" i="3"/>
  <c r="O1369" i="3" s="1"/>
  <c r="B1370" i="3" l="1"/>
  <c r="O1370" i="3" s="1"/>
  <c r="Q1369" i="3"/>
  <c r="B1371" i="3" l="1"/>
  <c r="O1371" i="3" s="1"/>
  <c r="Q1370" i="3"/>
  <c r="Q1371" i="3" l="1"/>
  <c r="B1372" i="3"/>
  <c r="O1372" i="3" s="1"/>
  <c r="Q1372" i="3" l="1"/>
  <c r="B1373" i="3"/>
  <c r="O1373" i="3" s="1"/>
  <c r="Q1373" i="3" l="1"/>
  <c r="B1374" i="3"/>
  <c r="O1374" i="3" s="1"/>
  <c r="Q137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<sst xmlns="http://schemas.openxmlformats.org/spreadsheetml/2006/main" count="298" uniqueCount="180">
  <si>
    <t>Jon Kemp Budget Dashboard</t>
  </si>
  <si>
    <t>INCOME</t>
  </si>
  <si>
    <t>Income Source</t>
  </si>
  <si>
    <t>Gross (Per Pay)</t>
  </si>
  <si>
    <t>Net (Per Pay)</t>
  </si>
  <si>
    <t>Pay Date</t>
  </si>
  <si>
    <t>Monthly Gross</t>
  </si>
  <si>
    <t>Monthly Net</t>
  </si>
  <si>
    <t>Bi-Weekly #1 - Regular Pay</t>
  </si>
  <si>
    <t>15th</t>
  </si>
  <si>
    <t>Bi-Weekly #2 - Income</t>
  </si>
  <si>
    <t>Last Day</t>
  </si>
  <si>
    <t>TOTAL MONTHLY INCOME</t>
  </si>
  <si>
    <t>Expense/Income Item</t>
  </si>
  <si>
    <t>Base Value</t>
  </si>
  <si>
    <t>Period</t>
  </si>
  <si>
    <t>Monthly Amount</t>
  </si>
  <si>
    <t>Account</t>
  </si>
  <si>
    <t>Payment Day</t>
  </si>
  <si>
    <t>BILLS CHECKING EXPENSES</t>
  </si>
  <si>
    <t>Expenses by Account</t>
  </si>
  <si>
    <t>Cell Phone Service</t>
  </si>
  <si>
    <t>Monthly</t>
  </si>
  <si>
    <t>USAA Bills Checking</t>
  </si>
  <si>
    <t>Bills Checking</t>
  </si>
  <si>
    <t>Gym Membership</t>
  </si>
  <si>
    <t>Mortgage Checking</t>
  </si>
  <si>
    <t>Vehicle Insurance</t>
  </si>
  <si>
    <t>Semi-Annual</t>
  </si>
  <si>
    <t>HOA Savings</t>
  </si>
  <si>
    <t>Bills Checking Subtotal</t>
  </si>
  <si>
    <t>Per Paycheck Allocation (Jon)</t>
  </si>
  <si>
    <t>MORTGAGE CHECKING EXPENSES</t>
  </si>
  <si>
    <t>Mortgage - Regular Payment</t>
  </si>
  <si>
    <t>USAA Mortgage Checking</t>
  </si>
  <si>
    <t>Mortgage - Extra Payment</t>
  </si>
  <si>
    <t>YouTube TV (Zack)</t>
  </si>
  <si>
    <t>Water/Sewer</t>
  </si>
  <si>
    <t>Georgia Power - Electricity</t>
  </si>
  <si>
    <t>Natural Gas</t>
  </si>
  <si>
    <t>Comcast Cable</t>
  </si>
  <si>
    <t>Mortgage Checking Subtotal</t>
  </si>
  <si>
    <t>HOA SAVINGS EXPENSES</t>
  </si>
  <si>
    <t>HOA Semi-Annual Assessment</t>
  </si>
  <si>
    <t>USAA HOA Savings</t>
  </si>
  <si>
    <t>N/A</t>
  </si>
  <si>
    <t>HOA Payment Fee</t>
  </si>
  <si>
    <t>HOA - Extra Payments</t>
  </si>
  <si>
    <t>HOA Savings Subtotal</t>
  </si>
  <si>
    <t>TOTAL MONTHLY EXPENSES</t>
  </si>
  <si>
    <t>ACCOUNT SUMMARY</t>
  </si>
  <si>
    <t>Monthly Expenses</t>
  </si>
  <si>
    <t>Per Paycheck (Jon)</t>
  </si>
  <si>
    <t>Ronnie Monthly</t>
  </si>
  <si>
    <t>Jon Monthly</t>
  </si>
  <si>
    <t>Notes</t>
  </si>
  <si>
    <t>USAA Bills Checking - 7071</t>
  </si>
  <si>
    <t>Personal expenses</t>
  </si>
  <si>
    <t>USAA Mortgage Checking - 3223</t>
  </si>
  <si>
    <t>Split 50/50</t>
  </si>
  <si>
    <t>USAA HOA Savings - 9575</t>
  </si>
  <si>
    <t>TOTALS</t>
  </si>
  <si>
    <t>KEY METRICS &amp; INSIGHTS</t>
  </si>
  <si>
    <t>Monthly Savings Rate</t>
  </si>
  <si>
    <t>Net Monthly Cash Flow</t>
  </si>
  <si>
    <t>Total Cash on Hand</t>
  </si>
  <si>
    <t>Current Account Balances (Live)</t>
  </si>
  <si>
    <t>Next 5 Upcoming Payments</t>
  </si>
  <si>
    <t>Balance Today</t>
  </si>
  <si>
    <t>As Of</t>
  </si>
  <si>
    <t>Bill</t>
  </si>
  <si>
    <t>Amount</t>
  </si>
  <si>
    <t>Days Until Due</t>
  </si>
  <si>
    <t>SIMPLE BUDGET WORKSHEET</t>
  </si>
  <si>
    <t>How much can I save?</t>
  </si>
  <si>
    <t>Where do I want to put my savings?</t>
  </si>
  <si>
    <t>Income</t>
  </si>
  <si>
    <t>Category</t>
  </si>
  <si>
    <t>%</t>
  </si>
  <si>
    <t>Savings</t>
  </si>
  <si>
    <t>Total Expenses</t>
  </si>
  <si>
    <t>Emergency</t>
  </si>
  <si>
    <t>Debt Payoff</t>
  </si>
  <si>
    <t>Total Savings</t>
  </si>
  <si>
    <t>Other Goals</t>
  </si>
  <si>
    <t>Total</t>
  </si>
  <si>
    <t>Jon Kemp Personal Budget Plan: Bi-weekly</t>
  </si>
  <si>
    <t>Bi-Weekly #1</t>
  </si>
  <si>
    <t>Bi-Weekly #2</t>
  </si>
  <si>
    <t>Bill Name</t>
  </si>
  <si>
    <t>Per Pay Check</t>
  </si>
  <si>
    <t>Payment Date</t>
  </si>
  <si>
    <t>Payment Source</t>
  </si>
  <si>
    <t>USAA Bills</t>
  </si>
  <si>
    <t>Wells Fargo Credit</t>
  </si>
  <si>
    <t>Auto Pay set for 17th of each month.</t>
  </si>
  <si>
    <t>Bank of America VISA</t>
  </si>
  <si>
    <t>Auto Pay set for 18th of each month.</t>
  </si>
  <si>
    <t>Insurance (Vehicle)</t>
  </si>
  <si>
    <t>Ronnie Portion</t>
  </si>
  <si>
    <t>Jon Portion</t>
  </si>
  <si>
    <t>Jon Per Pay Check</t>
  </si>
  <si>
    <t>HOA Semi-Annual Dues</t>
  </si>
  <si>
    <t>USAA Mortgage</t>
  </si>
  <si>
    <t>Auto Pay Mortgage Checking</t>
  </si>
  <si>
    <t>Youtube TV Zack</t>
  </si>
  <si>
    <t>Pay via ZELLE to Zack</t>
  </si>
  <si>
    <t>Auto Pay From Checking</t>
  </si>
  <si>
    <t>TOTAL EXPENSES</t>
  </si>
  <si>
    <t>Ronnie Portion (Monthly)</t>
  </si>
  <si>
    <t>Jon Portion 
(Per Paycheck)</t>
  </si>
  <si>
    <t>Current Regular Balance</t>
  </si>
  <si>
    <t>Extra Balance</t>
  </si>
  <si>
    <t>Total Current Balance</t>
  </si>
  <si>
    <t>Status</t>
  </si>
  <si>
    <t>Amount To USAA Bill Checking - 7071</t>
  </si>
  <si>
    <t>Amount to USAA Mortgage Checking - 3223</t>
  </si>
  <si>
    <t>Amount To USAA HOA Savings - 9575</t>
  </si>
  <si>
    <t>TOTAL ALL ACCOUNTS</t>
  </si>
  <si>
    <t>Date</t>
  </si>
  <si>
    <t>Beg Balance</t>
  </si>
  <si>
    <t>Extra Beg Balance</t>
  </si>
  <si>
    <t>Jon Credit</t>
  </si>
  <si>
    <t>Ronnie Credit</t>
  </si>
  <si>
    <t>Jon Extra Credit</t>
  </si>
  <si>
    <t>Ronnie Extra Credit</t>
  </si>
  <si>
    <t>Mortgage</t>
  </si>
  <si>
    <t>Water 
(GA Utility)</t>
  </si>
  <si>
    <t>Electric: Georgia Power</t>
  </si>
  <si>
    <t>Natural Gas (Energy Inc Geo)</t>
  </si>
  <si>
    <t>Comcast (AutoPay Checking)</t>
  </si>
  <si>
    <t>YouTube TV 
(Zelle to Zack)</t>
  </si>
  <si>
    <t>Other</t>
  </si>
  <si>
    <t>Regular Ending Balance</t>
  </si>
  <si>
    <t>Extra Ending Balance</t>
  </si>
  <si>
    <t>Total End Balance</t>
  </si>
  <si>
    <t>Other Description</t>
  </si>
  <si>
    <t>Costco Furniture Payback</t>
  </si>
  <si>
    <t>Actual End Balance</t>
  </si>
  <si>
    <t>Regular Beg Balance</t>
  </si>
  <si>
    <t>Total Beg Balance</t>
  </si>
  <si>
    <t>HOA Payment</t>
  </si>
  <si>
    <t>Extra Payment Balance</t>
  </si>
  <si>
    <t>Total Balance</t>
  </si>
  <si>
    <t>Extra Patment Withdrawl</t>
  </si>
  <si>
    <t>Other Explination</t>
  </si>
  <si>
    <t>Day of week</t>
  </si>
  <si>
    <t>Credit</t>
  </si>
  <si>
    <t>Gym Credit</t>
  </si>
  <si>
    <t>Cell Service</t>
  </si>
  <si>
    <t>Gym</t>
  </si>
  <si>
    <t>Chase - TV</t>
  </si>
  <si>
    <t>Insurance Payment</t>
  </si>
  <si>
    <t>Ending Balance</t>
  </si>
  <si>
    <t>LOAN DETAILS</t>
  </si>
  <si>
    <t>LOAN SUMMARY</t>
  </si>
  <si>
    <t>Purchase Description</t>
  </si>
  <si>
    <t>Enter Item Name/Description</t>
  </si>
  <si>
    <t>Total Principal</t>
  </si>
  <si>
    <t>Loan Amount</t>
  </si>
  <si>
    <t>Total Interest</t>
  </si>
  <si>
    <t>Annual Interest Rate</t>
  </si>
  <si>
    <t>Total Cost</t>
  </si>
  <si>
    <t>Interest Calculation</t>
  </si>
  <si>
    <t>Payoff Date</t>
  </si>
  <si>
    <t>Loan Term (Months)</t>
  </si>
  <si>
    <t>Actual Payments</t>
  </si>
  <si>
    <t>Payments Per Year</t>
  </si>
  <si>
    <t>Start Date</t>
  </si>
  <si>
    <t>Monthly Payment</t>
  </si>
  <si>
    <t>Extra Payment</t>
  </si>
  <si>
    <t>Payment #</t>
  </si>
  <si>
    <t>Beginning Balance</t>
  </si>
  <si>
    <t>Payment</t>
  </si>
  <si>
    <t>Total Payment</t>
  </si>
  <si>
    <t>Principal</t>
  </si>
  <si>
    <t>Days</t>
  </si>
  <si>
    <t>Interest</t>
  </si>
  <si>
    <t>Cumulative Principal</t>
  </si>
  <si>
    <t>Cumulative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</si>
</sst>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m/d/yyyy"/>
    <numFmt numFmtId="167" formatCode="0\ &quot;days&quot;"/>
    <numFmt numFmtId="168" formatCode="&quot;$&quot;#,##0.00;[Red]\-&quot;$&quot;#,##0.00"/>
    <numFmt numFmtId="169" formatCode="&quot;$&quot;#,##0.00;&quot;$&quot;\(#,##0.00\)"/>
    <numFmt numFmtId="170" formatCode="[$-F800]dddd"/>
  </numFmts>
  <fonts count="33" x14ac:knownFonts="1">
    <font>
      <sz val="10"/>
      <name val="Arial"/>
      <family val="2"/>
    </font>
    <font>
      <sz val="10"/>
      <name val="Arial"/>
      <family val="2"/>
    </font>
    <font>
      <b/>
      <sz val="20"/>
      <color rgb="FF1D6F42"/>
      <name val="Arial"/>
      <family val="2"/>
    </font>
    <font>
      <b/>
      <sz val="10"/>
      <color rgb="FFFFFFFF"/>
      <name val="Arial"/>
      <family val="2"/>
    </font>
    <font>
      <b/>
      <sz val="14"/>
      <color rgb="FF1D6F42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i/>
      <sz val="8"/>
      <color rgb="FF808080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0"/>
      <color indexed="63"/>
      <name val="Calibri"/>
      <family val="2"/>
    </font>
    <font>
      <b/>
      <sz val="20"/>
      <color rgb="FF1D6F42"/>
      <name val="Calibri"/>
      <family val="2"/>
    </font>
    <font>
      <sz val="10"/>
      <color indexed="63"/>
      <name val="Tahoma"/>
      <family val="2"/>
    </font>
    <font>
      <b/>
      <sz val="10"/>
      <color indexed="63"/>
      <name val="Calibri"/>
      <family val="2"/>
    </font>
    <font>
      <i/>
      <sz val="10"/>
      <color rgb="FF1D6F42"/>
      <name val="Calibri"/>
      <family val="2"/>
    </font>
    <font>
      <sz val="10"/>
      <name val="Calibri"/>
      <family val="2"/>
    </font>
    <font>
      <sz val="8"/>
      <color indexed="63"/>
      <name val="Calibri"/>
      <family val="2"/>
    </font>
    <font>
      <b/>
      <sz val="12"/>
      <name val="Calibri"/>
      <family val="2"/>
    </font>
    <font>
      <b/>
      <u/>
      <sz val="9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indexed="13"/>
      <name val="Calibri"/>
      <family val="2"/>
    </font>
    <font>
      <b/>
      <sz val="10"/>
      <color indexed="20"/>
      <name val="Calibri"/>
      <family val="2"/>
    </font>
    <font>
      <sz val="10"/>
      <color indexed="20"/>
      <name val="Calibri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6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EF3E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5E4E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D3E2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8DD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ACD"/>
        <bgColor indexed="64"/>
      </patternFill>
    </fill>
  </fills>
  <borders count="116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D6F42"/>
      </left>
      <right/>
      <top style="thin">
        <color rgb="FF1D6F42"/>
      </top>
      <bottom/>
      <diagonal/>
    </border>
    <border>
      <left/>
      <right/>
      <top style="thin">
        <color rgb="FF1D6F42"/>
      </top>
      <bottom/>
      <diagonal/>
    </border>
    <border>
      <left/>
      <right style="thin">
        <color rgb="FF1D6F42"/>
      </right>
      <top style="thin">
        <color rgb="FF1D6F42"/>
      </top>
      <bottom/>
      <diagonal/>
    </border>
    <border>
      <left style="thin">
        <color rgb="FF1D6F42"/>
      </left>
      <right/>
      <top/>
      <bottom/>
      <diagonal/>
    </border>
    <border>
      <left/>
      <right style="thin">
        <color rgb="FF1D6F42"/>
      </right>
      <top/>
      <bottom/>
      <diagonal/>
    </border>
    <border>
      <left style="thin">
        <color rgb="FF1D6F42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1D6F42"/>
      </right>
      <top/>
      <bottom style="double">
        <color indexed="64"/>
      </bottom>
      <diagonal/>
    </border>
    <border>
      <left style="thin">
        <color rgb="FF1D6F42"/>
      </left>
      <right/>
      <top/>
      <bottom style="thin">
        <color rgb="FF1D6F42"/>
      </bottom>
      <diagonal/>
    </border>
    <border>
      <left/>
      <right/>
      <top/>
      <bottom style="thin">
        <color rgb="FF1D6F42"/>
      </bottom>
      <diagonal/>
    </border>
    <border>
      <left/>
      <right style="thin">
        <color rgb="FF1D6F42"/>
      </right>
      <top/>
      <bottom style="thin">
        <color rgb="FF1D6F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double">
        <color indexed="64"/>
      </bottom>
      <diagonal/>
    </border>
    <border>
      <left/>
      <right/>
      <top style="thin">
        <color theme="0" tint="-0.14999847407452621"/>
      </top>
      <bottom style="double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medium">
        <color rgb="FF1D6F42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double">
        <color indexed="64"/>
      </bottom>
      <diagonal/>
    </border>
    <border>
      <left style="medium">
        <color rgb="FF1D6F4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medium">
        <color rgb="FF1D6F42"/>
      </left>
      <right/>
      <top style="medium">
        <color indexed="64"/>
      </top>
      <bottom style="thin">
        <color rgb="FF1D6F42"/>
      </bottom>
      <diagonal/>
    </border>
    <border>
      <left/>
      <right/>
      <top style="medium">
        <color indexed="64"/>
      </top>
      <bottom style="thin">
        <color rgb="FF1D6F42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rgb="FF1D6F42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rgb="FF1D6F42"/>
      </bottom>
      <diagonal/>
    </border>
    <border>
      <left style="medium">
        <color indexed="64"/>
      </left>
      <right style="medium">
        <color indexed="64"/>
      </right>
      <top style="thin">
        <color rgb="FF1D6F42"/>
      </top>
      <bottom style="medium">
        <color indexed="64"/>
      </bottom>
      <diagonal/>
    </border>
    <border>
      <left style="medium">
        <color indexed="64"/>
      </left>
      <right style="thin">
        <color rgb="FF1D6F42"/>
      </right>
      <top style="thin">
        <color rgb="FF1D6F42"/>
      </top>
      <bottom style="medium">
        <color indexed="64"/>
      </bottom>
      <diagonal/>
    </border>
    <border>
      <left style="thin">
        <color rgb="FF1D6F4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1D6F42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1D6F42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D6F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1D6F42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1D6F42"/>
      </left>
      <right/>
      <top style="thin">
        <color auto="1"/>
      </top>
      <bottom style="thin">
        <color rgb="FF1D6F42"/>
      </bottom>
      <diagonal/>
    </border>
    <border>
      <left/>
      <right/>
      <top style="thin">
        <color auto="1"/>
      </top>
      <bottom style="thin">
        <color rgb="FF1D6F4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8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4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164" fontId="0" fillId="5" borderId="6" xfId="0" applyNumberFormat="1" applyFill="1" applyBorder="1"/>
    <xf numFmtId="0" fontId="3" fillId="3" borderId="7" xfId="0" applyFont="1" applyFill="1" applyBorder="1"/>
    <xf numFmtId="0" fontId="3" fillId="3" borderId="8" xfId="0" applyFont="1" applyFill="1" applyBorder="1"/>
    <xf numFmtId="164" fontId="3" fillId="3" borderId="8" xfId="0" applyNumberFormat="1" applyFont="1" applyFill="1" applyBorder="1"/>
    <xf numFmtId="164" fontId="3" fillId="3" borderId="9" xfId="0" applyNumberFormat="1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4" fillId="0" borderId="0" xfId="0" applyFont="1"/>
    <xf numFmtId="44" fontId="0" fillId="0" borderId="0" xfId="1" applyFont="1"/>
    <xf numFmtId="0" fontId="0" fillId="4" borderId="17" xfId="0" applyFill="1" applyBorder="1"/>
    <xf numFmtId="0" fontId="0" fillId="5" borderId="18" xfId="0" applyFill="1" applyBorder="1"/>
    <xf numFmtId="0" fontId="1" fillId="0" borderId="0" xfId="0" applyFont="1"/>
    <xf numFmtId="44" fontId="1" fillId="0" borderId="0" xfId="1" applyFont="1"/>
    <xf numFmtId="0" fontId="0" fillId="4" borderId="19" xfId="0" applyFill="1" applyBorder="1"/>
    <xf numFmtId="0" fontId="6" fillId="7" borderId="20" xfId="0" applyFont="1" applyFill="1" applyBorder="1"/>
    <xf numFmtId="0" fontId="6" fillId="7" borderId="21" xfId="0" applyFont="1" applyFill="1" applyBorder="1"/>
    <xf numFmtId="164" fontId="6" fillId="7" borderId="21" xfId="0" applyNumberFormat="1" applyFont="1" applyFill="1" applyBorder="1"/>
    <xf numFmtId="0" fontId="6" fillId="7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9" borderId="20" xfId="0" applyFont="1" applyFill="1" applyBorder="1"/>
    <xf numFmtId="0" fontId="6" fillId="9" borderId="21" xfId="0" applyFont="1" applyFill="1" applyBorder="1"/>
    <xf numFmtId="164" fontId="6" fillId="9" borderId="21" xfId="0" applyNumberFormat="1" applyFont="1" applyFill="1" applyBorder="1"/>
    <xf numFmtId="0" fontId="6" fillId="9" borderId="22" xfId="0" applyFont="1" applyFill="1" applyBorder="1"/>
    <xf numFmtId="0" fontId="6" fillId="11" borderId="20" xfId="0" applyFont="1" applyFill="1" applyBorder="1"/>
    <xf numFmtId="0" fontId="6" fillId="11" borderId="21" xfId="0" applyFont="1" applyFill="1" applyBorder="1"/>
    <xf numFmtId="164" fontId="6" fillId="11" borderId="21" xfId="0" applyNumberFormat="1" applyFont="1" applyFill="1" applyBorder="1"/>
    <xf numFmtId="0" fontId="6" fillId="11" borderId="22" xfId="0" applyFont="1" applyFill="1" applyBorder="1"/>
    <xf numFmtId="0" fontId="0" fillId="0" borderId="17" xfId="0" applyBorder="1"/>
    <xf numFmtId="0" fontId="0" fillId="0" borderId="2" xfId="0" applyBorder="1"/>
    <xf numFmtId="0" fontId="0" fillId="0" borderId="26" xfId="0" applyBorder="1"/>
    <xf numFmtId="0" fontId="3" fillId="3" borderId="20" xfId="0" applyFont="1" applyFill="1" applyBorder="1"/>
    <xf numFmtId="0" fontId="3" fillId="3" borderId="21" xfId="0" applyFont="1" applyFill="1" applyBorder="1"/>
    <xf numFmtId="164" fontId="3" fillId="3" borderId="21" xfId="0" applyNumberFormat="1" applyFont="1" applyFill="1" applyBorder="1"/>
    <xf numFmtId="0" fontId="3" fillId="3" borderId="22" xfId="0" applyFont="1" applyFill="1" applyBorder="1"/>
    <xf numFmtId="0" fontId="0" fillId="6" borderId="4" xfId="0" applyFill="1" applyBorder="1"/>
    <xf numFmtId="164" fontId="0" fillId="6" borderId="5" xfId="0" applyNumberFormat="1" applyFill="1" applyBorder="1"/>
    <xf numFmtId="0" fontId="0" fillId="6" borderId="6" xfId="0" applyFill="1" applyBorder="1"/>
    <xf numFmtId="0" fontId="0" fillId="8" borderId="4" xfId="0" applyFill="1" applyBorder="1"/>
    <xf numFmtId="164" fontId="0" fillId="8" borderId="5" xfId="0" applyNumberFormat="1" applyFill="1" applyBorder="1"/>
    <xf numFmtId="0" fontId="0" fillId="8" borderId="6" xfId="0" applyFill="1" applyBorder="1"/>
    <xf numFmtId="0" fontId="0" fillId="10" borderId="4" xfId="0" applyFill="1" applyBorder="1"/>
    <xf numFmtId="164" fontId="0" fillId="10" borderId="5" xfId="0" applyNumberFormat="1" applyFill="1" applyBorder="1"/>
    <xf numFmtId="0" fontId="0" fillId="10" borderId="6" xfId="0" applyFill="1" applyBorder="1"/>
    <xf numFmtId="0" fontId="3" fillId="3" borderId="9" xfId="0" applyFont="1" applyFill="1" applyBorder="1"/>
    <xf numFmtId="0" fontId="7" fillId="0" borderId="0" xfId="0" applyFont="1"/>
    <xf numFmtId="164" fontId="0" fillId="0" borderId="0" xfId="0" applyNumberFormat="1"/>
    <xf numFmtId="0" fontId="6" fillId="4" borderId="27" xfId="0" applyFont="1" applyFill="1" applyBorder="1" applyAlignment="1">
      <alignment horizontal="center" wrapText="1"/>
    </xf>
    <xf numFmtId="0" fontId="6" fillId="4" borderId="28" xfId="0" applyFont="1" applyFill="1" applyBorder="1" applyAlignment="1">
      <alignment horizontal="center" wrapText="1"/>
    </xf>
    <xf numFmtId="0" fontId="6" fillId="4" borderId="29" xfId="0" applyFont="1" applyFill="1" applyBorder="1" applyAlignment="1">
      <alignment horizontal="center" wrapText="1"/>
    </xf>
    <xf numFmtId="165" fontId="6" fillId="4" borderId="30" xfId="0" applyNumberFormat="1" applyFont="1" applyFill="1" applyBorder="1" applyAlignment="1">
      <alignment horizontal="center"/>
    </xf>
    <xf numFmtId="164" fontId="6" fillId="4" borderId="31" xfId="0" applyNumberFormat="1" applyFont="1" applyFill="1" applyBorder="1" applyAlignment="1">
      <alignment horizontal="center"/>
    </xf>
    <xf numFmtId="164" fontId="6" fillId="4" borderId="32" xfId="0" applyNumberFormat="1" applyFont="1" applyFill="1" applyBorder="1" applyAlignment="1">
      <alignment horizontal="center"/>
    </xf>
    <xf numFmtId="0" fontId="6" fillId="12" borderId="27" xfId="0" applyFont="1" applyFill="1" applyBorder="1"/>
    <xf numFmtId="0" fontId="6" fillId="12" borderId="28" xfId="0" applyFont="1" applyFill="1" applyBorder="1"/>
    <xf numFmtId="0" fontId="6" fillId="12" borderId="29" xfId="0" applyFont="1" applyFill="1" applyBorder="1"/>
    <xf numFmtId="0" fontId="0" fillId="6" borderId="33" xfId="0" applyFill="1" applyBorder="1"/>
    <xf numFmtId="164" fontId="0" fillId="6" borderId="0" xfId="0" applyNumberFormat="1" applyFill="1"/>
    <xf numFmtId="166" fontId="0" fillId="6" borderId="34" xfId="0" applyNumberFormat="1" applyFill="1" applyBorder="1"/>
    <xf numFmtId="0" fontId="0" fillId="0" borderId="33" xfId="0" applyBorder="1" applyAlignment="1">
      <alignment wrapText="1"/>
    </xf>
    <xf numFmtId="167" fontId="0" fillId="0" borderId="34" xfId="0" applyNumberFormat="1" applyBorder="1"/>
    <xf numFmtId="0" fontId="0" fillId="0" borderId="30" xfId="0" applyBorder="1" applyAlignment="1">
      <alignment wrapText="1"/>
    </xf>
    <xf numFmtId="164" fontId="0" fillId="0" borderId="31" xfId="0" applyNumberFormat="1" applyBorder="1"/>
    <xf numFmtId="167" fontId="0" fillId="0" borderId="32" xfId="0" applyNumberFormat="1" applyBorder="1"/>
    <xf numFmtId="0" fontId="0" fillId="8" borderId="33" xfId="0" applyFill="1" applyBorder="1"/>
    <xf numFmtId="164" fontId="0" fillId="8" borderId="0" xfId="0" applyNumberFormat="1" applyFill="1"/>
    <xf numFmtId="166" fontId="0" fillId="8" borderId="34" xfId="0" applyNumberFormat="1" applyFill="1" applyBorder="1"/>
    <xf numFmtId="0" fontId="0" fillId="10" borderId="33" xfId="0" applyFill="1" applyBorder="1"/>
    <xf numFmtId="164" fontId="0" fillId="10" borderId="0" xfId="0" applyNumberFormat="1" applyFill="1"/>
    <xf numFmtId="166" fontId="0" fillId="10" borderId="34" xfId="0" applyNumberFormat="1" applyFill="1" applyBorder="1"/>
    <xf numFmtId="0" fontId="6" fillId="12" borderId="30" xfId="0" applyFont="1" applyFill="1" applyBorder="1"/>
    <xf numFmtId="164" fontId="6" fillId="12" borderId="31" xfId="0" applyNumberFormat="1" applyFont="1" applyFill="1" applyBorder="1"/>
    <xf numFmtId="0" fontId="0" fillId="12" borderId="32" xfId="0" applyFill="1" applyBorder="1"/>
    <xf numFmtId="0" fontId="6" fillId="0" borderId="35" xfId="0" applyFont="1" applyBorder="1"/>
    <xf numFmtId="0" fontId="6" fillId="12" borderId="36" xfId="0" applyFont="1" applyFill="1" applyBorder="1"/>
    <xf numFmtId="0" fontId="0" fillId="0" borderId="36" xfId="0" applyBorder="1"/>
    <xf numFmtId="164" fontId="10" fillId="0" borderId="37" xfId="0" applyNumberFormat="1" applyFont="1" applyBorder="1"/>
    <xf numFmtId="9" fontId="0" fillId="13" borderId="36" xfId="0" applyNumberFormat="1" applyFill="1" applyBorder="1"/>
    <xf numFmtId="164" fontId="0" fillId="0" borderId="36" xfId="0" applyNumberFormat="1" applyBorder="1"/>
    <xf numFmtId="0" fontId="6" fillId="0" borderId="37" xfId="0" applyFont="1" applyBorder="1"/>
    <xf numFmtId="164" fontId="4" fillId="0" borderId="38" xfId="0" applyNumberFormat="1" applyFont="1" applyBorder="1"/>
    <xf numFmtId="0" fontId="6" fillId="0" borderId="36" xfId="0" applyFont="1" applyBorder="1"/>
    <xf numFmtId="9" fontId="6" fillId="0" borderId="36" xfId="0" applyNumberFormat="1" applyFont="1" applyBorder="1"/>
    <xf numFmtId="164" fontId="6" fillId="0" borderId="36" xfId="0" applyNumberFormat="1" applyFont="1" applyBorder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3" borderId="42" xfId="0" applyFont="1" applyFill="1" applyBorder="1"/>
    <xf numFmtId="0" fontId="3" fillId="3" borderId="0" xfId="0" applyFont="1" applyFill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1" fillId="14" borderId="42" xfId="0" applyFont="1" applyFill="1" applyBorder="1"/>
    <xf numFmtId="16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43" xfId="0" applyNumberFormat="1" applyFill="1" applyBorder="1" applyAlignment="1">
      <alignment horizontal="center"/>
    </xf>
    <xf numFmtId="44" fontId="11" fillId="0" borderId="0" xfId="1" applyFont="1" applyAlignment="1">
      <alignment horizontal="right" vertical="center"/>
    </xf>
    <xf numFmtId="0" fontId="1" fillId="0" borderId="44" xfId="0" applyFont="1" applyBorder="1"/>
    <xf numFmtId="164" fontId="0" fillId="0" borderId="45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3" fillId="3" borderId="47" xfId="0" applyFont="1" applyFill="1" applyBorder="1"/>
    <xf numFmtId="0" fontId="3" fillId="3" borderId="48" xfId="0" applyFont="1" applyFill="1" applyBorder="1"/>
    <xf numFmtId="164" fontId="3" fillId="3" borderId="48" xfId="0" applyNumberFormat="1" applyFont="1" applyFill="1" applyBorder="1"/>
    <xf numFmtId="164" fontId="3" fillId="3" borderId="49" xfId="0" applyNumberFormat="1" applyFont="1" applyFill="1" applyBorder="1"/>
    <xf numFmtId="0" fontId="17" fillId="15" borderId="0" xfId="0" applyFont="1" applyFill="1" applyAlignment="1">
      <alignment horizontal="left" vertical="center"/>
    </xf>
    <xf numFmtId="6" fontId="11" fillId="15" borderId="0" xfId="0" applyNumberFormat="1" applyFont="1" applyFill="1" applyAlignment="1">
      <alignment horizontal="right" vertical="center"/>
    </xf>
    <xf numFmtId="0" fontId="19" fillId="3" borderId="56" xfId="0" applyFont="1" applyFill="1" applyBorder="1" applyAlignment="1">
      <alignment horizontal="left" vertical="center" wrapText="1"/>
    </xf>
    <xf numFmtId="0" fontId="19" fillId="3" borderId="57" xfId="0" applyFont="1" applyFill="1" applyBorder="1" applyAlignment="1">
      <alignment horizontal="left" vertical="center" wrapText="1"/>
    </xf>
    <xf numFmtId="0" fontId="19" fillId="3" borderId="57" xfId="0" applyFont="1" applyFill="1" applyBorder="1" applyAlignment="1">
      <alignment horizontal="center" vertical="center" wrapText="1"/>
    </xf>
    <xf numFmtId="168" fontId="11" fillId="6" borderId="61" xfId="0" applyNumberFormat="1" applyFont="1" applyFill="1" applyBorder="1" applyAlignment="1">
      <alignment vertical="center" wrapText="1"/>
    </xf>
    <xf numFmtId="8" fontId="11" fillId="6" borderId="61" xfId="0" applyNumberFormat="1" applyFont="1" applyFill="1" applyBorder="1" applyAlignment="1">
      <alignment vertical="center" wrapText="1"/>
    </xf>
    <xf numFmtId="0" fontId="16" fillId="6" borderId="0" xfId="0" applyFont="1" applyFill="1"/>
    <xf numFmtId="0" fontId="16" fillId="6" borderId="0" xfId="0" applyFont="1" applyFill="1" applyAlignment="1">
      <alignment horizontal="center"/>
    </xf>
    <xf numFmtId="0" fontId="16" fillId="6" borderId="58" xfId="0" applyFont="1" applyFill="1" applyBorder="1"/>
    <xf numFmtId="168" fontId="11" fillId="0" borderId="60" xfId="0" applyNumberFormat="1" applyFont="1" applyBorder="1" applyAlignment="1">
      <alignment vertical="center" wrapText="1"/>
    </xf>
    <xf numFmtId="8" fontId="11" fillId="0" borderId="60" xfId="0" applyNumberFormat="1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58" xfId="0" applyFont="1" applyBorder="1"/>
    <xf numFmtId="168" fontId="11" fillId="6" borderId="63" xfId="0" applyNumberFormat="1" applyFont="1" applyFill="1" applyBorder="1" applyAlignment="1">
      <alignment vertical="center" wrapText="1"/>
    </xf>
    <xf numFmtId="8" fontId="11" fillId="6" borderId="63" xfId="0" applyNumberFormat="1" applyFont="1" applyFill="1" applyBorder="1" applyAlignment="1">
      <alignment vertical="center" wrapText="1"/>
    </xf>
    <xf numFmtId="0" fontId="16" fillId="6" borderId="45" xfId="0" applyFont="1" applyFill="1" applyBorder="1"/>
    <xf numFmtId="0" fontId="16" fillId="6" borderId="45" xfId="0" applyFont="1" applyFill="1" applyBorder="1" applyAlignment="1">
      <alignment horizontal="center"/>
    </xf>
    <xf numFmtId="0" fontId="16" fillId="6" borderId="64" xfId="0" applyFont="1" applyFill="1" applyBorder="1"/>
    <xf numFmtId="168" fontId="14" fillId="6" borderId="67" xfId="0" applyNumberFormat="1" applyFont="1" applyFill="1" applyBorder="1" applyAlignment="1">
      <alignment vertical="center" wrapText="1"/>
    </xf>
    <xf numFmtId="8" fontId="14" fillId="6" borderId="67" xfId="0" applyNumberFormat="1" applyFont="1" applyFill="1" applyBorder="1" applyAlignment="1">
      <alignment vertical="center" wrapText="1"/>
    </xf>
    <xf numFmtId="0" fontId="20" fillId="6" borderId="68" xfId="0" applyFont="1" applyFill="1" applyBorder="1"/>
    <xf numFmtId="0" fontId="20" fillId="6" borderId="69" xfId="0" applyFont="1" applyFill="1" applyBorder="1"/>
    <xf numFmtId="0" fontId="14" fillId="0" borderId="70" xfId="0" applyFont="1" applyBorder="1" applyAlignment="1">
      <alignment horizontal="center" vertical="center" wrapText="1"/>
    </xf>
    <xf numFmtId="168" fontId="14" fillId="0" borderId="70" xfId="0" applyNumberFormat="1" applyFont="1" applyBorder="1" applyAlignment="1">
      <alignment horizontal="center" vertical="center" wrapText="1"/>
    </xf>
    <xf numFmtId="168" fontId="19" fillId="3" borderId="36" xfId="0" applyNumberFormat="1" applyFont="1" applyFill="1" applyBorder="1" applyAlignment="1">
      <alignment horizontal="left" vertical="center" wrapText="1"/>
    </xf>
    <xf numFmtId="0" fontId="19" fillId="3" borderId="36" xfId="0" applyFont="1" applyFill="1" applyBorder="1" applyAlignment="1">
      <alignment horizontal="left" vertical="center" wrapText="1"/>
    </xf>
    <xf numFmtId="8" fontId="21" fillId="3" borderId="36" xfId="0" applyNumberFormat="1" applyFont="1" applyFill="1" applyBorder="1" applyAlignment="1">
      <alignment vertical="center" wrapText="1"/>
    </xf>
    <xf numFmtId="0" fontId="19" fillId="3" borderId="36" xfId="0" applyFont="1" applyFill="1" applyBorder="1" applyAlignment="1">
      <alignment vertical="center"/>
    </xf>
    <xf numFmtId="168" fontId="11" fillId="10" borderId="70" xfId="0" applyNumberFormat="1" applyFont="1" applyFill="1" applyBorder="1" applyAlignment="1">
      <alignment vertical="center" wrapText="1"/>
    </xf>
    <xf numFmtId="8" fontId="11" fillId="10" borderId="70" xfId="0" applyNumberFormat="1" applyFont="1" applyFill="1" applyBorder="1" applyAlignment="1">
      <alignment vertical="center" wrapText="1"/>
    </xf>
    <xf numFmtId="8" fontId="11" fillId="10" borderId="61" xfId="0" applyNumberFormat="1" applyFont="1" applyFill="1" applyBorder="1" applyAlignment="1">
      <alignment vertical="center" wrapText="1"/>
    </xf>
    <xf numFmtId="0" fontId="16" fillId="10" borderId="0" xfId="0" applyFont="1" applyFill="1"/>
    <xf numFmtId="0" fontId="16" fillId="10" borderId="0" xfId="0" applyFont="1" applyFill="1" applyAlignment="1">
      <alignment horizontal="center"/>
    </xf>
    <xf numFmtId="0" fontId="16" fillId="10" borderId="0" xfId="0" applyFont="1" applyFill="1" applyAlignment="1">
      <alignment horizontal="left"/>
    </xf>
    <xf numFmtId="168" fontId="11" fillId="0" borderId="63" xfId="0" applyNumberFormat="1" applyFont="1" applyBorder="1" applyAlignment="1">
      <alignment vertical="center" wrapText="1"/>
    </xf>
    <xf numFmtId="8" fontId="11" fillId="0" borderId="63" xfId="0" applyNumberFormat="1" applyFont="1" applyBorder="1" applyAlignment="1">
      <alignment vertical="center" wrapText="1"/>
    </xf>
    <xf numFmtId="0" fontId="16" fillId="0" borderId="45" xfId="0" applyFont="1" applyBorder="1"/>
    <xf numFmtId="0" fontId="16" fillId="0" borderId="45" xfId="0" applyFont="1" applyBorder="1" applyAlignment="1">
      <alignment horizontal="center"/>
    </xf>
    <xf numFmtId="0" fontId="16" fillId="0" borderId="45" xfId="0" applyFont="1" applyBorder="1" applyAlignment="1">
      <alignment horizontal="left"/>
    </xf>
    <xf numFmtId="164" fontId="14" fillId="10" borderId="68" xfId="0" applyNumberFormat="1" applyFont="1" applyFill="1" applyBorder="1" applyAlignment="1">
      <alignment vertical="center" wrapText="1"/>
    </xf>
    <xf numFmtId="164" fontId="14" fillId="10" borderId="67" xfId="0" applyNumberFormat="1" applyFont="1" applyFill="1" applyBorder="1" applyAlignment="1">
      <alignment vertical="center" wrapText="1"/>
    </xf>
    <xf numFmtId="0" fontId="20" fillId="10" borderId="68" xfId="0" applyFont="1" applyFill="1" applyBorder="1"/>
    <xf numFmtId="0" fontId="20" fillId="10" borderId="68" xfId="0" applyFont="1" applyFill="1" applyBorder="1" applyAlignment="1">
      <alignment horizontal="center"/>
    </xf>
    <xf numFmtId="0" fontId="20" fillId="10" borderId="68" xfId="0" applyFont="1" applyFill="1" applyBorder="1" applyAlignment="1">
      <alignment horizontal="left"/>
    </xf>
    <xf numFmtId="0" fontId="20" fillId="10" borderId="69" xfId="0" applyFont="1" applyFill="1" applyBorder="1" applyAlignment="1">
      <alignment horizontal="left"/>
    </xf>
    <xf numFmtId="0" fontId="14" fillId="0" borderId="8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82" xfId="0" applyFont="1" applyBorder="1" applyAlignment="1">
      <alignment horizontal="center" vertical="center" wrapText="1"/>
    </xf>
    <xf numFmtId="168" fontId="11" fillId="0" borderId="0" xfId="0" applyNumberFormat="1" applyFont="1" applyAlignment="1">
      <alignment vertical="center" wrapText="1"/>
    </xf>
    <xf numFmtId="8" fontId="11" fillId="0" borderId="0" xfId="0" applyNumberFormat="1" applyFont="1" applyAlignment="1">
      <alignment vertical="center" wrapText="1"/>
    </xf>
    <xf numFmtId="8" fontId="11" fillId="0" borderId="70" xfId="0" applyNumberFormat="1" applyFont="1" applyBorder="1" applyAlignment="1">
      <alignment vertical="center" wrapText="1"/>
    </xf>
    <xf numFmtId="0" fontId="16" fillId="0" borderId="0" xfId="0" applyFont="1" applyAlignment="1">
      <alignment horizontal="left"/>
    </xf>
    <xf numFmtId="0" fontId="16" fillId="0" borderId="43" xfId="0" applyFont="1" applyBorder="1" applyAlignment="1">
      <alignment horizontal="left"/>
    </xf>
    <xf numFmtId="168" fontId="11" fillId="8" borderId="0" xfId="0" applyNumberFormat="1" applyFont="1" applyFill="1" applyAlignment="1">
      <alignment vertical="center" wrapText="1"/>
    </xf>
    <xf numFmtId="8" fontId="11" fillId="8" borderId="0" xfId="0" applyNumberFormat="1" applyFont="1" applyFill="1" applyAlignment="1">
      <alignment vertical="center" wrapText="1"/>
    </xf>
    <xf numFmtId="8" fontId="11" fillId="8" borderId="61" xfId="0" applyNumberFormat="1" applyFont="1" applyFill="1" applyBorder="1" applyAlignment="1">
      <alignment vertical="center" wrapText="1"/>
    </xf>
    <xf numFmtId="0" fontId="16" fillId="8" borderId="0" xfId="0" applyFont="1" applyFill="1"/>
    <xf numFmtId="0" fontId="16" fillId="8" borderId="0" xfId="0" applyFont="1" applyFill="1" applyAlignment="1">
      <alignment horizontal="center"/>
    </xf>
    <xf numFmtId="0" fontId="16" fillId="8" borderId="0" xfId="0" applyFont="1" applyFill="1" applyAlignment="1">
      <alignment horizontal="left"/>
    </xf>
    <xf numFmtId="168" fontId="11" fillId="0" borderId="61" xfId="0" applyNumberFormat="1" applyFont="1" applyBorder="1" applyAlignment="1">
      <alignment vertical="center" wrapText="1"/>
    </xf>
    <xf numFmtId="8" fontId="11" fillId="0" borderId="61" xfId="0" applyNumberFormat="1" applyFont="1" applyBorder="1" applyAlignment="1">
      <alignment vertical="center" wrapText="1"/>
    </xf>
    <xf numFmtId="8" fontId="11" fillId="8" borderId="60" xfId="0" applyNumberFormat="1" applyFont="1" applyFill="1" applyBorder="1" applyAlignment="1">
      <alignment vertical="center" wrapText="1"/>
    </xf>
    <xf numFmtId="168" fontId="11" fillId="8" borderId="86" xfId="0" applyNumberFormat="1" applyFont="1" applyFill="1" applyBorder="1" applyAlignment="1">
      <alignment vertical="center" wrapText="1"/>
    </xf>
    <xf numFmtId="8" fontId="11" fillId="8" borderId="86" xfId="0" applyNumberFormat="1" applyFont="1" applyFill="1" applyBorder="1" applyAlignment="1">
      <alignment vertical="center" wrapText="1"/>
    </xf>
    <xf numFmtId="8" fontId="11" fillId="8" borderId="63" xfId="0" applyNumberFormat="1" applyFont="1" applyFill="1" applyBorder="1" applyAlignment="1">
      <alignment vertical="center" wrapText="1"/>
    </xf>
    <xf numFmtId="0" fontId="16" fillId="8" borderId="45" xfId="0" applyFont="1" applyFill="1" applyBorder="1"/>
    <xf numFmtId="0" fontId="16" fillId="8" borderId="45" xfId="0" applyFont="1" applyFill="1" applyBorder="1" applyAlignment="1">
      <alignment horizontal="center"/>
    </xf>
    <xf numFmtId="0" fontId="16" fillId="8" borderId="45" xfId="0" applyFont="1" applyFill="1" applyBorder="1" applyAlignment="1">
      <alignment horizontal="left"/>
    </xf>
    <xf numFmtId="164" fontId="14" fillId="8" borderId="67" xfId="0" applyNumberFormat="1" applyFont="1" applyFill="1" applyBorder="1" applyAlignment="1">
      <alignment vertical="center" wrapText="1"/>
    </xf>
    <xf numFmtId="0" fontId="20" fillId="8" borderId="68" xfId="0" applyFont="1" applyFill="1" applyBorder="1"/>
    <xf numFmtId="0" fontId="20" fillId="8" borderId="69" xfId="0" applyFont="1" applyFill="1" applyBorder="1"/>
    <xf numFmtId="168" fontId="21" fillId="3" borderId="0" xfId="0" applyNumberFormat="1" applyFont="1" applyFill="1" applyAlignment="1">
      <alignment vertical="center" wrapText="1"/>
    </xf>
    <xf numFmtId="8" fontId="21" fillId="3" borderId="0" xfId="0" applyNumberFormat="1" applyFont="1" applyFill="1" applyAlignment="1">
      <alignment vertical="center" wrapText="1"/>
    </xf>
    <xf numFmtId="8" fontId="21" fillId="3" borderId="60" xfId="0" applyNumberFormat="1" applyFont="1" applyFill="1" applyBorder="1" applyAlignment="1">
      <alignment vertical="center" wrapText="1"/>
    </xf>
    <xf numFmtId="164" fontId="21" fillId="3" borderId="92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3" fillId="0" borderId="39" xfId="0" applyFont="1" applyBorder="1" applyAlignment="1">
      <alignment wrapText="1"/>
    </xf>
    <xf numFmtId="0" fontId="23" fillId="0" borderId="40" xfId="0" applyFont="1" applyBorder="1" applyAlignment="1">
      <alignment wrapText="1"/>
    </xf>
    <xf numFmtId="0" fontId="21" fillId="3" borderId="40" xfId="0" applyFont="1" applyFill="1" applyBorder="1" applyAlignment="1">
      <alignment wrapText="1"/>
    </xf>
    <xf numFmtId="0" fontId="21" fillId="3" borderId="93" xfId="0" applyFont="1" applyFill="1" applyBorder="1" applyAlignment="1">
      <alignment horizontal="left" vertical="center" wrapText="1"/>
    </xf>
    <xf numFmtId="0" fontId="21" fillId="3" borderId="94" xfId="0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9" fontId="25" fillId="6" borderId="97" xfId="0" applyNumberFormat="1" applyFont="1" applyFill="1" applyBorder="1" applyAlignment="1">
      <alignment horizontal="left" vertical="center"/>
    </xf>
    <xf numFmtId="169" fontId="25" fillId="6" borderId="98" xfId="0" applyNumberFormat="1" applyFont="1" applyFill="1" applyBorder="1" applyAlignment="1">
      <alignment horizontal="left" vertical="center"/>
    </xf>
    <xf numFmtId="168" fontId="25" fillId="6" borderId="99" xfId="0" applyNumberFormat="1" applyFont="1" applyFill="1" applyBorder="1" applyAlignment="1">
      <alignment horizontal="left" vertical="center"/>
    </xf>
    <xf numFmtId="168" fontId="25" fillId="6" borderId="100" xfId="0" applyNumberFormat="1" applyFont="1" applyFill="1" applyBorder="1" applyAlignment="1">
      <alignment horizontal="left" vertical="center"/>
    </xf>
    <xf numFmtId="168" fontId="25" fillId="14" borderId="101" xfId="0" applyNumberFormat="1" applyFont="1" applyFill="1" applyBorder="1" applyAlignment="1">
      <alignment horizontal="left" vertical="center"/>
    </xf>
    <xf numFmtId="169" fontId="25" fillId="8" borderId="71" xfId="0" applyNumberFormat="1" applyFont="1" applyFill="1" applyBorder="1" applyAlignment="1">
      <alignment horizontal="left" vertical="center"/>
    </xf>
    <xf numFmtId="169" fontId="25" fillId="8" borderId="102" xfId="0" applyNumberFormat="1" applyFont="1" applyFill="1" applyBorder="1" applyAlignment="1">
      <alignment horizontal="left" vertical="center"/>
    </xf>
    <xf numFmtId="168" fontId="25" fillId="8" borderId="103" xfId="0" applyNumberFormat="1" applyFont="1" applyFill="1" applyBorder="1" applyAlignment="1">
      <alignment horizontal="left" vertical="center"/>
    </xf>
    <xf numFmtId="168" fontId="25" fillId="8" borderId="104" xfId="0" applyNumberFormat="1" applyFont="1" applyFill="1" applyBorder="1" applyAlignment="1">
      <alignment horizontal="left" vertical="center"/>
    </xf>
    <xf numFmtId="168" fontId="25" fillId="18" borderId="105" xfId="0" applyNumberFormat="1" applyFont="1" applyFill="1" applyBorder="1" applyAlignment="1">
      <alignment horizontal="left" vertical="center"/>
    </xf>
    <xf numFmtId="169" fontId="25" fillId="10" borderId="109" xfId="0" applyNumberFormat="1" applyFont="1" applyFill="1" applyBorder="1" applyAlignment="1">
      <alignment horizontal="left" vertical="center"/>
    </xf>
    <xf numFmtId="169" fontId="25" fillId="10" borderId="110" xfId="0" applyNumberFormat="1" applyFont="1" applyFill="1" applyBorder="1" applyAlignment="1">
      <alignment horizontal="left" vertical="center"/>
    </xf>
    <xf numFmtId="168" fontId="25" fillId="10" borderId="111" xfId="0" applyNumberFormat="1" applyFont="1" applyFill="1" applyBorder="1" applyAlignment="1">
      <alignment horizontal="left" vertical="center"/>
    </xf>
    <xf numFmtId="168" fontId="25" fillId="10" borderId="112" xfId="0" applyNumberFormat="1" applyFont="1" applyFill="1" applyBorder="1" applyAlignment="1">
      <alignment horizontal="left" vertical="center"/>
    </xf>
    <xf numFmtId="168" fontId="25" fillId="14" borderId="113" xfId="0" applyNumberFormat="1" applyFont="1" applyFill="1" applyBorder="1" applyAlignment="1">
      <alignment horizontal="left" vertical="center"/>
    </xf>
    <xf numFmtId="0" fontId="21" fillId="3" borderId="48" xfId="0" applyFont="1" applyFill="1" applyBorder="1" applyAlignment="1">
      <alignment horizontal="left" vertical="center"/>
    </xf>
    <xf numFmtId="168" fontId="21" fillId="3" borderId="49" xfId="0" applyNumberFormat="1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6" fillId="0" borderId="0" xfId="0" applyFont="1" applyAlignment="1">
      <alignment wrapText="1"/>
    </xf>
    <xf numFmtId="44" fontId="6" fillId="19" borderId="0" xfId="1" applyFont="1" applyFill="1" applyAlignment="1">
      <alignment wrapText="1"/>
    </xf>
    <xf numFmtId="44" fontId="27" fillId="20" borderId="0" xfId="1" applyFont="1" applyFill="1" applyAlignment="1">
      <alignment wrapText="1"/>
    </xf>
    <xf numFmtId="44" fontId="27" fillId="19" borderId="0" xfId="1" applyFont="1" applyFill="1" applyAlignment="1">
      <alignment wrapText="1"/>
    </xf>
    <xf numFmtId="44" fontId="27" fillId="21" borderId="0" xfId="1" applyFont="1" applyFill="1" applyAlignment="1">
      <alignment wrapText="1"/>
    </xf>
    <xf numFmtId="44" fontId="6" fillId="20" borderId="0" xfId="1" applyFont="1" applyFill="1" applyAlignment="1">
      <alignment wrapText="1"/>
    </xf>
    <xf numFmtId="44" fontId="6" fillId="22" borderId="0" xfId="1" applyFont="1" applyFill="1" applyAlignment="1">
      <alignment wrapText="1"/>
    </xf>
    <xf numFmtId="0" fontId="6" fillId="0" borderId="0" xfId="0" applyFont="1" applyAlignment="1">
      <alignment wrapText="1"/>
    </xf>
    <xf numFmtId="14" fontId="28" fillId="0" borderId="0" xfId="0" applyNumberFormat="1" applyFont="1"/>
    <xf numFmtId="168" fontId="1" fillId="0" borderId="0" xfId="1" applyNumberFormat="1" applyFont="1"/>
    <xf numFmtId="168" fontId="29" fillId="0" borderId="0" xfId="1" applyNumberFormat="1" applyFont="1"/>
    <xf numFmtId="44" fontId="29" fillId="0" borderId="0" xfId="1" applyFont="1"/>
    <xf numFmtId="44" fontId="6" fillId="0" borderId="0" xfId="1" applyFont="1"/>
    <xf numFmtId="170" fontId="1" fillId="0" borderId="0" xfId="0" applyNumberFormat="1" applyFont="1"/>
    <xf numFmtId="14" fontId="28" fillId="4" borderId="0" xfId="0" applyNumberFormat="1" applyFont="1" applyFill="1"/>
    <xf numFmtId="168" fontId="1" fillId="4" borderId="0" xfId="1" applyNumberFormat="1" applyFont="1" applyFill="1"/>
    <xf numFmtId="168" fontId="29" fillId="4" borderId="0" xfId="1" applyNumberFormat="1" applyFont="1" applyFill="1"/>
    <xf numFmtId="44" fontId="1" fillId="4" borderId="0" xfId="1" applyFont="1" applyFill="1"/>
    <xf numFmtId="0" fontId="1" fillId="4" borderId="0" xfId="0" applyFont="1" applyFill="1"/>
    <xf numFmtId="170" fontId="1" fillId="4" borderId="0" xfId="0" applyNumberFormat="1" applyFont="1" applyFill="1"/>
    <xf numFmtId="0" fontId="28" fillId="0" borderId="0" xfId="0" applyFont="1"/>
    <xf numFmtId="164" fontId="6" fillId="0" borderId="0" xfId="1" applyNumberFormat="1" applyFont="1" applyAlignment="1">
      <alignment wrapText="1"/>
    </xf>
    <xf numFmtId="164" fontId="30" fillId="0" borderId="0" xfId="1" applyNumberFormat="1" applyFont="1" applyAlignment="1">
      <alignment wrapText="1"/>
    </xf>
    <xf numFmtId="14" fontId="0" fillId="0" borderId="0" xfId="0" applyNumberFormat="1"/>
    <xf numFmtId="168" fontId="0" fillId="0" borderId="0" xfId="1" applyNumberFormat="1" applyFont="1"/>
    <xf numFmtId="168" fontId="31" fillId="0" borderId="0" xfId="1" applyNumberFormat="1" applyFont="1"/>
    <xf numFmtId="164" fontId="6" fillId="0" borderId="0" xfId="1" applyNumberFormat="1" applyFont="1"/>
    <xf numFmtId="164" fontId="0" fillId="0" borderId="0" xfId="1" applyNumberFormat="1" applyFont="1"/>
    <xf numFmtId="14" fontId="0" fillId="4" borderId="0" xfId="0" applyNumberFormat="1" applyFill="1"/>
    <xf numFmtId="168" fontId="0" fillId="4" borderId="0" xfId="1" applyNumberFormat="1" applyFont="1" applyFill="1"/>
    <xf numFmtId="168" fontId="31" fillId="4" borderId="0" xfId="1" applyNumberFormat="1" applyFont="1" applyFill="1"/>
    <xf numFmtId="164" fontId="6" fillId="4" borderId="0" xfId="1" applyNumberFormat="1" applyFont="1" applyFill="1"/>
    <xf numFmtId="0" fontId="0" fillId="4" borderId="0" xfId="0" applyFill="1"/>
    <xf numFmtId="164" fontId="31" fillId="0" borderId="0" xfId="1" applyNumberFormat="1" applyFont="1"/>
    <xf numFmtId="168" fontId="6" fillId="0" borderId="0" xfId="1" applyNumberFormat="1" applyFont="1"/>
    <xf numFmtId="168" fontId="6" fillId="4" borderId="0" xfId="1" applyNumberFormat="1" applyFont="1" applyFill="1"/>
    <xf numFmtId="0" fontId="6" fillId="0" borderId="0" xfId="0" applyFont="1"/>
    <xf numFmtId="0" fontId="29" fillId="25" borderId="0" xfId="0" applyFont="1" applyFill="1"/>
    <xf numFmtId="164" fontId="0" fillId="4" borderId="0" xfId="0" applyNumberFormat="1" applyFill="1"/>
    <xf numFmtId="164" fontId="1" fillId="0" borderId="0" xfId="0" applyNumberFormat="1" applyFont="1"/>
    <xf numFmtId="10" fontId="1" fillId="0" borderId="0" xfId="0" applyNumberFormat="1" applyFont="1"/>
    <xf numFmtId="0" fontId="1" fillId="25" borderId="0" xfId="0" applyFont="1" applyFill="1"/>
    <xf numFmtId="14" fontId="1" fillId="0" borderId="0" xfId="0" applyNumberFormat="1" applyFont="1"/>
    <xf numFmtId="164" fontId="1" fillId="4" borderId="0" xfId="0" applyNumberFormat="1" applyFont="1" applyFill="1"/>
    <xf numFmtId="0" fontId="3" fillId="23" borderId="0" xfId="0" applyFont="1" applyFill="1"/>
    <xf numFmtId="1" fontId="0" fillId="0" borderId="0" xfId="0" applyNumberFormat="1"/>
    <xf numFmtId="0" fontId="21" fillId="3" borderId="89" xfId="0" applyFont="1" applyFill="1" applyBorder="1" applyAlignment="1">
      <alignment horizontal="center" vertical="center" wrapText="1"/>
    </xf>
    <xf numFmtId="0" fontId="21" fillId="3" borderId="90" xfId="0" applyFont="1" applyFill="1" applyBorder="1" applyAlignment="1">
      <alignment horizontal="center" vertical="center" wrapText="1"/>
    </xf>
    <xf numFmtId="0" fontId="21" fillId="3" borderId="91" xfId="0" applyFont="1" applyFill="1" applyBorder="1" applyAlignment="1">
      <alignment horizontal="center" vertical="center" wrapText="1"/>
    </xf>
    <xf numFmtId="0" fontId="24" fillId="6" borderId="95" xfId="0" applyFont="1" applyFill="1" applyBorder="1" applyAlignment="1">
      <alignment horizontal="left" vertical="center"/>
    </xf>
    <xf numFmtId="0" fontId="24" fillId="6" borderId="36" xfId="0" applyFont="1" applyFill="1" applyBorder="1" applyAlignment="1">
      <alignment horizontal="left" vertical="center"/>
    </xf>
    <xf numFmtId="0" fontId="16" fillId="6" borderId="96" xfId="0" applyFont="1" applyFill="1" applyBorder="1" applyAlignment="1">
      <alignment horizontal="left" vertical="center"/>
    </xf>
    <xf numFmtId="0" fontId="24" fillId="8" borderId="95" xfId="0" applyFont="1" applyFill="1" applyBorder="1" applyAlignment="1">
      <alignment horizontal="left" vertical="center"/>
    </xf>
    <xf numFmtId="0" fontId="24" fillId="8" borderId="36" xfId="0" applyFont="1" applyFill="1" applyBorder="1" applyAlignment="1">
      <alignment horizontal="left" vertical="center"/>
    </xf>
    <xf numFmtId="0" fontId="16" fillId="8" borderId="96" xfId="0" applyFont="1" applyFill="1" applyBorder="1" applyAlignment="1">
      <alignment horizontal="left" vertical="center"/>
    </xf>
    <xf numFmtId="0" fontId="24" fillId="10" borderId="106" xfId="0" applyFont="1" applyFill="1" applyBorder="1" applyAlignment="1">
      <alignment horizontal="left" vertical="center"/>
    </xf>
    <xf numFmtId="0" fontId="24" fillId="10" borderId="107" xfId="0" applyFont="1" applyFill="1" applyBorder="1" applyAlignment="1">
      <alignment horizontal="left" vertical="center"/>
    </xf>
    <xf numFmtId="0" fontId="16" fillId="10" borderId="108" xfId="0" applyFont="1" applyFill="1" applyBorder="1" applyAlignment="1">
      <alignment horizontal="left" vertical="center"/>
    </xf>
    <xf numFmtId="0" fontId="21" fillId="3" borderId="114" xfId="0" applyFont="1" applyFill="1" applyBorder="1" applyAlignment="1">
      <alignment horizontal="center" vertical="center" wrapText="1"/>
    </xf>
    <xf numFmtId="0" fontId="21" fillId="3" borderId="115" xfId="0" applyFont="1" applyFill="1" applyBorder="1" applyAlignment="1">
      <alignment horizontal="center" vertical="center" wrapText="1"/>
    </xf>
    <xf numFmtId="0" fontId="14" fillId="0" borderId="83" xfId="0" applyFont="1" applyBorder="1" applyAlignment="1">
      <alignment horizontal="center" vertical="center" wrapText="1"/>
    </xf>
    <xf numFmtId="0" fontId="14" fillId="0" borderId="84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58" xfId="0" applyFont="1" applyBorder="1" applyAlignment="1">
      <alignment horizontal="left"/>
    </xf>
    <xf numFmtId="0" fontId="14" fillId="8" borderId="76" xfId="0" applyFont="1" applyFill="1" applyBorder="1" applyAlignment="1">
      <alignment horizontal="center" vertical="center" wrapText="1"/>
    </xf>
    <xf numFmtId="0" fontId="14" fillId="8" borderId="77" xfId="0" applyFont="1" applyFill="1" applyBorder="1" applyAlignment="1">
      <alignment horizontal="center" vertical="center" wrapText="1"/>
    </xf>
    <xf numFmtId="0" fontId="14" fillId="8" borderId="78" xfId="0" applyFont="1" applyFill="1" applyBorder="1" applyAlignment="1">
      <alignment horizontal="center" vertical="center" wrapText="1"/>
    </xf>
    <xf numFmtId="0" fontId="16" fillId="8" borderId="45" xfId="0" applyFont="1" applyFill="1" applyBorder="1" applyAlignment="1">
      <alignment horizontal="left"/>
    </xf>
    <xf numFmtId="0" fontId="16" fillId="8" borderId="64" xfId="0" applyFont="1" applyFill="1" applyBorder="1" applyAlignment="1">
      <alignment horizontal="left"/>
    </xf>
    <xf numFmtId="0" fontId="20" fillId="8" borderId="79" xfId="0" applyFont="1" applyFill="1" applyBorder="1" applyAlignment="1">
      <alignment horizontal="center"/>
    </xf>
    <xf numFmtId="0" fontId="20" fillId="8" borderId="68" xfId="0" applyFont="1" applyFill="1" applyBorder="1" applyAlignment="1">
      <alignment horizontal="center"/>
    </xf>
    <xf numFmtId="0" fontId="20" fillId="8" borderId="80" xfId="0" applyFont="1" applyFill="1" applyBorder="1" applyAlignment="1">
      <alignment horizontal="center"/>
    </xf>
    <xf numFmtId="0" fontId="21" fillId="3" borderId="87" xfId="0" applyFont="1" applyFill="1" applyBorder="1" applyAlignment="1">
      <alignment horizontal="center" vertical="center" wrapText="1"/>
    </xf>
    <xf numFmtId="0" fontId="21" fillId="3" borderId="54" xfId="0" applyFont="1" applyFill="1" applyBorder="1" applyAlignment="1">
      <alignment horizontal="center" vertical="center" wrapText="1"/>
    </xf>
    <xf numFmtId="0" fontId="21" fillId="3" borderId="88" xfId="0" applyFont="1" applyFill="1" applyBorder="1" applyAlignment="1">
      <alignment horizontal="center" vertical="center" wrapText="1"/>
    </xf>
    <xf numFmtId="0" fontId="14" fillId="8" borderId="83" xfId="0" applyFont="1" applyFill="1" applyBorder="1" applyAlignment="1">
      <alignment horizontal="center" vertical="center" wrapText="1"/>
    </xf>
    <xf numFmtId="0" fontId="14" fillId="8" borderId="84" xfId="0" applyFont="1" applyFill="1" applyBorder="1" applyAlignment="1">
      <alignment horizontal="center" vertical="center" wrapText="1"/>
    </xf>
    <xf numFmtId="0" fontId="14" fillId="8" borderId="85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left"/>
    </xf>
    <xf numFmtId="0" fontId="16" fillId="8" borderId="58" xfId="0" applyFont="1" applyFill="1" applyBorder="1" applyAlignment="1">
      <alignment horizontal="left"/>
    </xf>
    <xf numFmtId="0" fontId="21" fillId="3" borderId="71" xfId="0" applyFont="1" applyFill="1" applyBorder="1" applyAlignment="1">
      <alignment horizontal="center" vertical="center" wrapText="1"/>
    </xf>
    <xf numFmtId="0" fontId="21" fillId="3" borderId="36" xfId="0" applyFont="1" applyFill="1" applyBorder="1" applyAlignment="1">
      <alignment horizontal="center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22" fillId="3" borderId="72" xfId="0" applyFont="1" applyFill="1" applyBorder="1" applyAlignment="1">
      <alignment horizontal="center" vertical="center" wrapText="1"/>
    </xf>
    <xf numFmtId="0" fontId="14" fillId="8" borderId="73" xfId="0" applyFont="1" applyFill="1" applyBorder="1" applyAlignment="1">
      <alignment horizontal="center" vertical="center" wrapText="1"/>
    </xf>
    <xf numFmtId="0" fontId="14" fillId="8" borderId="74" xfId="0" applyFont="1" applyFill="1" applyBorder="1" applyAlignment="1">
      <alignment horizontal="center" vertical="center" wrapText="1"/>
    </xf>
    <xf numFmtId="0" fontId="14" fillId="8" borderId="75" xfId="0" applyFont="1" applyFill="1" applyBorder="1" applyAlignment="1">
      <alignment horizontal="center" vertical="center" wrapText="1"/>
    </xf>
    <xf numFmtId="0" fontId="14" fillId="10" borderId="73" xfId="0" applyFont="1" applyFill="1" applyBorder="1" applyAlignment="1">
      <alignment horizontal="center" vertical="center" wrapText="1"/>
    </xf>
    <xf numFmtId="0" fontId="14" fillId="10" borderId="74" xfId="0" applyFont="1" applyFill="1" applyBorder="1" applyAlignment="1">
      <alignment horizontal="center" vertical="center" wrapText="1"/>
    </xf>
    <xf numFmtId="0" fontId="14" fillId="10" borderId="75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left"/>
    </xf>
    <xf numFmtId="0" fontId="16" fillId="10" borderId="58" xfId="0" applyFont="1" applyFill="1" applyBorder="1" applyAlignment="1">
      <alignment horizontal="left"/>
    </xf>
    <xf numFmtId="0" fontId="14" fillId="0" borderId="76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left"/>
    </xf>
    <xf numFmtId="0" fontId="16" fillId="0" borderId="64" xfId="0" applyFont="1" applyBorder="1" applyAlignment="1">
      <alignment horizontal="left"/>
    </xf>
    <xf numFmtId="0" fontId="14" fillId="10" borderId="79" xfId="0" applyFont="1" applyFill="1" applyBorder="1" applyAlignment="1">
      <alignment horizontal="center" vertical="center" wrapText="1"/>
    </xf>
    <xf numFmtId="0" fontId="14" fillId="10" borderId="68" xfId="0" applyFont="1" applyFill="1" applyBorder="1" applyAlignment="1">
      <alignment horizontal="center" vertical="center" wrapText="1"/>
    </xf>
    <xf numFmtId="0" fontId="14" fillId="10" borderId="80" xfId="0" applyFont="1" applyFill="1" applyBorder="1" applyAlignment="1">
      <alignment horizontal="center" vertical="center" wrapText="1"/>
    </xf>
    <xf numFmtId="0" fontId="18" fillId="18" borderId="50" xfId="0" applyFont="1" applyFill="1" applyBorder="1" applyAlignment="1">
      <alignment horizontal="left" vertical="center" wrapText="1"/>
    </xf>
    <xf numFmtId="0" fontId="18" fillId="18" borderId="51" xfId="0" applyFont="1" applyFill="1" applyBorder="1" applyAlignment="1">
      <alignment horizontal="left" vertical="center" wrapText="1"/>
    </xf>
    <xf numFmtId="0" fontId="18" fillId="18" borderId="52" xfId="0" applyFont="1" applyFill="1" applyBorder="1" applyAlignment="1">
      <alignment horizontal="left" vertical="center" wrapText="1"/>
    </xf>
    <xf numFmtId="0" fontId="14" fillId="0" borderId="59" xfId="0" applyFont="1" applyBorder="1" applyAlignment="1">
      <alignment horizontal="right" vertical="center" wrapText="1"/>
    </xf>
    <xf numFmtId="0" fontId="14" fillId="0" borderId="60" xfId="0" applyFont="1" applyBorder="1" applyAlignment="1">
      <alignment horizontal="right" vertical="center" wrapText="1"/>
    </xf>
    <xf numFmtId="0" fontId="14" fillId="6" borderId="62" xfId="0" applyFont="1" applyFill="1" applyBorder="1" applyAlignment="1">
      <alignment horizontal="right" vertical="center" wrapText="1"/>
    </xf>
    <xf numFmtId="0" fontId="14" fillId="6" borderId="63" xfId="0" applyFont="1" applyFill="1" applyBorder="1" applyAlignment="1">
      <alignment horizontal="right" vertical="center" wrapText="1"/>
    </xf>
    <xf numFmtId="0" fontId="14" fillId="6" borderId="65" xfId="0" applyFont="1" applyFill="1" applyBorder="1" applyAlignment="1">
      <alignment horizontal="right" vertical="center" wrapText="1"/>
    </xf>
    <xf numFmtId="0" fontId="14" fillId="6" borderId="66" xfId="0" applyFont="1" applyFill="1" applyBorder="1" applyAlignment="1">
      <alignment horizontal="right" vertical="center" wrapText="1"/>
    </xf>
    <xf numFmtId="0" fontId="18" fillId="17" borderId="50" xfId="0" applyFont="1" applyFill="1" applyBorder="1" applyAlignment="1">
      <alignment horizontal="left" vertical="center"/>
    </xf>
    <xf numFmtId="0" fontId="18" fillId="17" borderId="51" xfId="0" applyFont="1" applyFill="1" applyBorder="1" applyAlignment="1">
      <alignment horizontal="left" vertical="center"/>
    </xf>
    <xf numFmtId="0" fontId="18" fillId="17" borderId="5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" fillId="2" borderId="39" xfId="0" applyFont="1" applyFill="1" applyBorder="1"/>
    <xf numFmtId="0" fontId="3" fillId="2" borderId="40" xfId="0" applyFont="1" applyFill="1" applyBorder="1"/>
    <xf numFmtId="0" fontId="3" fillId="2" borderId="41" xfId="0" applyFont="1" applyFill="1" applyBorder="1"/>
    <xf numFmtId="0" fontId="18" fillId="16" borderId="50" xfId="0" applyFont="1" applyFill="1" applyBorder="1" applyAlignment="1">
      <alignment horizontal="left" vertical="center"/>
    </xf>
    <xf numFmtId="0" fontId="18" fillId="16" borderId="51" xfId="0" applyFont="1" applyFill="1" applyBorder="1" applyAlignment="1">
      <alignment horizontal="left" vertical="center"/>
    </xf>
    <xf numFmtId="0" fontId="18" fillId="16" borderId="52" xfId="0" applyFont="1" applyFill="1" applyBorder="1" applyAlignment="1">
      <alignment horizontal="left" vertical="center"/>
    </xf>
    <xf numFmtId="0" fontId="19" fillId="3" borderId="53" xfId="0" applyFont="1" applyFill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9" fillId="3" borderId="55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9" fillId="3" borderId="58" xfId="0" applyFont="1" applyFill="1" applyBorder="1" applyAlignment="1">
      <alignment horizontal="center" vertical="center" wrapText="1"/>
    </xf>
    <xf numFmtId="0" fontId="14" fillId="6" borderId="59" xfId="0" applyFont="1" applyFill="1" applyBorder="1" applyAlignment="1">
      <alignment horizontal="right" vertical="center" wrapText="1"/>
    </xf>
    <xf numFmtId="0" fontId="14" fillId="6" borderId="60" xfId="0" applyFont="1" applyFill="1" applyBorder="1" applyAlignment="1">
      <alignment horizontal="right" vertical="center" wrapText="1"/>
    </xf>
    <xf numFmtId="0" fontId="8" fillId="2" borderId="0" xfId="0" applyFont="1" applyFill="1"/>
    <xf numFmtId="0" fontId="3" fillId="2" borderId="0" xfId="0" applyFont="1" applyFill="1"/>
    <xf numFmtId="0" fontId="9" fillId="3" borderId="0" xfId="0" applyFont="1" applyFill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5" xfId="0" applyFont="1" applyFill="1" applyBorder="1"/>
    <xf numFmtId="0" fontId="5" fillId="6" borderId="16" xfId="0" applyFont="1" applyFill="1" applyBorder="1"/>
    <xf numFmtId="0" fontId="5" fillId="8" borderId="13" xfId="0" applyFont="1" applyFill="1" applyBorder="1"/>
    <xf numFmtId="0" fontId="5" fillId="8" borderId="14" xfId="0" applyFont="1" applyFill="1" applyBorder="1"/>
    <xf numFmtId="0" fontId="5" fillId="8" borderId="15" xfId="0" applyFont="1" applyFill="1" applyBorder="1"/>
    <xf numFmtId="0" fontId="5" fillId="8" borderId="16" xfId="0" applyFont="1" applyFill="1" applyBorder="1"/>
    <xf numFmtId="0" fontId="5" fillId="10" borderId="13" xfId="0" applyFont="1" applyFill="1" applyBorder="1"/>
    <xf numFmtId="0" fontId="5" fillId="10" borderId="14" xfId="0" applyFont="1" applyFill="1" applyBorder="1"/>
    <xf numFmtId="0" fontId="5" fillId="10" borderId="15" xfId="0" applyFont="1" applyFill="1" applyBorder="1"/>
    <xf numFmtId="0" fontId="5" fillId="10" borderId="16" xfId="0" applyFont="1" applyFill="1" applyBorder="1"/>
    <xf numFmtId="0" fontId="32" fillId="23" borderId="0" xfId="0" applyFont="1" applyFill="1" applyAlignment="1">
      <alignment horizontal="center"/>
    </xf>
    <xf numFmtId="0" fontId="6" fillId="24" borderId="0" xfId="0" applyFont="1" applyFill="1"/>
    <xf numFmtId="0" fontId="0" fillId="0" borderId="0" xfId="0"/>
    <xf numFmtId="164" fontId="1" fillId="0" borderId="0" xfId="1" applyNumberFormat="1" applyFont="1"/>
  </cellXfs>
  <cellStyles count="2">
    <cellStyle name="Currency" xfId="1" builtinId="4"/>
    <cellStyle name="Normal" xfId="0" builtinId="0"/>
  </cellStyles>
  <dxfs count="21">
    <dxf>
      <fill>
        <patternFill>
          <bgColor rgb="FF92D05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</font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2F2F2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D6F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Paycheck Transfer Needed (Jon)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D6F4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Dashboard!$I$17:$I$19</c:f>
              <c:strCache>
                <c:ptCount val="3"/>
                <c:pt idx="0">
                  <c:v>Bills Checking</c:v>
                </c:pt>
                <c:pt idx="1">
                  <c:v>Mortgage Checking</c:v>
                </c:pt>
                <c:pt idx="2">
                  <c:v>HOA Savings</c:v>
                </c:pt>
              </c:strCache>
            </c:strRef>
          </c:cat>
          <c:val>
            <c:numRef>
              <c:f>Dashboard!$J$17:$J$19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C-450B-AB1A-C7A00962A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146367"/>
        <c:axId val="790876015"/>
      </c:barChart>
      <c:catAx>
        <c:axId val="90414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76015"/>
        <c:crosses val="autoZero"/>
        <c:auto val="1"/>
        <c:lblAlgn val="ctr"/>
        <c:lblOffset val="100"/>
        <c:noMultiLvlLbl val="0"/>
      </c:catAx>
      <c:valAx>
        <c:axId val="79087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4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20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195A7-F4C7-4006-B8CA-9676D7E0A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edulepayment.com/DKL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F88-122B-4076-9B94-7864BC7240CA}">
  <dimension ref="B2:O64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3.2" x14ac:dyDescent="0.25"/>
  <cols>
    <col min="1" max="1" width="0.88671875" customWidth="1"/>
    <col min="2" max="2" width="33.33203125" customWidth="1"/>
    <col min="3" max="3" width="15.77734375" customWidth="1"/>
    <col min="4" max="4" width="17.33203125" customWidth="1"/>
    <col min="5" max="5" width="15.77734375" customWidth="1"/>
    <col min="6" max="6" width="27.77734375" customWidth="1"/>
    <col min="7" max="7" width="16.6640625" customWidth="1"/>
    <col min="8" max="8" width="14.21875" customWidth="1"/>
    <col min="9" max="9" width="18.109375" customWidth="1"/>
    <col min="10" max="10" width="10.44140625" bestFit="1" customWidth="1"/>
    <col min="14" max="14" width="13.88671875" customWidth="1"/>
    <col min="15" max="15" width="8.88671875" customWidth="1"/>
  </cols>
  <sheetData>
    <row r="2" spans="2:10" ht="24.6" x14ac:dyDescent="0.4">
      <c r="B2" s="348" t="s">
        <v>0</v>
      </c>
      <c r="C2" s="348"/>
      <c r="D2" s="348"/>
      <c r="E2" s="348"/>
      <c r="F2" s="348"/>
      <c r="G2" s="348"/>
    </row>
    <row r="4" spans="2:10" x14ac:dyDescent="0.25">
      <c r="B4" s="349" t="s">
        <v>1</v>
      </c>
      <c r="C4" s="350"/>
      <c r="D4" s="350"/>
      <c r="E4" s="350"/>
      <c r="F4" s="350"/>
      <c r="G4" s="351"/>
    </row>
    <row r="5" spans="2:10" x14ac:dyDescent="0.25"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</row>
    <row r="6" spans="2:10" x14ac:dyDescent="0.25">
      <c r="B6" s="4" t="s">
        <v>8</v>
      </c>
      <c r="C6" s="5"/>
      <c r="D6" s="5"/>
      <c r="E6" s="6" t="s">
        <v>9</v>
      </c>
      <c r="F6" s="5">
        <f>C6</f>
        <v>0</v>
      </c>
      <c r="G6" s="7">
        <f>D6</f>
        <v>0</v>
      </c>
    </row>
    <row r="7" spans="2:10" x14ac:dyDescent="0.25">
      <c r="B7" s="4" t="s">
        <v>10</v>
      </c>
      <c r="C7" s="5"/>
      <c r="D7" s="5"/>
      <c r="E7" s="6" t="s">
        <v>11</v>
      </c>
      <c r="F7" s="5">
        <f>C7</f>
        <v>0</v>
      </c>
      <c r="G7" s="7">
        <f>D7</f>
        <v>0</v>
      </c>
    </row>
    <row r="8" spans="2:10" x14ac:dyDescent="0.25">
      <c r="B8" s="8" t="s">
        <v>12</v>
      </c>
      <c r="C8" s="9"/>
      <c r="D8" s="9"/>
      <c r="E8" s="9"/>
      <c r="F8" s="10">
        <f>SUM(F6:F7)</f>
        <v>0</v>
      </c>
      <c r="G8" s="11">
        <f>SUM(G6:G7)</f>
        <v>0</v>
      </c>
    </row>
    <row r="9" spans="2:10" ht="13.8" thickBot="1" x14ac:dyDescent="0.3"/>
    <row r="10" spans="2:10" ht="18" thickBot="1" x14ac:dyDescent="0.35">
      <c r="B10" s="12" t="s">
        <v>13</v>
      </c>
      <c r="C10" s="13" t="s">
        <v>14</v>
      </c>
      <c r="D10" s="13" t="s">
        <v>15</v>
      </c>
      <c r="E10" s="13" t="s">
        <v>16</v>
      </c>
      <c r="F10" s="13" t="s">
        <v>17</v>
      </c>
      <c r="G10" s="14" t="s">
        <v>18</v>
      </c>
      <c r="I10" s="15"/>
    </row>
    <row r="11" spans="2:10" ht="17.399999999999999" x14ac:dyDescent="0.3">
      <c r="B11" s="352" t="s">
        <v>19</v>
      </c>
      <c r="C11" s="353"/>
      <c r="D11" s="354"/>
      <c r="E11" s="354"/>
      <c r="F11" s="354"/>
      <c r="G11" s="355"/>
      <c r="I11" s="15" t="s">
        <v>20</v>
      </c>
      <c r="J11" s="16"/>
    </row>
    <row r="12" spans="2:10" x14ac:dyDescent="0.25">
      <c r="B12" s="17" t="s">
        <v>21</v>
      </c>
      <c r="C12" s="5"/>
      <c r="D12" s="6" t="s">
        <v>22</v>
      </c>
      <c r="E12" s="5">
        <f>C12</f>
        <v>0</v>
      </c>
      <c r="F12" s="6" t="s">
        <v>23</v>
      </c>
      <c r="G12" s="18"/>
      <c r="I12" s="19" t="s">
        <v>24</v>
      </c>
      <c r="J12" s="367">
        <f>E15</f>
        <v>0</v>
      </c>
    </row>
    <row r="13" spans="2:10" x14ac:dyDescent="0.25">
      <c r="B13" s="21" t="s">
        <v>25</v>
      </c>
      <c r="C13" s="5"/>
      <c r="D13" s="6" t="s">
        <v>22</v>
      </c>
      <c r="E13" s="5">
        <f>C13/2</f>
        <v>0</v>
      </c>
      <c r="F13" s="6" t="s">
        <v>23</v>
      </c>
      <c r="G13" s="18"/>
      <c r="I13" t="s">
        <v>26</v>
      </c>
      <c r="J13" s="245">
        <f>E25</f>
        <v>0</v>
      </c>
    </row>
    <row r="14" spans="2:10" x14ac:dyDescent="0.25">
      <c r="B14" s="21" t="s">
        <v>27</v>
      </c>
      <c r="C14" s="5"/>
      <c r="D14" s="6" t="s">
        <v>28</v>
      </c>
      <c r="E14" s="5">
        <f>C14/6</f>
        <v>0</v>
      </c>
      <c r="F14" s="6" t="s">
        <v>23</v>
      </c>
      <c r="G14" s="18"/>
      <c r="I14" t="s">
        <v>29</v>
      </c>
      <c r="J14" s="55">
        <f>E31</f>
        <v>0</v>
      </c>
    </row>
    <row r="15" spans="2:10" ht="13.8" thickBot="1" x14ac:dyDescent="0.3">
      <c r="B15" s="22" t="s">
        <v>30</v>
      </c>
      <c r="C15" s="23"/>
      <c r="D15" s="23"/>
      <c r="E15" s="24">
        <f>SUM(E12:E14)</f>
        <v>0</v>
      </c>
      <c r="F15" s="23"/>
      <c r="G15" s="25"/>
    </row>
    <row r="16" spans="2:10" ht="18" thickBot="1" x14ac:dyDescent="0.35">
      <c r="B16" s="26"/>
      <c r="C16" s="27"/>
      <c r="D16" s="27"/>
      <c r="E16" s="27"/>
      <c r="F16" s="27"/>
      <c r="G16" s="28"/>
      <c r="I16" s="15" t="s">
        <v>31</v>
      </c>
    </row>
    <row r="17" spans="2:10" x14ac:dyDescent="0.25">
      <c r="B17" s="356" t="s">
        <v>32</v>
      </c>
      <c r="C17" s="357"/>
      <c r="D17" s="358"/>
      <c r="E17" s="358"/>
      <c r="F17" s="358"/>
      <c r="G17" s="359"/>
      <c r="I17" t="s">
        <v>24</v>
      </c>
      <c r="J17" s="245">
        <f>D37</f>
        <v>0</v>
      </c>
    </row>
    <row r="18" spans="2:10" x14ac:dyDescent="0.25">
      <c r="B18" s="17" t="s">
        <v>33</v>
      </c>
      <c r="C18" s="5"/>
      <c r="D18" s="6" t="s">
        <v>22</v>
      </c>
      <c r="E18" s="5">
        <f>C18</f>
        <v>0</v>
      </c>
      <c r="F18" s="6" t="s">
        <v>34</v>
      </c>
      <c r="G18" s="18"/>
      <c r="I18" t="s">
        <v>26</v>
      </c>
      <c r="J18" s="245">
        <f>D38</f>
        <v>0</v>
      </c>
    </row>
    <row r="19" spans="2:10" x14ac:dyDescent="0.25">
      <c r="B19" s="21" t="s">
        <v>35</v>
      </c>
      <c r="C19" s="5"/>
      <c r="D19" s="6" t="s">
        <v>22</v>
      </c>
      <c r="E19" s="5">
        <f>C19</f>
        <v>0</v>
      </c>
      <c r="F19" s="6" t="s">
        <v>34</v>
      </c>
      <c r="G19" s="18"/>
      <c r="I19" t="s">
        <v>29</v>
      </c>
      <c r="J19" s="245">
        <f>D39</f>
        <v>0</v>
      </c>
    </row>
    <row r="20" spans="2:10" x14ac:dyDescent="0.25">
      <c r="B20" s="21" t="s">
        <v>36</v>
      </c>
      <c r="C20" s="5"/>
      <c r="D20" s="6" t="s">
        <v>22</v>
      </c>
      <c r="E20" s="5">
        <f>C20</f>
        <v>0</v>
      </c>
      <c r="F20" s="6" t="s">
        <v>34</v>
      </c>
      <c r="G20" s="18"/>
    </row>
    <row r="21" spans="2:10" x14ac:dyDescent="0.25">
      <c r="B21" s="21" t="s">
        <v>37</v>
      </c>
      <c r="C21" s="5"/>
      <c r="D21" s="6" t="s">
        <v>22</v>
      </c>
      <c r="E21" s="5">
        <f>C21</f>
        <v>0</v>
      </c>
      <c r="F21" s="6" t="s">
        <v>34</v>
      </c>
      <c r="G21" s="18"/>
    </row>
    <row r="22" spans="2:10" x14ac:dyDescent="0.25">
      <c r="B22" s="21" t="s">
        <v>38</v>
      </c>
      <c r="C22" s="5"/>
      <c r="D22" s="6" t="s">
        <v>22</v>
      </c>
      <c r="E22" s="5">
        <f>C22</f>
        <v>0</v>
      </c>
      <c r="F22" s="6" t="s">
        <v>34</v>
      </c>
      <c r="G22" s="18"/>
    </row>
    <row r="23" spans="2:10" x14ac:dyDescent="0.25">
      <c r="B23" s="21" t="s">
        <v>39</v>
      </c>
      <c r="C23" s="5"/>
      <c r="D23" s="6" t="s">
        <v>22</v>
      </c>
      <c r="E23" s="5">
        <f>C23</f>
        <v>0</v>
      </c>
      <c r="F23" s="6" t="s">
        <v>34</v>
      </c>
      <c r="G23" s="18"/>
    </row>
    <row r="24" spans="2:10" x14ac:dyDescent="0.25">
      <c r="B24" s="21" t="s">
        <v>40</v>
      </c>
      <c r="C24" s="5"/>
      <c r="D24" s="6" t="s">
        <v>22</v>
      </c>
      <c r="E24" s="5">
        <f>C24</f>
        <v>0</v>
      </c>
      <c r="F24" s="6" t="s">
        <v>34</v>
      </c>
      <c r="G24" s="18"/>
    </row>
    <row r="25" spans="2:10" ht="13.8" thickBot="1" x14ac:dyDescent="0.3">
      <c r="B25" s="29" t="s">
        <v>41</v>
      </c>
      <c r="C25" s="30"/>
      <c r="D25" s="30"/>
      <c r="E25" s="31">
        <f>SUM(E18:E24)</f>
        <v>0</v>
      </c>
      <c r="F25" s="30"/>
      <c r="G25" s="32"/>
    </row>
    <row r="26" spans="2:10" ht="13.8" thickBot="1" x14ac:dyDescent="0.3">
      <c r="B26" s="26"/>
      <c r="C26" s="27"/>
      <c r="D26" s="27"/>
      <c r="E26" s="27"/>
      <c r="F26" s="27"/>
      <c r="G26" s="28"/>
    </row>
    <row r="27" spans="2:10" x14ac:dyDescent="0.25">
      <c r="B27" s="360" t="s">
        <v>42</v>
      </c>
      <c r="C27" s="361"/>
      <c r="D27" s="362"/>
      <c r="E27" s="362"/>
      <c r="F27" s="362"/>
      <c r="G27" s="363"/>
    </row>
    <row r="28" spans="2:10" x14ac:dyDescent="0.25">
      <c r="B28" s="17" t="s">
        <v>43</v>
      </c>
      <c r="C28" s="5"/>
      <c r="D28" s="6" t="s">
        <v>28</v>
      </c>
      <c r="E28" s="5">
        <f>C28/6</f>
        <v>0</v>
      </c>
      <c r="F28" s="6" t="s">
        <v>44</v>
      </c>
      <c r="G28" s="18" t="s">
        <v>45</v>
      </c>
    </row>
    <row r="29" spans="2:10" x14ac:dyDescent="0.25">
      <c r="B29" s="21" t="s">
        <v>46</v>
      </c>
      <c r="C29" s="5"/>
      <c r="D29" s="6" t="s">
        <v>28</v>
      </c>
      <c r="E29" s="5">
        <f>C29/6</f>
        <v>0</v>
      </c>
      <c r="F29" s="6" t="s">
        <v>44</v>
      </c>
      <c r="G29" s="18" t="s">
        <v>45</v>
      </c>
    </row>
    <row r="30" spans="2:10" x14ac:dyDescent="0.25">
      <c r="B30" s="21" t="s">
        <v>47</v>
      </c>
      <c r="C30" s="5"/>
      <c r="D30" s="6" t="s">
        <v>22</v>
      </c>
      <c r="E30" s="5">
        <f>C30</f>
        <v>0</v>
      </c>
      <c r="F30" s="6" t="s">
        <v>44</v>
      </c>
      <c r="G30" s="18"/>
    </row>
    <row r="31" spans="2:10" ht="13.8" thickBot="1" x14ac:dyDescent="0.3">
      <c r="B31" s="33" t="s">
        <v>48</v>
      </c>
      <c r="C31" s="34"/>
      <c r="D31" s="34"/>
      <c r="E31" s="35">
        <f>SUM(E28:E30)</f>
        <v>0</v>
      </c>
      <c r="F31" s="34"/>
      <c r="G31" s="36"/>
    </row>
    <row r="32" spans="2:10" x14ac:dyDescent="0.25">
      <c r="B32" s="37"/>
      <c r="C32" s="38"/>
      <c r="D32" s="38"/>
      <c r="E32" s="38"/>
      <c r="F32" s="38"/>
      <c r="G32" s="39"/>
    </row>
    <row r="33" spans="2:15" ht="13.8" thickBot="1" x14ac:dyDescent="0.3">
      <c r="B33" s="40" t="s">
        <v>49</v>
      </c>
      <c r="C33" s="41"/>
      <c r="D33" s="41"/>
      <c r="E33" s="42">
        <f>E15+E25+E31</f>
        <v>0</v>
      </c>
      <c r="F33" s="41"/>
      <c r="G33" s="43"/>
    </row>
    <row r="35" spans="2:15" x14ac:dyDescent="0.25">
      <c r="B35" s="349" t="s">
        <v>50</v>
      </c>
      <c r="C35" s="350"/>
      <c r="D35" s="350"/>
      <c r="E35" s="350"/>
      <c r="F35" s="350"/>
      <c r="G35" s="351"/>
    </row>
    <row r="36" spans="2:15" x14ac:dyDescent="0.25">
      <c r="B36" s="1" t="s">
        <v>17</v>
      </c>
      <c r="C36" s="2" t="s">
        <v>51</v>
      </c>
      <c r="D36" s="2" t="s">
        <v>52</v>
      </c>
      <c r="E36" s="2" t="s">
        <v>53</v>
      </c>
      <c r="F36" s="2" t="s">
        <v>54</v>
      </c>
      <c r="G36" s="3" t="s">
        <v>55</v>
      </c>
    </row>
    <row r="37" spans="2:15" x14ac:dyDescent="0.25">
      <c r="B37" s="44" t="s">
        <v>56</v>
      </c>
      <c r="C37" s="45">
        <f>E15</f>
        <v>0</v>
      </c>
      <c r="D37" s="45">
        <f>C37/2</f>
        <v>0</v>
      </c>
      <c r="E37" s="45"/>
      <c r="F37" s="45">
        <f>C37</f>
        <v>0</v>
      </c>
      <c r="G37" s="46" t="s">
        <v>57</v>
      </c>
    </row>
    <row r="38" spans="2:15" x14ac:dyDescent="0.25">
      <c r="B38" s="47" t="s">
        <v>58</v>
      </c>
      <c r="C38" s="48">
        <f>E25</f>
        <v>0</v>
      </c>
      <c r="D38" s="48">
        <f>F38/2</f>
        <v>0</v>
      </c>
      <c r="E38" s="48">
        <f>C38/2</f>
        <v>0</v>
      </c>
      <c r="F38" s="48">
        <f>C38/2</f>
        <v>0</v>
      </c>
      <c r="G38" s="49" t="s">
        <v>59</v>
      </c>
    </row>
    <row r="39" spans="2:15" x14ac:dyDescent="0.25">
      <c r="B39" s="50" t="s">
        <v>60</v>
      </c>
      <c r="C39" s="51">
        <f>E31</f>
        <v>0</v>
      </c>
      <c r="D39" s="51">
        <f>F39/2</f>
        <v>0</v>
      </c>
      <c r="E39" s="51">
        <f>C39/2</f>
        <v>0</v>
      </c>
      <c r="F39" s="51">
        <f>C39/2</f>
        <v>0</v>
      </c>
      <c r="G39" s="52" t="s">
        <v>59</v>
      </c>
    </row>
    <row r="40" spans="2:15" x14ac:dyDescent="0.25">
      <c r="B40" s="8" t="s">
        <v>61</v>
      </c>
      <c r="C40" s="10">
        <f>SUM(C37:C39)</f>
        <v>0</v>
      </c>
      <c r="D40" s="10">
        <f>SUM(D37:D39)</f>
        <v>0</v>
      </c>
      <c r="E40" s="10">
        <f>SUM(E37:E39)</f>
        <v>0</v>
      </c>
      <c r="F40" s="10">
        <f>SUM(F37:F39)</f>
        <v>0</v>
      </c>
      <c r="G40" s="53"/>
    </row>
    <row r="41" spans="2:15" x14ac:dyDescent="0.25">
      <c r="N41" s="54"/>
    </row>
    <row r="42" spans="2:15" ht="15.6" x14ac:dyDescent="0.3">
      <c r="B42" s="345" t="s">
        <v>62</v>
      </c>
      <c r="C42" s="345"/>
      <c r="D42" s="345"/>
      <c r="E42" s="345"/>
      <c r="F42" s="345"/>
      <c r="G42" s="345"/>
      <c r="H42" s="345"/>
      <c r="O42" s="55"/>
    </row>
    <row r="43" spans="2:15" x14ac:dyDescent="0.25">
      <c r="O43" s="55"/>
    </row>
    <row r="44" spans="2:15" ht="26.4" x14ac:dyDescent="0.25">
      <c r="B44" s="56" t="s">
        <v>63</v>
      </c>
      <c r="C44" s="57" t="s">
        <v>64</v>
      </c>
      <c r="D44" s="58" t="s">
        <v>65</v>
      </c>
      <c r="O44" s="55"/>
    </row>
    <row r="45" spans="2:15" x14ac:dyDescent="0.25">
      <c r="B45" s="59" t="e">
        <f>(G8-E33)/G8</f>
        <v>#DIV/0!</v>
      </c>
      <c r="C45" s="60">
        <f>G8-E33</f>
        <v>0</v>
      </c>
      <c r="D45" s="61">
        <f ca="1">C52</f>
        <v>457.5</v>
      </c>
      <c r="O45" s="55"/>
    </row>
    <row r="47" spans="2:15" x14ac:dyDescent="0.25">
      <c r="B47" s="346" t="s">
        <v>66</v>
      </c>
      <c r="C47" s="346"/>
      <c r="D47" s="346"/>
      <c r="F47" s="346" t="s">
        <v>67</v>
      </c>
      <c r="G47" s="346"/>
      <c r="H47" s="346"/>
    </row>
    <row r="48" spans="2:15" x14ac:dyDescent="0.25">
      <c r="B48" s="62" t="s">
        <v>17</v>
      </c>
      <c r="C48" s="63" t="s">
        <v>68</v>
      </c>
      <c r="D48" s="64" t="s">
        <v>69</v>
      </c>
      <c r="F48" s="62" t="s">
        <v>70</v>
      </c>
      <c r="G48" s="63" t="s">
        <v>71</v>
      </c>
      <c r="H48" s="64" t="s">
        <v>72</v>
      </c>
    </row>
    <row r="49" spans="2:8" x14ac:dyDescent="0.25">
      <c r="B49" s="65" t="s">
        <v>56</v>
      </c>
      <c r="C49" s="66">
        <f ca="1">_xlfn.XLOOKUP(TODAY(),'Bills Checking'!A:A,'Bills Checking'!J:J,"N/A",0)</f>
        <v>257.5</v>
      </c>
      <c r="D49" s="67">
        <f ca="1">TODAY()</f>
        <v>46232</v>
      </c>
      <c r="F49" s="68" t="e" cm="1" vm="1">
        <f t="array" aca="1" ref="F49" ca="1">_xlfn.LET(_xlpm.items, _xlfn._xlws.FILTER(B12:B32, ISNUMBER(G12:G32)), _xlpm.amt, _xlfn._xlws.FILTER(E12:E32, ISNUMBER(G12:G32)), _xlpm.pday, _xlfn._xlws.FILTER(G12:G32, ISNUMBER(G12:G32)), _xlpm.nextd, IF(DAY(TODAY())&lt;=_xlpm.pday, DATE(YEAR(TODAY()),MONTH(TODAY()),_xlpm.pday), DATE(YEAR(TODAY()),MONTH(TODAY())+1,_xlpm.pday)), _xlpm.dleft, _xlpm.nextd-TODAY(), _xlpm.srt, _xlfn._xlws.SORT(_xlfn.HSTACK(_xlpm.items,_xlpm.amt,_xlpm.dleft),3,1), _xlfn.TAKE(_xlpm.srt,5))</f>
        <v>#VALUE!</v>
      </c>
      <c r="G49" s="55"/>
      <c r="H49" s="69"/>
    </row>
    <row r="50" spans="2:8" x14ac:dyDescent="0.25">
      <c r="B50" s="73" t="s">
        <v>58</v>
      </c>
      <c r="C50" s="74">
        <f ca="1">_xlfn.XLOOKUP(TODAY(),'Mortgage Checking'!A:A,'Mortgage Checking'!Q:Q,"N/A",0)</f>
        <v>200</v>
      </c>
      <c r="D50" s="75">
        <f ca="1">TODAY()</f>
        <v>46232</v>
      </c>
      <c r="F50" s="68"/>
      <c r="G50" s="55"/>
      <c r="H50" s="69"/>
    </row>
    <row r="51" spans="2:8" x14ac:dyDescent="0.25">
      <c r="B51" s="76" t="s">
        <v>60</v>
      </c>
      <c r="C51" s="77" t="str">
        <f ca="1">_xlfn.XLOOKUP(TODAY(),'HOA Savings'!A:A,'HOA Savings'!M:M,"N/A",0)</f>
        <v>N/A</v>
      </c>
      <c r="D51" s="78">
        <f ca="1">TODAY()</f>
        <v>46232</v>
      </c>
      <c r="F51" s="68"/>
      <c r="G51" s="55"/>
      <c r="H51" s="69"/>
    </row>
    <row r="52" spans="2:8" x14ac:dyDescent="0.25">
      <c r="B52" s="79" t="s">
        <v>65</v>
      </c>
      <c r="C52" s="80">
        <f ca="1">SUM(C49:C51)</f>
        <v>457.5</v>
      </c>
      <c r="D52" s="81"/>
      <c r="F52" s="68"/>
      <c r="G52" s="55"/>
      <c r="H52" s="69"/>
    </row>
    <row r="53" spans="2:8" x14ac:dyDescent="0.25">
      <c r="F53" s="70"/>
      <c r="G53" s="71"/>
      <c r="H53" s="72"/>
    </row>
    <row r="56" spans="2:8" ht="19.95" customHeight="1" x14ac:dyDescent="0.3">
      <c r="B56" s="347" t="s">
        <v>73</v>
      </c>
      <c r="C56" s="347"/>
      <c r="D56" s="347"/>
      <c r="E56" s="347"/>
      <c r="F56" s="347"/>
      <c r="G56" s="347"/>
      <c r="H56" s="347"/>
    </row>
    <row r="58" spans="2:8" ht="15.6" x14ac:dyDescent="0.3">
      <c r="B58" s="345" t="s">
        <v>74</v>
      </c>
      <c r="C58" s="345"/>
      <c r="D58" s="345"/>
      <c r="E58" s="345" t="s">
        <v>75</v>
      </c>
      <c r="F58" s="345"/>
      <c r="G58" s="345"/>
      <c r="H58" s="345"/>
    </row>
    <row r="59" spans="2:8" x14ac:dyDescent="0.25">
      <c r="B59" s="82" t="s">
        <v>76</v>
      </c>
      <c r="E59" s="83" t="s">
        <v>77</v>
      </c>
      <c r="F59" s="83" t="s">
        <v>78</v>
      </c>
      <c r="G59" s="83" t="s">
        <v>71</v>
      </c>
      <c r="H59" s="84"/>
    </row>
    <row r="60" spans="2:8" ht="17.399999999999999" x14ac:dyDescent="0.3">
      <c r="B60" s="85">
        <f>G8</f>
        <v>0</v>
      </c>
      <c r="E60" s="84" t="s">
        <v>79</v>
      </c>
      <c r="F60" s="86"/>
      <c r="G60" s="87">
        <f>F60*$B$64</f>
        <v>0</v>
      </c>
      <c r="H60" s="84"/>
    </row>
    <row r="61" spans="2:8" x14ac:dyDescent="0.25">
      <c r="B61" s="88" t="s">
        <v>80</v>
      </c>
      <c r="E61" s="84" t="s">
        <v>81</v>
      </c>
      <c r="F61" s="86"/>
      <c r="G61" s="87">
        <f>F61*$B$64</f>
        <v>0</v>
      </c>
      <c r="H61" s="84"/>
    </row>
    <row r="62" spans="2:8" ht="17.399999999999999" x14ac:dyDescent="0.3">
      <c r="B62" s="85">
        <f>E33</f>
        <v>0</v>
      </c>
      <c r="E62" s="84" t="s">
        <v>82</v>
      </c>
      <c r="F62" s="86"/>
      <c r="G62" s="87">
        <f>F62*$B$64</f>
        <v>0</v>
      </c>
      <c r="H62" s="84"/>
    </row>
    <row r="63" spans="2:8" x14ac:dyDescent="0.25">
      <c r="B63" s="88" t="s">
        <v>83</v>
      </c>
      <c r="E63" s="84" t="s">
        <v>84</v>
      </c>
      <c r="F63" s="86"/>
      <c r="G63" s="87">
        <f>F63*$B$64</f>
        <v>0</v>
      </c>
      <c r="H63" s="84"/>
    </row>
    <row r="64" spans="2:8" ht="17.399999999999999" x14ac:dyDescent="0.3">
      <c r="B64" s="89">
        <f>B60-B62</f>
        <v>0</v>
      </c>
      <c r="E64" s="90" t="s">
        <v>85</v>
      </c>
      <c r="F64" s="91">
        <f>SUM(F60:F63)</f>
        <v>0</v>
      </c>
      <c r="G64" s="92">
        <f>SUM(G60:G63)</f>
        <v>0</v>
      </c>
      <c r="H64" s="90" t="str">
        <f>IF(F64=1,"✓ OK","⚠ Adjust %")</f>
        <v>⚠ Adjust %</v>
      </c>
    </row>
  </sheetData>
  <mergeCells count="12">
    <mergeCell ref="B35:G35"/>
    <mergeCell ref="B2:G2"/>
    <mergeCell ref="B4:G4"/>
    <mergeCell ref="B11:G11"/>
    <mergeCell ref="B17:G17"/>
    <mergeCell ref="B27:G27"/>
    <mergeCell ref="B42:H42"/>
    <mergeCell ref="B47:D47"/>
    <mergeCell ref="F47:H47"/>
    <mergeCell ref="B56:H56"/>
    <mergeCell ref="B58:D58"/>
    <mergeCell ref="E58:H58"/>
  </mergeCells>
  <conditionalFormatting sqref="E12:E32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{D08E7519-9890-488B-9FDA-4ADC6660D622}</x14:id>
        </ext>
      </extLst>
    </cfRule>
  </conditionalFormatting>
  <conditionalFormatting sqref="H49:H53">
    <cfRule type="cellIs" dxfId="20" priority="1" operator="lessThanOrEqual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E7519-9890-488B-9FDA-4ADC6660D62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E12:E32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FF58-619B-443C-B970-BF9A53F3E34B}">
  <sheetPr>
    <tabColor indexed="54"/>
    <pageSetUpPr fitToPage="1"/>
  </sheetPr>
  <dimension ref="A1:M53"/>
  <sheetViews>
    <sheetView showGridLines="0" topLeftCell="D22" zoomScale="90" zoomScaleNormal="100" workbookViewId="0">
      <selection activeCell="H39" sqref="H39"/>
    </sheetView>
  </sheetViews>
  <sheetFormatPr defaultColWidth="9.21875" defaultRowHeight="13.2" x14ac:dyDescent="0.25"/>
  <cols>
    <col min="1" max="1" width="2.109375" style="96" customWidth="1"/>
    <col min="2" max="2" width="18.33203125" style="217" customWidth="1"/>
    <col min="3" max="3" width="15.88671875" style="96" customWidth="1"/>
    <col min="4" max="4" width="13.44140625" style="96" customWidth="1"/>
    <col min="5" max="5" width="10" style="96" customWidth="1"/>
    <col min="6" max="6" width="15.77734375" style="96" customWidth="1"/>
    <col min="7" max="7" width="11.109375" style="96" customWidth="1"/>
    <col min="8" max="8" width="9.88671875" style="96" customWidth="1"/>
    <col min="9" max="9" width="15.33203125" style="96" customWidth="1"/>
    <col min="10" max="10" width="8.6640625" style="96" customWidth="1"/>
    <col min="11" max="11" width="23.109375" style="96" customWidth="1"/>
    <col min="12" max="12" width="12.21875" style="96" customWidth="1"/>
    <col min="13" max="13" width="21.6640625" style="96" customWidth="1"/>
    <col min="14" max="15" width="11.33203125" style="96" bestFit="1" customWidth="1"/>
    <col min="16" max="16384" width="9.21875" style="96"/>
  </cols>
  <sheetData>
    <row r="1" spans="1:13" s="94" customFormat="1" ht="13.8" x14ac:dyDescent="0.3">
      <c r="A1" s="93"/>
      <c r="B1" s="331" t="s">
        <v>86</v>
      </c>
      <c r="C1" s="331"/>
      <c r="D1" s="331"/>
      <c r="E1" s="331"/>
      <c r="F1" s="331"/>
      <c r="G1" s="331"/>
      <c r="H1" s="331"/>
      <c r="I1" s="93"/>
      <c r="J1" s="93"/>
      <c r="K1" s="93"/>
      <c r="L1" s="93"/>
      <c r="M1" s="93"/>
    </row>
    <row r="2" spans="1:13" ht="13.8" x14ac:dyDescent="0.25">
      <c r="A2" s="95"/>
      <c r="B2" s="331"/>
      <c r="C2" s="331"/>
      <c r="D2" s="331"/>
      <c r="E2" s="331"/>
      <c r="F2" s="331"/>
      <c r="G2" s="331"/>
      <c r="H2" s="331"/>
      <c r="I2" s="95"/>
      <c r="J2" s="95"/>
      <c r="K2" s="95"/>
      <c r="L2" s="95"/>
      <c r="M2" s="95"/>
    </row>
    <row r="3" spans="1:13" ht="21.6" customHeight="1" x14ac:dyDescent="0.25">
      <c r="A3" s="95"/>
      <c r="B3" s="331"/>
      <c r="C3" s="331"/>
      <c r="D3" s="331"/>
      <c r="E3" s="331"/>
      <c r="F3" s="331"/>
      <c r="G3" s="331"/>
      <c r="H3" s="331"/>
      <c r="I3" s="95"/>
      <c r="J3" s="95"/>
      <c r="K3" s="95"/>
      <c r="L3" s="95"/>
      <c r="M3" s="95"/>
    </row>
    <row r="4" spans="1:13" ht="13.8" x14ac:dyDescent="0.25">
      <c r="A4" s="95"/>
      <c r="B4" s="332" t="s">
        <v>1</v>
      </c>
      <c r="C4" s="333"/>
      <c r="D4" s="333"/>
      <c r="E4" s="333"/>
      <c r="F4" s="333"/>
      <c r="G4" s="334"/>
      <c r="H4"/>
      <c r="I4" s="95"/>
      <c r="J4" s="95"/>
      <c r="K4" s="95"/>
      <c r="L4" s="95"/>
      <c r="M4" s="95"/>
    </row>
    <row r="5" spans="1:13" ht="13.8" x14ac:dyDescent="0.25">
      <c r="A5" s="95"/>
      <c r="B5" s="97" t="s">
        <v>2</v>
      </c>
      <c r="C5" s="98" t="s">
        <v>3</v>
      </c>
      <c r="D5" s="98" t="s">
        <v>4</v>
      </c>
      <c r="E5" s="98" t="s">
        <v>5</v>
      </c>
      <c r="F5" s="98" t="s">
        <v>6</v>
      </c>
      <c r="G5" s="99" t="s">
        <v>7</v>
      </c>
      <c r="H5"/>
      <c r="I5" s="95"/>
      <c r="J5" s="95"/>
      <c r="K5" s="95"/>
      <c r="L5" s="95"/>
      <c r="M5" s="95"/>
    </row>
    <row r="6" spans="1:13" ht="13.8" x14ac:dyDescent="0.25">
      <c r="A6" s="95"/>
      <c r="B6" s="100" t="s">
        <v>87</v>
      </c>
      <c r="C6" s="101"/>
      <c r="D6" s="101"/>
      <c r="E6" s="102" t="s">
        <v>9</v>
      </c>
      <c r="F6" s="101"/>
      <c r="G6" s="103"/>
      <c r="H6"/>
      <c r="I6" s="95"/>
      <c r="J6" s="95"/>
      <c r="K6" s="104"/>
      <c r="L6" s="95"/>
      <c r="M6" s="95"/>
    </row>
    <row r="7" spans="1:13" ht="14.4" thickBot="1" x14ac:dyDescent="0.35">
      <c r="A7" s="95"/>
      <c r="B7" s="105" t="s">
        <v>88</v>
      </c>
      <c r="C7" s="106"/>
      <c r="D7" s="106"/>
      <c r="E7" s="107" t="s">
        <v>11</v>
      </c>
      <c r="F7" s="106"/>
      <c r="G7" s="108"/>
      <c r="H7"/>
      <c r="I7" s="109"/>
      <c r="J7" s="110"/>
      <c r="K7" s="111"/>
      <c r="L7" s="111"/>
      <c r="M7" s="111"/>
    </row>
    <row r="8" spans="1:13" ht="14.4" thickTop="1" x14ac:dyDescent="0.3">
      <c r="A8" s="95"/>
      <c r="B8" s="112" t="s">
        <v>12</v>
      </c>
      <c r="C8" s="113"/>
      <c r="D8" s="113"/>
      <c r="E8" s="113"/>
      <c r="F8" s="114">
        <f>SUM(F6:F7)</f>
        <v>0</v>
      </c>
      <c r="G8" s="115">
        <f>SUM(G6:G7)</f>
        <v>0</v>
      </c>
      <c r="H8"/>
      <c r="I8" s="116"/>
      <c r="J8" s="111"/>
      <c r="K8" s="111"/>
      <c r="L8" s="111"/>
      <c r="M8" s="111"/>
    </row>
    <row r="9" spans="1:13" ht="14.4" thickBot="1" x14ac:dyDescent="0.35">
      <c r="A9" s="95"/>
      <c r="B9"/>
      <c r="C9"/>
      <c r="D9"/>
      <c r="E9"/>
      <c r="F9"/>
      <c r="G9"/>
      <c r="H9"/>
      <c r="I9" s="117"/>
      <c r="J9" s="111"/>
      <c r="K9" s="111"/>
      <c r="L9" s="111"/>
      <c r="M9" s="111"/>
    </row>
    <row r="10" spans="1:13" customFormat="1" ht="16.2" thickBot="1" x14ac:dyDescent="0.35">
      <c r="A10" s="111"/>
      <c r="B10" s="335" t="s">
        <v>19</v>
      </c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7"/>
    </row>
    <row r="11" spans="1:13" customFormat="1" ht="28.8" customHeight="1" thickBot="1" x14ac:dyDescent="0.35">
      <c r="A11" s="111"/>
      <c r="B11" s="338" t="s">
        <v>89</v>
      </c>
      <c r="C11" s="339"/>
      <c r="D11" s="339"/>
      <c r="E11" s="339"/>
      <c r="F11" s="340"/>
      <c r="G11" s="118" t="s">
        <v>22</v>
      </c>
      <c r="H11" s="119" t="s">
        <v>90</v>
      </c>
      <c r="I11" s="119" t="s">
        <v>17</v>
      </c>
      <c r="J11" s="120" t="s">
        <v>91</v>
      </c>
      <c r="K11" s="119" t="s">
        <v>92</v>
      </c>
      <c r="L11" s="341" t="s">
        <v>55</v>
      </c>
      <c r="M11" s="342"/>
    </row>
    <row r="12" spans="1:13" customFormat="1" ht="13.8" x14ac:dyDescent="0.3">
      <c r="A12" s="111"/>
      <c r="B12" s="343" t="s">
        <v>21</v>
      </c>
      <c r="C12" s="344"/>
      <c r="D12" s="344"/>
      <c r="E12" s="344"/>
      <c r="F12" s="344"/>
      <c r="G12" s="121">
        <f>-Dashboard!C12</f>
        <v>0</v>
      </c>
      <c r="H12" s="122">
        <f>G12/2</f>
        <v>0</v>
      </c>
      <c r="I12" s="123" t="s">
        <v>93</v>
      </c>
      <c r="J12" s="124"/>
      <c r="K12" s="123" t="s">
        <v>94</v>
      </c>
      <c r="L12" s="123" t="s">
        <v>95</v>
      </c>
      <c r="M12" s="125"/>
    </row>
    <row r="13" spans="1:13" customFormat="1" ht="13.8" x14ac:dyDescent="0.3">
      <c r="A13" s="111"/>
      <c r="B13" s="322" t="s">
        <v>25</v>
      </c>
      <c r="C13" s="323"/>
      <c r="D13" s="323"/>
      <c r="E13" s="323"/>
      <c r="F13" s="323"/>
      <c r="G13" s="126">
        <f>-Dashboard!E13</f>
        <v>0</v>
      </c>
      <c r="H13" s="127">
        <f>G13/2</f>
        <v>0</v>
      </c>
      <c r="I13" s="111" t="s">
        <v>93</v>
      </c>
      <c r="J13" s="128"/>
      <c r="K13" s="111" t="s">
        <v>96</v>
      </c>
      <c r="L13" s="111" t="s">
        <v>97</v>
      </c>
      <c r="M13" s="129"/>
    </row>
    <row r="14" spans="1:13" customFormat="1" ht="14.4" thickBot="1" x14ac:dyDescent="0.35">
      <c r="A14" s="111"/>
      <c r="B14" s="324" t="s">
        <v>98</v>
      </c>
      <c r="C14" s="325"/>
      <c r="D14" s="325"/>
      <c r="E14" s="325"/>
      <c r="F14" s="325"/>
      <c r="G14" s="130">
        <f>-Dashboard!E14</f>
        <v>0</v>
      </c>
      <c r="H14" s="131">
        <f>G14/2</f>
        <v>0</v>
      </c>
      <c r="I14" s="132" t="s">
        <v>93</v>
      </c>
      <c r="J14" s="133"/>
      <c r="K14" s="132"/>
      <c r="L14" s="132"/>
      <c r="M14" s="134"/>
    </row>
    <row r="15" spans="1:13" customFormat="1" ht="14.4" customHeight="1" thickTop="1" thickBot="1" x14ac:dyDescent="0.35">
      <c r="A15" s="111"/>
      <c r="B15" s="326" t="s">
        <v>30</v>
      </c>
      <c r="C15" s="327"/>
      <c r="D15" s="327"/>
      <c r="E15" s="327"/>
      <c r="F15" s="327"/>
      <c r="G15" s="135">
        <f>SUM(G12:G14)</f>
        <v>0</v>
      </c>
      <c r="H15" s="136">
        <f>SUM(H12:H14)</f>
        <v>0</v>
      </c>
      <c r="I15" s="137"/>
      <c r="J15" s="137"/>
      <c r="K15" s="137"/>
      <c r="L15" s="137"/>
      <c r="M15" s="138"/>
    </row>
    <row r="16" spans="1:13" customFormat="1" ht="14.4" thickBot="1" x14ac:dyDescent="0.35">
      <c r="A16" s="111"/>
      <c r="B16" s="139"/>
      <c r="C16" s="139"/>
      <c r="D16" s="139"/>
      <c r="E16" s="139"/>
      <c r="F16" s="139"/>
      <c r="G16" s="140"/>
      <c r="H16" s="139"/>
      <c r="I16" s="111"/>
      <c r="J16" s="111"/>
      <c r="K16" s="111"/>
      <c r="L16" s="111"/>
      <c r="M16" s="111"/>
    </row>
    <row r="17" spans="1:13" customFormat="1" ht="15.6" x14ac:dyDescent="0.3">
      <c r="A17" s="111"/>
      <c r="B17" s="328" t="s">
        <v>42</v>
      </c>
      <c r="C17" s="329"/>
      <c r="D17" s="329"/>
      <c r="E17" s="329"/>
      <c r="F17" s="329"/>
      <c r="G17" s="329"/>
      <c r="H17" s="329"/>
      <c r="I17" s="329"/>
      <c r="J17" s="329"/>
      <c r="K17" s="329"/>
      <c r="L17" s="329"/>
      <c r="M17" s="330"/>
    </row>
    <row r="18" spans="1:13" customFormat="1" ht="25.2" customHeight="1" x14ac:dyDescent="0.3">
      <c r="A18" s="111"/>
      <c r="B18" s="299" t="s">
        <v>89</v>
      </c>
      <c r="C18" s="300"/>
      <c r="D18" s="300"/>
      <c r="E18" s="141" t="s">
        <v>22</v>
      </c>
      <c r="F18" s="142" t="s">
        <v>99</v>
      </c>
      <c r="G18" s="142" t="s">
        <v>100</v>
      </c>
      <c r="H18" s="143" t="s">
        <v>101</v>
      </c>
      <c r="I18" s="142" t="s">
        <v>17</v>
      </c>
      <c r="J18" s="142" t="s">
        <v>91</v>
      </c>
      <c r="K18" s="144" t="s">
        <v>92</v>
      </c>
      <c r="L18" s="301" t="s">
        <v>55</v>
      </c>
      <c r="M18" s="302"/>
    </row>
    <row r="19" spans="1:13" customFormat="1" ht="13.2" customHeight="1" x14ac:dyDescent="0.3">
      <c r="A19" s="111"/>
      <c r="B19" s="306" t="s">
        <v>102</v>
      </c>
      <c r="C19" s="307"/>
      <c r="D19" s="308"/>
      <c r="E19" s="145">
        <f>-Dashboard!E28-Dashboard!E29</f>
        <v>0</v>
      </c>
      <c r="F19" s="146">
        <f>E19/2</f>
        <v>0</v>
      </c>
      <c r="G19" s="147">
        <f>E19/2</f>
        <v>0</v>
      </c>
      <c r="H19" s="147">
        <f>G19/2</f>
        <v>0</v>
      </c>
      <c r="I19" s="148" t="s">
        <v>44</v>
      </c>
      <c r="J19" s="149" t="s">
        <v>45</v>
      </c>
      <c r="K19" s="150"/>
      <c r="L19" s="309"/>
      <c r="M19" s="310"/>
    </row>
    <row r="20" spans="1:13" customFormat="1" ht="13.2" customHeight="1" thickBot="1" x14ac:dyDescent="0.35">
      <c r="A20" s="111"/>
      <c r="B20" s="311" t="s">
        <v>47</v>
      </c>
      <c r="C20" s="312"/>
      <c r="D20" s="313"/>
      <c r="E20" s="151">
        <f>-Dashboard!E30</f>
        <v>0</v>
      </c>
      <c r="F20" s="152">
        <f>E20/2</f>
        <v>0</v>
      </c>
      <c r="G20" s="152">
        <f>E20/2</f>
        <v>0</v>
      </c>
      <c r="H20" s="152">
        <f>G20/2</f>
        <v>0</v>
      </c>
      <c r="I20" s="153" t="s">
        <v>44</v>
      </c>
      <c r="J20" s="154"/>
      <c r="K20" s="155"/>
      <c r="L20" s="314"/>
      <c r="M20" s="315"/>
    </row>
    <row r="21" spans="1:13" customFormat="1" ht="13.2" customHeight="1" thickTop="1" thickBot="1" x14ac:dyDescent="0.35">
      <c r="A21" s="111"/>
      <c r="B21" s="316" t="s">
        <v>48</v>
      </c>
      <c r="C21" s="317"/>
      <c r="D21" s="318"/>
      <c r="E21" s="156">
        <f>SUM(E19:E20)</f>
        <v>0</v>
      </c>
      <c r="F21" s="156">
        <f>SUM(F19:F20)</f>
        <v>0</v>
      </c>
      <c r="G21" s="156">
        <f>SUM(G19:G20)</f>
        <v>0</v>
      </c>
      <c r="H21" s="157"/>
      <c r="I21" s="158"/>
      <c r="J21" s="159"/>
      <c r="K21" s="160"/>
      <c r="L21" s="160"/>
      <c r="M21" s="161"/>
    </row>
    <row r="22" spans="1:13" customFormat="1" ht="13.2" customHeight="1" thickBot="1" x14ac:dyDescent="0.35">
      <c r="A22" s="111"/>
      <c r="B22" s="162"/>
      <c r="C22" s="163"/>
      <c r="D22" s="164"/>
      <c r="E22" s="165"/>
      <c r="F22" s="166"/>
      <c r="G22" s="166"/>
      <c r="H22" s="167"/>
      <c r="I22" s="111"/>
      <c r="J22" s="128"/>
      <c r="K22" s="168"/>
      <c r="L22" s="168"/>
      <c r="M22" s="169"/>
    </row>
    <row r="23" spans="1:13" customFormat="1" ht="13.2" customHeight="1" x14ac:dyDescent="0.3">
      <c r="A23" s="111"/>
      <c r="B23" s="319" t="s">
        <v>32</v>
      </c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1"/>
    </row>
    <row r="24" spans="1:13" customFormat="1" ht="27.6" x14ac:dyDescent="0.3">
      <c r="A24" s="111"/>
      <c r="B24" s="299" t="s">
        <v>89</v>
      </c>
      <c r="C24" s="300"/>
      <c r="D24" s="300"/>
      <c r="E24" s="141" t="s">
        <v>22</v>
      </c>
      <c r="F24" s="142" t="s">
        <v>99</v>
      </c>
      <c r="G24" s="142" t="s">
        <v>100</v>
      </c>
      <c r="H24" s="143" t="s">
        <v>101</v>
      </c>
      <c r="I24" s="142" t="s">
        <v>17</v>
      </c>
      <c r="J24" s="142" t="s">
        <v>91</v>
      </c>
      <c r="K24" s="144" t="s">
        <v>92</v>
      </c>
      <c r="L24" s="301" t="s">
        <v>55</v>
      </c>
      <c r="M24" s="302"/>
    </row>
    <row r="25" spans="1:13" customFormat="1" ht="13.2" customHeight="1" x14ac:dyDescent="0.3">
      <c r="A25" s="111"/>
      <c r="B25" s="303" t="s">
        <v>35</v>
      </c>
      <c r="C25" s="304"/>
      <c r="D25" s="305"/>
      <c r="E25" s="170">
        <f>-Dashboard!E19</f>
        <v>0</v>
      </c>
      <c r="F25" s="171">
        <f>E25/2</f>
        <v>0</v>
      </c>
      <c r="G25" s="171">
        <f>E25/2</f>
        <v>0</v>
      </c>
      <c r="H25" s="172">
        <f>G25/2</f>
        <v>0</v>
      </c>
      <c r="I25" s="173" t="s">
        <v>103</v>
      </c>
      <c r="J25" s="174"/>
      <c r="K25" s="175"/>
      <c r="L25" s="297"/>
      <c r="M25" s="298"/>
    </row>
    <row r="26" spans="1:13" customFormat="1" ht="13.2" customHeight="1" x14ac:dyDescent="0.3">
      <c r="A26" s="111"/>
      <c r="B26" s="278" t="s">
        <v>33</v>
      </c>
      <c r="C26" s="279"/>
      <c r="D26" s="280"/>
      <c r="E26" s="176">
        <f>-Dashboard!E18</f>
        <v>0</v>
      </c>
      <c r="F26" s="177">
        <f>E26/2</f>
        <v>0</v>
      </c>
      <c r="G26" s="177">
        <f>E26/2</f>
        <v>0</v>
      </c>
      <c r="H26" s="177">
        <f>G26/2</f>
        <v>0</v>
      </c>
      <c r="I26" s="111" t="s">
        <v>103</v>
      </c>
      <c r="J26" s="128"/>
      <c r="K26" s="168" t="s">
        <v>104</v>
      </c>
      <c r="L26" s="281"/>
      <c r="M26" s="282"/>
    </row>
    <row r="27" spans="1:13" customFormat="1" ht="13.2" customHeight="1" x14ac:dyDescent="0.3">
      <c r="A27" s="111"/>
      <c r="B27" s="294" t="s">
        <v>105</v>
      </c>
      <c r="C27" s="295"/>
      <c r="D27" s="296"/>
      <c r="E27" s="170">
        <f>-Dashboard!E20</f>
        <v>0</v>
      </c>
      <c r="F27" s="171">
        <f>E27/2</f>
        <v>0</v>
      </c>
      <c r="G27" s="171">
        <f>E27/2</f>
        <v>0</v>
      </c>
      <c r="H27" s="178">
        <f>G27/2</f>
        <v>0</v>
      </c>
      <c r="I27" s="173" t="s">
        <v>103</v>
      </c>
      <c r="J27" s="174"/>
      <c r="K27" s="175" t="s">
        <v>26</v>
      </c>
      <c r="L27" s="297" t="s">
        <v>106</v>
      </c>
      <c r="M27" s="298"/>
    </row>
    <row r="28" spans="1:13" customFormat="1" ht="13.8" x14ac:dyDescent="0.3">
      <c r="A28" s="111"/>
      <c r="B28" s="278" t="s">
        <v>37</v>
      </c>
      <c r="C28" s="279"/>
      <c r="D28" s="280"/>
      <c r="E28" s="165">
        <f>-Dashboard!E21</f>
        <v>0</v>
      </c>
      <c r="F28" s="166">
        <f>E28/2</f>
        <v>0</v>
      </c>
      <c r="G28" s="127">
        <f>E28/2</f>
        <v>0</v>
      </c>
      <c r="H28" s="127">
        <f>G28/2</f>
        <v>0</v>
      </c>
      <c r="I28" s="111" t="s">
        <v>103</v>
      </c>
      <c r="J28" s="128"/>
      <c r="K28" s="168" t="s">
        <v>26</v>
      </c>
      <c r="L28" s="281" t="s">
        <v>107</v>
      </c>
      <c r="M28" s="282"/>
    </row>
    <row r="29" spans="1:13" customFormat="1" ht="13.2" customHeight="1" x14ac:dyDescent="0.3">
      <c r="A29" s="111"/>
      <c r="B29" s="294" t="s">
        <v>38</v>
      </c>
      <c r="C29" s="295"/>
      <c r="D29" s="296"/>
      <c r="E29" s="170">
        <f>-Dashboard!E22</f>
        <v>0</v>
      </c>
      <c r="F29" s="171">
        <f>E29/2</f>
        <v>0</v>
      </c>
      <c r="G29" s="171">
        <f>E29/2</f>
        <v>0</v>
      </c>
      <c r="H29" s="178">
        <f>G29/2</f>
        <v>0</v>
      </c>
      <c r="I29" s="173" t="s">
        <v>103</v>
      </c>
      <c r="J29" s="174"/>
      <c r="K29" s="175" t="s">
        <v>26</v>
      </c>
      <c r="L29" s="297" t="s">
        <v>107</v>
      </c>
      <c r="M29" s="298"/>
    </row>
    <row r="30" spans="1:13" customFormat="1" ht="13.8" x14ac:dyDescent="0.3">
      <c r="A30" s="111"/>
      <c r="B30" s="278" t="s">
        <v>39</v>
      </c>
      <c r="C30" s="279"/>
      <c r="D30" s="280"/>
      <c r="E30" s="165">
        <f>-Dashboard!E23</f>
        <v>0</v>
      </c>
      <c r="F30" s="166">
        <f>E30/2</f>
        <v>0</v>
      </c>
      <c r="G30" s="166">
        <f>E30/2</f>
        <v>0</v>
      </c>
      <c r="H30" s="127">
        <f>G30/2</f>
        <v>0</v>
      </c>
      <c r="I30" s="111" t="s">
        <v>103</v>
      </c>
      <c r="J30" s="128"/>
      <c r="K30" s="168" t="s">
        <v>26</v>
      </c>
      <c r="L30" s="281" t="s">
        <v>107</v>
      </c>
      <c r="M30" s="282"/>
    </row>
    <row r="31" spans="1:13" customFormat="1" ht="13.95" customHeight="1" thickBot="1" x14ac:dyDescent="0.35">
      <c r="A31" s="111"/>
      <c r="B31" s="283" t="s">
        <v>40</v>
      </c>
      <c r="C31" s="284"/>
      <c r="D31" s="285"/>
      <c r="E31" s="179">
        <f>-Dashboard!E24</f>
        <v>0</v>
      </c>
      <c r="F31" s="180">
        <f>E31/2</f>
        <v>0</v>
      </c>
      <c r="G31" s="180">
        <f>E31/2</f>
        <v>0</v>
      </c>
      <c r="H31" s="181">
        <f>G31/2</f>
        <v>0</v>
      </c>
      <c r="I31" s="182" t="s">
        <v>103</v>
      </c>
      <c r="J31" s="183"/>
      <c r="K31" s="184" t="s">
        <v>26</v>
      </c>
      <c r="L31" s="286" t="s">
        <v>107</v>
      </c>
      <c r="M31" s="287"/>
    </row>
    <row r="32" spans="1:13" customFormat="1" ht="15" thickTop="1" thickBot="1" x14ac:dyDescent="0.35">
      <c r="A32" s="111"/>
      <c r="B32" s="288" t="s">
        <v>41</v>
      </c>
      <c r="C32" s="289"/>
      <c r="D32" s="290"/>
      <c r="E32" s="185">
        <f>SUM(E25:E31)</f>
        <v>0</v>
      </c>
      <c r="F32" s="185">
        <f>SUM(F25:F31)</f>
        <v>0</v>
      </c>
      <c r="G32" s="185">
        <f>SUM(G25:G31)</f>
        <v>0</v>
      </c>
      <c r="H32" s="185">
        <f>SUM(H25:H31)</f>
        <v>0</v>
      </c>
      <c r="I32" s="186"/>
      <c r="J32" s="186"/>
      <c r="K32" s="186"/>
      <c r="L32" s="186"/>
      <c r="M32" s="187"/>
    </row>
    <row r="33" spans="1:13" customFormat="1" ht="14.4" thickBot="1" x14ac:dyDescent="0.35">
      <c r="A33" s="111"/>
    </row>
    <row r="34" spans="1:13" customFormat="1" ht="28.2" thickBot="1" x14ac:dyDescent="0.35">
      <c r="A34" s="111"/>
      <c r="B34" s="291" t="s">
        <v>108</v>
      </c>
      <c r="C34" s="292"/>
      <c r="D34" s="293"/>
      <c r="E34" s="188" t="s">
        <v>22</v>
      </c>
      <c r="F34" s="189" t="s">
        <v>99</v>
      </c>
      <c r="G34" s="189" t="s">
        <v>100</v>
      </c>
      <c r="H34" s="190" t="s">
        <v>101</v>
      </c>
    </row>
    <row r="35" spans="1:13" customFormat="1" ht="13.8" x14ac:dyDescent="0.3">
      <c r="A35" s="111"/>
      <c r="B35" s="264"/>
      <c r="C35" s="265"/>
      <c r="D35" s="266"/>
      <c r="E35" s="191">
        <f>E21+E32+G15</f>
        <v>0</v>
      </c>
      <c r="F35" s="191">
        <f>F21+F32</f>
        <v>0</v>
      </c>
      <c r="G35" s="191">
        <f>G21+G32+G15</f>
        <v>0</v>
      </c>
      <c r="H35" s="191">
        <f>G35/2</f>
        <v>0</v>
      </c>
    </row>
    <row r="36" spans="1:13" ht="13.8" x14ac:dyDescent="0.25">
      <c r="A36" s="95"/>
      <c r="B36" s="192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</row>
    <row r="37" spans="1:13" ht="14.4" thickBot="1" x14ac:dyDescent="0.3">
      <c r="A37" s="95"/>
      <c r="B37" s="192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</row>
    <row r="38" spans="1:13" ht="42" thickBot="1" x14ac:dyDescent="0.35">
      <c r="A38" s="95"/>
      <c r="B38" s="193"/>
      <c r="C38" s="194"/>
      <c r="D38" s="194"/>
      <c r="E38" s="195"/>
      <c r="F38" s="196" t="s">
        <v>109</v>
      </c>
      <c r="G38" s="196" t="s">
        <v>110</v>
      </c>
      <c r="H38" s="196" t="s">
        <v>111</v>
      </c>
      <c r="I38" s="196" t="s">
        <v>112</v>
      </c>
      <c r="J38" s="197" t="s">
        <v>113</v>
      </c>
      <c r="K38" s="198" t="s">
        <v>114</v>
      </c>
      <c r="L38" s="95"/>
      <c r="M38" s="95"/>
    </row>
    <row r="39" spans="1:13" ht="13.8" x14ac:dyDescent="0.25">
      <c r="A39" s="95"/>
      <c r="B39" s="267" t="s">
        <v>115</v>
      </c>
      <c r="C39" s="268"/>
      <c r="D39" s="268"/>
      <c r="E39" s="269"/>
      <c r="F39" s="199">
        <f>0</f>
        <v>0</v>
      </c>
      <c r="G39" s="200">
        <f>Dashboard!D37</f>
        <v>0</v>
      </c>
      <c r="H39" s="201">
        <f ca="1">VLOOKUP(TODAY(),'Bills Checking'!A1:J709,10,FALSE)</f>
        <v>257.5</v>
      </c>
      <c r="I39" s="201"/>
      <c r="J39" s="202">
        <f ca="1">H39+I39</f>
        <v>257.5</v>
      </c>
      <c r="K39" s="203" t="str">
        <f ca="1">IF(J39&lt;0,"⚠️ NEGATIVE",IF(J39&lt;500,"⚠️ LOW","✅ OK"))</f>
        <v>⚠️ LOW</v>
      </c>
      <c r="L39" s="95"/>
      <c r="M39" s="95"/>
    </row>
    <row r="40" spans="1:13" ht="13.8" x14ac:dyDescent="0.25">
      <c r="A40" s="95"/>
      <c r="B40" s="270" t="s">
        <v>116</v>
      </c>
      <c r="C40" s="271"/>
      <c r="D40" s="271"/>
      <c r="E40" s="272"/>
      <c r="F40" s="204">
        <f>Dashboard!E38</f>
        <v>0</v>
      </c>
      <c r="G40" s="205">
        <f>Dashboard!D38</f>
        <v>0</v>
      </c>
      <c r="H40" s="206">
        <f ca="1">VLOOKUP(TODAY(),'Mortgage Checking'!A1:Q1374,15,FALSE)</f>
        <v>100</v>
      </c>
      <c r="I40" s="206">
        <f ca="1">VLOOKUP(TODAY(),'Mortgage Checking'!A1:Q1374,16,FALSE)</f>
        <v>100</v>
      </c>
      <c r="J40" s="207">
        <f ca="1">H40+I40</f>
        <v>200</v>
      </c>
      <c r="K40" s="208" t="str">
        <f ca="1">IF(J40&lt;0,"⚠️ NEGATIVE",IF(J40&lt;500,"⚠️ LOW","✅ OK"))</f>
        <v>⚠️ LOW</v>
      </c>
      <c r="L40" s="95"/>
      <c r="M40" s="95"/>
    </row>
    <row r="41" spans="1:13" ht="14.4" thickBot="1" x14ac:dyDescent="0.3">
      <c r="A41" s="95"/>
      <c r="B41" s="273" t="s">
        <v>117</v>
      </c>
      <c r="C41" s="274"/>
      <c r="D41" s="274"/>
      <c r="E41" s="275"/>
      <c r="F41" s="209">
        <f>Dashboard!E39</f>
        <v>0</v>
      </c>
      <c r="G41" s="210">
        <f>Dashboard!D39</f>
        <v>0</v>
      </c>
      <c r="H41" s="211" t="e">
        <f ca="1">VLOOKUP(TODAY(),'HOA Savings'!A1:M101,11,FALSE)</f>
        <v>#N/A</v>
      </c>
      <c r="I41" s="211" t="e">
        <f ca="1">VLOOKUP(TODAY(),'HOA Savings'!A1:P101,12,FALSE)</f>
        <v>#N/A</v>
      </c>
      <c r="J41" s="212" t="e">
        <f ca="1">H41+I41</f>
        <v>#N/A</v>
      </c>
      <c r="K41" s="213" t="e">
        <f ca="1">IF(J41&lt;0,"⚠️ NEGATIVE",IF(J41&lt;500,"⚠️ LOW","✅ OK"))</f>
        <v>#N/A</v>
      </c>
      <c r="L41" s="95"/>
      <c r="M41" s="95"/>
    </row>
    <row r="42" spans="1:13" ht="26.4" customHeight="1" x14ac:dyDescent="0.25">
      <c r="A42" s="95"/>
      <c r="B42" s="276" t="s">
        <v>118</v>
      </c>
      <c r="C42" s="277"/>
      <c r="D42" s="277"/>
      <c r="E42" s="277"/>
      <c r="F42" s="214"/>
      <c r="G42" s="214"/>
      <c r="H42" s="214"/>
      <c r="I42" s="214"/>
      <c r="J42" s="215" t="e">
        <f ca="1">SUM(J39:J41)</f>
        <v>#N/A</v>
      </c>
      <c r="K42" s="216" t="e">
        <f ca="1">IF(J42&lt;0,"⚠️ NEGATIVE",IF(J42&lt;1500,"⚠️ LOW","✅ OK"))</f>
        <v>#N/A</v>
      </c>
      <c r="L42" s="95"/>
      <c r="M42" s="95"/>
    </row>
    <row r="44" spans="1:13" x14ac:dyDescent="0.25">
      <c r="A44"/>
      <c r="B44"/>
      <c r="C44"/>
      <c r="D44"/>
      <c r="E44"/>
      <c r="F44"/>
    </row>
    <row r="45" spans="1:13" x14ac:dyDescent="0.25">
      <c r="A45"/>
      <c r="B45"/>
      <c r="C45"/>
      <c r="D45"/>
      <c r="E45"/>
      <c r="F45"/>
    </row>
    <row r="46" spans="1:13" x14ac:dyDescent="0.25">
      <c r="A46"/>
      <c r="B46"/>
      <c r="C46"/>
      <c r="D46"/>
      <c r="E46"/>
      <c r="F46"/>
    </row>
    <row r="47" spans="1:13" x14ac:dyDescent="0.25">
      <c r="A47"/>
      <c r="B47"/>
      <c r="C47"/>
      <c r="D47"/>
      <c r="E47"/>
      <c r="F47"/>
    </row>
    <row r="48" spans="1:13" x14ac:dyDescent="0.25">
      <c r="A48"/>
      <c r="B48"/>
      <c r="C48"/>
      <c r="D48"/>
      <c r="E48"/>
      <c r="F48"/>
    </row>
    <row r="49" spans="1:6" x14ac:dyDescent="0.25">
      <c r="A49"/>
      <c r="B49"/>
      <c r="C49"/>
      <c r="D49"/>
      <c r="E49"/>
      <c r="F49"/>
    </row>
    <row r="50" spans="1:6" x14ac:dyDescent="0.25">
      <c r="A50"/>
      <c r="B50"/>
      <c r="C50"/>
      <c r="D50"/>
      <c r="E50"/>
      <c r="F50"/>
    </row>
    <row r="51" spans="1:6" x14ac:dyDescent="0.25">
      <c r="A51"/>
      <c r="B51"/>
      <c r="C51"/>
      <c r="D51"/>
      <c r="E51"/>
      <c r="F51"/>
    </row>
    <row r="52" spans="1:6" x14ac:dyDescent="0.25">
      <c r="A52"/>
      <c r="B52"/>
      <c r="C52"/>
      <c r="D52"/>
      <c r="E52"/>
      <c r="F52"/>
    </row>
    <row r="53" spans="1:6" x14ac:dyDescent="0.25">
      <c r="A53"/>
      <c r="B53"/>
      <c r="C53"/>
      <c r="D53"/>
      <c r="E53"/>
      <c r="F53"/>
    </row>
  </sheetData>
  <mergeCells count="41">
    <mergeCell ref="B12:F12"/>
    <mergeCell ref="B1:H3"/>
    <mergeCell ref="B4:G4"/>
    <mergeCell ref="B10:M10"/>
    <mergeCell ref="B11:F11"/>
    <mergeCell ref="L11:M11"/>
    <mergeCell ref="B23:M23"/>
    <mergeCell ref="B13:F13"/>
    <mergeCell ref="B14:F14"/>
    <mergeCell ref="B15:F15"/>
    <mergeCell ref="B17:M17"/>
    <mergeCell ref="B18:D18"/>
    <mergeCell ref="L18:M18"/>
    <mergeCell ref="B19:D19"/>
    <mergeCell ref="L19:M19"/>
    <mergeCell ref="B20:D20"/>
    <mergeCell ref="L20:M20"/>
    <mergeCell ref="B21:D21"/>
    <mergeCell ref="B24:D24"/>
    <mergeCell ref="L24:M24"/>
    <mergeCell ref="B25:D25"/>
    <mergeCell ref="L25:M25"/>
    <mergeCell ref="B26:D26"/>
    <mergeCell ref="L26:M26"/>
    <mergeCell ref="B34:D34"/>
    <mergeCell ref="B27:D27"/>
    <mergeCell ref="L27:M27"/>
    <mergeCell ref="B28:D28"/>
    <mergeCell ref="L28:M28"/>
    <mergeCell ref="B29:D29"/>
    <mergeCell ref="L29:M29"/>
    <mergeCell ref="B30:D30"/>
    <mergeCell ref="L30:M30"/>
    <mergeCell ref="B31:D31"/>
    <mergeCell ref="L31:M31"/>
    <mergeCell ref="B32:D32"/>
    <mergeCell ref="B35:D35"/>
    <mergeCell ref="B39:E39"/>
    <mergeCell ref="B40:E40"/>
    <mergeCell ref="B41:E41"/>
    <mergeCell ref="B42:E42"/>
  </mergeCells>
  <dataValidations count="3">
    <dataValidation type="decimal" errorStyle="warning" allowBlank="1" showInputMessage="1" showErrorMessage="1" errorTitle="Invalid Expense" error="Expenses should be negative numbers (e.g., -100 for a $100 expense) or zero." promptTitle="Expense Amount" prompt="Enter a negative number for the expense amount (e.g., -50.00)" sqref="G12:G16 E18:E22 E24:E31 E34" xr:uid="{3B771D73-4ABF-42CD-8892-F20DB0C55A10}">
      <formula1>-100000</formula1>
      <formula2>0</formula2>
    </dataValidation>
    <dataValidation type="whole" errorStyle="warning" allowBlank="1" showInputMessage="1" showErrorMessage="1" errorTitle="Invalid Day" error="Enter a day of the month (1-31)." sqref="J26:J31" xr:uid="{2DD4A07E-3A3B-4C66-9982-48CFAB337983}">
      <formula1>1</formula1>
      <formula2>31</formula2>
    </dataValidation>
    <dataValidation type="whole" allowBlank="1" showInputMessage="1" showErrorMessage="1" errorTitle="Invalid Day" error="Enter a day of the month (1-31)." promptTitle="Payment Day" prompt="Enter the day of month when this payment occurs (1-31)" sqref="J12:J14" xr:uid="{D309D34A-DC6C-4256-B51A-5825E2A12C6D}">
      <formula1>1</formula1>
      <formula2>31</formula2>
    </dataValidation>
  </dataValidations>
  <hyperlinks>
    <hyperlink ref="B28:D28" r:id="rId1" display="Water/Sewer" xr:uid="{1E0150F5-3D5D-4B5B-91DF-25A36CEB3577}"/>
  </hyperlinks>
  <printOptions horizontalCentered="1"/>
  <pageMargins left="0.75" right="0.75" top="1" bottom="1" header="0.5" footer="0.5"/>
  <pageSetup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BC67-C58D-4108-B58A-109AEFC6905E}">
  <sheetPr>
    <tabColor theme="5" tint="0.59999389629810485"/>
  </sheetPr>
  <dimension ref="A1:V1374"/>
  <sheetViews>
    <sheetView workbookViewId="0">
      <pane ySplit="1" topLeftCell="A2" activePane="bottomLeft" state="frozen"/>
      <selection activeCell="G28" sqref="G28"/>
      <selection pane="bottomLeft" activeCell="A2" sqref="A2"/>
    </sheetView>
  </sheetViews>
  <sheetFormatPr defaultColWidth="8.77734375" defaultRowHeight="13.2" x14ac:dyDescent="0.25"/>
  <cols>
    <col min="1" max="1" width="7.88671875" style="238" bestFit="1" customWidth="1"/>
    <col min="2" max="2" width="9.109375" style="20" bestFit="1" customWidth="1"/>
    <col min="3" max="3" width="8.77734375" style="229" bestFit="1" customWidth="1"/>
    <col min="4" max="4" width="6.5546875" style="229" bestFit="1" customWidth="1"/>
    <col min="5" max="5" width="7.88671875" style="229" bestFit="1" customWidth="1"/>
    <col min="6" max="6" width="5.6640625" style="229" bestFit="1" customWidth="1"/>
    <col min="7" max="7" width="6.88671875" style="229" bestFit="1" customWidth="1"/>
    <col min="8" max="8" width="9.77734375" style="20" bestFit="1" customWidth="1"/>
    <col min="9" max="9" width="10.44140625" style="20" customWidth="1"/>
    <col min="10" max="10" width="9.109375" style="20" bestFit="1" customWidth="1"/>
    <col min="11" max="11" width="10.33203125" style="20" bestFit="1" customWidth="1"/>
    <col min="12" max="12" width="9.5546875" style="20" customWidth="1"/>
    <col min="13" max="13" width="8.6640625" style="20" bestFit="1" customWidth="1"/>
    <col min="14" max="14" width="11.109375" style="20" bestFit="1" customWidth="1"/>
    <col min="15" max="15" width="9" style="229" bestFit="1" customWidth="1"/>
    <col min="16" max="16" width="9.88671875" style="229" bestFit="1" customWidth="1"/>
    <col min="17" max="17" width="11.44140625" style="230" bestFit="1" customWidth="1"/>
    <col min="18" max="18" width="2.109375" style="19" customWidth="1"/>
    <col min="19" max="19" width="10.77734375" style="19" bestFit="1" customWidth="1"/>
    <col min="20" max="20" width="33.6640625" style="19" bestFit="1" customWidth="1"/>
    <col min="21" max="21" width="5.109375" style="19" bestFit="1" customWidth="1"/>
    <col min="22" max="22" width="4.44140625" style="19" bestFit="1" customWidth="1"/>
    <col min="23" max="16384" width="8.77734375" style="19"/>
  </cols>
  <sheetData>
    <row r="1" spans="1:22" s="225" customFormat="1" ht="86.55" customHeight="1" x14ac:dyDescent="0.25">
      <c r="A1" s="218" t="s">
        <v>119</v>
      </c>
      <c r="B1" s="219" t="s">
        <v>120</v>
      </c>
      <c r="C1" s="220" t="s">
        <v>121</v>
      </c>
      <c r="D1" s="221" t="s">
        <v>122</v>
      </c>
      <c r="E1" s="221" t="s">
        <v>123</v>
      </c>
      <c r="F1" s="222" t="s">
        <v>124</v>
      </c>
      <c r="G1" s="222" t="s">
        <v>125</v>
      </c>
      <c r="H1" s="219" t="s">
        <v>126</v>
      </c>
      <c r="I1" s="219" t="s">
        <v>127</v>
      </c>
      <c r="J1" s="219" t="s">
        <v>128</v>
      </c>
      <c r="K1" s="219" t="s">
        <v>129</v>
      </c>
      <c r="L1" s="219" t="s">
        <v>130</v>
      </c>
      <c r="M1" s="219" t="s">
        <v>131</v>
      </c>
      <c r="N1" s="223" t="s">
        <v>132</v>
      </c>
      <c r="O1" s="221" t="s">
        <v>133</v>
      </c>
      <c r="P1" s="220" t="s">
        <v>134</v>
      </c>
      <c r="Q1" s="224" t="s">
        <v>135</v>
      </c>
      <c r="T1" s="225" t="s">
        <v>136</v>
      </c>
      <c r="U1" s="225" t="s">
        <v>137</v>
      </c>
      <c r="V1" s="225" t="s">
        <v>138</v>
      </c>
    </row>
    <row r="2" spans="1:22" x14ac:dyDescent="0.25">
      <c r="A2" s="232">
        <v>46023</v>
      </c>
      <c r="B2" s="233">
        <v>100</v>
      </c>
      <c r="C2" s="234">
        <v>100</v>
      </c>
      <c r="D2" s="234">
        <f>IF(OR(DAY(A2+2)=1,DAY(A2+2)=15),-SUM('Main Budget'!$H$26:$H$31),0)</f>
        <v>0</v>
      </c>
      <c r="E2" s="234">
        <f>IF(DAY(A2+2)=22,-SUM('Main Budget'!$F$26:$F$31),0)</f>
        <v>0</v>
      </c>
      <c r="F2" s="234">
        <f>IF(D2&gt;0,-'Main Budget'!$H$25+0.15,0)</f>
        <v>0</v>
      </c>
      <c r="G2" s="234">
        <f>IF(E2&gt;0,-'Main Budget'!$F$25+0.81,0)</f>
        <v>0</v>
      </c>
      <c r="H2" s="233">
        <f>IF(DAY(A2)='Main Budget'!$J$26,'Main Budget'!$E$26,0)</f>
        <v>0</v>
      </c>
      <c r="I2" s="233">
        <f>IF(DAY(A2)='Main Budget'!$J$28,'Main Budget'!$E$28,0)</f>
        <v>0</v>
      </c>
      <c r="J2" s="233">
        <f>IF(DAY(A2)='Main Budget'!$J$29,'Main Budget'!$E$29,0)</f>
        <v>0</v>
      </c>
      <c r="K2" s="235">
        <f>IF(DAY(A2)='Main Budget'!$J$30,'Main Budget'!$E$30,0)</f>
        <v>0</v>
      </c>
      <c r="L2" s="235">
        <f>IF(DAY(A2)='Main Budget'!$J$31,'Main Budget'!$E$31,0)</f>
        <v>0</v>
      </c>
      <c r="M2" s="235">
        <f>IF(DAY(A2)='Main Budget'!$J$27,'Main Budget'!$E$27,0)</f>
        <v>0</v>
      </c>
      <c r="N2" s="235"/>
      <c r="O2" s="234">
        <f>B2+(SUM(H2:M2)+(SUM(D2:E2)))</f>
        <v>100</v>
      </c>
      <c r="P2" s="234">
        <f>C2+F2+G2+N2</f>
        <v>100</v>
      </c>
      <c r="Q2" s="253">
        <f>O2+P2</f>
        <v>200</v>
      </c>
      <c r="R2" s="236"/>
      <c r="S2" s="237" t="str">
        <f>TEXT(A2,"dddd")</f>
        <v>Thursday</v>
      </c>
      <c r="T2" s="236"/>
      <c r="U2" s="236"/>
      <c r="V2" s="236"/>
    </row>
    <row r="3" spans="1:22" x14ac:dyDescent="0.25">
      <c r="A3" s="226">
        <v>46024</v>
      </c>
      <c r="B3" s="227">
        <f>O2</f>
        <v>100</v>
      </c>
      <c r="C3" s="228">
        <f>P2</f>
        <v>100</v>
      </c>
      <c r="D3" s="228">
        <f>IF(OR(DAY(A3+2)=1,DAY(A3+2)=15),-SUM('Main Budget'!$H$26:$H$31),0)</f>
        <v>0</v>
      </c>
      <c r="E3" s="228">
        <f>IF(DAY(A3+2)=22,-SUM('Main Budget'!$F$26:$F$31),0)</f>
        <v>0</v>
      </c>
      <c r="F3" s="228">
        <f>IF(D3&gt;0,-'Main Budget'!$H$25+0.15,0)</f>
        <v>0</v>
      </c>
      <c r="G3" s="228">
        <f>IF(E3&gt;0,-'Main Budget'!$F$25+0.81,0)</f>
        <v>0</v>
      </c>
      <c r="H3" s="227">
        <f>IF(DAY(A3)='Main Budget'!$J$26,'Main Budget'!$E$26,0)</f>
        <v>0</v>
      </c>
      <c r="I3" s="227">
        <f>IF(DAY(A3)='Main Budget'!$J$28,'Main Budget'!$E$28,0)</f>
        <v>0</v>
      </c>
      <c r="J3" s="227">
        <f>IF(DAY(A3)='Main Budget'!$J$29,'Main Budget'!$E$29,0)</f>
        <v>0</v>
      </c>
      <c r="K3" s="20">
        <f>IF(DAY(A3)='Main Budget'!$J$30,'Main Budget'!$E$30,0)</f>
        <v>0</v>
      </c>
      <c r="L3" s="20">
        <f>IF(DAY(A3)='Main Budget'!$J$31,'Main Budget'!$E$31,0)</f>
        <v>0</v>
      </c>
      <c r="M3" s="20">
        <f>IF(DAY(A3)='Main Budget'!$J$27,'Main Budget'!$E$27,0)</f>
        <v>0</v>
      </c>
      <c r="O3" s="228">
        <f>B3+(SUM(H3:M3)+(SUM(D3:E3)))</f>
        <v>100</v>
      </c>
      <c r="P3" s="228">
        <f>C3+F3+G3+N3</f>
        <v>100</v>
      </c>
      <c r="Q3" s="252">
        <f>O3+P3</f>
        <v>200</v>
      </c>
      <c r="S3" s="231" t="str">
        <f>TEXT(A3,"dddd")</f>
        <v>Friday</v>
      </c>
    </row>
    <row r="4" spans="1:22" x14ac:dyDescent="0.25">
      <c r="A4" s="226">
        <v>46025</v>
      </c>
      <c r="B4" s="227">
        <f>O3</f>
        <v>100</v>
      </c>
      <c r="C4" s="228">
        <f>P3</f>
        <v>100</v>
      </c>
      <c r="D4" s="228">
        <f>IF(OR(DAY(A4+2)=1,DAY(A4+2)=15),-SUM('Main Budget'!$H$26:$H$31),0)</f>
        <v>0</v>
      </c>
      <c r="E4" s="228">
        <f>IF(DAY(A4+2)=22,-SUM('Main Budget'!$F$26:$F$31),0)</f>
        <v>0</v>
      </c>
      <c r="F4" s="228">
        <f>IF(D4&gt;0,-'Main Budget'!$H$25+0.15,0)</f>
        <v>0</v>
      </c>
      <c r="G4" s="228">
        <f>IF(E4&gt;0,-'Main Budget'!$F$25+0.81,0)</f>
        <v>0</v>
      </c>
      <c r="H4" s="227">
        <f>IF(DAY(A4)='Main Budget'!$J$26,'Main Budget'!$E$26,0)</f>
        <v>0</v>
      </c>
      <c r="I4" s="227">
        <f>IF(DAY(A4)='Main Budget'!$J$28,'Main Budget'!$E$28,0)</f>
        <v>0</v>
      </c>
      <c r="J4" s="227">
        <f>IF(DAY(A4)='Main Budget'!$J$29,'Main Budget'!$E$29,0)</f>
        <v>0</v>
      </c>
      <c r="K4" s="20">
        <f>IF(DAY(A4)='Main Budget'!$J$30,'Main Budget'!$E$30,0)</f>
        <v>0</v>
      </c>
      <c r="L4" s="20">
        <f>IF(DAY(A4)='Main Budget'!$J$31,'Main Budget'!$E$31,0)</f>
        <v>0</v>
      </c>
      <c r="M4" s="20">
        <f>IF(DAY(A4)='Main Budget'!$J$27,'Main Budget'!$E$27,0)</f>
        <v>0</v>
      </c>
      <c r="O4" s="228">
        <f>B4+(SUM(H4:M4)+(SUM(D4:E4)))</f>
        <v>100</v>
      </c>
      <c r="P4" s="228">
        <f>C4+F4+G4+N4</f>
        <v>100</v>
      </c>
      <c r="Q4" s="252">
        <f>O4+P4</f>
        <v>200</v>
      </c>
      <c r="S4" s="231" t="str">
        <f>TEXT(A4,"dddd")</f>
        <v>Saturday</v>
      </c>
    </row>
    <row r="5" spans="1:22" x14ac:dyDescent="0.25">
      <c r="A5" s="226">
        <v>46026</v>
      </c>
      <c r="B5" s="227">
        <f>O4</f>
        <v>100</v>
      </c>
      <c r="C5" s="228">
        <f>P4</f>
        <v>100</v>
      </c>
      <c r="D5" s="228">
        <f>IF(OR(DAY(A5+2)=1,DAY(A5+2)=15),-SUM('Main Budget'!$H$26:$H$31),0)</f>
        <v>0</v>
      </c>
      <c r="E5" s="228">
        <f>IF(DAY(A5+2)=22,-SUM('Main Budget'!$F$26:$F$31),0)</f>
        <v>0</v>
      </c>
      <c r="F5" s="228">
        <f>IF(D5&gt;0,-'Main Budget'!$H$25+0.15,0)</f>
        <v>0</v>
      </c>
      <c r="G5" s="228">
        <f>IF(E5&gt;0,-'Main Budget'!$F$25+0.81,0)</f>
        <v>0</v>
      </c>
      <c r="H5" s="227">
        <f>IF(DAY(A5)='Main Budget'!$J$26,'Main Budget'!$E$26,0)</f>
        <v>0</v>
      </c>
      <c r="I5" s="227">
        <f>IF(DAY(A5)='Main Budget'!$J$28,'Main Budget'!$E$28,0)</f>
        <v>0</v>
      </c>
      <c r="J5" s="227">
        <f>IF(DAY(A5)='Main Budget'!$J$29,'Main Budget'!$E$29,0)</f>
        <v>0</v>
      </c>
      <c r="K5" s="20">
        <f>IF(DAY(A5)='Main Budget'!$J$30,'Main Budget'!$E$30,0)</f>
        <v>0</v>
      </c>
      <c r="L5" s="20">
        <f>IF(DAY(A5)='Main Budget'!$J$31,'Main Budget'!$E$31,0)</f>
        <v>0</v>
      </c>
      <c r="M5" s="20">
        <f>IF(DAY(A5)='Main Budget'!$J$27,'Main Budget'!$E$27,0)</f>
        <v>0</v>
      </c>
      <c r="O5" s="228">
        <f>B5+(SUM(H5:M5)+(SUM(D5:E5)))</f>
        <v>100</v>
      </c>
      <c r="P5" s="228">
        <f>C5+F5+G5+N5</f>
        <v>100</v>
      </c>
      <c r="Q5" s="252">
        <f>O5+P5</f>
        <v>200</v>
      </c>
      <c r="S5" s="231" t="str">
        <f>TEXT(A5,"dddd")</f>
        <v>Sunday</v>
      </c>
    </row>
    <row r="6" spans="1:22" x14ac:dyDescent="0.25">
      <c r="A6" s="226">
        <v>46027</v>
      </c>
      <c r="B6" s="227">
        <f>O5</f>
        <v>100</v>
      </c>
      <c r="C6" s="228">
        <f>P5</f>
        <v>100</v>
      </c>
      <c r="D6" s="228">
        <f>IF(OR(DAY(A6+2)=1,DAY(A6+2)=15),-SUM('Main Budget'!$H$26:$H$31),0)</f>
        <v>0</v>
      </c>
      <c r="E6" s="228">
        <f>IF(DAY(A6+2)=22,-SUM('Main Budget'!$F$26:$F$31),0)</f>
        <v>0</v>
      </c>
      <c r="F6" s="228">
        <f>IF(D6&gt;0,-'Main Budget'!$H$25+0.15,0)</f>
        <v>0</v>
      </c>
      <c r="G6" s="228">
        <f>IF(E6&gt;0,-'Main Budget'!$F$25+0.81,0)</f>
        <v>0</v>
      </c>
      <c r="H6" s="227">
        <f>IF(DAY(A6)='Main Budget'!$J$26,'Main Budget'!$E$26,0)</f>
        <v>0</v>
      </c>
      <c r="I6" s="227">
        <f>IF(DAY(A6)='Main Budget'!$J$28,'Main Budget'!$E$28,0)</f>
        <v>0</v>
      </c>
      <c r="J6" s="227">
        <f>IF(DAY(A6)='Main Budget'!$J$29,'Main Budget'!$E$29,0)</f>
        <v>0</v>
      </c>
      <c r="K6" s="20">
        <f>IF(DAY(A6)='Main Budget'!$J$30,'Main Budget'!$E$30,0)</f>
        <v>0</v>
      </c>
      <c r="L6" s="20">
        <f>IF(DAY(A6)='Main Budget'!$J$31,'Main Budget'!$E$31,0)</f>
        <v>0</v>
      </c>
      <c r="M6" s="20">
        <f>IF(DAY(A6)='Main Budget'!$J$27,'Main Budget'!$E$27,0)</f>
        <v>0</v>
      </c>
      <c r="O6" s="228">
        <f>B6+(SUM(H6:M6)+(SUM(D6:E6)))</f>
        <v>100</v>
      </c>
      <c r="P6" s="228">
        <f>C6+F6+G6+N6</f>
        <v>100</v>
      </c>
      <c r="Q6" s="252">
        <f>O6+P6</f>
        <v>200</v>
      </c>
      <c r="S6" s="231" t="str">
        <f>TEXT(A6,"dddd")</f>
        <v>Monday</v>
      </c>
    </row>
    <row r="7" spans="1:22" x14ac:dyDescent="0.25">
      <c r="A7" s="226">
        <v>46028</v>
      </c>
      <c r="B7" s="227">
        <f>O6</f>
        <v>100</v>
      </c>
      <c r="C7" s="228">
        <f>P6</f>
        <v>100</v>
      </c>
      <c r="D7" s="228">
        <f>IF(OR(DAY(A7+2)=1,DAY(A7+2)=15),-SUM('Main Budget'!$H$26:$H$31),0)</f>
        <v>0</v>
      </c>
      <c r="E7" s="228">
        <f>IF(DAY(A7+2)=22,-SUM('Main Budget'!$F$26:$F$31),0)</f>
        <v>0</v>
      </c>
      <c r="F7" s="228">
        <f>IF(D7&gt;0,-'Main Budget'!$H$25+0.15,0)</f>
        <v>0</v>
      </c>
      <c r="G7" s="228">
        <f>IF(E7&gt;0,-'Main Budget'!$F$25+0.81,0)</f>
        <v>0</v>
      </c>
      <c r="H7" s="227">
        <f>IF(DAY(A7)='Main Budget'!$J$26,'Main Budget'!$E$26,0)</f>
        <v>0</v>
      </c>
      <c r="I7" s="227">
        <f>IF(DAY(A7)='Main Budget'!$J$28,'Main Budget'!$E$28,0)</f>
        <v>0</v>
      </c>
      <c r="J7" s="227">
        <f>IF(DAY(A7)='Main Budget'!$J$29,'Main Budget'!$E$29,0)</f>
        <v>0</v>
      </c>
      <c r="K7" s="20">
        <f>IF(DAY(A7)='Main Budget'!$J$30,'Main Budget'!$E$30,0)</f>
        <v>0</v>
      </c>
      <c r="L7" s="20">
        <f>IF(DAY(A7)='Main Budget'!$J$31,'Main Budget'!$E$31,0)</f>
        <v>0</v>
      </c>
      <c r="M7" s="20">
        <f>IF(DAY(A7)='Main Budget'!$J$27,'Main Budget'!$E$27,0)</f>
        <v>0</v>
      </c>
      <c r="O7" s="228">
        <f>B7+(SUM(H7:M7)+(SUM(D7:E7)))</f>
        <v>100</v>
      </c>
      <c r="P7" s="228">
        <f>C7+F7+G7+N7</f>
        <v>100</v>
      </c>
      <c r="Q7" s="252">
        <f>O7+P7</f>
        <v>200</v>
      </c>
      <c r="S7" s="231" t="str">
        <f>TEXT(A7,"dddd")</f>
        <v>Tuesday</v>
      </c>
    </row>
    <row r="8" spans="1:22" x14ac:dyDescent="0.25">
      <c r="A8" s="226">
        <v>46029</v>
      </c>
      <c r="B8" s="227">
        <f>O7</f>
        <v>100</v>
      </c>
      <c r="C8" s="228">
        <f>P7</f>
        <v>100</v>
      </c>
      <c r="D8" s="228">
        <f>IF(OR(DAY(A8+2)=1,DAY(A8+2)=15),-SUM('Main Budget'!$H$26:$H$31),0)</f>
        <v>0</v>
      </c>
      <c r="E8" s="228">
        <f>IF(DAY(A8+2)=22,-SUM('Main Budget'!$F$26:$F$31),0)</f>
        <v>0</v>
      </c>
      <c r="F8" s="228">
        <f>IF(D8&gt;0,-'Main Budget'!$H$25+0.15,0)</f>
        <v>0</v>
      </c>
      <c r="G8" s="228">
        <f>IF(E8&gt;0,-'Main Budget'!$F$25+0.81,0)</f>
        <v>0</v>
      </c>
      <c r="H8" s="227">
        <f>IF(DAY(A8)='Main Budget'!$J$26,'Main Budget'!$E$26,0)</f>
        <v>0</v>
      </c>
      <c r="I8" s="227">
        <f>IF(DAY(A8)='Main Budget'!$J$28,'Main Budget'!$E$28,0)</f>
        <v>0</v>
      </c>
      <c r="J8" s="227">
        <f>IF(DAY(A8)='Main Budget'!$J$29,'Main Budget'!$E$29,0)</f>
        <v>0</v>
      </c>
      <c r="K8" s="20">
        <f>IF(DAY(A8)='Main Budget'!$J$30,'Main Budget'!$E$30,0)</f>
        <v>0</v>
      </c>
      <c r="L8" s="20">
        <f>IF(DAY(A8)='Main Budget'!$J$31,'Main Budget'!$E$31,0)</f>
        <v>0</v>
      </c>
      <c r="M8" s="20">
        <f>IF(DAY(A8)='Main Budget'!$J$27,'Main Budget'!$E$27,0)</f>
        <v>0</v>
      </c>
      <c r="O8" s="228">
        <f>B8+(SUM(H8:M8)+(SUM(D8:E8)))</f>
        <v>100</v>
      </c>
      <c r="P8" s="228">
        <f>C8+F8+G8+N8</f>
        <v>100</v>
      </c>
      <c r="Q8" s="252">
        <f>O8+P8</f>
        <v>200</v>
      </c>
      <c r="S8" s="231" t="str">
        <f>TEXT(A8,"dddd")</f>
        <v>Wednesday</v>
      </c>
    </row>
    <row r="9" spans="1:22" x14ac:dyDescent="0.25">
      <c r="A9" s="226">
        <v>46030</v>
      </c>
      <c r="B9" s="227">
        <f>O8</f>
        <v>100</v>
      </c>
      <c r="C9" s="228">
        <f>P8</f>
        <v>100</v>
      </c>
      <c r="D9" s="228">
        <f>IF(OR(DAY(A9+2)=1,DAY(A9+2)=15),-SUM('Main Budget'!$H$26:$H$31),0)</f>
        <v>0</v>
      </c>
      <c r="E9" s="228">
        <f>IF(DAY(A9+2)=22,-SUM('Main Budget'!$F$26:$F$31),0)</f>
        <v>0</v>
      </c>
      <c r="F9" s="228">
        <f>IF(D9&gt;0,-'Main Budget'!$H$25+0.15,0)</f>
        <v>0</v>
      </c>
      <c r="G9" s="228">
        <f>IF(E9&gt;0,-'Main Budget'!$F$25+0.81,0)</f>
        <v>0</v>
      </c>
      <c r="H9" s="227">
        <f>IF(DAY(A9)='Main Budget'!$J$26,'Main Budget'!$E$26,0)</f>
        <v>0</v>
      </c>
      <c r="I9" s="227">
        <f>IF(DAY(A9)='Main Budget'!$J$28,'Main Budget'!$E$28,0)</f>
        <v>0</v>
      </c>
      <c r="J9" s="227">
        <f>IF(DAY(A9)='Main Budget'!$J$29,'Main Budget'!$E$29,0)</f>
        <v>0</v>
      </c>
      <c r="K9" s="20">
        <f>IF(DAY(A9)='Main Budget'!$J$30,'Main Budget'!$E$30,0)</f>
        <v>0</v>
      </c>
      <c r="L9" s="20">
        <f>IF(DAY(A9)='Main Budget'!$J$31,'Main Budget'!$E$31,0)</f>
        <v>0</v>
      </c>
      <c r="M9" s="20">
        <f>IF(DAY(A9)='Main Budget'!$J$27,'Main Budget'!$E$27,0)</f>
        <v>0</v>
      </c>
      <c r="O9" s="228">
        <f>B9+(SUM(H9:M9)+(SUM(D9:E9)))</f>
        <v>100</v>
      </c>
      <c r="P9" s="228">
        <f>C9+F9+G9+N9</f>
        <v>100</v>
      </c>
      <c r="Q9" s="252">
        <f>O9+P9</f>
        <v>200</v>
      </c>
      <c r="S9" s="231" t="str">
        <f>TEXT(A9,"dddd")</f>
        <v>Thursday</v>
      </c>
    </row>
    <row r="10" spans="1:22" x14ac:dyDescent="0.25">
      <c r="A10" s="226">
        <v>46031</v>
      </c>
      <c r="B10" s="227">
        <f>O9</f>
        <v>100</v>
      </c>
      <c r="C10" s="228">
        <f>P9</f>
        <v>100</v>
      </c>
      <c r="D10" s="228">
        <f>IF(OR(DAY(A10+2)=1,DAY(A10+2)=15),-SUM('Main Budget'!$H$26:$H$31),0)</f>
        <v>0</v>
      </c>
      <c r="E10" s="228">
        <f>IF(DAY(A10+2)=22,-SUM('Main Budget'!$F$26:$F$31),0)</f>
        <v>0</v>
      </c>
      <c r="F10" s="228">
        <f>IF(D10&gt;0,-'Main Budget'!$H$25+0.15,0)</f>
        <v>0</v>
      </c>
      <c r="G10" s="228">
        <f>IF(E10&gt;0,-'Main Budget'!$F$25+0.81,0)</f>
        <v>0</v>
      </c>
      <c r="H10" s="227">
        <f>IF(DAY(A10)='Main Budget'!$J$26,'Main Budget'!$E$26,0)</f>
        <v>0</v>
      </c>
      <c r="I10" s="227">
        <f>IF(DAY(A10)='Main Budget'!$J$28,'Main Budget'!$E$28,0)</f>
        <v>0</v>
      </c>
      <c r="J10" s="227">
        <f>IF(DAY(A10)='Main Budget'!$J$29,'Main Budget'!$E$29,0)</f>
        <v>0</v>
      </c>
      <c r="K10" s="20">
        <f>IF(DAY(A10)='Main Budget'!$J$30,'Main Budget'!$E$30,0)</f>
        <v>0</v>
      </c>
      <c r="L10" s="20">
        <f>IF(DAY(A10)='Main Budget'!$J$31,'Main Budget'!$E$31,0)</f>
        <v>0</v>
      </c>
      <c r="M10" s="20">
        <f>IF(DAY(A10)='Main Budget'!$J$27,'Main Budget'!$E$27,0)</f>
        <v>0</v>
      </c>
      <c r="O10" s="228">
        <f>B10+(SUM(H10:M10)+(SUM(D10:E10)))</f>
        <v>100</v>
      </c>
      <c r="P10" s="228">
        <f>C10+F10+G10+N10</f>
        <v>100</v>
      </c>
      <c r="Q10" s="252">
        <f>O10+P10</f>
        <v>200</v>
      </c>
      <c r="S10" s="231" t="str">
        <f>TEXT(A10,"dddd")</f>
        <v>Friday</v>
      </c>
    </row>
    <row r="11" spans="1:22" x14ac:dyDescent="0.25">
      <c r="A11" s="226">
        <v>46032</v>
      </c>
      <c r="B11" s="227">
        <f>O10</f>
        <v>100</v>
      </c>
      <c r="C11" s="228">
        <f>P10</f>
        <v>100</v>
      </c>
      <c r="D11" s="228">
        <f>IF(OR(DAY(A11+2)=1,DAY(A11+2)=15),-SUM('Main Budget'!$H$26:$H$31),0)</f>
        <v>0</v>
      </c>
      <c r="E11" s="228">
        <f>IF(DAY(A11+2)=22,-SUM('Main Budget'!$F$26:$F$31),0)</f>
        <v>0</v>
      </c>
      <c r="F11" s="228">
        <f>IF(D11&gt;0,-'Main Budget'!$H$25+0.15,0)</f>
        <v>0</v>
      </c>
      <c r="G11" s="228">
        <f>IF(E11&gt;0,-'Main Budget'!$F$25+0.81,0)</f>
        <v>0</v>
      </c>
      <c r="H11" s="227">
        <f>IF(DAY(A11)='Main Budget'!$J$26,'Main Budget'!$E$26,0)</f>
        <v>0</v>
      </c>
      <c r="I11" s="227">
        <f>IF(DAY(A11)='Main Budget'!$J$28,'Main Budget'!$E$28,0)</f>
        <v>0</v>
      </c>
      <c r="J11" s="227">
        <f>IF(DAY(A11)='Main Budget'!$J$29,'Main Budget'!$E$29,0)</f>
        <v>0</v>
      </c>
      <c r="K11" s="20">
        <f>IF(DAY(A11)='Main Budget'!$J$30,'Main Budget'!$E$30,0)</f>
        <v>0</v>
      </c>
      <c r="L11" s="20">
        <f>IF(DAY(A11)='Main Budget'!$J$31,'Main Budget'!$E$31,0)</f>
        <v>0</v>
      </c>
      <c r="M11" s="20">
        <f>IF(DAY(A11)='Main Budget'!$J$27,'Main Budget'!$E$27,0)</f>
        <v>0</v>
      </c>
      <c r="O11" s="228">
        <f>B11+(SUM(H11:M11)+(SUM(D11:E11)))</f>
        <v>100</v>
      </c>
      <c r="P11" s="228">
        <f>C11+F11+G11+N11</f>
        <v>100</v>
      </c>
      <c r="Q11" s="252">
        <f>O11+P11</f>
        <v>200</v>
      </c>
      <c r="S11" s="231" t="str">
        <f>TEXT(A11,"dddd")</f>
        <v>Saturday</v>
      </c>
    </row>
    <row r="12" spans="1:22" x14ac:dyDescent="0.25">
      <c r="A12" s="226">
        <v>46033</v>
      </c>
      <c r="B12" s="227">
        <f>O11</f>
        <v>100</v>
      </c>
      <c r="C12" s="228">
        <f>P11</f>
        <v>100</v>
      </c>
      <c r="D12" s="228">
        <f>IF(OR(DAY(A12+2)=1,DAY(A12+2)=15),-SUM('Main Budget'!$H$26:$H$31),0)</f>
        <v>0</v>
      </c>
      <c r="E12" s="228">
        <f>IF(DAY(A12+2)=22,-SUM('Main Budget'!$F$26:$F$31),0)</f>
        <v>0</v>
      </c>
      <c r="F12" s="228">
        <f>IF(D12&gt;0,-'Main Budget'!$H$25+0.15,0)</f>
        <v>0</v>
      </c>
      <c r="G12" s="228">
        <f>IF(E12&gt;0,-'Main Budget'!$F$25+0.81,0)</f>
        <v>0</v>
      </c>
      <c r="H12" s="227">
        <f>IF(DAY(A12)='Main Budget'!$J$26,'Main Budget'!$E$26,0)</f>
        <v>0</v>
      </c>
      <c r="I12" s="227">
        <f>IF(DAY(A12)='Main Budget'!$J$28,'Main Budget'!$E$28,0)</f>
        <v>0</v>
      </c>
      <c r="J12" s="227">
        <f>IF(DAY(A12)='Main Budget'!$J$29,'Main Budget'!$E$29,0)</f>
        <v>0</v>
      </c>
      <c r="K12" s="20">
        <f>IF(DAY(A12)='Main Budget'!$J$30,'Main Budget'!$E$30,0)</f>
        <v>0</v>
      </c>
      <c r="L12" s="20">
        <f>IF(DAY(A12)='Main Budget'!$J$31,'Main Budget'!$E$31,0)</f>
        <v>0</v>
      </c>
      <c r="M12" s="20">
        <f>IF(DAY(A12)='Main Budget'!$J$27,'Main Budget'!$E$27,0)</f>
        <v>0</v>
      </c>
      <c r="O12" s="228">
        <f>B12+(SUM(H12:M12)+(SUM(D12:E12)))</f>
        <v>100</v>
      </c>
      <c r="P12" s="228">
        <f>C12+F12+G12+N12</f>
        <v>100</v>
      </c>
      <c r="Q12" s="252">
        <f>O12+P12</f>
        <v>200</v>
      </c>
      <c r="S12" s="231" t="str">
        <f>TEXT(A12,"dddd")</f>
        <v>Sunday</v>
      </c>
    </row>
    <row r="13" spans="1:22" x14ac:dyDescent="0.25">
      <c r="A13" s="226">
        <v>46034</v>
      </c>
      <c r="B13" s="227">
        <f>O12</f>
        <v>100</v>
      </c>
      <c r="C13" s="228">
        <f>P12</f>
        <v>100</v>
      </c>
      <c r="D13" s="228">
        <f>IF(OR(DAY(A13+2)=1,DAY(A13+2)=15),-SUM('Main Budget'!$H$26:$H$31),0)</f>
        <v>0</v>
      </c>
      <c r="E13" s="228">
        <f>IF(DAY(A13+2)=22,-SUM('Main Budget'!$F$26:$F$31),0)</f>
        <v>0</v>
      </c>
      <c r="F13" s="228">
        <f>IF(D13&gt;0,-'Main Budget'!$H$25+0.15,0)</f>
        <v>0</v>
      </c>
      <c r="G13" s="228">
        <f>IF(E13&gt;0,-'Main Budget'!$F$25+0.81,0)</f>
        <v>0</v>
      </c>
      <c r="H13" s="227">
        <f>IF(DAY(A13)='Main Budget'!$J$26,'Main Budget'!$E$26,0)</f>
        <v>0</v>
      </c>
      <c r="I13" s="227">
        <f>IF(DAY(A13)='Main Budget'!$J$28,'Main Budget'!$E$28,0)</f>
        <v>0</v>
      </c>
      <c r="J13" s="227">
        <f>IF(DAY(A13)='Main Budget'!$J$29,'Main Budget'!$E$29,0)</f>
        <v>0</v>
      </c>
      <c r="K13" s="20">
        <f>IF(DAY(A13)='Main Budget'!$J$30,'Main Budget'!$E$30,0)</f>
        <v>0</v>
      </c>
      <c r="L13" s="20">
        <f>IF(DAY(A13)='Main Budget'!$J$31,'Main Budget'!$E$31,0)</f>
        <v>0</v>
      </c>
      <c r="M13" s="20">
        <f>IF(DAY(A13)='Main Budget'!$J$27,'Main Budget'!$E$27,0)</f>
        <v>0</v>
      </c>
      <c r="O13" s="228">
        <f>B13+(SUM(H13:M13)+(SUM(D13:E13)))</f>
        <v>100</v>
      </c>
      <c r="P13" s="228">
        <f>C13+F13+G13+N13</f>
        <v>100</v>
      </c>
      <c r="Q13" s="252">
        <f>O13+P13</f>
        <v>200</v>
      </c>
      <c r="S13" s="231" t="str">
        <f>TEXT(A13,"dddd")</f>
        <v>Monday</v>
      </c>
    </row>
    <row r="14" spans="1:22" x14ac:dyDescent="0.25">
      <c r="A14" s="226">
        <v>46035</v>
      </c>
      <c r="B14" s="227">
        <f>O13</f>
        <v>100</v>
      </c>
      <c r="C14" s="228">
        <f>P13</f>
        <v>100</v>
      </c>
      <c r="D14" s="228">
        <f>IF(OR(DAY(A14+2)=1,DAY(A14+2)=15),-SUM('Main Budget'!$H$26:$H$31),0)</f>
        <v>0</v>
      </c>
      <c r="E14" s="228">
        <f>IF(DAY(A14+2)=22,-SUM('Main Budget'!$F$26:$F$31),0)</f>
        <v>0</v>
      </c>
      <c r="F14" s="228">
        <f>IF(D14&gt;0,-'Main Budget'!$H$25+0.15,0)</f>
        <v>0</v>
      </c>
      <c r="G14" s="228">
        <f>IF(E14&gt;0,-'Main Budget'!$F$25+0.81,0)</f>
        <v>0</v>
      </c>
      <c r="H14" s="227">
        <f>IF(DAY(A14)='Main Budget'!$J$26,'Main Budget'!$E$26,0)</f>
        <v>0</v>
      </c>
      <c r="I14" s="227">
        <f>IF(DAY(A14)='Main Budget'!$J$28,'Main Budget'!$E$28,0)</f>
        <v>0</v>
      </c>
      <c r="J14" s="227">
        <f>IF(DAY(A14)='Main Budget'!$J$29,'Main Budget'!$E$29,0)</f>
        <v>0</v>
      </c>
      <c r="K14" s="20">
        <f>IF(DAY(A14)='Main Budget'!$J$30,'Main Budget'!$E$30,0)</f>
        <v>0</v>
      </c>
      <c r="L14" s="20">
        <f>IF(DAY(A14)='Main Budget'!$J$31,'Main Budget'!$E$31,0)</f>
        <v>0</v>
      </c>
      <c r="M14" s="20">
        <f>IF(DAY(A14)='Main Budget'!$J$27,'Main Budget'!$E$27,0)</f>
        <v>0</v>
      </c>
      <c r="O14" s="228">
        <f>B14+(SUM(H14:M14)+(SUM(D14:E14)))</f>
        <v>100</v>
      </c>
      <c r="P14" s="228">
        <f>C14+F14+G14+N14</f>
        <v>100</v>
      </c>
      <c r="Q14" s="252">
        <f>O14+P14</f>
        <v>200</v>
      </c>
      <c r="S14" s="231" t="str">
        <f>TEXT(A14,"dddd")</f>
        <v>Tuesday</v>
      </c>
    </row>
    <row r="15" spans="1:22" x14ac:dyDescent="0.25">
      <c r="A15" s="226">
        <v>46036</v>
      </c>
      <c r="B15" s="227">
        <f>O14</f>
        <v>100</v>
      </c>
      <c r="C15" s="228">
        <f>P14</f>
        <v>100</v>
      </c>
      <c r="D15" s="228">
        <f>IF(OR(DAY(A15+2)=1,DAY(A15+2)=15),-SUM('Main Budget'!$H$26:$H$31),0)</f>
        <v>0</v>
      </c>
      <c r="E15" s="228">
        <f>IF(DAY(A15+2)=22,-SUM('Main Budget'!$F$26:$F$31),0)</f>
        <v>0</v>
      </c>
      <c r="F15" s="228">
        <f>IF(D15&gt;0,-'Main Budget'!$H$25+0.15,0)</f>
        <v>0</v>
      </c>
      <c r="G15" s="228">
        <f>IF(E15&gt;0,-'Main Budget'!$F$25+0.81,0)</f>
        <v>0</v>
      </c>
      <c r="H15" s="227">
        <f>IF(DAY(A15)='Main Budget'!$J$26,'Main Budget'!$E$26,0)</f>
        <v>0</v>
      </c>
      <c r="I15" s="227">
        <f>IF(DAY(A15)='Main Budget'!$J$28,'Main Budget'!$E$28,0)</f>
        <v>0</v>
      </c>
      <c r="J15" s="227">
        <f>IF(DAY(A15)='Main Budget'!$J$29,'Main Budget'!$E$29,0)</f>
        <v>0</v>
      </c>
      <c r="K15" s="20">
        <f>IF(DAY(A15)='Main Budget'!$J$30,'Main Budget'!$E$30,0)</f>
        <v>0</v>
      </c>
      <c r="L15" s="20">
        <f>IF(DAY(A15)='Main Budget'!$J$31,'Main Budget'!$E$31,0)</f>
        <v>0</v>
      </c>
      <c r="M15" s="20">
        <f>IF(DAY(A15)='Main Budget'!$J$27,'Main Budget'!$E$27,0)</f>
        <v>0</v>
      </c>
      <c r="O15" s="228">
        <f>B15+(SUM(H15:M15)+(SUM(D15:E15)))</f>
        <v>100</v>
      </c>
      <c r="P15" s="228">
        <f>C15+F15+G15+N15</f>
        <v>100</v>
      </c>
      <c r="Q15" s="252">
        <f>O15+P15</f>
        <v>200</v>
      </c>
      <c r="S15" s="231" t="str">
        <f>TEXT(A15,"dddd")</f>
        <v>Wednesday</v>
      </c>
    </row>
    <row r="16" spans="1:22" x14ac:dyDescent="0.25">
      <c r="A16" s="226">
        <v>46037</v>
      </c>
      <c r="B16" s="227">
        <f>O15</f>
        <v>100</v>
      </c>
      <c r="C16" s="228">
        <f>P15</f>
        <v>100</v>
      </c>
      <c r="D16" s="228">
        <f>IF(OR(DAY(A16+2)=1,DAY(A16+2)=15),-SUM('Main Budget'!$H$26:$H$31),0)</f>
        <v>0</v>
      </c>
      <c r="E16" s="228">
        <f>IF(DAY(A16+2)=22,-SUM('Main Budget'!$F$26:$F$31),0)</f>
        <v>0</v>
      </c>
      <c r="F16" s="228">
        <f>IF(D16&gt;0,-'Main Budget'!$H$25+0.15,0)</f>
        <v>0</v>
      </c>
      <c r="G16" s="228">
        <f>IF(E16&gt;0,-'Main Budget'!$F$25+0.81,0)</f>
        <v>0</v>
      </c>
      <c r="H16" s="227">
        <f>IF(DAY(A16)='Main Budget'!$J$26,'Main Budget'!$E$26,0)</f>
        <v>0</v>
      </c>
      <c r="I16" s="227">
        <f>IF(DAY(A16)='Main Budget'!$J$28,'Main Budget'!$E$28,0)</f>
        <v>0</v>
      </c>
      <c r="J16" s="227">
        <f>IF(DAY(A16)='Main Budget'!$J$29,'Main Budget'!$E$29,0)</f>
        <v>0</v>
      </c>
      <c r="K16" s="20">
        <f>IF(DAY(A16)='Main Budget'!$J$30,'Main Budget'!$E$30,0)</f>
        <v>0</v>
      </c>
      <c r="L16" s="20">
        <f>IF(DAY(A16)='Main Budget'!$J$31,'Main Budget'!$E$31,0)</f>
        <v>0</v>
      </c>
      <c r="M16" s="20">
        <f>IF(DAY(A16)='Main Budget'!$J$27,'Main Budget'!$E$27,0)</f>
        <v>0</v>
      </c>
      <c r="O16" s="228">
        <f>B16+(SUM(H16:M16)+(SUM(D16:E16)))</f>
        <v>100</v>
      </c>
      <c r="P16" s="228">
        <f>C16+F16+G16+N16</f>
        <v>100</v>
      </c>
      <c r="Q16" s="252">
        <f>O16+P16</f>
        <v>200</v>
      </c>
      <c r="S16" s="231" t="str">
        <f>TEXT(A16,"dddd")</f>
        <v>Thursday</v>
      </c>
    </row>
    <row r="17" spans="1:19" x14ac:dyDescent="0.25">
      <c r="A17" s="226">
        <v>46038</v>
      </c>
      <c r="B17" s="227">
        <f>O16</f>
        <v>100</v>
      </c>
      <c r="C17" s="228">
        <f>P16</f>
        <v>100</v>
      </c>
      <c r="D17" s="228">
        <f>IF(OR(DAY(A17+2)=1,DAY(A17+2)=15),-SUM('Main Budget'!$H$26:$H$31),0)</f>
        <v>0</v>
      </c>
      <c r="E17" s="228">
        <f>IF(DAY(A17+2)=22,-SUM('Main Budget'!$F$26:$F$31),0)</f>
        <v>0</v>
      </c>
      <c r="F17" s="228">
        <f>IF(D17&gt;0,-'Main Budget'!$H$25+0.15,0)</f>
        <v>0</v>
      </c>
      <c r="G17" s="228">
        <f>IF(E17&gt;0,-'Main Budget'!$F$25+0.81,0)</f>
        <v>0</v>
      </c>
      <c r="H17" s="227">
        <f>IF(DAY(A17)='Main Budget'!$J$26,'Main Budget'!$E$26,0)</f>
        <v>0</v>
      </c>
      <c r="I17" s="227">
        <f>IF(DAY(A17)='Main Budget'!$J$28,'Main Budget'!$E$28,0)</f>
        <v>0</v>
      </c>
      <c r="J17" s="227">
        <f>IF(DAY(A17)='Main Budget'!$J$29,'Main Budget'!$E$29,0)</f>
        <v>0</v>
      </c>
      <c r="K17" s="20">
        <f>IF(DAY(A17)='Main Budget'!$J$30,'Main Budget'!$E$30,0)</f>
        <v>0</v>
      </c>
      <c r="L17" s="20">
        <f>IF(DAY(A17)='Main Budget'!$J$31,'Main Budget'!$E$31,0)</f>
        <v>0</v>
      </c>
      <c r="M17" s="20">
        <f>IF(DAY(A17)='Main Budget'!$J$27,'Main Budget'!$E$27,0)</f>
        <v>0</v>
      </c>
      <c r="O17" s="228">
        <f>B17+(SUM(H17:M17)+(SUM(D17:E17)))</f>
        <v>100</v>
      </c>
      <c r="P17" s="228">
        <f>C17+F17+G17+N17</f>
        <v>100</v>
      </c>
      <c r="Q17" s="252">
        <f>O17+P17</f>
        <v>200</v>
      </c>
      <c r="S17" s="231" t="str">
        <f>TEXT(A17,"dddd")</f>
        <v>Friday</v>
      </c>
    </row>
    <row r="18" spans="1:19" x14ac:dyDescent="0.25">
      <c r="A18" s="226">
        <v>46039</v>
      </c>
      <c r="B18" s="227">
        <f>O17</f>
        <v>100</v>
      </c>
      <c r="C18" s="228">
        <f>P17</f>
        <v>100</v>
      </c>
      <c r="D18" s="228">
        <f>IF(OR(DAY(A18+2)=1,DAY(A18+2)=15),-SUM('Main Budget'!$H$26:$H$31),0)</f>
        <v>0</v>
      </c>
      <c r="E18" s="228">
        <f>IF(DAY(A18+2)=22,-SUM('Main Budget'!$F$26:$F$31),0)</f>
        <v>0</v>
      </c>
      <c r="F18" s="228">
        <f>IF(D18&gt;0,-'Main Budget'!$H$25+0.15,0)</f>
        <v>0</v>
      </c>
      <c r="G18" s="228">
        <f>IF(E18&gt;0,-'Main Budget'!$F$25+0.81,0)</f>
        <v>0</v>
      </c>
      <c r="H18" s="227">
        <f>IF(DAY(A18)='Main Budget'!$J$26,'Main Budget'!$E$26,0)</f>
        <v>0</v>
      </c>
      <c r="I18" s="227">
        <f>IF(DAY(A18)='Main Budget'!$J$28,'Main Budget'!$E$28,0)</f>
        <v>0</v>
      </c>
      <c r="J18" s="227">
        <f>IF(DAY(A18)='Main Budget'!$J$29,'Main Budget'!$E$29,0)</f>
        <v>0</v>
      </c>
      <c r="K18" s="20">
        <f>IF(DAY(A18)='Main Budget'!$J$30,'Main Budget'!$E$30,0)</f>
        <v>0</v>
      </c>
      <c r="L18" s="20">
        <f>IF(DAY(A18)='Main Budget'!$J$31,'Main Budget'!$E$31,0)</f>
        <v>0</v>
      </c>
      <c r="M18" s="20">
        <f>IF(DAY(A18)='Main Budget'!$J$27,'Main Budget'!$E$27,0)</f>
        <v>0</v>
      </c>
      <c r="O18" s="228">
        <f>B18+(SUM(H18:M18)+(SUM(D18:E18)))</f>
        <v>100</v>
      </c>
      <c r="P18" s="228">
        <f>C18+F18+G18+N18</f>
        <v>100</v>
      </c>
      <c r="Q18" s="252">
        <f>O18+P18</f>
        <v>200</v>
      </c>
      <c r="S18" s="231" t="str">
        <f>TEXT(A18,"dddd")</f>
        <v>Saturday</v>
      </c>
    </row>
    <row r="19" spans="1:19" x14ac:dyDescent="0.25">
      <c r="A19" s="226">
        <v>46040</v>
      </c>
      <c r="B19" s="227">
        <f>O18</f>
        <v>100</v>
      </c>
      <c r="C19" s="228">
        <f>P18</f>
        <v>100</v>
      </c>
      <c r="D19" s="228">
        <f>IF(OR(DAY(A19+2)=1,DAY(A19+2)=15),-SUM('Main Budget'!$H$26:$H$31),0)</f>
        <v>0</v>
      </c>
      <c r="E19" s="228">
        <f>IF(DAY(A19+2)=22,-SUM('Main Budget'!$F$26:$F$31),0)</f>
        <v>0</v>
      </c>
      <c r="F19" s="228">
        <f>IF(D19&gt;0,-'Main Budget'!$H$25+0.15,0)</f>
        <v>0</v>
      </c>
      <c r="G19" s="228">
        <f>IF(E19&gt;0,-'Main Budget'!$F$25+0.81,0)</f>
        <v>0</v>
      </c>
      <c r="H19" s="227">
        <f>IF(DAY(A19)='Main Budget'!$J$26,'Main Budget'!$E$26,0)</f>
        <v>0</v>
      </c>
      <c r="I19" s="227">
        <f>IF(DAY(A19)='Main Budget'!$J$28,'Main Budget'!$E$28,0)</f>
        <v>0</v>
      </c>
      <c r="J19" s="227">
        <f>IF(DAY(A19)='Main Budget'!$J$29,'Main Budget'!$E$29,0)</f>
        <v>0</v>
      </c>
      <c r="K19" s="20">
        <f>IF(DAY(A19)='Main Budget'!$J$30,'Main Budget'!$E$30,0)</f>
        <v>0</v>
      </c>
      <c r="L19" s="20">
        <f>IF(DAY(A19)='Main Budget'!$J$31,'Main Budget'!$E$31,0)</f>
        <v>0</v>
      </c>
      <c r="M19" s="20">
        <f>IF(DAY(A19)='Main Budget'!$J$27,'Main Budget'!$E$27,0)</f>
        <v>0</v>
      </c>
      <c r="O19" s="228">
        <f>B19+(SUM(H19:M19)+(SUM(D19:E19)))</f>
        <v>100</v>
      </c>
      <c r="P19" s="228">
        <f>C19+F19+G19+N19</f>
        <v>100</v>
      </c>
      <c r="Q19" s="252">
        <f>O19+P19</f>
        <v>200</v>
      </c>
      <c r="S19" s="231" t="str">
        <f>TEXT(A19,"dddd")</f>
        <v>Sunday</v>
      </c>
    </row>
    <row r="20" spans="1:19" x14ac:dyDescent="0.25">
      <c r="A20" s="226">
        <v>46041</v>
      </c>
      <c r="B20" s="227">
        <f>O19</f>
        <v>100</v>
      </c>
      <c r="C20" s="228">
        <f>P19</f>
        <v>100</v>
      </c>
      <c r="D20" s="228">
        <f>IF(OR(DAY(A20+2)=1,DAY(A20+2)=15),-SUM('Main Budget'!$H$26:$H$31),0)</f>
        <v>0</v>
      </c>
      <c r="E20" s="228">
        <f>IF(DAY(A20+2)=22,-SUM('Main Budget'!$F$26:$F$31),0)</f>
        <v>0</v>
      </c>
      <c r="F20" s="228">
        <f>IF(D20&gt;0,-'Main Budget'!$H$25+0.15,0)</f>
        <v>0</v>
      </c>
      <c r="G20" s="228">
        <f>IF(E20&gt;0,-'Main Budget'!$F$25+0.81,0)</f>
        <v>0</v>
      </c>
      <c r="H20" s="227">
        <f>IF(DAY(A20)='Main Budget'!$J$26,'Main Budget'!$E$26,0)</f>
        <v>0</v>
      </c>
      <c r="I20" s="227">
        <f>IF(DAY(A20)='Main Budget'!$J$28,'Main Budget'!$E$28,0)</f>
        <v>0</v>
      </c>
      <c r="J20" s="227">
        <f>IF(DAY(A20)='Main Budget'!$J$29,'Main Budget'!$E$29,0)</f>
        <v>0</v>
      </c>
      <c r="K20" s="20">
        <f>IF(DAY(A20)='Main Budget'!$J$30,'Main Budget'!$E$30,0)</f>
        <v>0</v>
      </c>
      <c r="L20" s="20">
        <f>IF(DAY(A20)='Main Budget'!$J$31,'Main Budget'!$E$31,0)</f>
        <v>0</v>
      </c>
      <c r="M20" s="20">
        <f>IF(DAY(A20)='Main Budget'!$J$27,'Main Budget'!$E$27,0)</f>
        <v>0</v>
      </c>
      <c r="O20" s="228">
        <f>B20+(SUM(H20:M20)+(SUM(D20:E20)))</f>
        <v>100</v>
      </c>
      <c r="P20" s="228">
        <f>C20+F20+G20+N20</f>
        <v>100</v>
      </c>
      <c r="Q20" s="252">
        <f>O20+P20</f>
        <v>200</v>
      </c>
      <c r="S20" s="231" t="str">
        <f>TEXT(A20,"dddd")</f>
        <v>Monday</v>
      </c>
    </row>
    <row r="21" spans="1:19" x14ac:dyDescent="0.25">
      <c r="A21" s="226">
        <v>46042</v>
      </c>
      <c r="B21" s="227">
        <f>O20</f>
        <v>100</v>
      </c>
      <c r="C21" s="228">
        <f>P20</f>
        <v>100</v>
      </c>
      <c r="D21" s="228">
        <f>IF(OR(DAY(A21+2)=1,DAY(A21+2)=15),-SUM('Main Budget'!$H$26:$H$31),0)</f>
        <v>0</v>
      </c>
      <c r="E21" s="228">
        <f>IF(DAY(A21+2)=22,-SUM('Main Budget'!$F$26:$F$31),0)</f>
        <v>0</v>
      </c>
      <c r="F21" s="228">
        <f>IF(D21&gt;0,-'Main Budget'!$H$25+0.15,0)</f>
        <v>0</v>
      </c>
      <c r="G21" s="228">
        <f>IF(E21&gt;0,-'Main Budget'!$F$25+0.81,0)</f>
        <v>0</v>
      </c>
      <c r="H21" s="227">
        <f>IF(DAY(A21)='Main Budget'!$J$26,'Main Budget'!$E$26,0)</f>
        <v>0</v>
      </c>
      <c r="I21" s="227">
        <f>IF(DAY(A21)='Main Budget'!$J$28,'Main Budget'!$E$28,0)</f>
        <v>0</v>
      </c>
      <c r="J21" s="227">
        <f>IF(DAY(A21)='Main Budget'!$J$29,'Main Budget'!$E$29,0)</f>
        <v>0</v>
      </c>
      <c r="K21" s="20">
        <f>IF(DAY(A21)='Main Budget'!$J$30,'Main Budget'!$E$30,0)</f>
        <v>0</v>
      </c>
      <c r="L21" s="20">
        <f>IF(DAY(A21)='Main Budget'!$J$31,'Main Budget'!$E$31,0)</f>
        <v>0</v>
      </c>
      <c r="M21" s="20">
        <f>IF(DAY(A21)='Main Budget'!$J$27,'Main Budget'!$E$27,0)</f>
        <v>0</v>
      </c>
      <c r="O21" s="228">
        <f>B21+(SUM(H21:M21)+(SUM(D21:E21)))</f>
        <v>100</v>
      </c>
      <c r="P21" s="228">
        <f>C21+F21+G21+N21</f>
        <v>100</v>
      </c>
      <c r="Q21" s="252">
        <f>O21+P21</f>
        <v>200</v>
      </c>
      <c r="S21" s="231" t="str">
        <f>TEXT(A21,"dddd")</f>
        <v>Tuesday</v>
      </c>
    </row>
    <row r="22" spans="1:19" x14ac:dyDescent="0.25">
      <c r="A22" s="226">
        <v>46043</v>
      </c>
      <c r="B22" s="227">
        <f>O21</f>
        <v>100</v>
      </c>
      <c r="C22" s="228">
        <f>P21</f>
        <v>100</v>
      </c>
      <c r="D22" s="228">
        <f>IF(OR(DAY(A22+2)=1,DAY(A22+2)=15),-SUM('Main Budget'!$H$26:$H$31),0)</f>
        <v>0</v>
      </c>
      <c r="E22" s="228">
        <f>IF(DAY(A22+2)=22,-SUM('Main Budget'!$F$26:$F$31),0)</f>
        <v>0</v>
      </c>
      <c r="F22" s="228">
        <f>IF(D22&gt;0,-'Main Budget'!$H$25+0.15,0)</f>
        <v>0</v>
      </c>
      <c r="G22" s="228">
        <f>IF(E22&gt;0,-'Main Budget'!$F$25+0.81,0)</f>
        <v>0</v>
      </c>
      <c r="H22" s="227">
        <f>IF(DAY(A22)='Main Budget'!$J$26,'Main Budget'!$E$26,0)</f>
        <v>0</v>
      </c>
      <c r="I22" s="227">
        <f>IF(DAY(A22)='Main Budget'!$J$28,'Main Budget'!$E$28,0)</f>
        <v>0</v>
      </c>
      <c r="J22" s="227">
        <f>IF(DAY(A22)='Main Budget'!$J$29,'Main Budget'!$E$29,0)</f>
        <v>0</v>
      </c>
      <c r="K22" s="20">
        <f>IF(DAY(A22)='Main Budget'!$J$30,'Main Budget'!$E$30,0)</f>
        <v>0</v>
      </c>
      <c r="L22" s="20">
        <f>IF(DAY(A22)='Main Budget'!$J$31,'Main Budget'!$E$31,0)</f>
        <v>0</v>
      </c>
      <c r="M22" s="20">
        <f>IF(DAY(A22)='Main Budget'!$J$27,'Main Budget'!$E$27,0)</f>
        <v>0</v>
      </c>
      <c r="O22" s="228">
        <f>B22+(SUM(H22:M22)+(SUM(D22:E22)))</f>
        <v>100</v>
      </c>
      <c r="P22" s="228">
        <f>C22+F22+G22+N22</f>
        <v>100</v>
      </c>
      <c r="Q22" s="252">
        <f>O22+P22</f>
        <v>200</v>
      </c>
      <c r="S22" s="231" t="str">
        <f>TEXT(A22,"dddd")</f>
        <v>Wednesday</v>
      </c>
    </row>
    <row r="23" spans="1:19" x14ac:dyDescent="0.25">
      <c r="A23" s="226">
        <v>46044</v>
      </c>
      <c r="B23" s="227">
        <f>O22</f>
        <v>100</v>
      </c>
      <c r="C23" s="228">
        <f>P22</f>
        <v>100</v>
      </c>
      <c r="D23" s="228">
        <f>IF(OR(DAY(A23+2)=1,DAY(A23+2)=15),-SUM('Main Budget'!$H$26:$H$31),0)</f>
        <v>0</v>
      </c>
      <c r="E23" s="228">
        <f>IF(DAY(A23+2)=22,-SUM('Main Budget'!$F$26:$F$31),0)</f>
        <v>0</v>
      </c>
      <c r="F23" s="228">
        <f>IF(D23&gt;0,-'Main Budget'!$H$25+0.15,0)</f>
        <v>0</v>
      </c>
      <c r="G23" s="228">
        <f>IF(E23&gt;0,-'Main Budget'!$F$25+0.81,0)</f>
        <v>0</v>
      </c>
      <c r="H23" s="227">
        <f>IF(DAY(A23)='Main Budget'!$J$26,'Main Budget'!$E$26,0)</f>
        <v>0</v>
      </c>
      <c r="I23" s="227">
        <f>IF(DAY(A23)='Main Budget'!$J$28,'Main Budget'!$E$28,0)</f>
        <v>0</v>
      </c>
      <c r="J23" s="227">
        <f>IF(DAY(A23)='Main Budget'!$J$29,'Main Budget'!$E$29,0)</f>
        <v>0</v>
      </c>
      <c r="K23" s="20">
        <f>IF(DAY(A23)='Main Budget'!$J$30,'Main Budget'!$E$30,0)</f>
        <v>0</v>
      </c>
      <c r="L23" s="20">
        <f>IF(DAY(A23)='Main Budget'!$J$31,'Main Budget'!$E$31,0)</f>
        <v>0</v>
      </c>
      <c r="M23" s="20">
        <f>IF(DAY(A23)='Main Budget'!$J$27,'Main Budget'!$E$27,0)</f>
        <v>0</v>
      </c>
      <c r="O23" s="228">
        <f>B23+(SUM(H23:M23)+(SUM(D23:E23)))</f>
        <v>100</v>
      </c>
      <c r="P23" s="228">
        <f>C23+F23+G23+N23</f>
        <v>100</v>
      </c>
      <c r="Q23" s="252">
        <f>O23+P23</f>
        <v>200</v>
      </c>
      <c r="S23" s="231" t="str">
        <f>TEXT(A23,"dddd")</f>
        <v>Thursday</v>
      </c>
    </row>
    <row r="24" spans="1:19" x14ac:dyDescent="0.25">
      <c r="A24" s="226">
        <v>46045</v>
      </c>
      <c r="B24" s="227">
        <f>O23</f>
        <v>100</v>
      </c>
      <c r="C24" s="228">
        <f>P23</f>
        <v>100</v>
      </c>
      <c r="D24" s="228">
        <f>IF(OR(DAY(A24+2)=1,DAY(A24+2)=15),-SUM('Main Budget'!$H$26:$H$31),0)</f>
        <v>0</v>
      </c>
      <c r="E24" s="228">
        <f>IF(DAY(A24+2)=22,-SUM('Main Budget'!$F$26:$F$31),0)</f>
        <v>0</v>
      </c>
      <c r="F24" s="228">
        <f>IF(D24&gt;0,-'Main Budget'!$H$25+0.15,0)</f>
        <v>0</v>
      </c>
      <c r="G24" s="228">
        <f>IF(E24&gt;0,-'Main Budget'!$F$25+0.81,0)</f>
        <v>0</v>
      </c>
      <c r="H24" s="227">
        <f>IF(DAY(A24)='Main Budget'!$J$26,'Main Budget'!$E$26,0)</f>
        <v>0</v>
      </c>
      <c r="I24" s="227">
        <f>IF(DAY(A24)='Main Budget'!$J$28,'Main Budget'!$E$28,0)</f>
        <v>0</v>
      </c>
      <c r="J24" s="227">
        <f>IF(DAY(A24)='Main Budget'!$J$29,'Main Budget'!$E$29,0)</f>
        <v>0</v>
      </c>
      <c r="K24" s="20">
        <f>IF(DAY(A24)='Main Budget'!$J$30,'Main Budget'!$E$30,0)</f>
        <v>0</v>
      </c>
      <c r="L24" s="20">
        <f>IF(DAY(A24)='Main Budget'!$J$31,'Main Budget'!$E$31,0)</f>
        <v>0</v>
      </c>
      <c r="M24" s="20">
        <f>IF(DAY(A24)='Main Budget'!$J$27,'Main Budget'!$E$27,0)</f>
        <v>0</v>
      </c>
      <c r="O24" s="228">
        <f>B24+(SUM(H24:M24)+(SUM(D24:E24)))</f>
        <v>100</v>
      </c>
      <c r="P24" s="228">
        <f>C24+F24+G24+N24</f>
        <v>100</v>
      </c>
      <c r="Q24" s="252">
        <f>O24+P24</f>
        <v>200</v>
      </c>
      <c r="S24" s="231" t="str">
        <f>TEXT(A24,"dddd")</f>
        <v>Friday</v>
      </c>
    </row>
    <row r="25" spans="1:19" x14ac:dyDescent="0.25">
      <c r="A25" s="226">
        <v>46046</v>
      </c>
      <c r="B25" s="227">
        <f>O24</f>
        <v>100</v>
      </c>
      <c r="C25" s="228">
        <f>P24</f>
        <v>100</v>
      </c>
      <c r="D25" s="228">
        <f>IF(OR(DAY(A25+2)=1,DAY(A25+2)=15),-SUM('Main Budget'!$H$26:$H$31),0)</f>
        <v>0</v>
      </c>
      <c r="E25" s="228">
        <f>IF(DAY(A25+2)=22,-SUM('Main Budget'!$F$26:$F$31),0)</f>
        <v>0</v>
      </c>
      <c r="F25" s="228">
        <f>IF(D25&gt;0,-'Main Budget'!$H$25+0.15,0)</f>
        <v>0</v>
      </c>
      <c r="G25" s="228">
        <f>IF(E25&gt;0,-'Main Budget'!$F$25+0.81,0)</f>
        <v>0</v>
      </c>
      <c r="H25" s="227">
        <f>IF(DAY(A25)='Main Budget'!$J$26,'Main Budget'!$E$26,0)</f>
        <v>0</v>
      </c>
      <c r="I25" s="227">
        <f>IF(DAY(A25)='Main Budget'!$J$28,'Main Budget'!$E$28,0)</f>
        <v>0</v>
      </c>
      <c r="J25" s="227">
        <f>IF(DAY(A25)='Main Budget'!$J$29,'Main Budget'!$E$29,0)</f>
        <v>0</v>
      </c>
      <c r="K25" s="20">
        <f>IF(DAY(A25)='Main Budget'!$J$30,'Main Budget'!$E$30,0)</f>
        <v>0</v>
      </c>
      <c r="L25" s="20">
        <f>IF(DAY(A25)='Main Budget'!$J$31,'Main Budget'!$E$31,0)</f>
        <v>0</v>
      </c>
      <c r="M25" s="20">
        <f>IF(DAY(A25)='Main Budget'!$J$27,'Main Budget'!$E$27,0)</f>
        <v>0</v>
      </c>
      <c r="O25" s="228">
        <f>B25+(SUM(H25:M25)+(SUM(D25:E25)))</f>
        <v>100</v>
      </c>
      <c r="P25" s="228">
        <f>C25+F25+G25+N25</f>
        <v>100</v>
      </c>
      <c r="Q25" s="252">
        <f>O25+P25</f>
        <v>200</v>
      </c>
      <c r="S25" s="231" t="str">
        <f>TEXT(A25,"dddd")</f>
        <v>Saturday</v>
      </c>
    </row>
    <row r="26" spans="1:19" x14ac:dyDescent="0.25">
      <c r="A26" s="226">
        <v>46047</v>
      </c>
      <c r="B26" s="227">
        <f>O25</f>
        <v>100</v>
      </c>
      <c r="C26" s="228">
        <f>P25</f>
        <v>100</v>
      </c>
      <c r="D26" s="228">
        <f>IF(OR(DAY(A26+2)=1,DAY(A26+2)=15),-SUM('Main Budget'!$H$26:$H$31),0)</f>
        <v>0</v>
      </c>
      <c r="E26" s="228">
        <f>IF(DAY(A26+2)=22,-SUM('Main Budget'!$F$26:$F$31),0)</f>
        <v>0</v>
      </c>
      <c r="F26" s="228">
        <f>IF(D26&gt;0,-'Main Budget'!$H$25+0.15,0)</f>
        <v>0</v>
      </c>
      <c r="G26" s="228">
        <f>IF(E26&gt;0,-'Main Budget'!$F$25+0.81,0)</f>
        <v>0</v>
      </c>
      <c r="H26" s="227">
        <f>IF(DAY(A26)='Main Budget'!$J$26,'Main Budget'!$E$26,0)</f>
        <v>0</v>
      </c>
      <c r="I26" s="227">
        <f>IF(DAY(A26)='Main Budget'!$J$28,'Main Budget'!$E$28,0)</f>
        <v>0</v>
      </c>
      <c r="J26" s="227">
        <f>IF(DAY(A26)='Main Budget'!$J$29,'Main Budget'!$E$29,0)</f>
        <v>0</v>
      </c>
      <c r="K26" s="20">
        <f>IF(DAY(A26)='Main Budget'!$J$30,'Main Budget'!$E$30,0)</f>
        <v>0</v>
      </c>
      <c r="L26" s="20">
        <f>IF(DAY(A26)='Main Budget'!$J$31,'Main Budget'!$E$31,0)</f>
        <v>0</v>
      </c>
      <c r="M26" s="20">
        <f>IF(DAY(A26)='Main Budget'!$J$27,'Main Budget'!$E$27,0)</f>
        <v>0</v>
      </c>
      <c r="O26" s="228">
        <f>B26+(SUM(H26:M26)+(SUM(D26:E26)))</f>
        <v>100</v>
      </c>
      <c r="P26" s="228">
        <f>C26+F26+G26+N26</f>
        <v>100</v>
      </c>
      <c r="Q26" s="252">
        <f>O26+P26</f>
        <v>200</v>
      </c>
      <c r="S26" s="231" t="str">
        <f>TEXT(A26,"dddd")</f>
        <v>Sunday</v>
      </c>
    </row>
    <row r="27" spans="1:19" x14ac:dyDescent="0.25">
      <c r="A27" s="226">
        <v>46048</v>
      </c>
      <c r="B27" s="227">
        <f>O26</f>
        <v>100</v>
      </c>
      <c r="C27" s="228">
        <f>P26</f>
        <v>100</v>
      </c>
      <c r="D27" s="228">
        <f>IF(OR(DAY(A27+2)=1,DAY(A27+2)=15),-SUM('Main Budget'!$H$26:$H$31),0)</f>
        <v>0</v>
      </c>
      <c r="E27" s="228">
        <f>IF(DAY(A27+2)=22,-SUM('Main Budget'!$F$26:$F$31),0)</f>
        <v>0</v>
      </c>
      <c r="F27" s="228">
        <f>IF(D27&gt;0,-'Main Budget'!$H$25+0.15,0)</f>
        <v>0</v>
      </c>
      <c r="G27" s="228">
        <f>IF(E27&gt;0,-'Main Budget'!$F$25+0.81,0)</f>
        <v>0</v>
      </c>
      <c r="H27" s="227">
        <f>IF(DAY(A27)='Main Budget'!$J$26,'Main Budget'!$E$26,0)</f>
        <v>0</v>
      </c>
      <c r="I27" s="227">
        <f>IF(DAY(A27)='Main Budget'!$J$28,'Main Budget'!$E$28,0)</f>
        <v>0</v>
      </c>
      <c r="J27" s="227">
        <f>IF(DAY(A27)='Main Budget'!$J$29,'Main Budget'!$E$29,0)</f>
        <v>0</v>
      </c>
      <c r="K27" s="20">
        <f>IF(DAY(A27)='Main Budget'!$J$30,'Main Budget'!$E$30,0)</f>
        <v>0</v>
      </c>
      <c r="L27" s="20">
        <f>IF(DAY(A27)='Main Budget'!$J$31,'Main Budget'!$E$31,0)</f>
        <v>0</v>
      </c>
      <c r="M27" s="20">
        <f>IF(DAY(A27)='Main Budget'!$J$27,'Main Budget'!$E$27,0)</f>
        <v>0</v>
      </c>
      <c r="O27" s="228">
        <f>B27+(SUM(H27:M27)+(SUM(D27:E27)))</f>
        <v>100</v>
      </c>
      <c r="P27" s="228">
        <f>C27+F27+G27+N27</f>
        <v>100</v>
      </c>
      <c r="Q27" s="252">
        <f>O27+P27</f>
        <v>200</v>
      </c>
      <c r="S27" s="231" t="str">
        <f>TEXT(A27,"dddd")</f>
        <v>Monday</v>
      </c>
    </row>
    <row r="28" spans="1:19" x14ac:dyDescent="0.25">
      <c r="A28" s="226">
        <v>46049</v>
      </c>
      <c r="B28" s="227">
        <f>O27</f>
        <v>100</v>
      </c>
      <c r="C28" s="228">
        <f>P27</f>
        <v>100</v>
      </c>
      <c r="D28" s="228">
        <f>IF(OR(DAY(A28+2)=1,DAY(A28+2)=15),-SUM('Main Budget'!$H$26:$H$31),0)</f>
        <v>0</v>
      </c>
      <c r="E28" s="228">
        <f>IF(DAY(A28+2)=22,-SUM('Main Budget'!$F$26:$F$31),0)</f>
        <v>0</v>
      </c>
      <c r="F28" s="228">
        <f>IF(D28&gt;0,-'Main Budget'!$H$25+0.15,0)</f>
        <v>0</v>
      </c>
      <c r="G28" s="228">
        <f>IF(E28&gt;0,-'Main Budget'!$F$25+0.81,0)</f>
        <v>0</v>
      </c>
      <c r="H28" s="227">
        <f>IF(DAY(A28)='Main Budget'!$J$26,'Main Budget'!$E$26,0)</f>
        <v>0</v>
      </c>
      <c r="I28" s="227">
        <f>IF(DAY(A28)='Main Budget'!$J$28,'Main Budget'!$E$28,0)</f>
        <v>0</v>
      </c>
      <c r="J28" s="227">
        <f>IF(DAY(A28)='Main Budget'!$J$29,'Main Budget'!$E$29,0)</f>
        <v>0</v>
      </c>
      <c r="K28" s="20">
        <f>IF(DAY(A28)='Main Budget'!$J$30,'Main Budget'!$E$30,0)</f>
        <v>0</v>
      </c>
      <c r="L28" s="20">
        <f>IF(DAY(A28)='Main Budget'!$J$31,'Main Budget'!$E$31,0)</f>
        <v>0</v>
      </c>
      <c r="M28" s="20">
        <f>IF(DAY(A28)='Main Budget'!$J$27,'Main Budget'!$E$27,0)</f>
        <v>0</v>
      </c>
      <c r="O28" s="228">
        <f>B28+(SUM(H28:M28)+(SUM(D28:E28)))</f>
        <v>100</v>
      </c>
      <c r="P28" s="228">
        <f>C28+F28+G28+N28</f>
        <v>100</v>
      </c>
      <c r="Q28" s="252">
        <f>O28+P28</f>
        <v>200</v>
      </c>
      <c r="S28" s="231" t="str">
        <f>TEXT(A28,"dddd")</f>
        <v>Tuesday</v>
      </c>
    </row>
    <row r="29" spans="1:19" x14ac:dyDescent="0.25">
      <c r="A29" s="226">
        <v>46050</v>
      </c>
      <c r="B29" s="227">
        <f>O28</f>
        <v>100</v>
      </c>
      <c r="C29" s="228">
        <f>P28</f>
        <v>100</v>
      </c>
      <c r="D29" s="228">
        <f>IF(OR(DAY(A29+2)=1,DAY(A29+2)=15),-SUM('Main Budget'!$H$26:$H$31),0)</f>
        <v>0</v>
      </c>
      <c r="E29" s="228">
        <f>IF(DAY(A29+2)=22,-SUM('Main Budget'!$F$26:$F$31),0)</f>
        <v>0</v>
      </c>
      <c r="F29" s="228">
        <f>IF(D29&gt;0,-'Main Budget'!$H$25+0.15,0)</f>
        <v>0</v>
      </c>
      <c r="G29" s="228">
        <f>IF(E29&gt;0,-'Main Budget'!$F$25+0.81,0)</f>
        <v>0</v>
      </c>
      <c r="H29" s="227">
        <f>IF(DAY(A29)='Main Budget'!$J$26,'Main Budget'!$E$26,0)</f>
        <v>0</v>
      </c>
      <c r="I29" s="227">
        <f>IF(DAY(A29)='Main Budget'!$J$28,'Main Budget'!$E$28,0)</f>
        <v>0</v>
      </c>
      <c r="J29" s="227">
        <f>IF(DAY(A29)='Main Budget'!$J$29,'Main Budget'!$E$29,0)</f>
        <v>0</v>
      </c>
      <c r="K29" s="20">
        <f>IF(DAY(A29)='Main Budget'!$J$30,'Main Budget'!$E$30,0)</f>
        <v>0</v>
      </c>
      <c r="L29" s="20">
        <f>IF(DAY(A29)='Main Budget'!$J$31,'Main Budget'!$E$31,0)</f>
        <v>0</v>
      </c>
      <c r="M29" s="20">
        <f>IF(DAY(A29)='Main Budget'!$J$27,'Main Budget'!$E$27,0)</f>
        <v>0</v>
      </c>
      <c r="O29" s="228">
        <f>B29+(SUM(H29:M29)+(SUM(D29:E29)))</f>
        <v>100</v>
      </c>
      <c r="P29" s="228">
        <f>C29+F29+G29+N29</f>
        <v>100</v>
      </c>
      <c r="Q29" s="252">
        <f>O29+P29</f>
        <v>200</v>
      </c>
      <c r="S29" s="231" t="str">
        <f>TEXT(A29,"dddd")</f>
        <v>Wednesday</v>
      </c>
    </row>
    <row r="30" spans="1:19" x14ac:dyDescent="0.25">
      <c r="A30" s="226">
        <v>46051</v>
      </c>
      <c r="B30" s="227">
        <f>O29</f>
        <v>100</v>
      </c>
      <c r="C30" s="228">
        <f>P29</f>
        <v>100</v>
      </c>
      <c r="D30" s="228">
        <f>IF(OR(DAY(A30+2)=1,DAY(A30+2)=15),-SUM('Main Budget'!$H$26:$H$31),0)</f>
        <v>0</v>
      </c>
      <c r="E30" s="228">
        <f>IF(DAY(A30+2)=22,-SUM('Main Budget'!$F$26:$F$31),0)</f>
        <v>0</v>
      </c>
      <c r="F30" s="228">
        <f>IF(D30&gt;0,-'Main Budget'!$H$25+0.15,0)</f>
        <v>0</v>
      </c>
      <c r="G30" s="228">
        <f>IF(E30&gt;0,-'Main Budget'!$F$25+0.81,0)</f>
        <v>0</v>
      </c>
      <c r="H30" s="227">
        <f>IF(DAY(A30)='Main Budget'!$J$26,'Main Budget'!$E$26,0)</f>
        <v>0</v>
      </c>
      <c r="I30" s="227">
        <f>IF(DAY(A30)='Main Budget'!$J$28,'Main Budget'!$E$28,0)</f>
        <v>0</v>
      </c>
      <c r="J30" s="227">
        <f>IF(DAY(A30)='Main Budget'!$J$29,'Main Budget'!$E$29,0)</f>
        <v>0</v>
      </c>
      <c r="K30" s="20">
        <f>IF(DAY(A30)='Main Budget'!$J$30,'Main Budget'!$E$30,0)</f>
        <v>0</v>
      </c>
      <c r="L30" s="20">
        <f>IF(DAY(A30)='Main Budget'!$J$31,'Main Budget'!$E$31,0)</f>
        <v>0</v>
      </c>
      <c r="M30" s="20">
        <f>IF(DAY(A30)='Main Budget'!$J$27,'Main Budget'!$E$27,0)</f>
        <v>0</v>
      </c>
      <c r="O30" s="228">
        <f>B30+(SUM(H30:M30)+(SUM(D30:E30)))</f>
        <v>100</v>
      </c>
      <c r="P30" s="228">
        <f>C30+F30+G30+N30</f>
        <v>100</v>
      </c>
      <c r="Q30" s="252">
        <f>O30+P30</f>
        <v>200</v>
      </c>
      <c r="S30" s="231" t="str">
        <f>TEXT(A30,"dddd")</f>
        <v>Thursday</v>
      </c>
    </row>
    <row r="31" spans="1:19" x14ac:dyDescent="0.25">
      <c r="A31" s="226">
        <v>46052</v>
      </c>
      <c r="B31" s="227">
        <f>O30</f>
        <v>100</v>
      </c>
      <c r="C31" s="228">
        <f>P30</f>
        <v>100</v>
      </c>
      <c r="D31" s="228">
        <f>IF(OR(DAY(A31+2)=1,DAY(A31+2)=15),-SUM('Main Budget'!$H$26:$H$31),0)</f>
        <v>0</v>
      </c>
      <c r="E31" s="228">
        <f>IF(DAY(A31+2)=22,-SUM('Main Budget'!$F$26:$F$31),0)</f>
        <v>0</v>
      </c>
      <c r="F31" s="228">
        <f>IF(D31&gt;0,-'Main Budget'!$H$25+0.15,0)</f>
        <v>0</v>
      </c>
      <c r="G31" s="228">
        <f>IF(E31&gt;0,-'Main Budget'!$F$25+0.81,0)</f>
        <v>0</v>
      </c>
      <c r="H31" s="227">
        <f>IF(DAY(A31)='Main Budget'!$J$26,'Main Budget'!$E$26,0)</f>
        <v>0</v>
      </c>
      <c r="I31" s="227">
        <f>IF(DAY(A31)='Main Budget'!$J$28,'Main Budget'!$E$28,0)</f>
        <v>0</v>
      </c>
      <c r="J31" s="227">
        <f>IF(DAY(A31)='Main Budget'!$J$29,'Main Budget'!$E$29,0)</f>
        <v>0</v>
      </c>
      <c r="K31" s="20">
        <f>IF(DAY(A31)='Main Budget'!$J$30,'Main Budget'!$E$30,0)</f>
        <v>0</v>
      </c>
      <c r="L31" s="20">
        <f>IF(DAY(A31)='Main Budget'!$J$31,'Main Budget'!$E$31,0)</f>
        <v>0</v>
      </c>
      <c r="M31" s="20">
        <f>IF(DAY(A31)='Main Budget'!$J$27,'Main Budget'!$E$27,0)</f>
        <v>0</v>
      </c>
      <c r="O31" s="228">
        <f>B31+(SUM(H31:M31)+(SUM(D31:E31)))</f>
        <v>100</v>
      </c>
      <c r="P31" s="228">
        <f>C31+F31+G31+N31</f>
        <v>100</v>
      </c>
      <c r="Q31" s="252">
        <f>O31+P31</f>
        <v>200</v>
      </c>
      <c r="S31" s="231" t="str">
        <f>TEXT(A31,"dddd")</f>
        <v>Friday</v>
      </c>
    </row>
    <row r="32" spans="1:19" x14ac:dyDescent="0.25">
      <c r="A32" s="226">
        <v>46053</v>
      </c>
      <c r="B32" s="227">
        <f>O31</f>
        <v>100</v>
      </c>
      <c r="C32" s="228">
        <f>P31</f>
        <v>100</v>
      </c>
      <c r="D32" s="228">
        <f>IF(OR(DAY(A32+2)=1,DAY(A32+2)=15),-SUM('Main Budget'!$H$26:$H$31),0)</f>
        <v>0</v>
      </c>
      <c r="E32" s="228">
        <f>IF(DAY(A32+2)=22,-SUM('Main Budget'!$F$26:$F$31),0)</f>
        <v>0</v>
      </c>
      <c r="F32" s="228">
        <f>IF(D32&gt;0,-'Main Budget'!$H$25+0.15,0)</f>
        <v>0</v>
      </c>
      <c r="G32" s="228">
        <f>IF(E32&gt;0,-'Main Budget'!$F$25+0.81,0)</f>
        <v>0</v>
      </c>
      <c r="H32" s="227">
        <f>IF(DAY(A32)='Main Budget'!$J$26,'Main Budget'!$E$26,0)</f>
        <v>0</v>
      </c>
      <c r="I32" s="227">
        <f>IF(DAY(A32)='Main Budget'!$J$28,'Main Budget'!$E$28,0)</f>
        <v>0</v>
      </c>
      <c r="J32" s="227">
        <f>IF(DAY(A32)='Main Budget'!$J$29,'Main Budget'!$E$29,0)</f>
        <v>0</v>
      </c>
      <c r="K32" s="20">
        <f>IF(DAY(A32)='Main Budget'!$J$30,'Main Budget'!$E$30,0)</f>
        <v>0</v>
      </c>
      <c r="L32" s="20">
        <f>IF(DAY(A32)='Main Budget'!$J$31,'Main Budget'!$E$31,0)</f>
        <v>0</v>
      </c>
      <c r="M32" s="20">
        <f>IF(DAY(A32)='Main Budget'!$J$27,'Main Budget'!$E$27,0)</f>
        <v>0</v>
      </c>
      <c r="O32" s="228">
        <f>B32+(SUM(H32:M32)+(SUM(D32:E32)))</f>
        <v>100</v>
      </c>
      <c r="P32" s="228">
        <f>C32+F32+G32+N32</f>
        <v>100</v>
      </c>
      <c r="Q32" s="252">
        <f>O32+P32</f>
        <v>200</v>
      </c>
      <c r="S32" s="231" t="str">
        <f>TEXT(A32,"dddd")</f>
        <v>Saturday</v>
      </c>
    </row>
    <row r="33" spans="1:19" x14ac:dyDescent="0.25">
      <c r="A33" s="226">
        <v>46054</v>
      </c>
      <c r="B33" s="227">
        <f>O32</f>
        <v>100</v>
      </c>
      <c r="C33" s="228">
        <f>P32</f>
        <v>100</v>
      </c>
      <c r="D33" s="228">
        <f>IF(OR(DAY(A33+2)=1,DAY(A33+2)=15),-SUM('Main Budget'!$H$26:$H$31),0)</f>
        <v>0</v>
      </c>
      <c r="E33" s="228">
        <f>IF(DAY(A33+2)=22,-SUM('Main Budget'!$F$26:$F$31),0)</f>
        <v>0</v>
      </c>
      <c r="F33" s="228">
        <f>IF(D33&gt;0,-'Main Budget'!$H$25+0.15,0)</f>
        <v>0</v>
      </c>
      <c r="G33" s="228">
        <f>IF(E33&gt;0,-'Main Budget'!$F$25+0.81,0)</f>
        <v>0</v>
      </c>
      <c r="H33" s="227">
        <f>IF(DAY(A33)='Main Budget'!$J$26,'Main Budget'!$E$26,0)</f>
        <v>0</v>
      </c>
      <c r="I33" s="227">
        <f>IF(DAY(A33)='Main Budget'!$J$28,'Main Budget'!$E$28,0)</f>
        <v>0</v>
      </c>
      <c r="J33" s="227">
        <f>IF(DAY(A33)='Main Budget'!$J$29,'Main Budget'!$E$29,0)</f>
        <v>0</v>
      </c>
      <c r="K33" s="20">
        <f>IF(DAY(A33)='Main Budget'!$J$30,'Main Budget'!$E$30,0)</f>
        <v>0</v>
      </c>
      <c r="L33" s="20">
        <f>IF(DAY(A33)='Main Budget'!$J$31,'Main Budget'!$E$31,0)</f>
        <v>0</v>
      </c>
      <c r="M33" s="20">
        <f>IF(DAY(A33)='Main Budget'!$J$27,'Main Budget'!$E$27,0)</f>
        <v>0</v>
      </c>
      <c r="O33" s="228">
        <f>B33+(SUM(H33:M33)+(SUM(D33:E33)))</f>
        <v>100</v>
      </c>
      <c r="P33" s="228">
        <f>C33+F33+G33+N33</f>
        <v>100</v>
      </c>
      <c r="Q33" s="252">
        <f>O33+P33</f>
        <v>200</v>
      </c>
      <c r="S33" s="231" t="str">
        <f>TEXT(A33,"dddd")</f>
        <v>Sunday</v>
      </c>
    </row>
    <row r="34" spans="1:19" x14ac:dyDescent="0.25">
      <c r="A34" s="226">
        <v>46055</v>
      </c>
      <c r="B34" s="227">
        <f>O33</f>
        <v>100</v>
      </c>
      <c r="C34" s="228">
        <f>P33</f>
        <v>100</v>
      </c>
      <c r="D34" s="228">
        <f>IF(OR(DAY(A34+2)=1,DAY(A34+2)=15),-SUM('Main Budget'!$H$26:$H$31),0)</f>
        <v>0</v>
      </c>
      <c r="E34" s="228">
        <f>IF(DAY(A34+2)=22,-SUM('Main Budget'!$F$26:$F$31),0)</f>
        <v>0</v>
      </c>
      <c r="F34" s="228">
        <f>IF(D34&gt;0,-'Main Budget'!$H$25+0.15,0)</f>
        <v>0</v>
      </c>
      <c r="G34" s="228">
        <f>IF(E34&gt;0,-'Main Budget'!$F$25+0.81,0)</f>
        <v>0</v>
      </c>
      <c r="H34" s="227">
        <f>IF(DAY(A34)='Main Budget'!$J$26,'Main Budget'!$E$26,0)</f>
        <v>0</v>
      </c>
      <c r="I34" s="227">
        <f>IF(DAY(A34)='Main Budget'!$J$28,'Main Budget'!$E$28,0)</f>
        <v>0</v>
      </c>
      <c r="J34" s="227">
        <f>IF(DAY(A34)='Main Budget'!$J$29,'Main Budget'!$E$29,0)</f>
        <v>0</v>
      </c>
      <c r="K34" s="20">
        <f>IF(DAY(A34)='Main Budget'!$J$30,'Main Budget'!$E$30,0)</f>
        <v>0</v>
      </c>
      <c r="L34" s="20">
        <f>IF(DAY(A34)='Main Budget'!$J$31,'Main Budget'!$E$31,0)</f>
        <v>0</v>
      </c>
      <c r="M34" s="20">
        <f>IF(DAY(A34)='Main Budget'!$J$27,'Main Budget'!$E$27,0)</f>
        <v>0</v>
      </c>
      <c r="O34" s="228">
        <f>B34+(SUM(H34:M34)+(SUM(D34:E34)))</f>
        <v>100</v>
      </c>
      <c r="P34" s="228">
        <f>C34+F34+G34+N34</f>
        <v>100</v>
      </c>
      <c r="Q34" s="252">
        <f>O34+P34</f>
        <v>200</v>
      </c>
      <c r="S34" s="231" t="str">
        <f>TEXT(A34,"dddd")</f>
        <v>Monday</v>
      </c>
    </row>
    <row r="35" spans="1:19" x14ac:dyDescent="0.25">
      <c r="A35" s="226">
        <v>46056</v>
      </c>
      <c r="B35" s="227">
        <f>O34</f>
        <v>100</v>
      </c>
      <c r="C35" s="228">
        <f>P34</f>
        <v>100</v>
      </c>
      <c r="D35" s="228">
        <f>IF(OR(DAY(A35+2)=1,DAY(A35+2)=15),-SUM('Main Budget'!$H$26:$H$31),0)</f>
        <v>0</v>
      </c>
      <c r="E35" s="228">
        <f>IF(DAY(A35+2)=22,-SUM('Main Budget'!$F$26:$F$31),0)</f>
        <v>0</v>
      </c>
      <c r="F35" s="228">
        <f>IF(D35&gt;0,-'Main Budget'!$H$25+0.15,0)</f>
        <v>0</v>
      </c>
      <c r="G35" s="228">
        <f>IF(E35&gt;0,-'Main Budget'!$F$25+0.81,0)</f>
        <v>0</v>
      </c>
      <c r="H35" s="227">
        <f>IF(DAY(A35)='Main Budget'!$J$26,'Main Budget'!$E$26,0)</f>
        <v>0</v>
      </c>
      <c r="I35" s="227">
        <f>IF(DAY(A35)='Main Budget'!$J$28,'Main Budget'!$E$28,0)</f>
        <v>0</v>
      </c>
      <c r="J35" s="227">
        <f>IF(DAY(A35)='Main Budget'!$J$29,'Main Budget'!$E$29,0)</f>
        <v>0</v>
      </c>
      <c r="K35" s="20">
        <f>IF(DAY(A35)='Main Budget'!$J$30,'Main Budget'!$E$30,0)</f>
        <v>0</v>
      </c>
      <c r="L35" s="20">
        <f>IF(DAY(A35)='Main Budget'!$J$31,'Main Budget'!$E$31,0)</f>
        <v>0</v>
      </c>
      <c r="M35" s="20">
        <f>IF(DAY(A35)='Main Budget'!$J$27,'Main Budget'!$E$27,0)</f>
        <v>0</v>
      </c>
      <c r="O35" s="228">
        <f>B35+(SUM(H35:M35)+(SUM(D35:E35)))</f>
        <v>100</v>
      </c>
      <c r="P35" s="228">
        <f>C35+F35+G35+N35</f>
        <v>100</v>
      </c>
      <c r="Q35" s="252">
        <f>O35+P35</f>
        <v>200</v>
      </c>
      <c r="S35" s="231" t="str">
        <f>TEXT(A35,"dddd")</f>
        <v>Tuesday</v>
      </c>
    </row>
    <row r="36" spans="1:19" x14ac:dyDescent="0.25">
      <c r="A36" s="226">
        <v>46057</v>
      </c>
      <c r="B36" s="227">
        <f>O35</f>
        <v>100</v>
      </c>
      <c r="C36" s="228">
        <f>P35</f>
        <v>100</v>
      </c>
      <c r="D36" s="228">
        <f>IF(OR(DAY(A36+2)=1,DAY(A36+2)=15),-SUM('Main Budget'!$H$26:$H$31),0)</f>
        <v>0</v>
      </c>
      <c r="E36" s="228">
        <f>IF(DAY(A36+2)=22,-SUM('Main Budget'!$F$26:$F$31),0)</f>
        <v>0</v>
      </c>
      <c r="F36" s="228">
        <f>IF(D36&gt;0,-'Main Budget'!$H$25+0.15,0)</f>
        <v>0</v>
      </c>
      <c r="G36" s="228">
        <f>IF(E36&gt;0,-'Main Budget'!$F$25+0.81,0)</f>
        <v>0</v>
      </c>
      <c r="H36" s="227">
        <f>IF(DAY(A36)='Main Budget'!$J$26,'Main Budget'!$E$26,0)</f>
        <v>0</v>
      </c>
      <c r="I36" s="227">
        <f>IF(DAY(A36)='Main Budget'!$J$28,'Main Budget'!$E$28,0)</f>
        <v>0</v>
      </c>
      <c r="J36" s="227">
        <f>IF(DAY(A36)='Main Budget'!$J$29,'Main Budget'!$E$29,0)</f>
        <v>0</v>
      </c>
      <c r="K36" s="20">
        <f>IF(DAY(A36)='Main Budget'!$J$30,'Main Budget'!$E$30,0)</f>
        <v>0</v>
      </c>
      <c r="L36" s="20">
        <f>IF(DAY(A36)='Main Budget'!$J$31,'Main Budget'!$E$31,0)</f>
        <v>0</v>
      </c>
      <c r="M36" s="20">
        <f>IF(DAY(A36)='Main Budget'!$J$27,'Main Budget'!$E$27,0)</f>
        <v>0</v>
      </c>
      <c r="O36" s="228">
        <f>B36+(SUM(H36:M36)+(SUM(D36:E36)))</f>
        <v>100</v>
      </c>
      <c r="P36" s="228">
        <f>C36+F36+G36+N36</f>
        <v>100</v>
      </c>
      <c r="Q36" s="252">
        <f>O36+P36</f>
        <v>200</v>
      </c>
      <c r="S36" s="231" t="str">
        <f>TEXT(A36,"dddd")</f>
        <v>Wednesday</v>
      </c>
    </row>
    <row r="37" spans="1:19" x14ac:dyDescent="0.25">
      <c r="A37" s="226">
        <v>46058</v>
      </c>
      <c r="B37" s="227">
        <f>O36</f>
        <v>100</v>
      </c>
      <c r="C37" s="228">
        <f>P36</f>
        <v>100</v>
      </c>
      <c r="D37" s="228">
        <f>IF(OR(DAY(A37+2)=1,DAY(A37+2)=15),-SUM('Main Budget'!$H$26:$H$31),0)</f>
        <v>0</v>
      </c>
      <c r="E37" s="228">
        <f>IF(DAY(A37+2)=22,-SUM('Main Budget'!$F$26:$F$31),0)</f>
        <v>0</v>
      </c>
      <c r="F37" s="228">
        <f>IF(D37&gt;0,-'Main Budget'!$H$25+0.15,0)</f>
        <v>0</v>
      </c>
      <c r="G37" s="228">
        <f>IF(E37&gt;0,-'Main Budget'!$F$25+0.81,0)</f>
        <v>0</v>
      </c>
      <c r="H37" s="227">
        <f>IF(DAY(A37)='Main Budget'!$J$26,'Main Budget'!$E$26,0)</f>
        <v>0</v>
      </c>
      <c r="I37" s="227">
        <f>IF(DAY(A37)='Main Budget'!$J$28,'Main Budget'!$E$28,0)</f>
        <v>0</v>
      </c>
      <c r="J37" s="227">
        <f>IF(DAY(A37)='Main Budget'!$J$29,'Main Budget'!$E$29,0)</f>
        <v>0</v>
      </c>
      <c r="K37" s="20">
        <f>IF(DAY(A37)='Main Budget'!$J$30,'Main Budget'!$E$30,0)</f>
        <v>0</v>
      </c>
      <c r="L37" s="20">
        <f>IF(DAY(A37)='Main Budget'!$J$31,'Main Budget'!$E$31,0)</f>
        <v>0</v>
      </c>
      <c r="M37" s="20">
        <f>IF(DAY(A37)='Main Budget'!$J$27,'Main Budget'!$E$27,0)</f>
        <v>0</v>
      </c>
      <c r="O37" s="228">
        <f>B37+(SUM(H37:M37)+(SUM(D37:E37)))</f>
        <v>100</v>
      </c>
      <c r="P37" s="228">
        <f>C37+F37+G37+N37</f>
        <v>100</v>
      </c>
      <c r="Q37" s="252">
        <f>O37+P37</f>
        <v>200</v>
      </c>
      <c r="S37" s="231" t="str">
        <f>TEXT(A37,"dddd")</f>
        <v>Thursday</v>
      </c>
    </row>
    <row r="38" spans="1:19" x14ac:dyDescent="0.25">
      <c r="A38" s="226">
        <v>46059</v>
      </c>
      <c r="B38" s="227">
        <f>O37</f>
        <v>100</v>
      </c>
      <c r="C38" s="228">
        <f>P37</f>
        <v>100</v>
      </c>
      <c r="D38" s="228">
        <f>IF(OR(DAY(A38+2)=1,DAY(A38+2)=15),-SUM('Main Budget'!$H$26:$H$31),0)</f>
        <v>0</v>
      </c>
      <c r="E38" s="228">
        <f>IF(DAY(A38+2)=22,-SUM('Main Budget'!$F$26:$F$31),0)</f>
        <v>0</v>
      </c>
      <c r="F38" s="228">
        <f>IF(D38&gt;0,-'Main Budget'!$H$25+0.15,0)</f>
        <v>0</v>
      </c>
      <c r="G38" s="228">
        <f>IF(E38&gt;0,-'Main Budget'!$F$25+0.81,0)</f>
        <v>0</v>
      </c>
      <c r="H38" s="227">
        <f>IF(DAY(A38)='Main Budget'!$J$26,'Main Budget'!$E$26,0)</f>
        <v>0</v>
      </c>
      <c r="I38" s="227">
        <f>IF(DAY(A38)='Main Budget'!$J$28,'Main Budget'!$E$28,0)</f>
        <v>0</v>
      </c>
      <c r="J38" s="227">
        <f>IF(DAY(A38)='Main Budget'!$J$29,'Main Budget'!$E$29,0)</f>
        <v>0</v>
      </c>
      <c r="K38" s="20">
        <f>IF(DAY(A38)='Main Budget'!$J$30,'Main Budget'!$E$30,0)</f>
        <v>0</v>
      </c>
      <c r="L38" s="20">
        <f>IF(DAY(A38)='Main Budget'!$J$31,'Main Budget'!$E$31,0)</f>
        <v>0</v>
      </c>
      <c r="M38" s="20">
        <f>IF(DAY(A38)='Main Budget'!$J$27,'Main Budget'!$E$27,0)</f>
        <v>0</v>
      </c>
      <c r="O38" s="228">
        <f>B38+(SUM(H38:M38)+(SUM(D38:E38)))</f>
        <v>100</v>
      </c>
      <c r="P38" s="228">
        <f>C38+F38+G38+N38</f>
        <v>100</v>
      </c>
      <c r="Q38" s="252">
        <f>O38+P38</f>
        <v>200</v>
      </c>
      <c r="S38" s="231" t="str">
        <f>TEXT(A38,"dddd")</f>
        <v>Friday</v>
      </c>
    </row>
    <row r="39" spans="1:19" x14ac:dyDescent="0.25">
      <c r="A39" s="226">
        <v>46060</v>
      </c>
      <c r="B39" s="227">
        <f>O38</f>
        <v>100</v>
      </c>
      <c r="C39" s="228">
        <f>P38</f>
        <v>100</v>
      </c>
      <c r="D39" s="228">
        <f>IF(OR(DAY(A39+2)=1,DAY(A39+2)=15),-SUM('Main Budget'!$H$26:$H$31),0)</f>
        <v>0</v>
      </c>
      <c r="E39" s="228">
        <f>IF(DAY(A39+2)=22,-SUM('Main Budget'!$F$26:$F$31),0)</f>
        <v>0</v>
      </c>
      <c r="F39" s="228">
        <f>IF(D39&gt;0,-'Main Budget'!$H$25+0.15,0)</f>
        <v>0</v>
      </c>
      <c r="G39" s="228">
        <f>IF(E39&gt;0,-'Main Budget'!$F$25+0.81,0)</f>
        <v>0</v>
      </c>
      <c r="H39" s="227">
        <f>IF(DAY(A39)='Main Budget'!$J$26,'Main Budget'!$E$26,0)</f>
        <v>0</v>
      </c>
      <c r="I39" s="227">
        <f>IF(DAY(A39)='Main Budget'!$J$28,'Main Budget'!$E$28,0)</f>
        <v>0</v>
      </c>
      <c r="J39" s="227">
        <f>IF(DAY(A39)='Main Budget'!$J$29,'Main Budget'!$E$29,0)</f>
        <v>0</v>
      </c>
      <c r="K39" s="20">
        <f>IF(DAY(A39)='Main Budget'!$J$30,'Main Budget'!$E$30,0)</f>
        <v>0</v>
      </c>
      <c r="L39" s="20">
        <f>IF(DAY(A39)='Main Budget'!$J$31,'Main Budget'!$E$31,0)</f>
        <v>0</v>
      </c>
      <c r="M39" s="20">
        <f>IF(DAY(A39)='Main Budget'!$J$27,'Main Budget'!$E$27,0)</f>
        <v>0</v>
      </c>
      <c r="O39" s="228">
        <f>B39+(SUM(H39:M39)+(SUM(D39:E39)))</f>
        <v>100</v>
      </c>
      <c r="P39" s="228">
        <f>C39+F39+G39+N39</f>
        <v>100</v>
      </c>
      <c r="Q39" s="252">
        <f>O39+P39</f>
        <v>200</v>
      </c>
      <c r="S39" s="231" t="str">
        <f>TEXT(A39,"dddd")</f>
        <v>Saturday</v>
      </c>
    </row>
    <row r="40" spans="1:19" x14ac:dyDescent="0.25">
      <c r="A40" s="226">
        <v>46061</v>
      </c>
      <c r="B40" s="227">
        <f>O39</f>
        <v>100</v>
      </c>
      <c r="C40" s="228">
        <f>P39</f>
        <v>100</v>
      </c>
      <c r="D40" s="228">
        <f>IF(OR(DAY(A40+2)=1,DAY(A40+2)=15),-SUM('Main Budget'!$H$26:$H$31),0)</f>
        <v>0</v>
      </c>
      <c r="E40" s="228">
        <f>IF(DAY(A40+2)=22,-SUM('Main Budget'!$F$26:$F$31),0)</f>
        <v>0</v>
      </c>
      <c r="F40" s="228">
        <f>IF(D40&gt;0,-'Main Budget'!$H$25+0.15,0)</f>
        <v>0</v>
      </c>
      <c r="G40" s="228">
        <f>IF(E40&gt;0,-'Main Budget'!$F$25+0.81,0)</f>
        <v>0</v>
      </c>
      <c r="H40" s="227">
        <f>IF(DAY(A40)='Main Budget'!$J$26,'Main Budget'!$E$26,0)</f>
        <v>0</v>
      </c>
      <c r="I40" s="227">
        <f>IF(DAY(A40)='Main Budget'!$J$28,'Main Budget'!$E$28,0)</f>
        <v>0</v>
      </c>
      <c r="J40" s="227">
        <f>IF(DAY(A40)='Main Budget'!$J$29,'Main Budget'!$E$29,0)</f>
        <v>0</v>
      </c>
      <c r="K40" s="20">
        <f>IF(DAY(A40)='Main Budget'!$J$30,'Main Budget'!$E$30,0)</f>
        <v>0</v>
      </c>
      <c r="L40" s="20">
        <f>IF(DAY(A40)='Main Budget'!$J$31,'Main Budget'!$E$31,0)</f>
        <v>0</v>
      </c>
      <c r="M40" s="20">
        <f>IF(DAY(A40)='Main Budget'!$J$27,'Main Budget'!$E$27,0)</f>
        <v>0</v>
      </c>
      <c r="O40" s="228">
        <f>B40+(SUM(H40:M40)+(SUM(D40:E40)))</f>
        <v>100</v>
      </c>
      <c r="P40" s="228">
        <f>C40+F40+G40+N40</f>
        <v>100</v>
      </c>
      <c r="Q40" s="252">
        <f>O40+P40</f>
        <v>200</v>
      </c>
      <c r="S40" s="231" t="str">
        <f>TEXT(A40,"dddd")</f>
        <v>Sunday</v>
      </c>
    </row>
    <row r="41" spans="1:19" x14ac:dyDescent="0.25">
      <c r="A41" s="226">
        <v>46062</v>
      </c>
      <c r="B41" s="227">
        <f>O40</f>
        <v>100</v>
      </c>
      <c r="C41" s="228">
        <f>P40</f>
        <v>100</v>
      </c>
      <c r="D41" s="228">
        <f>IF(OR(DAY(A41+2)=1,DAY(A41+2)=15),-SUM('Main Budget'!$H$26:$H$31),0)</f>
        <v>0</v>
      </c>
      <c r="E41" s="228">
        <f>IF(DAY(A41+2)=22,-SUM('Main Budget'!$F$26:$F$31),0)</f>
        <v>0</v>
      </c>
      <c r="F41" s="228">
        <f>IF(D41&gt;0,-'Main Budget'!$H$25+0.15,0)</f>
        <v>0</v>
      </c>
      <c r="G41" s="228">
        <f>IF(E41&gt;0,-'Main Budget'!$F$25+0.81,0)</f>
        <v>0</v>
      </c>
      <c r="H41" s="227">
        <f>IF(DAY(A41)='Main Budget'!$J$26,'Main Budget'!$E$26,0)</f>
        <v>0</v>
      </c>
      <c r="I41" s="227">
        <f>IF(DAY(A41)='Main Budget'!$J$28,'Main Budget'!$E$28,0)</f>
        <v>0</v>
      </c>
      <c r="J41" s="227">
        <f>IF(DAY(A41)='Main Budget'!$J$29,'Main Budget'!$E$29,0)</f>
        <v>0</v>
      </c>
      <c r="K41" s="20">
        <f>IF(DAY(A41)='Main Budget'!$J$30,'Main Budget'!$E$30,0)</f>
        <v>0</v>
      </c>
      <c r="L41" s="20">
        <f>IF(DAY(A41)='Main Budget'!$J$31,'Main Budget'!$E$31,0)</f>
        <v>0</v>
      </c>
      <c r="M41" s="20">
        <f>IF(DAY(A41)='Main Budget'!$J$27,'Main Budget'!$E$27,0)</f>
        <v>0</v>
      </c>
      <c r="O41" s="228">
        <f>B41+(SUM(H41:M41)+(SUM(D41:E41)))</f>
        <v>100</v>
      </c>
      <c r="P41" s="228">
        <f>C41+F41+G41+N41</f>
        <v>100</v>
      </c>
      <c r="Q41" s="252">
        <f>O41+P41</f>
        <v>200</v>
      </c>
      <c r="S41" s="231" t="str">
        <f>TEXT(A41,"dddd")</f>
        <v>Monday</v>
      </c>
    </row>
    <row r="42" spans="1:19" x14ac:dyDescent="0.25">
      <c r="A42" s="226">
        <v>46063</v>
      </c>
      <c r="B42" s="227">
        <f>O41</f>
        <v>100</v>
      </c>
      <c r="C42" s="228">
        <f>P41</f>
        <v>100</v>
      </c>
      <c r="D42" s="228">
        <f>IF(OR(DAY(A42+2)=1,DAY(A42+2)=15),-SUM('Main Budget'!$H$26:$H$31),0)</f>
        <v>0</v>
      </c>
      <c r="E42" s="228">
        <f>IF(DAY(A42+2)=22,-SUM('Main Budget'!$F$26:$F$31),0)</f>
        <v>0</v>
      </c>
      <c r="F42" s="228">
        <f>IF(D42&gt;0,-'Main Budget'!$H$25+0.15,0)</f>
        <v>0</v>
      </c>
      <c r="G42" s="228">
        <f>IF(E42&gt;0,-'Main Budget'!$F$25+0.81,0)</f>
        <v>0</v>
      </c>
      <c r="H42" s="227">
        <f>IF(DAY(A42)='Main Budget'!$J$26,'Main Budget'!$E$26,0)</f>
        <v>0</v>
      </c>
      <c r="I42" s="227">
        <f>IF(DAY(A42)='Main Budget'!$J$28,'Main Budget'!$E$28,0)</f>
        <v>0</v>
      </c>
      <c r="J42" s="227">
        <f>IF(DAY(A42)='Main Budget'!$J$29,'Main Budget'!$E$29,0)</f>
        <v>0</v>
      </c>
      <c r="K42" s="20">
        <f>IF(DAY(A42)='Main Budget'!$J$30,'Main Budget'!$E$30,0)</f>
        <v>0</v>
      </c>
      <c r="L42" s="20">
        <f>IF(DAY(A42)='Main Budget'!$J$31,'Main Budget'!$E$31,0)</f>
        <v>0</v>
      </c>
      <c r="M42" s="20">
        <f>IF(DAY(A42)='Main Budget'!$J$27,'Main Budget'!$E$27,0)</f>
        <v>0</v>
      </c>
      <c r="O42" s="228">
        <f>B42+(SUM(H42:M42)+(SUM(D42:E42)))</f>
        <v>100</v>
      </c>
      <c r="P42" s="228">
        <f>C42+F42+G42+N42</f>
        <v>100</v>
      </c>
      <c r="Q42" s="252">
        <f>O42+P42</f>
        <v>200</v>
      </c>
      <c r="S42" s="231" t="str">
        <f>TEXT(A42,"dddd")</f>
        <v>Tuesday</v>
      </c>
    </row>
    <row r="43" spans="1:19" x14ac:dyDescent="0.25">
      <c r="A43" s="226">
        <v>46064</v>
      </c>
      <c r="B43" s="227">
        <f>O42</f>
        <v>100</v>
      </c>
      <c r="C43" s="228">
        <f>P42</f>
        <v>100</v>
      </c>
      <c r="D43" s="228">
        <f>IF(OR(DAY(A43+2)=1,DAY(A43+2)=15),-SUM('Main Budget'!$H$26:$H$31),0)</f>
        <v>0</v>
      </c>
      <c r="E43" s="228">
        <f>IF(DAY(A43+2)=22,-SUM('Main Budget'!$F$26:$F$31),0)</f>
        <v>0</v>
      </c>
      <c r="F43" s="228">
        <f>IF(D43&gt;0,-'Main Budget'!$H$25+0.15,0)</f>
        <v>0</v>
      </c>
      <c r="G43" s="228">
        <f>IF(E43&gt;0,-'Main Budget'!$F$25+0.81,0)</f>
        <v>0</v>
      </c>
      <c r="H43" s="227">
        <f>IF(DAY(A43)='Main Budget'!$J$26,'Main Budget'!$E$26,0)</f>
        <v>0</v>
      </c>
      <c r="I43" s="227">
        <f>IF(DAY(A43)='Main Budget'!$J$28,'Main Budget'!$E$28,0)</f>
        <v>0</v>
      </c>
      <c r="J43" s="227">
        <f>IF(DAY(A43)='Main Budget'!$J$29,'Main Budget'!$E$29,0)</f>
        <v>0</v>
      </c>
      <c r="K43" s="20">
        <f>IF(DAY(A43)='Main Budget'!$J$30,'Main Budget'!$E$30,0)</f>
        <v>0</v>
      </c>
      <c r="L43" s="20">
        <f>IF(DAY(A43)='Main Budget'!$J$31,'Main Budget'!$E$31,0)</f>
        <v>0</v>
      </c>
      <c r="M43" s="20">
        <f>IF(DAY(A43)='Main Budget'!$J$27,'Main Budget'!$E$27,0)</f>
        <v>0</v>
      </c>
      <c r="O43" s="228">
        <f>B43+(SUM(H43:M43)+(SUM(D43:E43)))</f>
        <v>100</v>
      </c>
      <c r="P43" s="228">
        <f>C43+F43+G43+N43</f>
        <v>100</v>
      </c>
      <c r="Q43" s="252">
        <f>O43+P43</f>
        <v>200</v>
      </c>
      <c r="S43" s="231" t="str">
        <f>TEXT(A43,"dddd")</f>
        <v>Wednesday</v>
      </c>
    </row>
    <row r="44" spans="1:19" x14ac:dyDescent="0.25">
      <c r="A44" s="226">
        <v>46065</v>
      </c>
      <c r="B44" s="227">
        <f>O43</f>
        <v>100</v>
      </c>
      <c r="C44" s="228">
        <f>P43</f>
        <v>100</v>
      </c>
      <c r="D44" s="228">
        <f>IF(OR(DAY(A44+2)=1,DAY(A44+2)=15),-SUM('Main Budget'!$H$26:$H$31),0)</f>
        <v>0</v>
      </c>
      <c r="E44" s="228">
        <f>IF(DAY(A44+2)=22,-SUM('Main Budget'!$F$26:$F$31),0)</f>
        <v>0</v>
      </c>
      <c r="F44" s="228">
        <f>IF(D44&gt;0,-'Main Budget'!$H$25+0.15,0)</f>
        <v>0</v>
      </c>
      <c r="G44" s="228">
        <f>IF(E44&gt;0,-'Main Budget'!$F$25+0.81,0)</f>
        <v>0</v>
      </c>
      <c r="H44" s="227">
        <f>IF(DAY(A44)='Main Budget'!$J$26,'Main Budget'!$E$26,0)</f>
        <v>0</v>
      </c>
      <c r="I44" s="227">
        <f>IF(DAY(A44)='Main Budget'!$J$28,'Main Budget'!$E$28,0)</f>
        <v>0</v>
      </c>
      <c r="J44" s="227">
        <f>IF(DAY(A44)='Main Budget'!$J$29,'Main Budget'!$E$29,0)</f>
        <v>0</v>
      </c>
      <c r="K44" s="20">
        <f>IF(DAY(A44)='Main Budget'!$J$30,'Main Budget'!$E$30,0)</f>
        <v>0</v>
      </c>
      <c r="L44" s="20">
        <f>IF(DAY(A44)='Main Budget'!$J$31,'Main Budget'!$E$31,0)</f>
        <v>0</v>
      </c>
      <c r="M44" s="20">
        <f>IF(DAY(A44)='Main Budget'!$J$27,'Main Budget'!$E$27,0)</f>
        <v>0</v>
      </c>
      <c r="O44" s="228">
        <f>B44+(SUM(H44:M44)+(SUM(D44:E44)))</f>
        <v>100</v>
      </c>
      <c r="P44" s="228">
        <f>C44+F44+G44+N44</f>
        <v>100</v>
      </c>
      <c r="Q44" s="252">
        <f>O44+P44</f>
        <v>200</v>
      </c>
      <c r="S44" s="231" t="str">
        <f>TEXT(A44,"dddd")</f>
        <v>Thursday</v>
      </c>
    </row>
    <row r="45" spans="1:19" x14ac:dyDescent="0.25">
      <c r="A45" s="226">
        <v>46066</v>
      </c>
      <c r="B45" s="227">
        <f>O44</f>
        <v>100</v>
      </c>
      <c r="C45" s="228">
        <f>P44</f>
        <v>100</v>
      </c>
      <c r="D45" s="228">
        <f>IF(OR(DAY(A45+2)=1,DAY(A45+2)=15),-SUM('Main Budget'!$H$26:$H$31),0)</f>
        <v>0</v>
      </c>
      <c r="E45" s="228">
        <f>IF(DAY(A45+2)=22,-SUM('Main Budget'!$F$26:$F$31),0)</f>
        <v>0</v>
      </c>
      <c r="F45" s="228">
        <f>IF(D45&gt;0,-'Main Budget'!$H$25+0.15,0)</f>
        <v>0</v>
      </c>
      <c r="G45" s="228">
        <f>IF(E45&gt;0,-'Main Budget'!$F$25+0.81,0)</f>
        <v>0</v>
      </c>
      <c r="H45" s="227">
        <f>IF(DAY(A45)='Main Budget'!$J$26,'Main Budget'!$E$26,0)</f>
        <v>0</v>
      </c>
      <c r="I45" s="227">
        <f>IF(DAY(A45)='Main Budget'!$J$28,'Main Budget'!$E$28,0)</f>
        <v>0</v>
      </c>
      <c r="J45" s="227">
        <f>IF(DAY(A45)='Main Budget'!$J$29,'Main Budget'!$E$29,0)</f>
        <v>0</v>
      </c>
      <c r="K45" s="20">
        <f>IF(DAY(A45)='Main Budget'!$J$30,'Main Budget'!$E$30,0)</f>
        <v>0</v>
      </c>
      <c r="L45" s="20">
        <f>IF(DAY(A45)='Main Budget'!$J$31,'Main Budget'!$E$31,0)</f>
        <v>0</v>
      </c>
      <c r="M45" s="20">
        <f>IF(DAY(A45)='Main Budget'!$J$27,'Main Budget'!$E$27,0)</f>
        <v>0</v>
      </c>
      <c r="O45" s="228">
        <f>B45+(SUM(H45:M45)+(SUM(D45:E45)))</f>
        <v>100</v>
      </c>
      <c r="P45" s="228">
        <f>C45+F45+G45+N45</f>
        <v>100</v>
      </c>
      <c r="Q45" s="252">
        <f>O45+P45</f>
        <v>200</v>
      </c>
      <c r="S45" s="231" t="str">
        <f>TEXT(A45,"dddd")</f>
        <v>Friday</v>
      </c>
    </row>
    <row r="46" spans="1:19" x14ac:dyDescent="0.25">
      <c r="A46" s="226">
        <v>46067</v>
      </c>
      <c r="B46" s="227">
        <f>O45</f>
        <v>100</v>
      </c>
      <c r="C46" s="228">
        <f>P45</f>
        <v>100</v>
      </c>
      <c r="D46" s="228">
        <f>IF(OR(DAY(A46+2)=1,DAY(A46+2)=15),-SUM('Main Budget'!$H$26:$H$31),0)</f>
        <v>0</v>
      </c>
      <c r="E46" s="228">
        <f>IF(DAY(A46+2)=22,-SUM('Main Budget'!$F$26:$F$31),0)</f>
        <v>0</v>
      </c>
      <c r="F46" s="228">
        <f>IF(D46&gt;0,-'Main Budget'!$H$25+0.15,0)</f>
        <v>0</v>
      </c>
      <c r="G46" s="228">
        <f>IF(E46&gt;0,-'Main Budget'!$F$25+0.81,0)</f>
        <v>0</v>
      </c>
      <c r="H46" s="227">
        <f>IF(DAY(A46)='Main Budget'!$J$26,'Main Budget'!$E$26,0)</f>
        <v>0</v>
      </c>
      <c r="I46" s="227">
        <f>IF(DAY(A46)='Main Budget'!$J$28,'Main Budget'!$E$28,0)</f>
        <v>0</v>
      </c>
      <c r="J46" s="227">
        <f>IF(DAY(A46)='Main Budget'!$J$29,'Main Budget'!$E$29,0)</f>
        <v>0</v>
      </c>
      <c r="K46" s="20">
        <f>IF(DAY(A46)='Main Budget'!$J$30,'Main Budget'!$E$30,0)</f>
        <v>0</v>
      </c>
      <c r="L46" s="20">
        <f>IF(DAY(A46)='Main Budget'!$J$31,'Main Budget'!$E$31,0)</f>
        <v>0</v>
      </c>
      <c r="M46" s="20">
        <f>IF(DAY(A46)='Main Budget'!$J$27,'Main Budget'!$E$27,0)</f>
        <v>0</v>
      </c>
      <c r="O46" s="228">
        <f>B46+(SUM(H46:M46)+(SUM(D46:E46)))</f>
        <v>100</v>
      </c>
      <c r="P46" s="228">
        <f>C46+F46+G46+N46</f>
        <v>100</v>
      </c>
      <c r="Q46" s="252">
        <f>O46+P46</f>
        <v>200</v>
      </c>
      <c r="S46" s="231" t="str">
        <f>TEXT(A46,"dddd")</f>
        <v>Saturday</v>
      </c>
    </row>
    <row r="47" spans="1:19" x14ac:dyDescent="0.25">
      <c r="A47" s="226">
        <v>46068</v>
      </c>
      <c r="B47" s="227">
        <f>O46</f>
        <v>100</v>
      </c>
      <c r="C47" s="228">
        <f>P46</f>
        <v>100</v>
      </c>
      <c r="D47" s="228">
        <f>IF(OR(DAY(A47+2)=1,DAY(A47+2)=15),-SUM('Main Budget'!$H$26:$H$31),0)</f>
        <v>0</v>
      </c>
      <c r="E47" s="228">
        <f>IF(DAY(A47+2)=22,-SUM('Main Budget'!$F$26:$F$31),0)</f>
        <v>0</v>
      </c>
      <c r="F47" s="228">
        <f>IF(D47&gt;0,-'Main Budget'!$H$25+0.15,0)</f>
        <v>0</v>
      </c>
      <c r="G47" s="228">
        <f>IF(E47&gt;0,-'Main Budget'!$F$25+0.81,0)</f>
        <v>0</v>
      </c>
      <c r="H47" s="227">
        <f>IF(DAY(A47)='Main Budget'!$J$26,'Main Budget'!$E$26,0)</f>
        <v>0</v>
      </c>
      <c r="I47" s="227">
        <f>IF(DAY(A47)='Main Budget'!$J$28,'Main Budget'!$E$28,0)</f>
        <v>0</v>
      </c>
      <c r="J47" s="227">
        <f>IF(DAY(A47)='Main Budget'!$J$29,'Main Budget'!$E$29,0)</f>
        <v>0</v>
      </c>
      <c r="K47" s="20">
        <f>IF(DAY(A47)='Main Budget'!$J$30,'Main Budget'!$E$30,0)</f>
        <v>0</v>
      </c>
      <c r="L47" s="20">
        <f>IF(DAY(A47)='Main Budget'!$J$31,'Main Budget'!$E$31,0)</f>
        <v>0</v>
      </c>
      <c r="M47" s="20">
        <f>IF(DAY(A47)='Main Budget'!$J$27,'Main Budget'!$E$27,0)</f>
        <v>0</v>
      </c>
      <c r="O47" s="228">
        <f>B47+(SUM(H47:M47)+(SUM(D47:E47)))</f>
        <v>100</v>
      </c>
      <c r="P47" s="228">
        <f>C47+F47+G47+N47</f>
        <v>100</v>
      </c>
      <c r="Q47" s="252">
        <f>O47+P47</f>
        <v>200</v>
      </c>
      <c r="S47" s="231" t="str">
        <f>TEXT(A47,"dddd")</f>
        <v>Sunday</v>
      </c>
    </row>
    <row r="48" spans="1:19" x14ac:dyDescent="0.25">
      <c r="A48" s="226">
        <v>46069</v>
      </c>
      <c r="B48" s="227">
        <f>O47</f>
        <v>100</v>
      </c>
      <c r="C48" s="228">
        <f>P47</f>
        <v>100</v>
      </c>
      <c r="D48" s="228">
        <f>IF(OR(DAY(A48+2)=1,DAY(A48+2)=15),-SUM('Main Budget'!$H$26:$H$31),0)</f>
        <v>0</v>
      </c>
      <c r="E48" s="228">
        <f>IF(DAY(A48+2)=22,-SUM('Main Budget'!$F$26:$F$31),0)</f>
        <v>0</v>
      </c>
      <c r="F48" s="228">
        <f>IF(D48&gt;0,-'Main Budget'!$H$25+0.15,0)</f>
        <v>0</v>
      </c>
      <c r="G48" s="228">
        <f>IF(E48&gt;0,-'Main Budget'!$F$25+0.81,0)</f>
        <v>0</v>
      </c>
      <c r="H48" s="227">
        <f>IF(DAY(A48)='Main Budget'!$J$26,'Main Budget'!$E$26,0)</f>
        <v>0</v>
      </c>
      <c r="I48" s="227">
        <f>IF(DAY(A48)='Main Budget'!$J$28,'Main Budget'!$E$28,0)</f>
        <v>0</v>
      </c>
      <c r="J48" s="227">
        <f>IF(DAY(A48)='Main Budget'!$J$29,'Main Budget'!$E$29,0)</f>
        <v>0</v>
      </c>
      <c r="K48" s="20">
        <f>IF(DAY(A48)='Main Budget'!$J$30,'Main Budget'!$E$30,0)</f>
        <v>0</v>
      </c>
      <c r="L48" s="20">
        <f>IF(DAY(A48)='Main Budget'!$J$31,'Main Budget'!$E$31,0)</f>
        <v>0</v>
      </c>
      <c r="M48" s="20">
        <f>IF(DAY(A48)='Main Budget'!$J$27,'Main Budget'!$E$27,0)</f>
        <v>0</v>
      </c>
      <c r="O48" s="228">
        <f>B48+(SUM(H48:M48)+(SUM(D48:E48)))</f>
        <v>100</v>
      </c>
      <c r="P48" s="228">
        <f>C48+F48+G48+N48</f>
        <v>100</v>
      </c>
      <c r="Q48" s="252">
        <f>O48+P48</f>
        <v>200</v>
      </c>
      <c r="S48" s="231" t="str">
        <f>TEXT(A48,"dddd")</f>
        <v>Monday</v>
      </c>
    </row>
    <row r="49" spans="1:19" x14ac:dyDescent="0.25">
      <c r="A49" s="226">
        <v>46070</v>
      </c>
      <c r="B49" s="227">
        <f>O48</f>
        <v>100</v>
      </c>
      <c r="C49" s="228">
        <f>P48</f>
        <v>100</v>
      </c>
      <c r="D49" s="228">
        <f>IF(OR(DAY(A49+2)=1,DAY(A49+2)=15),-SUM('Main Budget'!$H$26:$H$31),0)</f>
        <v>0</v>
      </c>
      <c r="E49" s="228">
        <f>IF(DAY(A49+2)=22,-SUM('Main Budget'!$F$26:$F$31),0)</f>
        <v>0</v>
      </c>
      <c r="F49" s="228">
        <f>IF(D49&gt;0,-'Main Budget'!$H$25+0.15,0)</f>
        <v>0</v>
      </c>
      <c r="G49" s="228">
        <f>IF(E49&gt;0,-'Main Budget'!$F$25+0.81,0)</f>
        <v>0</v>
      </c>
      <c r="H49" s="227">
        <f>IF(DAY(A49)='Main Budget'!$J$26,'Main Budget'!$E$26,0)</f>
        <v>0</v>
      </c>
      <c r="I49" s="227">
        <f>IF(DAY(A49)='Main Budget'!$J$28,'Main Budget'!$E$28,0)</f>
        <v>0</v>
      </c>
      <c r="J49" s="227">
        <f>IF(DAY(A49)='Main Budget'!$J$29,'Main Budget'!$E$29,0)</f>
        <v>0</v>
      </c>
      <c r="K49" s="20">
        <f>IF(DAY(A49)='Main Budget'!$J$30,'Main Budget'!$E$30,0)</f>
        <v>0</v>
      </c>
      <c r="L49" s="20">
        <f>IF(DAY(A49)='Main Budget'!$J$31,'Main Budget'!$E$31,0)</f>
        <v>0</v>
      </c>
      <c r="M49" s="20">
        <f>IF(DAY(A49)='Main Budget'!$J$27,'Main Budget'!$E$27,0)</f>
        <v>0</v>
      </c>
      <c r="O49" s="228">
        <f>B49+(SUM(H49:M49)+(SUM(D49:E49)))</f>
        <v>100</v>
      </c>
      <c r="P49" s="228">
        <f>C49+F49+G49+N49</f>
        <v>100</v>
      </c>
      <c r="Q49" s="252">
        <f>O49+P49</f>
        <v>200</v>
      </c>
      <c r="S49" s="231" t="str">
        <f>TEXT(A49,"dddd")</f>
        <v>Tuesday</v>
      </c>
    </row>
    <row r="50" spans="1:19" x14ac:dyDescent="0.25">
      <c r="A50" s="226">
        <v>46071</v>
      </c>
      <c r="B50" s="227">
        <f>O49</f>
        <v>100</v>
      </c>
      <c r="C50" s="228">
        <f>P49</f>
        <v>100</v>
      </c>
      <c r="D50" s="228">
        <f>IF(OR(DAY(A50+2)=1,DAY(A50+2)=15),-SUM('Main Budget'!$H$26:$H$31),0)</f>
        <v>0</v>
      </c>
      <c r="E50" s="228">
        <f>IF(DAY(A50+2)=22,-SUM('Main Budget'!$F$26:$F$31),0)</f>
        <v>0</v>
      </c>
      <c r="F50" s="228">
        <f>IF(D50&gt;0,-'Main Budget'!$H$25+0.15,0)</f>
        <v>0</v>
      </c>
      <c r="G50" s="228">
        <f>IF(E50&gt;0,-'Main Budget'!$F$25+0.81,0)</f>
        <v>0</v>
      </c>
      <c r="H50" s="227">
        <f>IF(DAY(A50)='Main Budget'!$J$26,'Main Budget'!$E$26,0)</f>
        <v>0</v>
      </c>
      <c r="I50" s="227">
        <f>IF(DAY(A50)='Main Budget'!$J$28,'Main Budget'!$E$28,0)</f>
        <v>0</v>
      </c>
      <c r="J50" s="227">
        <f>IF(DAY(A50)='Main Budget'!$J$29,'Main Budget'!$E$29,0)</f>
        <v>0</v>
      </c>
      <c r="K50" s="20">
        <f>IF(DAY(A50)='Main Budget'!$J$30,'Main Budget'!$E$30,0)</f>
        <v>0</v>
      </c>
      <c r="L50" s="20">
        <f>IF(DAY(A50)='Main Budget'!$J$31,'Main Budget'!$E$31,0)</f>
        <v>0</v>
      </c>
      <c r="M50" s="20">
        <f>IF(DAY(A50)='Main Budget'!$J$27,'Main Budget'!$E$27,0)</f>
        <v>0</v>
      </c>
      <c r="O50" s="228">
        <f>B50+(SUM(H50:M50)+(SUM(D50:E50)))</f>
        <v>100</v>
      </c>
      <c r="P50" s="228">
        <f>C50+F50+G50+N50</f>
        <v>100</v>
      </c>
      <c r="Q50" s="252">
        <f>O50+P50</f>
        <v>200</v>
      </c>
      <c r="S50" s="231" t="str">
        <f>TEXT(A50,"dddd")</f>
        <v>Wednesday</v>
      </c>
    </row>
    <row r="51" spans="1:19" x14ac:dyDescent="0.25">
      <c r="A51" s="226">
        <v>46072</v>
      </c>
      <c r="B51" s="227">
        <f>O50</f>
        <v>100</v>
      </c>
      <c r="C51" s="228">
        <f>P50</f>
        <v>100</v>
      </c>
      <c r="D51" s="228">
        <f>IF(OR(DAY(A51+2)=1,DAY(A51+2)=15),-SUM('Main Budget'!$H$26:$H$31),0)</f>
        <v>0</v>
      </c>
      <c r="E51" s="228">
        <f>IF(DAY(A51+2)=22,-SUM('Main Budget'!$F$26:$F$31),0)</f>
        <v>0</v>
      </c>
      <c r="F51" s="228">
        <f>IF(D51&gt;0,-'Main Budget'!$H$25+0.15,0)</f>
        <v>0</v>
      </c>
      <c r="G51" s="228">
        <f>IF(E51&gt;0,-'Main Budget'!$F$25+0.81,0)</f>
        <v>0</v>
      </c>
      <c r="H51" s="227">
        <f>IF(DAY(A51)='Main Budget'!$J$26,'Main Budget'!$E$26,0)</f>
        <v>0</v>
      </c>
      <c r="I51" s="227">
        <f>IF(DAY(A51)='Main Budget'!$J$28,'Main Budget'!$E$28,0)</f>
        <v>0</v>
      </c>
      <c r="J51" s="227">
        <f>IF(DAY(A51)='Main Budget'!$J$29,'Main Budget'!$E$29,0)</f>
        <v>0</v>
      </c>
      <c r="K51" s="20">
        <f>IF(DAY(A51)='Main Budget'!$J$30,'Main Budget'!$E$30,0)</f>
        <v>0</v>
      </c>
      <c r="L51" s="20">
        <f>IF(DAY(A51)='Main Budget'!$J$31,'Main Budget'!$E$31,0)</f>
        <v>0</v>
      </c>
      <c r="M51" s="20">
        <f>IF(DAY(A51)='Main Budget'!$J$27,'Main Budget'!$E$27,0)</f>
        <v>0</v>
      </c>
      <c r="O51" s="228">
        <f>B51+(SUM(H51:M51)+(SUM(D51:E51)))</f>
        <v>100</v>
      </c>
      <c r="P51" s="228">
        <f>C51+F51+G51+N51</f>
        <v>100</v>
      </c>
      <c r="Q51" s="252">
        <f>O51+P51</f>
        <v>200</v>
      </c>
      <c r="S51" s="231" t="str">
        <f>TEXT(A51,"dddd")</f>
        <v>Thursday</v>
      </c>
    </row>
    <row r="52" spans="1:19" x14ac:dyDescent="0.25">
      <c r="A52" s="226">
        <v>46073</v>
      </c>
      <c r="B52" s="227">
        <f>O51</f>
        <v>100</v>
      </c>
      <c r="C52" s="228">
        <f>P51</f>
        <v>100</v>
      </c>
      <c r="D52" s="228">
        <f>IF(OR(DAY(A52+2)=1,DAY(A52+2)=15),-SUM('Main Budget'!$H$26:$H$31),0)</f>
        <v>0</v>
      </c>
      <c r="E52" s="228">
        <f>IF(DAY(A52+2)=22,-SUM('Main Budget'!$F$26:$F$31),0)</f>
        <v>0</v>
      </c>
      <c r="F52" s="228">
        <f>IF(D52&gt;0,-'Main Budget'!$H$25+0.15,0)</f>
        <v>0</v>
      </c>
      <c r="G52" s="228">
        <f>IF(E52&gt;0,-'Main Budget'!$F$25+0.81,0)</f>
        <v>0</v>
      </c>
      <c r="H52" s="227">
        <f>IF(DAY(A52)='Main Budget'!$J$26,'Main Budget'!$E$26,0)</f>
        <v>0</v>
      </c>
      <c r="I52" s="227">
        <f>IF(DAY(A52)='Main Budget'!$J$28,'Main Budget'!$E$28,0)</f>
        <v>0</v>
      </c>
      <c r="J52" s="227">
        <f>IF(DAY(A52)='Main Budget'!$J$29,'Main Budget'!$E$29,0)</f>
        <v>0</v>
      </c>
      <c r="K52" s="20">
        <f>IF(DAY(A52)='Main Budget'!$J$30,'Main Budget'!$E$30,0)</f>
        <v>0</v>
      </c>
      <c r="L52" s="20">
        <f>IF(DAY(A52)='Main Budget'!$J$31,'Main Budget'!$E$31,0)</f>
        <v>0</v>
      </c>
      <c r="M52" s="20">
        <f>IF(DAY(A52)='Main Budget'!$J$27,'Main Budget'!$E$27,0)</f>
        <v>0</v>
      </c>
      <c r="O52" s="228">
        <f>B52+(SUM(H52:M52)+(SUM(D52:E52)))</f>
        <v>100</v>
      </c>
      <c r="P52" s="228">
        <f>C52+F52+G52+N52</f>
        <v>100</v>
      </c>
      <c r="Q52" s="252">
        <f>O52+P52</f>
        <v>200</v>
      </c>
      <c r="S52" s="231" t="str">
        <f>TEXT(A52,"dddd")</f>
        <v>Friday</v>
      </c>
    </row>
    <row r="53" spans="1:19" x14ac:dyDescent="0.25">
      <c r="A53" s="226">
        <v>46074</v>
      </c>
      <c r="B53" s="227">
        <f>O52</f>
        <v>100</v>
      </c>
      <c r="C53" s="228">
        <f>P52</f>
        <v>100</v>
      </c>
      <c r="D53" s="228">
        <f>IF(OR(DAY(A53+2)=1,DAY(A53+2)=15),-SUM('Main Budget'!$H$26:$H$31),0)</f>
        <v>0</v>
      </c>
      <c r="E53" s="228">
        <f>IF(DAY(A53+2)=22,-SUM('Main Budget'!$F$26:$F$31),0)</f>
        <v>0</v>
      </c>
      <c r="F53" s="228">
        <f>IF(D53&gt;0,-'Main Budget'!$H$25+0.15,0)</f>
        <v>0</v>
      </c>
      <c r="G53" s="228">
        <f>IF(E53&gt;0,-'Main Budget'!$F$25+0.81,0)</f>
        <v>0</v>
      </c>
      <c r="H53" s="227">
        <f>IF(DAY(A53)='Main Budget'!$J$26,'Main Budget'!$E$26,0)</f>
        <v>0</v>
      </c>
      <c r="I53" s="227">
        <f>IF(DAY(A53)='Main Budget'!$J$28,'Main Budget'!$E$28,0)</f>
        <v>0</v>
      </c>
      <c r="J53" s="227">
        <f>IF(DAY(A53)='Main Budget'!$J$29,'Main Budget'!$E$29,0)</f>
        <v>0</v>
      </c>
      <c r="K53" s="20">
        <f>IF(DAY(A53)='Main Budget'!$J$30,'Main Budget'!$E$30,0)</f>
        <v>0</v>
      </c>
      <c r="L53" s="20">
        <f>IF(DAY(A53)='Main Budget'!$J$31,'Main Budget'!$E$31,0)</f>
        <v>0</v>
      </c>
      <c r="M53" s="20">
        <f>IF(DAY(A53)='Main Budget'!$J$27,'Main Budget'!$E$27,0)</f>
        <v>0</v>
      </c>
      <c r="O53" s="228">
        <f>B53+(SUM(H53:M53)+(SUM(D53:E53)))</f>
        <v>100</v>
      </c>
      <c r="P53" s="228">
        <f>C53+F53+G53+N53</f>
        <v>100</v>
      </c>
      <c r="Q53" s="252">
        <f>O53+P53</f>
        <v>200</v>
      </c>
      <c r="S53" s="231" t="str">
        <f>TEXT(A53,"dddd")</f>
        <v>Saturday</v>
      </c>
    </row>
    <row r="54" spans="1:19" x14ac:dyDescent="0.25">
      <c r="A54" s="226">
        <v>46075</v>
      </c>
      <c r="B54" s="227">
        <f>O53</f>
        <v>100</v>
      </c>
      <c r="C54" s="228">
        <f>P53</f>
        <v>100</v>
      </c>
      <c r="D54" s="228">
        <f>IF(OR(DAY(A54+2)=1,DAY(A54+2)=15),-SUM('Main Budget'!$H$26:$H$31),0)</f>
        <v>0</v>
      </c>
      <c r="E54" s="228">
        <f>IF(DAY(A54+2)=22,-SUM('Main Budget'!$F$26:$F$31),0)</f>
        <v>0</v>
      </c>
      <c r="F54" s="228">
        <f>IF(D54&gt;0,-'Main Budget'!$H$25+0.15,0)</f>
        <v>0</v>
      </c>
      <c r="G54" s="228">
        <f>IF(E54&gt;0,-'Main Budget'!$F$25+0.81,0)</f>
        <v>0</v>
      </c>
      <c r="H54" s="227">
        <f>IF(DAY(A54)='Main Budget'!$J$26,'Main Budget'!$E$26,0)</f>
        <v>0</v>
      </c>
      <c r="I54" s="227">
        <f>IF(DAY(A54)='Main Budget'!$J$28,'Main Budget'!$E$28,0)</f>
        <v>0</v>
      </c>
      <c r="J54" s="227">
        <f>IF(DAY(A54)='Main Budget'!$J$29,'Main Budget'!$E$29,0)</f>
        <v>0</v>
      </c>
      <c r="K54" s="20">
        <f>IF(DAY(A54)='Main Budget'!$J$30,'Main Budget'!$E$30,0)</f>
        <v>0</v>
      </c>
      <c r="L54" s="20">
        <f>IF(DAY(A54)='Main Budget'!$J$31,'Main Budget'!$E$31,0)</f>
        <v>0</v>
      </c>
      <c r="M54" s="20">
        <f>IF(DAY(A54)='Main Budget'!$J$27,'Main Budget'!$E$27,0)</f>
        <v>0</v>
      </c>
      <c r="O54" s="228">
        <f>B54+(SUM(H54:M54)+(SUM(D54:E54)))</f>
        <v>100</v>
      </c>
      <c r="P54" s="228">
        <f>C54+F54+G54+N54</f>
        <v>100</v>
      </c>
      <c r="Q54" s="252">
        <f>O54+P54</f>
        <v>200</v>
      </c>
      <c r="S54" s="231" t="str">
        <f>TEXT(A54,"dddd")</f>
        <v>Sunday</v>
      </c>
    </row>
    <row r="55" spans="1:19" x14ac:dyDescent="0.25">
      <c r="A55" s="226">
        <v>46076</v>
      </c>
      <c r="B55" s="227">
        <f>O54</f>
        <v>100</v>
      </c>
      <c r="C55" s="228">
        <f>P54</f>
        <v>100</v>
      </c>
      <c r="D55" s="228">
        <f>IF(OR(DAY(A55+2)=1,DAY(A55+2)=15),-SUM('Main Budget'!$H$26:$H$31),0)</f>
        <v>0</v>
      </c>
      <c r="E55" s="228">
        <f>IF(DAY(A55+2)=22,-SUM('Main Budget'!$F$26:$F$31),0)</f>
        <v>0</v>
      </c>
      <c r="F55" s="228">
        <f>IF(D55&gt;0,-'Main Budget'!$H$25+0.15,0)</f>
        <v>0</v>
      </c>
      <c r="G55" s="228">
        <f>IF(E55&gt;0,-'Main Budget'!$F$25+0.81,0)</f>
        <v>0</v>
      </c>
      <c r="H55" s="227">
        <f>IF(DAY(A55)='Main Budget'!$J$26,'Main Budget'!$E$26,0)</f>
        <v>0</v>
      </c>
      <c r="I55" s="227">
        <f>IF(DAY(A55)='Main Budget'!$J$28,'Main Budget'!$E$28,0)</f>
        <v>0</v>
      </c>
      <c r="J55" s="227">
        <f>IF(DAY(A55)='Main Budget'!$J$29,'Main Budget'!$E$29,0)</f>
        <v>0</v>
      </c>
      <c r="K55" s="20">
        <f>IF(DAY(A55)='Main Budget'!$J$30,'Main Budget'!$E$30,0)</f>
        <v>0</v>
      </c>
      <c r="L55" s="20">
        <f>IF(DAY(A55)='Main Budget'!$J$31,'Main Budget'!$E$31,0)</f>
        <v>0</v>
      </c>
      <c r="M55" s="20">
        <f>IF(DAY(A55)='Main Budget'!$J$27,'Main Budget'!$E$27,0)</f>
        <v>0</v>
      </c>
      <c r="O55" s="228">
        <f>B55+(SUM(H55:M55)+(SUM(D55:E55)))</f>
        <v>100</v>
      </c>
      <c r="P55" s="228">
        <f>C55+F55+G55+N55</f>
        <v>100</v>
      </c>
      <c r="Q55" s="252">
        <f>O55+P55</f>
        <v>200</v>
      </c>
      <c r="S55" s="231" t="str">
        <f>TEXT(A55,"dddd")</f>
        <v>Monday</v>
      </c>
    </row>
    <row r="56" spans="1:19" x14ac:dyDescent="0.25">
      <c r="A56" s="226">
        <v>46077</v>
      </c>
      <c r="B56" s="227">
        <f>O55</f>
        <v>100</v>
      </c>
      <c r="C56" s="228">
        <f>P55</f>
        <v>100</v>
      </c>
      <c r="D56" s="228">
        <f>IF(OR(DAY(A56+2)=1,DAY(A56+2)=15),-SUM('Main Budget'!$H$26:$H$31),0)</f>
        <v>0</v>
      </c>
      <c r="E56" s="228">
        <f>IF(DAY(A56+2)=22,-SUM('Main Budget'!$F$26:$F$31),0)</f>
        <v>0</v>
      </c>
      <c r="F56" s="228">
        <f>IF(D56&gt;0,-'Main Budget'!$H$25+0.15,0)</f>
        <v>0</v>
      </c>
      <c r="G56" s="228">
        <f>IF(E56&gt;0,-'Main Budget'!$F$25+0.81,0)</f>
        <v>0</v>
      </c>
      <c r="H56" s="227">
        <f>IF(DAY(A56)='Main Budget'!$J$26,'Main Budget'!$E$26,0)</f>
        <v>0</v>
      </c>
      <c r="I56" s="227">
        <f>IF(DAY(A56)='Main Budget'!$J$28,'Main Budget'!$E$28,0)</f>
        <v>0</v>
      </c>
      <c r="J56" s="227">
        <f>IF(DAY(A56)='Main Budget'!$J$29,'Main Budget'!$E$29,0)</f>
        <v>0</v>
      </c>
      <c r="K56" s="20">
        <f>IF(DAY(A56)='Main Budget'!$J$30,'Main Budget'!$E$30,0)</f>
        <v>0</v>
      </c>
      <c r="L56" s="20">
        <f>IF(DAY(A56)='Main Budget'!$J$31,'Main Budget'!$E$31,0)</f>
        <v>0</v>
      </c>
      <c r="M56" s="20">
        <f>IF(DAY(A56)='Main Budget'!$J$27,'Main Budget'!$E$27,0)</f>
        <v>0</v>
      </c>
      <c r="O56" s="228">
        <f>B56+(SUM(H56:M56)+(SUM(D56:E56)))</f>
        <v>100</v>
      </c>
      <c r="P56" s="228">
        <f>C56+F56+G56+N56</f>
        <v>100</v>
      </c>
      <c r="Q56" s="252">
        <f>O56+P56</f>
        <v>200</v>
      </c>
      <c r="S56" s="231" t="str">
        <f>TEXT(A56,"dddd")</f>
        <v>Tuesday</v>
      </c>
    </row>
    <row r="57" spans="1:19" x14ac:dyDescent="0.25">
      <c r="A57" s="226">
        <v>46078</v>
      </c>
      <c r="B57" s="227">
        <f>O56</f>
        <v>100</v>
      </c>
      <c r="C57" s="228">
        <f>P56</f>
        <v>100</v>
      </c>
      <c r="D57" s="228">
        <f>IF(OR(DAY(A57+2)=1,DAY(A57+2)=15),-SUM('Main Budget'!$H$26:$H$31),0)</f>
        <v>0</v>
      </c>
      <c r="E57" s="228">
        <f>IF(DAY(A57+2)=22,-SUM('Main Budget'!$F$26:$F$31),0)</f>
        <v>0</v>
      </c>
      <c r="F57" s="228">
        <f>IF(D57&gt;0,-'Main Budget'!$H$25+0.15,0)</f>
        <v>0</v>
      </c>
      <c r="G57" s="228">
        <f>IF(E57&gt;0,-'Main Budget'!$F$25+0.81,0)</f>
        <v>0</v>
      </c>
      <c r="H57" s="227">
        <f>IF(DAY(A57)='Main Budget'!$J$26,'Main Budget'!$E$26,0)</f>
        <v>0</v>
      </c>
      <c r="I57" s="227">
        <f>IF(DAY(A57)='Main Budget'!$J$28,'Main Budget'!$E$28,0)</f>
        <v>0</v>
      </c>
      <c r="J57" s="227">
        <f>IF(DAY(A57)='Main Budget'!$J$29,'Main Budget'!$E$29,0)</f>
        <v>0</v>
      </c>
      <c r="K57" s="20">
        <f>IF(DAY(A57)='Main Budget'!$J$30,'Main Budget'!$E$30,0)</f>
        <v>0</v>
      </c>
      <c r="L57" s="20">
        <f>IF(DAY(A57)='Main Budget'!$J$31,'Main Budget'!$E$31,0)</f>
        <v>0</v>
      </c>
      <c r="M57" s="20">
        <f>IF(DAY(A57)='Main Budget'!$J$27,'Main Budget'!$E$27,0)</f>
        <v>0</v>
      </c>
      <c r="O57" s="228">
        <f>B57+(SUM(H57:M57)+(SUM(D57:E57)))</f>
        <v>100</v>
      </c>
      <c r="P57" s="228">
        <f>C57+F57+G57+N57</f>
        <v>100</v>
      </c>
      <c r="Q57" s="252">
        <f>O57+P57</f>
        <v>200</v>
      </c>
      <c r="S57" s="231" t="str">
        <f>TEXT(A57,"dddd")</f>
        <v>Wednesday</v>
      </c>
    </row>
    <row r="58" spans="1:19" x14ac:dyDescent="0.25">
      <c r="A58" s="226">
        <v>46079</v>
      </c>
      <c r="B58" s="227">
        <f>O57</f>
        <v>100</v>
      </c>
      <c r="C58" s="228">
        <f>P57</f>
        <v>100</v>
      </c>
      <c r="D58" s="228">
        <f>IF(OR(DAY(A58+2)=1,DAY(A58+2)=15),-SUM('Main Budget'!$H$26:$H$31),0)</f>
        <v>0</v>
      </c>
      <c r="E58" s="228">
        <f>IF(DAY(A58+2)=22,-SUM('Main Budget'!$F$26:$F$31),0)</f>
        <v>0</v>
      </c>
      <c r="F58" s="228">
        <f>IF(D58&gt;0,-'Main Budget'!$H$25+0.15,0)</f>
        <v>0</v>
      </c>
      <c r="G58" s="228">
        <f>IF(E58&gt;0,-'Main Budget'!$F$25+0.81,0)</f>
        <v>0</v>
      </c>
      <c r="H58" s="227">
        <f>IF(DAY(A58)='Main Budget'!$J$26,'Main Budget'!$E$26,0)</f>
        <v>0</v>
      </c>
      <c r="I58" s="227">
        <f>IF(DAY(A58)='Main Budget'!$J$28,'Main Budget'!$E$28,0)</f>
        <v>0</v>
      </c>
      <c r="J58" s="227">
        <f>IF(DAY(A58)='Main Budget'!$J$29,'Main Budget'!$E$29,0)</f>
        <v>0</v>
      </c>
      <c r="K58" s="20">
        <f>IF(DAY(A58)='Main Budget'!$J$30,'Main Budget'!$E$30,0)</f>
        <v>0</v>
      </c>
      <c r="L58" s="20">
        <f>IF(DAY(A58)='Main Budget'!$J$31,'Main Budget'!$E$31,0)</f>
        <v>0</v>
      </c>
      <c r="M58" s="20">
        <f>IF(DAY(A58)='Main Budget'!$J$27,'Main Budget'!$E$27,0)</f>
        <v>0</v>
      </c>
      <c r="O58" s="228">
        <f>B58+(SUM(H58:M58)+(SUM(D58:E58)))</f>
        <v>100</v>
      </c>
      <c r="P58" s="228">
        <f>C58+F58+G58+N58</f>
        <v>100</v>
      </c>
      <c r="Q58" s="252">
        <f>O58+P58</f>
        <v>200</v>
      </c>
      <c r="S58" s="231" t="str">
        <f>TEXT(A58,"dddd")</f>
        <v>Thursday</v>
      </c>
    </row>
    <row r="59" spans="1:19" x14ac:dyDescent="0.25">
      <c r="A59" s="226">
        <v>46080</v>
      </c>
      <c r="B59" s="227">
        <f>O58</f>
        <v>100</v>
      </c>
      <c r="C59" s="228">
        <f>P58</f>
        <v>100</v>
      </c>
      <c r="D59" s="228">
        <f>IF(OR(DAY(A59+2)=1,DAY(A59+2)=15),-SUM('Main Budget'!$H$26:$H$31),0)</f>
        <v>0</v>
      </c>
      <c r="E59" s="228">
        <f>IF(DAY(A59+2)=22,-SUM('Main Budget'!$F$26:$F$31),0)</f>
        <v>0</v>
      </c>
      <c r="F59" s="228">
        <f>IF(D59&gt;0,-'Main Budget'!$H$25+0.15,0)</f>
        <v>0</v>
      </c>
      <c r="G59" s="228">
        <f>IF(E59&gt;0,-'Main Budget'!$F$25+0.81,0)</f>
        <v>0</v>
      </c>
      <c r="H59" s="227">
        <f>IF(DAY(A59)='Main Budget'!$J$26,'Main Budget'!$E$26,0)</f>
        <v>0</v>
      </c>
      <c r="I59" s="227">
        <f>IF(DAY(A59)='Main Budget'!$J$28,'Main Budget'!$E$28,0)</f>
        <v>0</v>
      </c>
      <c r="J59" s="227">
        <f>IF(DAY(A59)='Main Budget'!$J$29,'Main Budget'!$E$29,0)</f>
        <v>0</v>
      </c>
      <c r="K59" s="20">
        <f>IF(DAY(A59)='Main Budget'!$J$30,'Main Budget'!$E$30,0)</f>
        <v>0</v>
      </c>
      <c r="L59" s="20">
        <f>IF(DAY(A59)='Main Budget'!$J$31,'Main Budget'!$E$31,0)</f>
        <v>0</v>
      </c>
      <c r="M59" s="20">
        <f>IF(DAY(A59)='Main Budget'!$J$27,'Main Budget'!$E$27,0)</f>
        <v>0</v>
      </c>
      <c r="O59" s="228">
        <f>B59+(SUM(H59:M59)+(SUM(D59:E59)))</f>
        <v>100</v>
      </c>
      <c r="P59" s="228">
        <f>C59+F59+G59+N59</f>
        <v>100</v>
      </c>
      <c r="Q59" s="252">
        <f>O59+P59</f>
        <v>200</v>
      </c>
      <c r="S59" s="231" t="str">
        <f>TEXT(A59,"dddd")</f>
        <v>Friday</v>
      </c>
    </row>
    <row r="60" spans="1:19" x14ac:dyDescent="0.25">
      <c r="A60" s="226">
        <v>46081</v>
      </c>
      <c r="B60" s="227">
        <f>O59</f>
        <v>100</v>
      </c>
      <c r="C60" s="228">
        <f>P59</f>
        <v>100</v>
      </c>
      <c r="D60" s="228">
        <f>IF(OR(DAY(A60+2)=1,DAY(A60+2)=15),-SUM('Main Budget'!$H$26:$H$31),0)</f>
        <v>0</v>
      </c>
      <c r="E60" s="228">
        <f>IF(DAY(A60+2)=22,-SUM('Main Budget'!$F$26:$F$31),0)</f>
        <v>0</v>
      </c>
      <c r="F60" s="228">
        <f>IF(D60&gt;0,-'Main Budget'!$H$25+0.15,0)</f>
        <v>0</v>
      </c>
      <c r="G60" s="228">
        <f>IF(E60&gt;0,-'Main Budget'!$F$25+0.81,0)</f>
        <v>0</v>
      </c>
      <c r="H60" s="227">
        <f>IF(DAY(A60)='Main Budget'!$J$26,'Main Budget'!$E$26,0)</f>
        <v>0</v>
      </c>
      <c r="I60" s="227">
        <f>IF(DAY(A60)='Main Budget'!$J$28,'Main Budget'!$E$28,0)</f>
        <v>0</v>
      </c>
      <c r="J60" s="227">
        <f>IF(DAY(A60)='Main Budget'!$J$29,'Main Budget'!$E$29,0)</f>
        <v>0</v>
      </c>
      <c r="K60" s="20">
        <f>IF(DAY(A60)='Main Budget'!$J$30,'Main Budget'!$E$30,0)</f>
        <v>0</v>
      </c>
      <c r="L60" s="20">
        <f>IF(DAY(A60)='Main Budget'!$J$31,'Main Budget'!$E$31,0)</f>
        <v>0</v>
      </c>
      <c r="M60" s="20">
        <f>IF(DAY(A60)='Main Budget'!$J$27,'Main Budget'!$E$27,0)</f>
        <v>0</v>
      </c>
      <c r="O60" s="228">
        <f>B60+(SUM(H60:M60)+(SUM(D60:E60)))</f>
        <v>100</v>
      </c>
      <c r="P60" s="228">
        <f>C60+F60+G60+N60</f>
        <v>100</v>
      </c>
      <c r="Q60" s="252">
        <f>O60+P60</f>
        <v>200</v>
      </c>
      <c r="S60" s="231" t="str">
        <f>TEXT(A60,"dddd")</f>
        <v>Saturday</v>
      </c>
    </row>
    <row r="61" spans="1:19" x14ac:dyDescent="0.25">
      <c r="A61" s="226">
        <v>46082</v>
      </c>
      <c r="B61" s="227">
        <f>O60</f>
        <v>100</v>
      </c>
      <c r="C61" s="228">
        <f>P60</f>
        <v>100</v>
      </c>
      <c r="D61" s="228">
        <f>IF(OR(DAY(A61+2)=1,DAY(A61+2)=15),-SUM('Main Budget'!$H$26:$H$31),0)</f>
        <v>0</v>
      </c>
      <c r="E61" s="228">
        <f>IF(DAY(A61+2)=22,-SUM('Main Budget'!$F$26:$F$31),0)</f>
        <v>0</v>
      </c>
      <c r="F61" s="228">
        <f>IF(D61&gt;0,-'Main Budget'!$H$25+0.15,0)</f>
        <v>0</v>
      </c>
      <c r="G61" s="228">
        <f>IF(E61&gt;0,-'Main Budget'!$F$25+0.81,0)</f>
        <v>0</v>
      </c>
      <c r="H61" s="227">
        <f>IF(DAY(A61)='Main Budget'!$J$26,'Main Budget'!$E$26,0)</f>
        <v>0</v>
      </c>
      <c r="I61" s="227">
        <f>IF(DAY(A61)='Main Budget'!$J$28,'Main Budget'!$E$28,0)</f>
        <v>0</v>
      </c>
      <c r="J61" s="227">
        <f>IF(DAY(A61)='Main Budget'!$J$29,'Main Budget'!$E$29,0)</f>
        <v>0</v>
      </c>
      <c r="K61" s="20">
        <f>IF(DAY(A61)='Main Budget'!$J$30,'Main Budget'!$E$30,0)</f>
        <v>0</v>
      </c>
      <c r="L61" s="20">
        <f>IF(DAY(A61)='Main Budget'!$J$31,'Main Budget'!$E$31,0)</f>
        <v>0</v>
      </c>
      <c r="M61" s="20">
        <f>IF(DAY(A61)='Main Budget'!$J$27,'Main Budget'!$E$27,0)</f>
        <v>0</v>
      </c>
      <c r="O61" s="228">
        <f>B61+(SUM(H61:M61)+(SUM(D61:E61)))</f>
        <v>100</v>
      </c>
      <c r="P61" s="228">
        <f>C61+F61+G61+N61</f>
        <v>100</v>
      </c>
      <c r="Q61" s="252">
        <f>O61+P61</f>
        <v>200</v>
      </c>
      <c r="S61" s="231" t="str">
        <f>TEXT(A61,"dddd")</f>
        <v>Sunday</v>
      </c>
    </row>
    <row r="62" spans="1:19" x14ac:dyDescent="0.25">
      <c r="A62" s="226">
        <v>46083</v>
      </c>
      <c r="B62" s="227">
        <f>O61</f>
        <v>100</v>
      </c>
      <c r="C62" s="228">
        <f>P61</f>
        <v>100</v>
      </c>
      <c r="D62" s="228">
        <f>IF(OR(DAY(A62+2)=1,DAY(A62+2)=15),-SUM('Main Budget'!$H$26:$H$31),0)</f>
        <v>0</v>
      </c>
      <c r="E62" s="228">
        <f>IF(DAY(A62+2)=22,-SUM('Main Budget'!$F$26:$F$31),0)</f>
        <v>0</v>
      </c>
      <c r="F62" s="228">
        <f>IF(D62&gt;0,-'Main Budget'!$H$25+0.15,0)</f>
        <v>0</v>
      </c>
      <c r="G62" s="228">
        <f>IF(E62&gt;0,-'Main Budget'!$F$25+0.81,0)</f>
        <v>0</v>
      </c>
      <c r="H62" s="227">
        <f>IF(DAY(A62)='Main Budget'!$J$26,'Main Budget'!$E$26,0)</f>
        <v>0</v>
      </c>
      <c r="I62" s="227">
        <f>IF(DAY(A62)='Main Budget'!$J$28,'Main Budget'!$E$28,0)</f>
        <v>0</v>
      </c>
      <c r="J62" s="227">
        <f>IF(DAY(A62)='Main Budget'!$J$29,'Main Budget'!$E$29,0)</f>
        <v>0</v>
      </c>
      <c r="K62" s="20">
        <f>IF(DAY(A62)='Main Budget'!$J$30,'Main Budget'!$E$30,0)</f>
        <v>0</v>
      </c>
      <c r="L62" s="20">
        <f>IF(DAY(A62)='Main Budget'!$J$31,'Main Budget'!$E$31,0)</f>
        <v>0</v>
      </c>
      <c r="M62" s="20">
        <f>IF(DAY(A62)='Main Budget'!$J$27,'Main Budget'!$E$27,0)</f>
        <v>0</v>
      </c>
      <c r="O62" s="228">
        <f>B62+(SUM(H62:M62)+(SUM(D62:E62)))</f>
        <v>100</v>
      </c>
      <c r="P62" s="228">
        <f>C62+F62+G62+N62</f>
        <v>100</v>
      </c>
      <c r="Q62" s="252">
        <f>O62+P62</f>
        <v>200</v>
      </c>
      <c r="S62" s="231" t="str">
        <f>TEXT(A62,"dddd")</f>
        <v>Monday</v>
      </c>
    </row>
    <row r="63" spans="1:19" x14ac:dyDescent="0.25">
      <c r="A63" s="226">
        <v>46084</v>
      </c>
      <c r="B63" s="227">
        <f>O62</f>
        <v>100</v>
      </c>
      <c r="C63" s="228">
        <f>P62</f>
        <v>100</v>
      </c>
      <c r="D63" s="228">
        <f>IF(OR(DAY(A63+2)=1,DAY(A63+2)=15),-SUM('Main Budget'!$H$26:$H$31),0)</f>
        <v>0</v>
      </c>
      <c r="E63" s="228">
        <f>IF(DAY(A63+2)=22,-SUM('Main Budget'!$F$26:$F$31),0)</f>
        <v>0</v>
      </c>
      <c r="F63" s="228">
        <f>IF(D63&gt;0,-'Main Budget'!$H$25+0.15,0)</f>
        <v>0</v>
      </c>
      <c r="G63" s="228">
        <f>IF(E63&gt;0,-'Main Budget'!$F$25+0.81,0)</f>
        <v>0</v>
      </c>
      <c r="H63" s="227">
        <f>IF(DAY(A63)='Main Budget'!$J$26,'Main Budget'!$E$26,0)</f>
        <v>0</v>
      </c>
      <c r="I63" s="227">
        <f>IF(DAY(A63)='Main Budget'!$J$28,'Main Budget'!$E$28,0)</f>
        <v>0</v>
      </c>
      <c r="J63" s="227">
        <f>IF(DAY(A63)='Main Budget'!$J$29,'Main Budget'!$E$29,0)</f>
        <v>0</v>
      </c>
      <c r="K63" s="20">
        <f>IF(DAY(A63)='Main Budget'!$J$30,'Main Budget'!$E$30,0)</f>
        <v>0</v>
      </c>
      <c r="L63" s="20">
        <f>IF(DAY(A63)='Main Budget'!$J$31,'Main Budget'!$E$31,0)</f>
        <v>0</v>
      </c>
      <c r="M63" s="20">
        <f>IF(DAY(A63)='Main Budget'!$J$27,'Main Budget'!$E$27,0)</f>
        <v>0</v>
      </c>
      <c r="O63" s="228">
        <f>B63+(SUM(H63:M63)+(SUM(D63:E63)))</f>
        <v>100</v>
      </c>
      <c r="P63" s="228">
        <f>C63+F63+G63+N63</f>
        <v>100</v>
      </c>
      <c r="Q63" s="252">
        <f>O63+P63</f>
        <v>200</v>
      </c>
      <c r="S63" s="231" t="str">
        <f>TEXT(A63,"dddd")</f>
        <v>Tuesday</v>
      </c>
    </row>
    <row r="64" spans="1:19" x14ac:dyDescent="0.25">
      <c r="A64" s="226">
        <v>46085</v>
      </c>
      <c r="B64" s="227">
        <f>O63</f>
        <v>100</v>
      </c>
      <c r="C64" s="228">
        <f>P63</f>
        <v>100</v>
      </c>
      <c r="D64" s="228">
        <f>IF(OR(DAY(A64+2)=1,DAY(A64+2)=15),-SUM('Main Budget'!$H$26:$H$31),0)</f>
        <v>0</v>
      </c>
      <c r="E64" s="228">
        <f>IF(DAY(A64+2)=22,-SUM('Main Budget'!$F$26:$F$31),0)</f>
        <v>0</v>
      </c>
      <c r="F64" s="228">
        <f>IF(D64&gt;0,-'Main Budget'!$H$25+0.15,0)</f>
        <v>0</v>
      </c>
      <c r="G64" s="228">
        <f>IF(E64&gt;0,-'Main Budget'!$F$25+0.81,0)</f>
        <v>0</v>
      </c>
      <c r="H64" s="227">
        <f>IF(DAY(A64)='Main Budget'!$J$26,'Main Budget'!$E$26,0)</f>
        <v>0</v>
      </c>
      <c r="I64" s="227">
        <f>IF(DAY(A64)='Main Budget'!$J$28,'Main Budget'!$E$28,0)</f>
        <v>0</v>
      </c>
      <c r="J64" s="227">
        <f>IF(DAY(A64)='Main Budget'!$J$29,'Main Budget'!$E$29,0)</f>
        <v>0</v>
      </c>
      <c r="K64" s="20">
        <f>IF(DAY(A64)='Main Budget'!$J$30,'Main Budget'!$E$30,0)</f>
        <v>0</v>
      </c>
      <c r="L64" s="20">
        <f>IF(DAY(A64)='Main Budget'!$J$31,'Main Budget'!$E$31,0)</f>
        <v>0</v>
      </c>
      <c r="M64" s="20">
        <f>IF(DAY(A64)='Main Budget'!$J$27,'Main Budget'!$E$27,0)</f>
        <v>0</v>
      </c>
      <c r="O64" s="228">
        <f>B64+(SUM(H64:M64)+(SUM(D64:E64)))</f>
        <v>100</v>
      </c>
      <c r="P64" s="228">
        <f>C64+F64+G64+N64</f>
        <v>100</v>
      </c>
      <c r="Q64" s="252">
        <f>O64+P64</f>
        <v>200</v>
      </c>
      <c r="S64" s="231" t="str">
        <f>TEXT(A64,"dddd")</f>
        <v>Wednesday</v>
      </c>
    </row>
    <row r="65" spans="1:19" x14ac:dyDescent="0.25">
      <c r="A65" s="226">
        <v>46086</v>
      </c>
      <c r="B65" s="227">
        <f>O64</f>
        <v>100</v>
      </c>
      <c r="C65" s="228">
        <f>P64</f>
        <v>100</v>
      </c>
      <c r="D65" s="228">
        <f>IF(OR(DAY(A65+2)=1,DAY(A65+2)=15),-SUM('Main Budget'!$H$26:$H$31),0)</f>
        <v>0</v>
      </c>
      <c r="E65" s="228">
        <f>IF(DAY(A65+2)=22,-SUM('Main Budget'!$F$26:$F$31),0)</f>
        <v>0</v>
      </c>
      <c r="F65" s="228">
        <f>IF(D65&gt;0,-'Main Budget'!$H$25+0.15,0)</f>
        <v>0</v>
      </c>
      <c r="G65" s="228">
        <f>IF(E65&gt;0,-'Main Budget'!$F$25+0.81,0)</f>
        <v>0</v>
      </c>
      <c r="H65" s="227">
        <f>IF(DAY(A65)='Main Budget'!$J$26,'Main Budget'!$E$26,0)</f>
        <v>0</v>
      </c>
      <c r="I65" s="227">
        <f>IF(DAY(A65)='Main Budget'!$J$28,'Main Budget'!$E$28,0)</f>
        <v>0</v>
      </c>
      <c r="J65" s="227">
        <f>IF(DAY(A65)='Main Budget'!$J$29,'Main Budget'!$E$29,0)</f>
        <v>0</v>
      </c>
      <c r="K65" s="20">
        <f>IF(DAY(A65)='Main Budget'!$J$30,'Main Budget'!$E$30,0)</f>
        <v>0</v>
      </c>
      <c r="L65" s="20">
        <f>IF(DAY(A65)='Main Budget'!$J$31,'Main Budget'!$E$31,0)</f>
        <v>0</v>
      </c>
      <c r="M65" s="20">
        <f>IF(DAY(A65)='Main Budget'!$J$27,'Main Budget'!$E$27,0)</f>
        <v>0</v>
      </c>
      <c r="O65" s="228">
        <f>B65+(SUM(H65:M65)+(SUM(D65:E65)))</f>
        <v>100</v>
      </c>
      <c r="P65" s="228">
        <f>C65+F65+G65+N65</f>
        <v>100</v>
      </c>
      <c r="Q65" s="252">
        <f>O65+P65</f>
        <v>200</v>
      </c>
      <c r="S65" s="231" t="str">
        <f>TEXT(A65,"dddd")</f>
        <v>Thursday</v>
      </c>
    </row>
    <row r="66" spans="1:19" x14ac:dyDescent="0.25">
      <c r="A66" s="226">
        <v>46087</v>
      </c>
      <c r="B66" s="227">
        <f>O65</f>
        <v>100</v>
      </c>
      <c r="C66" s="228">
        <f>P65</f>
        <v>100</v>
      </c>
      <c r="D66" s="228">
        <f>IF(OR(DAY(A66+2)=1,DAY(A66+2)=15),-SUM('Main Budget'!$H$26:$H$31),0)</f>
        <v>0</v>
      </c>
      <c r="E66" s="228">
        <f>IF(DAY(A66+2)=22,-SUM('Main Budget'!$F$26:$F$31),0)</f>
        <v>0</v>
      </c>
      <c r="F66" s="228">
        <f>IF(D66&gt;0,-'Main Budget'!$H$25+0.15,0)</f>
        <v>0</v>
      </c>
      <c r="G66" s="228">
        <f>IF(E66&gt;0,-'Main Budget'!$F$25+0.81,0)</f>
        <v>0</v>
      </c>
      <c r="H66" s="227">
        <f>IF(DAY(A66)='Main Budget'!$J$26,'Main Budget'!$E$26,0)</f>
        <v>0</v>
      </c>
      <c r="I66" s="227">
        <f>IF(DAY(A66)='Main Budget'!$J$28,'Main Budget'!$E$28,0)</f>
        <v>0</v>
      </c>
      <c r="J66" s="227">
        <f>IF(DAY(A66)='Main Budget'!$J$29,'Main Budget'!$E$29,0)</f>
        <v>0</v>
      </c>
      <c r="K66" s="20">
        <f>IF(DAY(A66)='Main Budget'!$J$30,'Main Budget'!$E$30,0)</f>
        <v>0</v>
      </c>
      <c r="L66" s="20">
        <f>IF(DAY(A66)='Main Budget'!$J$31,'Main Budget'!$E$31,0)</f>
        <v>0</v>
      </c>
      <c r="M66" s="20">
        <f>IF(DAY(A66)='Main Budget'!$J$27,'Main Budget'!$E$27,0)</f>
        <v>0</v>
      </c>
      <c r="O66" s="228">
        <f>B66+(SUM(H66:M66)+(SUM(D66:E66)))</f>
        <v>100</v>
      </c>
      <c r="P66" s="228">
        <f>C66+F66+G66+N66</f>
        <v>100</v>
      </c>
      <c r="Q66" s="252">
        <f>O66+P66</f>
        <v>200</v>
      </c>
      <c r="S66" s="231" t="str">
        <f>TEXT(A66,"dddd")</f>
        <v>Friday</v>
      </c>
    </row>
    <row r="67" spans="1:19" x14ac:dyDescent="0.25">
      <c r="A67" s="226">
        <v>46088</v>
      </c>
      <c r="B67" s="227">
        <f>O66</f>
        <v>100</v>
      </c>
      <c r="C67" s="228">
        <f>P66</f>
        <v>100</v>
      </c>
      <c r="D67" s="228">
        <f>IF(OR(DAY(A67+2)=1,DAY(A67+2)=15),-SUM('Main Budget'!$H$26:$H$31),0)</f>
        <v>0</v>
      </c>
      <c r="E67" s="228">
        <f>IF(DAY(A67+2)=22,-SUM('Main Budget'!$F$26:$F$31),0)</f>
        <v>0</v>
      </c>
      <c r="F67" s="228">
        <f>IF(D67&gt;0,-'Main Budget'!$H$25+0.15,0)</f>
        <v>0</v>
      </c>
      <c r="G67" s="228">
        <f>IF(E67&gt;0,-'Main Budget'!$F$25+0.81,0)</f>
        <v>0</v>
      </c>
      <c r="H67" s="227">
        <f>IF(DAY(A67)='Main Budget'!$J$26,'Main Budget'!$E$26,0)</f>
        <v>0</v>
      </c>
      <c r="I67" s="227">
        <f>IF(DAY(A67)='Main Budget'!$J$28,'Main Budget'!$E$28,0)</f>
        <v>0</v>
      </c>
      <c r="J67" s="227">
        <f>IF(DAY(A67)='Main Budget'!$J$29,'Main Budget'!$E$29,0)</f>
        <v>0</v>
      </c>
      <c r="K67" s="20">
        <f>IF(DAY(A67)='Main Budget'!$J$30,'Main Budget'!$E$30,0)</f>
        <v>0</v>
      </c>
      <c r="L67" s="20">
        <f>IF(DAY(A67)='Main Budget'!$J$31,'Main Budget'!$E$31,0)</f>
        <v>0</v>
      </c>
      <c r="M67" s="20">
        <f>IF(DAY(A67)='Main Budget'!$J$27,'Main Budget'!$E$27,0)</f>
        <v>0</v>
      </c>
      <c r="O67" s="228">
        <f>B67+(SUM(H67:M67)+(SUM(D67:E67)))</f>
        <v>100</v>
      </c>
      <c r="P67" s="228">
        <f>C67+F67+G67+N67</f>
        <v>100</v>
      </c>
      <c r="Q67" s="252">
        <f>O67+P67</f>
        <v>200</v>
      </c>
      <c r="S67" s="231" t="str">
        <f>TEXT(A67,"dddd")</f>
        <v>Saturday</v>
      </c>
    </row>
    <row r="68" spans="1:19" x14ac:dyDescent="0.25">
      <c r="A68" s="226">
        <v>46089</v>
      </c>
      <c r="B68" s="227">
        <f>O67</f>
        <v>100</v>
      </c>
      <c r="C68" s="228">
        <f>P67</f>
        <v>100</v>
      </c>
      <c r="D68" s="228">
        <f>IF(OR(DAY(A68+2)=1,DAY(A68+2)=15),-SUM('Main Budget'!$H$26:$H$31),0)</f>
        <v>0</v>
      </c>
      <c r="E68" s="228">
        <f>IF(DAY(A68+2)=22,-SUM('Main Budget'!$F$26:$F$31),0)</f>
        <v>0</v>
      </c>
      <c r="F68" s="228">
        <f>IF(D68&gt;0,-'Main Budget'!$H$25+0.15,0)</f>
        <v>0</v>
      </c>
      <c r="G68" s="228">
        <f>IF(E68&gt;0,-'Main Budget'!$F$25+0.81,0)</f>
        <v>0</v>
      </c>
      <c r="H68" s="227">
        <f>IF(DAY(A68)='Main Budget'!$J$26,'Main Budget'!$E$26,0)</f>
        <v>0</v>
      </c>
      <c r="I68" s="227">
        <f>IF(DAY(A68)='Main Budget'!$J$28,'Main Budget'!$E$28,0)</f>
        <v>0</v>
      </c>
      <c r="J68" s="227">
        <f>IF(DAY(A68)='Main Budget'!$J$29,'Main Budget'!$E$29,0)</f>
        <v>0</v>
      </c>
      <c r="K68" s="20">
        <f>IF(DAY(A68)='Main Budget'!$J$30,'Main Budget'!$E$30,0)</f>
        <v>0</v>
      </c>
      <c r="L68" s="20">
        <f>IF(DAY(A68)='Main Budget'!$J$31,'Main Budget'!$E$31,0)</f>
        <v>0</v>
      </c>
      <c r="M68" s="20">
        <f>IF(DAY(A68)='Main Budget'!$J$27,'Main Budget'!$E$27,0)</f>
        <v>0</v>
      </c>
      <c r="O68" s="228">
        <f>B68+(SUM(H68:M68)+(SUM(D68:E68)))</f>
        <v>100</v>
      </c>
      <c r="P68" s="228">
        <f>C68+F68+G68+N68</f>
        <v>100</v>
      </c>
      <c r="Q68" s="252">
        <f>O68+P68</f>
        <v>200</v>
      </c>
      <c r="S68" s="231" t="str">
        <f>TEXT(A68,"dddd")</f>
        <v>Sunday</v>
      </c>
    </row>
    <row r="69" spans="1:19" x14ac:dyDescent="0.25">
      <c r="A69" s="226">
        <v>46090</v>
      </c>
      <c r="B69" s="227">
        <f>O68</f>
        <v>100</v>
      </c>
      <c r="C69" s="228">
        <f>P68</f>
        <v>100</v>
      </c>
      <c r="D69" s="228">
        <f>IF(OR(DAY(A69+2)=1,DAY(A69+2)=15),-SUM('Main Budget'!$H$26:$H$31),0)</f>
        <v>0</v>
      </c>
      <c r="E69" s="228">
        <f>IF(DAY(A69+2)=22,-SUM('Main Budget'!$F$26:$F$31),0)</f>
        <v>0</v>
      </c>
      <c r="F69" s="228">
        <f>IF(D69&gt;0,-'Main Budget'!$H$25+0.15,0)</f>
        <v>0</v>
      </c>
      <c r="G69" s="228">
        <f>IF(E69&gt;0,-'Main Budget'!$F$25+0.81,0)</f>
        <v>0</v>
      </c>
      <c r="H69" s="227">
        <f>IF(DAY(A69)='Main Budget'!$J$26,'Main Budget'!$E$26,0)</f>
        <v>0</v>
      </c>
      <c r="I69" s="227">
        <f>IF(DAY(A69)='Main Budget'!$J$28,'Main Budget'!$E$28,0)</f>
        <v>0</v>
      </c>
      <c r="J69" s="227">
        <f>IF(DAY(A69)='Main Budget'!$J$29,'Main Budget'!$E$29,0)</f>
        <v>0</v>
      </c>
      <c r="K69" s="20">
        <f>IF(DAY(A69)='Main Budget'!$J$30,'Main Budget'!$E$30,0)</f>
        <v>0</v>
      </c>
      <c r="L69" s="20">
        <f>IF(DAY(A69)='Main Budget'!$J$31,'Main Budget'!$E$31,0)</f>
        <v>0</v>
      </c>
      <c r="M69" s="20">
        <f>IF(DAY(A69)='Main Budget'!$J$27,'Main Budget'!$E$27,0)</f>
        <v>0</v>
      </c>
      <c r="O69" s="228">
        <f>B69+(SUM(H69:M69)+(SUM(D69:E69)))</f>
        <v>100</v>
      </c>
      <c r="P69" s="228">
        <f>C69+F69+G69+N69</f>
        <v>100</v>
      </c>
      <c r="Q69" s="252">
        <f>O69+P69</f>
        <v>200</v>
      </c>
      <c r="S69" s="231" t="str">
        <f>TEXT(A69,"dddd")</f>
        <v>Monday</v>
      </c>
    </row>
    <row r="70" spans="1:19" x14ac:dyDescent="0.25">
      <c r="A70" s="226">
        <v>46091</v>
      </c>
      <c r="B70" s="227">
        <f>O69</f>
        <v>100</v>
      </c>
      <c r="C70" s="228">
        <f>P69</f>
        <v>100</v>
      </c>
      <c r="D70" s="228">
        <f>IF(OR(DAY(A70+2)=1,DAY(A70+2)=15),-SUM('Main Budget'!$H$26:$H$31),0)</f>
        <v>0</v>
      </c>
      <c r="E70" s="228">
        <f>IF(DAY(A70+2)=22,-SUM('Main Budget'!$F$26:$F$31),0)</f>
        <v>0</v>
      </c>
      <c r="F70" s="228">
        <f>IF(D70&gt;0,-'Main Budget'!$H$25+0.15,0)</f>
        <v>0</v>
      </c>
      <c r="G70" s="228">
        <f>IF(E70&gt;0,-'Main Budget'!$F$25+0.81,0)</f>
        <v>0</v>
      </c>
      <c r="H70" s="227">
        <f>IF(DAY(A70)='Main Budget'!$J$26,'Main Budget'!$E$26,0)</f>
        <v>0</v>
      </c>
      <c r="I70" s="227">
        <f>IF(DAY(A70)='Main Budget'!$J$28,'Main Budget'!$E$28,0)</f>
        <v>0</v>
      </c>
      <c r="J70" s="227">
        <f>IF(DAY(A70)='Main Budget'!$J$29,'Main Budget'!$E$29,0)</f>
        <v>0</v>
      </c>
      <c r="K70" s="20">
        <f>IF(DAY(A70)='Main Budget'!$J$30,'Main Budget'!$E$30,0)</f>
        <v>0</v>
      </c>
      <c r="L70" s="20">
        <f>IF(DAY(A70)='Main Budget'!$J$31,'Main Budget'!$E$31,0)</f>
        <v>0</v>
      </c>
      <c r="M70" s="20">
        <f>IF(DAY(A70)='Main Budget'!$J$27,'Main Budget'!$E$27,0)</f>
        <v>0</v>
      </c>
      <c r="O70" s="228">
        <f>B70+(SUM(H70:M70)+(SUM(D70:E70)))</f>
        <v>100</v>
      </c>
      <c r="P70" s="228">
        <f>C70+F70+G70+N70</f>
        <v>100</v>
      </c>
      <c r="Q70" s="252">
        <f>O70+P70</f>
        <v>200</v>
      </c>
      <c r="S70" s="231" t="str">
        <f>TEXT(A70,"dddd")</f>
        <v>Tuesday</v>
      </c>
    </row>
    <row r="71" spans="1:19" x14ac:dyDescent="0.25">
      <c r="A71" s="226">
        <v>46092</v>
      </c>
      <c r="B71" s="227">
        <f>O70</f>
        <v>100</v>
      </c>
      <c r="C71" s="228">
        <f>P70</f>
        <v>100</v>
      </c>
      <c r="D71" s="228">
        <f>IF(OR(DAY(A71+2)=1,DAY(A71+2)=15),-SUM('Main Budget'!$H$26:$H$31),0)</f>
        <v>0</v>
      </c>
      <c r="E71" s="228">
        <f>IF(DAY(A71+2)=22,-SUM('Main Budget'!$F$26:$F$31),0)</f>
        <v>0</v>
      </c>
      <c r="F71" s="228">
        <f>IF(D71&gt;0,-'Main Budget'!$H$25+0.15,0)</f>
        <v>0</v>
      </c>
      <c r="G71" s="228">
        <f>IF(E71&gt;0,-'Main Budget'!$F$25+0.81,0)</f>
        <v>0</v>
      </c>
      <c r="H71" s="227">
        <f>IF(DAY(A71)='Main Budget'!$J$26,'Main Budget'!$E$26,0)</f>
        <v>0</v>
      </c>
      <c r="I71" s="227">
        <f>IF(DAY(A71)='Main Budget'!$J$28,'Main Budget'!$E$28,0)</f>
        <v>0</v>
      </c>
      <c r="J71" s="227">
        <f>IF(DAY(A71)='Main Budget'!$J$29,'Main Budget'!$E$29,0)</f>
        <v>0</v>
      </c>
      <c r="K71" s="20">
        <f>IF(DAY(A71)='Main Budget'!$J$30,'Main Budget'!$E$30,0)</f>
        <v>0</v>
      </c>
      <c r="L71" s="20">
        <f>IF(DAY(A71)='Main Budget'!$J$31,'Main Budget'!$E$31,0)</f>
        <v>0</v>
      </c>
      <c r="M71" s="20">
        <f>IF(DAY(A71)='Main Budget'!$J$27,'Main Budget'!$E$27,0)</f>
        <v>0</v>
      </c>
      <c r="O71" s="228">
        <f>B71+(SUM(H71:M71)+(SUM(D71:E71)))</f>
        <v>100</v>
      </c>
      <c r="P71" s="228">
        <f>C71+F71+G71+N71</f>
        <v>100</v>
      </c>
      <c r="Q71" s="252">
        <f>O71+P71</f>
        <v>200</v>
      </c>
      <c r="S71" s="231" t="str">
        <f>TEXT(A71,"dddd")</f>
        <v>Wednesday</v>
      </c>
    </row>
    <row r="72" spans="1:19" x14ac:dyDescent="0.25">
      <c r="A72" s="226">
        <v>46093</v>
      </c>
      <c r="B72" s="227">
        <f>O71</f>
        <v>100</v>
      </c>
      <c r="C72" s="228">
        <f>P71</f>
        <v>100</v>
      </c>
      <c r="D72" s="228">
        <f>IF(OR(DAY(A72+2)=1,DAY(A72+2)=15),-SUM('Main Budget'!$H$26:$H$31),0)</f>
        <v>0</v>
      </c>
      <c r="E72" s="228">
        <f>IF(DAY(A72+2)=22,-SUM('Main Budget'!$F$26:$F$31),0)</f>
        <v>0</v>
      </c>
      <c r="F72" s="228">
        <f>IF(D72&gt;0,-'Main Budget'!$H$25+0.15,0)</f>
        <v>0</v>
      </c>
      <c r="G72" s="228">
        <f>IF(E72&gt;0,-'Main Budget'!$F$25+0.81,0)</f>
        <v>0</v>
      </c>
      <c r="H72" s="227">
        <f>IF(DAY(A72)='Main Budget'!$J$26,'Main Budget'!$E$26,0)</f>
        <v>0</v>
      </c>
      <c r="I72" s="227">
        <f>IF(DAY(A72)='Main Budget'!$J$28,'Main Budget'!$E$28,0)</f>
        <v>0</v>
      </c>
      <c r="J72" s="227">
        <f>IF(DAY(A72)='Main Budget'!$J$29,'Main Budget'!$E$29,0)</f>
        <v>0</v>
      </c>
      <c r="K72" s="20">
        <f>IF(DAY(A72)='Main Budget'!$J$30,'Main Budget'!$E$30,0)</f>
        <v>0</v>
      </c>
      <c r="L72" s="20">
        <f>IF(DAY(A72)='Main Budget'!$J$31,'Main Budget'!$E$31,0)</f>
        <v>0</v>
      </c>
      <c r="M72" s="20">
        <f>IF(DAY(A72)='Main Budget'!$J$27,'Main Budget'!$E$27,0)</f>
        <v>0</v>
      </c>
      <c r="O72" s="228">
        <f>B72+(SUM(H72:M72)+(SUM(D72:E72)))</f>
        <v>100</v>
      </c>
      <c r="P72" s="228">
        <f>C72+F72+G72+N72</f>
        <v>100</v>
      </c>
      <c r="Q72" s="252">
        <f>O72+P72</f>
        <v>200</v>
      </c>
      <c r="S72" s="231" t="str">
        <f>TEXT(A72,"dddd")</f>
        <v>Thursday</v>
      </c>
    </row>
    <row r="73" spans="1:19" x14ac:dyDescent="0.25">
      <c r="A73" s="226">
        <v>46094</v>
      </c>
      <c r="B73" s="227">
        <f>O72</f>
        <v>100</v>
      </c>
      <c r="C73" s="228">
        <f>P72</f>
        <v>100</v>
      </c>
      <c r="D73" s="228">
        <f>IF(OR(DAY(A73+2)=1,DAY(A73+2)=15),-SUM('Main Budget'!$H$26:$H$31),0)</f>
        <v>0</v>
      </c>
      <c r="E73" s="228">
        <f>IF(DAY(A73+2)=22,-SUM('Main Budget'!$F$26:$F$31),0)</f>
        <v>0</v>
      </c>
      <c r="F73" s="228">
        <f>IF(D73&gt;0,-'Main Budget'!$H$25+0.15,0)</f>
        <v>0</v>
      </c>
      <c r="G73" s="228">
        <f>IF(E73&gt;0,-'Main Budget'!$F$25+0.81,0)</f>
        <v>0</v>
      </c>
      <c r="H73" s="227">
        <f>IF(DAY(A73)='Main Budget'!$J$26,'Main Budget'!$E$26,0)</f>
        <v>0</v>
      </c>
      <c r="I73" s="227">
        <f>IF(DAY(A73)='Main Budget'!$J$28,'Main Budget'!$E$28,0)</f>
        <v>0</v>
      </c>
      <c r="J73" s="227">
        <f>IF(DAY(A73)='Main Budget'!$J$29,'Main Budget'!$E$29,0)</f>
        <v>0</v>
      </c>
      <c r="K73" s="20">
        <f>IF(DAY(A73)='Main Budget'!$J$30,'Main Budget'!$E$30,0)</f>
        <v>0</v>
      </c>
      <c r="L73" s="20">
        <f>IF(DAY(A73)='Main Budget'!$J$31,'Main Budget'!$E$31,0)</f>
        <v>0</v>
      </c>
      <c r="M73" s="20">
        <f>IF(DAY(A73)='Main Budget'!$J$27,'Main Budget'!$E$27,0)</f>
        <v>0</v>
      </c>
      <c r="O73" s="228">
        <f>B73+(SUM(H73:M73)+(SUM(D73:E73)))</f>
        <v>100</v>
      </c>
      <c r="P73" s="228">
        <f>C73+F73+G73+N73</f>
        <v>100</v>
      </c>
      <c r="Q73" s="252">
        <f>O73+P73</f>
        <v>200</v>
      </c>
      <c r="S73" s="231" t="str">
        <f>TEXT(A73,"dddd")</f>
        <v>Friday</v>
      </c>
    </row>
    <row r="74" spans="1:19" x14ac:dyDescent="0.25">
      <c r="A74" s="226">
        <v>46095</v>
      </c>
      <c r="B74" s="227">
        <f>O73</f>
        <v>100</v>
      </c>
      <c r="C74" s="228">
        <f>P73</f>
        <v>100</v>
      </c>
      <c r="D74" s="228">
        <f>IF(OR(DAY(A74+2)=1,DAY(A74+2)=15),-SUM('Main Budget'!$H$26:$H$31),0)</f>
        <v>0</v>
      </c>
      <c r="E74" s="228">
        <f>IF(DAY(A74+2)=22,-SUM('Main Budget'!$F$26:$F$31),0)</f>
        <v>0</v>
      </c>
      <c r="F74" s="228">
        <f>IF(D74&gt;0,-'Main Budget'!$H$25+0.15,0)</f>
        <v>0</v>
      </c>
      <c r="G74" s="228">
        <f>IF(E74&gt;0,-'Main Budget'!$F$25+0.81,0)</f>
        <v>0</v>
      </c>
      <c r="H74" s="227">
        <f>IF(DAY(A74)='Main Budget'!$J$26,'Main Budget'!$E$26,0)</f>
        <v>0</v>
      </c>
      <c r="I74" s="227">
        <f>IF(DAY(A74)='Main Budget'!$J$28,'Main Budget'!$E$28,0)</f>
        <v>0</v>
      </c>
      <c r="J74" s="227">
        <f>IF(DAY(A74)='Main Budget'!$J$29,'Main Budget'!$E$29,0)</f>
        <v>0</v>
      </c>
      <c r="K74" s="20">
        <f>IF(DAY(A74)='Main Budget'!$J$30,'Main Budget'!$E$30,0)</f>
        <v>0</v>
      </c>
      <c r="L74" s="20">
        <f>IF(DAY(A74)='Main Budget'!$J$31,'Main Budget'!$E$31,0)</f>
        <v>0</v>
      </c>
      <c r="M74" s="20">
        <f>IF(DAY(A74)='Main Budget'!$J$27,'Main Budget'!$E$27,0)</f>
        <v>0</v>
      </c>
      <c r="O74" s="228">
        <f>B74+(SUM(H74:M74)+(SUM(D74:E74)))</f>
        <v>100</v>
      </c>
      <c r="P74" s="228">
        <f>C74+F74+G74+N74</f>
        <v>100</v>
      </c>
      <c r="Q74" s="252">
        <f>O74+P74</f>
        <v>200</v>
      </c>
      <c r="S74" s="231" t="str">
        <f>TEXT(A74,"dddd")</f>
        <v>Saturday</v>
      </c>
    </row>
    <row r="75" spans="1:19" x14ac:dyDescent="0.25">
      <c r="A75" s="226">
        <v>46096</v>
      </c>
      <c r="B75" s="227">
        <f>O74</f>
        <v>100</v>
      </c>
      <c r="C75" s="228">
        <f>P74</f>
        <v>100</v>
      </c>
      <c r="D75" s="228">
        <f>IF(OR(DAY(A75+2)=1,DAY(A75+2)=15),-SUM('Main Budget'!$H$26:$H$31),0)</f>
        <v>0</v>
      </c>
      <c r="E75" s="228">
        <f>IF(DAY(A75+2)=22,-SUM('Main Budget'!$F$26:$F$31),0)</f>
        <v>0</v>
      </c>
      <c r="F75" s="228">
        <f>IF(D75&gt;0,-'Main Budget'!$H$25+0.15,0)</f>
        <v>0</v>
      </c>
      <c r="G75" s="228">
        <f>IF(E75&gt;0,-'Main Budget'!$F$25+0.81,0)</f>
        <v>0</v>
      </c>
      <c r="H75" s="227">
        <f>IF(DAY(A75)='Main Budget'!$J$26,'Main Budget'!$E$26,0)</f>
        <v>0</v>
      </c>
      <c r="I75" s="227">
        <f>IF(DAY(A75)='Main Budget'!$J$28,'Main Budget'!$E$28,0)</f>
        <v>0</v>
      </c>
      <c r="J75" s="227">
        <f>IF(DAY(A75)='Main Budget'!$J$29,'Main Budget'!$E$29,0)</f>
        <v>0</v>
      </c>
      <c r="K75" s="20">
        <f>IF(DAY(A75)='Main Budget'!$J$30,'Main Budget'!$E$30,0)</f>
        <v>0</v>
      </c>
      <c r="L75" s="20">
        <f>IF(DAY(A75)='Main Budget'!$J$31,'Main Budget'!$E$31,0)</f>
        <v>0</v>
      </c>
      <c r="M75" s="20">
        <f>IF(DAY(A75)='Main Budget'!$J$27,'Main Budget'!$E$27,0)</f>
        <v>0</v>
      </c>
      <c r="O75" s="228">
        <f>B75+(SUM(H75:M75)+(SUM(D75:E75)))</f>
        <v>100</v>
      </c>
      <c r="P75" s="228">
        <f>C75+F75+G75+N75</f>
        <v>100</v>
      </c>
      <c r="Q75" s="252">
        <f>O75+P75</f>
        <v>200</v>
      </c>
      <c r="S75" s="231" t="str">
        <f>TEXT(A75,"dddd")</f>
        <v>Sunday</v>
      </c>
    </row>
    <row r="76" spans="1:19" x14ac:dyDescent="0.25">
      <c r="A76" s="226">
        <v>46097</v>
      </c>
      <c r="B76" s="227">
        <f>O75</f>
        <v>100</v>
      </c>
      <c r="C76" s="228">
        <f>P75</f>
        <v>100</v>
      </c>
      <c r="D76" s="228">
        <f>IF(OR(DAY(A76+2)=1,DAY(A76+2)=15),-SUM('Main Budget'!$H$26:$H$31),0)</f>
        <v>0</v>
      </c>
      <c r="E76" s="228">
        <f>IF(DAY(A76+2)=22,-SUM('Main Budget'!$F$26:$F$31),0)</f>
        <v>0</v>
      </c>
      <c r="F76" s="228">
        <f>IF(D76&gt;0,-'Main Budget'!$H$25+0.15,0)</f>
        <v>0</v>
      </c>
      <c r="G76" s="228">
        <f>IF(E76&gt;0,-'Main Budget'!$F$25+0.81,0)</f>
        <v>0</v>
      </c>
      <c r="H76" s="227">
        <f>IF(DAY(A76)='Main Budget'!$J$26,'Main Budget'!$E$26,0)</f>
        <v>0</v>
      </c>
      <c r="I76" s="227">
        <f>IF(DAY(A76)='Main Budget'!$J$28,'Main Budget'!$E$28,0)</f>
        <v>0</v>
      </c>
      <c r="J76" s="227">
        <f>IF(DAY(A76)='Main Budget'!$J$29,'Main Budget'!$E$29,0)</f>
        <v>0</v>
      </c>
      <c r="K76" s="20">
        <f>IF(DAY(A76)='Main Budget'!$J$30,'Main Budget'!$E$30,0)</f>
        <v>0</v>
      </c>
      <c r="L76" s="20">
        <f>IF(DAY(A76)='Main Budget'!$J$31,'Main Budget'!$E$31,0)</f>
        <v>0</v>
      </c>
      <c r="M76" s="20">
        <f>IF(DAY(A76)='Main Budget'!$J$27,'Main Budget'!$E$27,0)</f>
        <v>0</v>
      </c>
      <c r="O76" s="228">
        <f>B76+(SUM(H76:M76)+(SUM(D76:E76)))</f>
        <v>100</v>
      </c>
      <c r="P76" s="228">
        <f>C76+F76+G76+N76</f>
        <v>100</v>
      </c>
      <c r="Q76" s="252">
        <f>O76+P76</f>
        <v>200</v>
      </c>
      <c r="S76" s="231" t="str">
        <f>TEXT(A76,"dddd")</f>
        <v>Monday</v>
      </c>
    </row>
    <row r="77" spans="1:19" x14ac:dyDescent="0.25">
      <c r="A77" s="226">
        <v>46098</v>
      </c>
      <c r="B77" s="227">
        <f>O76</f>
        <v>100</v>
      </c>
      <c r="C77" s="228">
        <f>P76</f>
        <v>100</v>
      </c>
      <c r="D77" s="228">
        <f>IF(OR(DAY(A77+2)=1,DAY(A77+2)=15),-SUM('Main Budget'!$H$26:$H$31),0)</f>
        <v>0</v>
      </c>
      <c r="E77" s="228">
        <f>IF(DAY(A77+2)=22,-SUM('Main Budget'!$F$26:$F$31),0)</f>
        <v>0</v>
      </c>
      <c r="F77" s="228">
        <f>IF(D77&gt;0,-'Main Budget'!$H$25+0.15,0)</f>
        <v>0</v>
      </c>
      <c r="G77" s="228">
        <f>IF(E77&gt;0,-'Main Budget'!$F$25+0.81,0)</f>
        <v>0</v>
      </c>
      <c r="H77" s="227">
        <f>IF(DAY(A77)='Main Budget'!$J$26,'Main Budget'!$E$26,0)</f>
        <v>0</v>
      </c>
      <c r="I77" s="227">
        <f>IF(DAY(A77)='Main Budget'!$J$28,'Main Budget'!$E$28,0)</f>
        <v>0</v>
      </c>
      <c r="J77" s="227">
        <f>IF(DAY(A77)='Main Budget'!$J$29,'Main Budget'!$E$29,0)</f>
        <v>0</v>
      </c>
      <c r="K77" s="20">
        <f>IF(DAY(A77)='Main Budget'!$J$30,'Main Budget'!$E$30,0)</f>
        <v>0</v>
      </c>
      <c r="L77" s="20">
        <f>IF(DAY(A77)='Main Budget'!$J$31,'Main Budget'!$E$31,0)</f>
        <v>0</v>
      </c>
      <c r="M77" s="20">
        <f>IF(DAY(A77)='Main Budget'!$J$27,'Main Budget'!$E$27,0)</f>
        <v>0</v>
      </c>
      <c r="O77" s="228">
        <f>B77+(SUM(H77:M77)+(SUM(D77:E77)))</f>
        <v>100</v>
      </c>
      <c r="P77" s="228">
        <f>C77+F77+G77+N77</f>
        <v>100</v>
      </c>
      <c r="Q77" s="252">
        <f>O77+P77</f>
        <v>200</v>
      </c>
      <c r="S77" s="231" t="str">
        <f>TEXT(A77,"dddd")</f>
        <v>Tuesday</v>
      </c>
    </row>
    <row r="78" spans="1:19" x14ac:dyDescent="0.25">
      <c r="A78" s="226">
        <v>46099</v>
      </c>
      <c r="B78" s="227">
        <f>O77</f>
        <v>100</v>
      </c>
      <c r="C78" s="228">
        <f>P77</f>
        <v>100</v>
      </c>
      <c r="D78" s="228">
        <f>IF(OR(DAY(A78+2)=1,DAY(A78+2)=15),-SUM('Main Budget'!$H$26:$H$31),0)</f>
        <v>0</v>
      </c>
      <c r="E78" s="228">
        <f>IF(DAY(A78+2)=22,-SUM('Main Budget'!$F$26:$F$31),0)</f>
        <v>0</v>
      </c>
      <c r="F78" s="228">
        <f>IF(D78&gt;0,-'Main Budget'!$H$25+0.15,0)</f>
        <v>0</v>
      </c>
      <c r="G78" s="228">
        <f>IF(E78&gt;0,-'Main Budget'!$F$25+0.81,0)</f>
        <v>0</v>
      </c>
      <c r="H78" s="227">
        <f>IF(DAY(A78)='Main Budget'!$J$26,'Main Budget'!$E$26,0)</f>
        <v>0</v>
      </c>
      <c r="I78" s="227">
        <f>IF(DAY(A78)='Main Budget'!$J$28,'Main Budget'!$E$28,0)</f>
        <v>0</v>
      </c>
      <c r="J78" s="227">
        <f>IF(DAY(A78)='Main Budget'!$J$29,'Main Budget'!$E$29,0)</f>
        <v>0</v>
      </c>
      <c r="K78" s="20">
        <f>IF(DAY(A78)='Main Budget'!$J$30,'Main Budget'!$E$30,0)</f>
        <v>0</v>
      </c>
      <c r="L78" s="20">
        <f>IF(DAY(A78)='Main Budget'!$J$31,'Main Budget'!$E$31,0)</f>
        <v>0</v>
      </c>
      <c r="M78" s="20">
        <f>IF(DAY(A78)='Main Budget'!$J$27,'Main Budget'!$E$27,0)</f>
        <v>0</v>
      </c>
      <c r="O78" s="228">
        <f>B78+(SUM(H78:M78)+(SUM(D78:E78)))</f>
        <v>100</v>
      </c>
      <c r="P78" s="228">
        <f>C78+F78+G78+N78</f>
        <v>100</v>
      </c>
      <c r="Q78" s="252">
        <f>O78+P78</f>
        <v>200</v>
      </c>
      <c r="S78" s="231" t="str">
        <f>TEXT(A78,"dddd")</f>
        <v>Wednesday</v>
      </c>
    </row>
    <row r="79" spans="1:19" x14ac:dyDescent="0.25">
      <c r="A79" s="226">
        <v>46100</v>
      </c>
      <c r="B79" s="227">
        <f>O78</f>
        <v>100</v>
      </c>
      <c r="C79" s="228">
        <f>P78</f>
        <v>100</v>
      </c>
      <c r="D79" s="228">
        <f>IF(OR(DAY(A79+2)=1,DAY(A79+2)=15),-SUM('Main Budget'!$H$26:$H$31),0)</f>
        <v>0</v>
      </c>
      <c r="E79" s="228">
        <f>IF(DAY(A79+2)=22,-SUM('Main Budget'!$F$26:$F$31),0)</f>
        <v>0</v>
      </c>
      <c r="F79" s="228">
        <f>IF(D79&gt;0,-'Main Budget'!$H$25+0.15,0)</f>
        <v>0</v>
      </c>
      <c r="G79" s="228">
        <f>IF(E79&gt;0,-'Main Budget'!$F$25+0.81,0)</f>
        <v>0</v>
      </c>
      <c r="H79" s="227">
        <f>IF(DAY(A79)='Main Budget'!$J$26,'Main Budget'!$E$26,0)</f>
        <v>0</v>
      </c>
      <c r="I79" s="227">
        <f>IF(DAY(A79)='Main Budget'!$J$28,'Main Budget'!$E$28,0)</f>
        <v>0</v>
      </c>
      <c r="J79" s="227">
        <f>IF(DAY(A79)='Main Budget'!$J$29,'Main Budget'!$E$29,0)</f>
        <v>0</v>
      </c>
      <c r="K79" s="20">
        <f>IF(DAY(A79)='Main Budget'!$J$30,'Main Budget'!$E$30,0)</f>
        <v>0</v>
      </c>
      <c r="L79" s="20">
        <f>IF(DAY(A79)='Main Budget'!$J$31,'Main Budget'!$E$31,0)</f>
        <v>0</v>
      </c>
      <c r="M79" s="20">
        <f>IF(DAY(A79)='Main Budget'!$J$27,'Main Budget'!$E$27,0)</f>
        <v>0</v>
      </c>
      <c r="O79" s="228">
        <f>B79+(SUM(H79:M79)+(SUM(D79:E79)))</f>
        <v>100</v>
      </c>
      <c r="P79" s="228">
        <f>C79+F79+G79+N79</f>
        <v>100</v>
      </c>
      <c r="Q79" s="252">
        <f>O79+P79</f>
        <v>200</v>
      </c>
      <c r="S79" s="231" t="str">
        <f>TEXT(A79,"dddd")</f>
        <v>Thursday</v>
      </c>
    </row>
    <row r="80" spans="1:19" x14ac:dyDescent="0.25">
      <c r="A80" s="226">
        <v>46101</v>
      </c>
      <c r="B80" s="227">
        <f>O79</f>
        <v>100</v>
      </c>
      <c r="C80" s="228">
        <f>P79</f>
        <v>100</v>
      </c>
      <c r="D80" s="228">
        <f>IF(OR(DAY(A80+2)=1,DAY(A80+2)=15),-SUM('Main Budget'!$H$26:$H$31),0)</f>
        <v>0</v>
      </c>
      <c r="E80" s="228">
        <f>IF(DAY(A80+2)=22,-SUM('Main Budget'!$F$26:$F$31),0)</f>
        <v>0</v>
      </c>
      <c r="F80" s="228">
        <f>IF(D80&gt;0,-'Main Budget'!$H$25+0.15,0)</f>
        <v>0</v>
      </c>
      <c r="G80" s="228">
        <f>IF(E80&gt;0,-'Main Budget'!$F$25+0.81,0)</f>
        <v>0</v>
      </c>
      <c r="H80" s="227">
        <f>IF(DAY(A80)='Main Budget'!$J$26,'Main Budget'!$E$26,0)</f>
        <v>0</v>
      </c>
      <c r="I80" s="227">
        <f>IF(DAY(A80)='Main Budget'!$J$28,'Main Budget'!$E$28,0)</f>
        <v>0</v>
      </c>
      <c r="J80" s="227">
        <f>IF(DAY(A80)='Main Budget'!$J$29,'Main Budget'!$E$29,0)</f>
        <v>0</v>
      </c>
      <c r="K80" s="20">
        <f>IF(DAY(A80)='Main Budget'!$J$30,'Main Budget'!$E$30,0)</f>
        <v>0</v>
      </c>
      <c r="L80" s="20">
        <f>IF(DAY(A80)='Main Budget'!$J$31,'Main Budget'!$E$31,0)</f>
        <v>0</v>
      </c>
      <c r="M80" s="20">
        <f>IF(DAY(A80)='Main Budget'!$J$27,'Main Budget'!$E$27,0)</f>
        <v>0</v>
      </c>
      <c r="O80" s="228">
        <f>B80+(SUM(H80:M80)+(SUM(D80:E80)))</f>
        <v>100</v>
      </c>
      <c r="P80" s="228">
        <f>C80+F80+G80+N80</f>
        <v>100</v>
      </c>
      <c r="Q80" s="252">
        <f>O80+P80</f>
        <v>200</v>
      </c>
      <c r="S80" s="231" t="str">
        <f>TEXT(A80,"dddd")</f>
        <v>Friday</v>
      </c>
    </row>
    <row r="81" spans="1:19" x14ac:dyDescent="0.25">
      <c r="A81" s="226">
        <v>46102</v>
      </c>
      <c r="B81" s="227">
        <f>O80</f>
        <v>100</v>
      </c>
      <c r="C81" s="228">
        <f>P80</f>
        <v>100</v>
      </c>
      <c r="D81" s="228">
        <f>IF(OR(DAY(A81+2)=1,DAY(A81+2)=15),-SUM('Main Budget'!$H$26:$H$31),0)</f>
        <v>0</v>
      </c>
      <c r="E81" s="228">
        <f>IF(DAY(A81+2)=22,-SUM('Main Budget'!$F$26:$F$31),0)</f>
        <v>0</v>
      </c>
      <c r="F81" s="228">
        <f>IF(D81&gt;0,-'Main Budget'!$H$25+0.15,0)</f>
        <v>0</v>
      </c>
      <c r="G81" s="228">
        <f>IF(E81&gt;0,-'Main Budget'!$F$25+0.81,0)</f>
        <v>0</v>
      </c>
      <c r="H81" s="227">
        <f>IF(DAY(A81)='Main Budget'!$J$26,'Main Budget'!$E$26,0)</f>
        <v>0</v>
      </c>
      <c r="I81" s="227">
        <f>IF(DAY(A81)='Main Budget'!$J$28,'Main Budget'!$E$28,0)</f>
        <v>0</v>
      </c>
      <c r="J81" s="227">
        <f>IF(DAY(A81)='Main Budget'!$J$29,'Main Budget'!$E$29,0)</f>
        <v>0</v>
      </c>
      <c r="K81" s="20">
        <f>IF(DAY(A81)='Main Budget'!$J$30,'Main Budget'!$E$30,0)</f>
        <v>0</v>
      </c>
      <c r="L81" s="20">
        <f>IF(DAY(A81)='Main Budget'!$J$31,'Main Budget'!$E$31,0)</f>
        <v>0</v>
      </c>
      <c r="M81" s="20">
        <f>IF(DAY(A81)='Main Budget'!$J$27,'Main Budget'!$E$27,0)</f>
        <v>0</v>
      </c>
      <c r="O81" s="228">
        <f>B81+(SUM(H81:M81)+(SUM(D81:E81)))</f>
        <v>100</v>
      </c>
      <c r="P81" s="228">
        <f>C81+F81+G81+N81</f>
        <v>100</v>
      </c>
      <c r="Q81" s="252">
        <f>O81+P81</f>
        <v>200</v>
      </c>
      <c r="S81" s="231" t="str">
        <f>TEXT(A81,"dddd")</f>
        <v>Saturday</v>
      </c>
    </row>
    <row r="82" spans="1:19" x14ac:dyDescent="0.25">
      <c r="A82" s="226">
        <v>46103</v>
      </c>
      <c r="B82" s="227">
        <f>O81</f>
        <v>100</v>
      </c>
      <c r="C82" s="228">
        <f>P81</f>
        <v>100</v>
      </c>
      <c r="D82" s="228">
        <f>IF(OR(DAY(A82+2)=1,DAY(A82+2)=15),-SUM('Main Budget'!$H$26:$H$31),0)</f>
        <v>0</v>
      </c>
      <c r="E82" s="228">
        <f>IF(DAY(A82+2)=22,-SUM('Main Budget'!$F$26:$F$31),0)</f>
        <v>0</v>
      </c>
      <c r="F82" s="228">
        <f>IF(D82&gt;0,-'Main Budget'!$H$25+0.15,0)</f>
        <v>0</v>
      </c>
      <c r="G82" s="228">
        <f>IF(E82&gt;0,-'Main Budget'!$F$25+0.81,0)</f>
        <v>0</v>
      </c>
      <c r="H82" s="227">
        <f>IF(DAY(A82)='Main Budget'!$J$26,'Main Budget'!$E$26,0)</f>
        <v>0</v>
      </c>
      <c r="I82" s="227">
        <f>IF(DAY(A82)='Main Budget'!$J$28,'Main Budget'!$E$28,0)</f>
        <v>0</v>
      </c>
      <c r="J82" s="227">
        <f>IF(DAY(A82)='Main Budget'!$J$29,'Main Budget'!$E$29,0)</f>
        <v>0</v>
      </c>
      <c r="K82" s="20">
        <f>IF(DAY(A82)='Main Budget'!$J$30,'Main Budget'!$E$30,0)</f>
        <v>0</v>
      </c>
      <c r="L82" s="20">
        <f>IF(DAY(A82)='Main Budget'!$J$31,'Main Budget'!$E$31,0)</f>
        <v>0</v>
      </c>
      <c r="M82" s="20">
        <f>IF(DAY(A82)='Main Budget'!$J$27,'Main Budget'!$E$27,0)</f>
        <v>0</v>
      </c>
      <c r="O82" s="228">
        <f>B82+(SUM(H82:M82)+(SUM(D82:E82)))</f>
        <v>100</v>
      </c>
      <c r="P82" s="228">
        <f>C82+F82+G82+N82</f>
        <v>100</v>
      </c>
      <c r="Q82" s="252">
        <f>O82+P82</f>
        <v>200</v>
      </c>
      <c r="S82" s="231" t="str">
        <f>TEXT(A82,"dddd")</f>
        <v>Sunday</v>
      </c>
    </row>
    <row r="83" spans="1:19" x14ac:dyDescent="0.25">
      <c r="A83" s="226">
        <v>46104</v>
      </c>
      <c r="B83" s="227">
        <f>O82</f>
        <v>100</v>
      </c>
      <c r="C83" s="228">
        <f>P82</f>
        <v>100</v>
      </c>
      <c r="D83" s="228">
        <f>IF(OR(DAY(A83+2)=1,DAY(A83+2)=15),-SUM('Main Budget'!$H$26:$H$31),0)</f>
        <v>0</v>
      </c>
      <c r="E83" s="228">
        <f>IF(DAY(A83+2)=22,-SUM('Main Budget'!$F$26:$F$31),0)</f>
        <v>0</v>
      </c>
      <c r="F83" s="228">
        <f>IF(D83&gt;0,-'Main Budget'!$H$25+0.15,0)</f>
        <v>0</v>
      </c>
      <c r="G83" s="228">
        <f>IF(E83&gt;0,-'Main Budget'!$F$25+0.81,0)</f>
        <v>0</v>
      </c>
      <c r="H83" s="227">
        <f>IF(DAY(A83)='Main Budget'!$J$26,'Main Budget'!$E$26,0)</f>
        <v>0</v>
      </c>
      <c r="I83" s="227">
        <f>IF(DAY(A83)='Main Budget'!$J$28,'Main Budget'!$E$28,0)</f>
        <v>0</v>
      </c>
      <c r="J83" s="227">
        <f>IF(DAY(A83)='Main Budget'!$J$29,'Main Budget'!$E$29,0)</f>
        <v>0</v>
      </c>
      <c r="K83" s="20">
        <f>IF(DAY(A83)='Main Budget'!$J$30,'Main Budget'!$E$30,0)</f>
        <v>0</v>
      </c>
      <c r="L83" s="20">
        <f>IF(DAY(A83)='Main Budget'!$J$31,'Main Budget'!$E$31,0)</f>
        <v>0</v>
      </c>
      <c r="M83" s="20">
        <f>IF(DAY(A83)='Main Budget'!$J$27,'Main Budget'!$E$27,0)</f>
        <v>0</v>
      </c>
      <c r="O83" s="228">
        <f>B83+(SUM(H83:M83)+(SUM(D83:E83)))</f>
        <v>100</v>
      </c>
      <c r="P83" s="228">
        <f>C83+F83+G83+N83</f>
        <v>100</v>
      </c>
      <c r="Q83" s="252">
        <f>O83+P83</f>
        <v>200</v>
      </c>
      <c r="S83" s="231" t="str">
        <f>TEXT(A83,"dddd")</f>
        <v>Monday</v>
      </c>
    </row>
    <row r="84" spans="1:19" x14ac:dyDescent="0.25">
      <c r="A84" s="226">
        <v>46105</v>
      </c>
      <c r="B84" s="227">
        <f>O83</f>
        <v>100</v>
      </c>
      <c r="C84" s="228">
        <f>P83</f>
        <v>100</v>
      </c>
      <c r="D84" s="228">
        <f>IF(OR(DAY(A84+2)=1,DAY(A84+2)=15),-SUM('Main Budget'!$H$26:$H$31),0)</f>
        <v>0</v>
      </c>
      <c r="E84" s="228">
        <f>IF(DAY(A84+2)=22,-SUM('Main Budget'!$F$26:$F$31),0)</f>
        <v>0</v>
      </c>
      <c r="F84" s="228">
        <f>IF(D84&gt;0,-'Main Budget'!$H$25+0.15,0)</f>
        <v>0</v>
      </c>
      <c r="G84" s="228">
        <f>IF(E84&gt;0,-'Main Budget'!$F$25+0.81,0)</f>
        <v>0</v>
      </c>
      <c r="H84" s="227">
        <f>IF(DAY(A84)='Main Budget'!$J$26,'Main Budget'!$E$26,0)</f>
        <v>0</v>
      </c>
      <c r="I84" s="227">
        <f>IF(DAY(A84)='Main Budget'!$J$28,'Main Budget'!$E$28,0)</f>
        <v>0</v>
      </c>
      <c r="J84" s="227">
        <f>IF(DAY(A84)='Main Budget'!$J$29,'Main Budget'!$E$29,0)</f>
        <v>0</v>
      </c>
      <c r="K84" s="20">
        <f>IF(DAY(A84)='Main Budget'!$J$30,'Main Budget'!$E$30,0)</f>
        <v>0</v>
      </c>
      <c r="L84" s="20">
        <f>IF(DAY(A84)='Main Budget'!$J$31,'Main Budget'!$E$31,0)</f>
        <v>0</v>
      </c>
      <c r="M84" s="20">
        <f>IF(DAY(A84)='Main Budget'!$J$27,'Main Budget'!$E$27,0)</f>
        <v>0</v>
      </c>
      <c r="O84" s="228">
        <f>B84+(SUM(H84:M84)+(SUM(D84:E84)))</f>
        <v>100</v>
      </c>
      <c r="P84" s="228">
        <f>C84+F84+G84+N84</f>
        <v>100</v>
      </c>
      <c r="Q84" s="252">
        <f>O84+P84</f>
        <v>200</v>
      </c>
      <c r="S84" s="231" t="str">
        <f>TEXT(A84,"dddd")</f>
        <v>Tuesday</v>
      </c>
    </row>
    <row r="85" spans="1:19" x14ac:dyDescent="0.25">
      <c r="A85" s="226">
        <v>46106</v>
      </c>
      <c r="B85" s="227">
        <f>O84</f>
        <v>100</v>
      </c>
      <c r="C85" s="228">
        <f>P84</f>
        <v>100</v>
      </c>
      <c r="D85" s="228">
        <f>IF(OR(DAY(A85+2)=1,DAY(A85+2)=15),-SUM('Main Budget'!$H$26:$H$31),0)</f>
        <v>0</v>
      </c>
      <c r="E85" s="228">
        <f>IF(DAY(A85+2)=22,-SUM('Main Budget'!$F$26:$F$31),0)</f>
        <v>0</v>
      </c>
      <c r="F85" s="228">
        <f>IF(D85&gt;0,-'Main Budget'!$H$25+0.15,0)</f>
        <v>0</v>
      </c>
      <c r="G85" s="228">
        <f>IF(E85&gt;0,-'Main Budget'!$F$25+0.81,0)</f>
        <v>0</v>
      </c>
      <c r="H85" s="227">
        <f>IF(DAY(A85)='Main Budget'!$J$26,'Main Budget'!$E$26,0)</f>
        <v>0</v>
      </c>
      <c r="I85" s="227">
        <f>IF(DAY(A85)='Main Budget'!$J$28,'Main Budget'!$E$28,0)</f>
        <v>0</v>
      </c>
      <c r="J85" s="227">
        <f>IF(DAY(A85)='Main Budget'!$J$29,'Main Budget'!$E$29,0)</f>
        <v>0</v>
      </c>
      <c r="K85" s="20">
        <f>IF(DAY(A85)='Main Budget'!$J$30,'Main Budget'!$E$30,0)</f>
        <v>0</v>
      </c>
      <c r="L85" s="20">
        <f>IF(DAY(A85)='Main Budget'!$J$31,'Main Budget'!$E$31,0)</f>
        <v>0</v>
      </c>
      <c r="M85" s="20">
        <f>IF(DAY(A85)='Main Budget'!$J$27,'Main Budget'!$E$27,0)</f>
        <v>0</v>
      </c>
      <c r="O85" s="228">
        <f>B85+(SUM(H85:M85)+(SUM(D85:E85)))</f>
        <v>100</v>
      </c>
      <c r="P85" s="228">
        <f>C85+F85+G85+N85</f>
        <v>100</v>
      </c>
      <c r="Q85" s="252">
        <f>O85+P85</f>
        <v>200</v>
      </c>
      <c r="S85" s="231" t="str">
        <f>TEXT(A85,"dddd")</f>
        <v>Wednesday</v>
      </c>
    </row>
    <row r="86" spans="1:19" x14ac:dyDescent="0.25">
      <c r="A86" s="226">
        <v>46107</v>
      </c>
      <c r="B86" s="227">
        <f>O85</f>
        <v>100</v>
      </c>
      <c r="C86" s="228">
        <f>P85</f>
        <v>100</v>
      </c>
      <c r="D86" s="228">
        <f>IF(OR(DAY(A86+2)=1,DAY(A86+2)=15),-SUM('Main Budget'!$H$26:$H$31),0)</f>
        <v>0</v>
      </c>
      <c r="E86" s="228">
        <f>IF(DAY(A86+2)=22,-SUM('Main Budget'!$F$26:$F$31),0)</f>
        <v>0</v>
      </c>
      <c r="F86" s="228">
        <f>IF(D86&gt;0,-'Main Budget'!$H$25+0.15,0)</f>
        <v>0</v>
      </c>
      <c r="G86" s="228">
        <f>IF(E86&gt;0,-'Main Budget'!$F$25+0.81,0)</f>
        <v>0</v>
      </c>
      <c r="H86" s="227">
        <f>IF(DAY(A86)='Main Budget'!$J$26,'Main Budget'!$E$26,0)</f>
        <v>0</v>
      </c>
      <c r="I86" s="227">
        <f>IF(DAY(A86)='Main Budget'!$J$28,'Main Budget'!$E$28,0)</f>
        <v>0</v>
      </c>
      <c r="J86" s="227">
        <f>IF(DAY(A86)='Main Budget'!$J$29,'Main Budget'!$E$29,0)</f>
        <v>0</v>
      </c>
      <c r="K86" s="20">
        <f>IF(DAY(A86)='Main Budget'!$J$30,'Main Budget'!$E$30,0)</f>
        <v>0</v>
      </c>
      <c r="L86" s="20">
        <f>IF(DAY(A86)='Main Budget'!$J$31,'Main Budget'!$E$31,0)</f>
        <v>0</v>
      </c>
      <c r="M86" s="20">
        <f>IF(DAY(A86)='Main Budget'!$J$27,'Main Budget'!$E$27,0)</f>
        <v>0</v>
      </c>
      <c r="O86" s="228">
        <f>B86+(SUM(H86:M86)+(SUM(D86:E86)))</f>
        <v>100</v>
      </c>
      <c r="P86" s="228">
        <f>C86+F86+G86+N86</f>
        <v>100</v>
      </c>
      <c r="Q86" s="252">
        <f>O86+P86</f>
        <v>200</v>
      </c>
      <c r="S86" s="231" t="str">
        <f>TEXT(A86,"dddd")</f>
        <v>Thursday</v>
      </c>
    </row>
    <row r="87" spans="1:19" x14ac:dyDescent="0.25">
      <c r="A87" s="226">
        <v>46108</v>
      </c>
      <c r="B87" s="227">
        <f>O86</f>
        <v>100</v>
      </c>
      <c r="C87" s="228">
        <f>P86</f>
        <v>100</v>
      </c>
      <c r="D87" s="228">
        <f>IF(OR(DAY(A87+2)=1,DAY(A87+2)=15),-SUM('Main Budget'!$H$26:$H$31),0)</f>
        <v>0</v>
      </c>
      <c r="E87" s="228">
        <f>IF(DAY(A87+2)=22,-SUM('Main Budget'!$F$26:$F$31),0)</f>
        <v>0</v>
      </c>
      <c r="F87" s="228">
        <f>IF(D87&gt;0,-'Main Budget'!$H$25+0.15,0)</f>
        <v>0</v>
      </c>
      <c r="G87" s="228">
        <f>IF(E87&gt;0,-'Main Budget'!$F$25+0.81,0)</f>
        <v>0</v>
      </c>
      <c r="H87" s="227">
        <f>IF(DAY(A87)='Main Budget'!$J$26,'Main Budget'!$E$26,0)</f>
        <v>0</v>
      </c>
      <c r="I87" s="227">
        <f>IF(DAY(A87)='Main Budget'!$J$28,'Main Budget'!$E$28,0)</f>
        <v>0</v>
      </c>
      <c r="J87" s="227">
        <f>IF(DAY(A87)='Main Budget'!$J$29,'Main Budget'!$E$29,0)</f>
        <v>0</v>
      </c>
      <c r="K87" s="20">
        <f>IF(DAY(A87)='Main Budget'!$J$30,'Main Budget'!$E$30,0)</f>
        <v>0</v>
      </c>
      <c r="L87" s="20">
        <f>IF(DAY(A87)='Main Budget'!$J$31,'Main Budget'!$E$31,0)</f>
        <v>0</v>
      </c>
      <c r="M87" s="20">
        <f>IF(DAY(A87)='Main Budget'!$J$27,'Main Budget'!$E$27,0)</f>
        <v>0</v>
      </c>
      <c r="O87" s="228">
        <f>B87+(SUM(H87:M87)+(SUM(D87:E87)))</f>
        <v>100</v>
      </c>
      <c r="P87" s="228">
        <f>C87+F87+G87+N87</f>
        <v>100</v>
      </c>
      <c r="Q87" s="252">
        <f>O87+P87</f>
        <v>200</v>
      </c>
      <c r="S87" s="231" t="str">
        <f>TEXT(A87,"dddd")</f>
        <v>Friday</v>
      </c>
    </row>
    <row r="88" spans="1:19" x14ac:dyDescent="0.25">
      <c r="A88" s="226">
        <v>46109</v>
      </c>
      <c r="B88" s="227">
        <f>O87</f>
        <v>100</v>
      </c>
      <c r="C88" s="228">
        <f>P87</f>
        <v>100</v>
      </c>
      <c r="D88" s="228">
        <f>IF(OR(DAY(A88+2)=1,DAY(A88+2)=15),-SUM('Main Budget'!$H$26:$H$31),0)</f>
        <v>0</v>
      </c>
      <c r="E88" s="228">
        <f>IF(DAY(A88+2)=22,-SUM('Main Budget'!$F$26:$F$31),0)</f>
        <v>0</v>
      </c>
      <c r="F88" s="228">
        <f>IF(D88&gt;0,-'Main Budget'!$H$25+0.15,0)</f>
        <v>0</v>
      </c>
      <c r="G88" s="228">
        <f>IF(E88&gt;0,-'Main Budget'!$F$25+0.81,0)</f>
        <v>0</v>
      </c>
      <c r="H88" s="227">
        <f>IF(DAY(A88)='Main Budget'!$J$26,'Main Budget'!$E$26,0)</f>
        <v>0</v>
      </c>
      <c r="I88" s="227">
        <f>IF(DAY(A88)='Main Budget'!$J$28,'Main Budget'!$E$28,0)</f>
        <v>0</v>
      </c>
      <c r="J88" s="227">
        <f>IF(DAY(A88)='Main Budget'!$J$29,'Main Budget'!$E$29,0)</f>
        <v>0</v>
      </c>
      <c r="K88" s="20">
        <f>IF(DAY(A88)='Main Budget'!$J$30,'Main Budget'!$E$30,0)</f>
        <v>0</v>
      </c>
      <c r="L88" s="20">
        <f>IF(DAY(A88)='Main Budget'!$J$31,'Main Budget'!$E$31,0)</f>
        <v>0</v>
      </c>
      <c r="M88" s="20">
        <f>IF(DAY(A88)='Main Budget'!$J$27,'Main Budget'!$E$27,0)</f>
        <v>0</v>
      </c>
      <c r="O88" s="228">
        <f>B88+(SUM(H88:M88)+(SUM(D88:E88)))</f>
        <v>100</v>
      </c>
      <c r="P88" s="228">
        <f>C88+F88+G88+N88</f>
        <v>100</v>
      </c>
      <c r="Q88" s="252">
        <f>O88+P88</f>
        <v>200</v>
      </c>
      <c r="S88" s="231" t="str">
        <f>TEXT(A88,"dddd")</f>
        <v>Saturday</v>
      </c>
    </row>
    <row r="89" spans="1:19" x14ac:dyDescent="0.25">
      <c r="A89" s="226">
        <v>46110</v>
      </c>
      <c r="B89" s="227">
        <f>O88</f>
        <v>100</v>
      </c>
      <c r="C89" s="228">
        <f>P88</f>
        <v>100</v>
      </c>
      <c r="D89" s="228">
        <f>IF(OR(DAY(A89+2)=1,DAY(A89+2)=15),-SUM('Main Budget'!$H$26:$H$31),0)</f>
        <v>0</v>
      </c>
      <c r="E89" s="228">
        <f>IF(DAY(A89+2)=22,-SUM('Main Budget'!$F$26:$F$31),0)</f>
        <v>0</v>
      </c>
      <c r="F89" s="228">
        <f>IF(D89&gt;0,-'Main Budget'!$H$25+0.15,0)</f>
        <v>0</v>
      </c>
      <c r="G89" s="228">
        <f>IF(E89&gt;0,-'Main Budget'!$F$25+0.81,0)</f>
        <v>0</v>
      </c>
      <c r="H89" s="227">
        <f>IF(DAY(A89)='Main Budget'!$J$26,'Main Budget'!$E$26,0)</f>
        <v>0</v>
      </c>
      <c r="I89" s="227">
        <f>IF(DAY(A89)='Main Budget'!$J$28,'Main Budget'!$E$28,0)</f>
        <v>0</v>
      </c>
      <c r="J89" s="227">
        <f>IF(DAY(A89)='Main Budget'!$J$29,'Main Budget'!$E$29,0)</f>
        <v>0</v>
      </c>
      <c r="K89" s="20">
        <f>IF(DAY(A89)='Main Budget'!$J$30,'Main Budget'!$E$30,0)</f>
        <v>0</v>
      </c>
      <c r="L89" s="20">
        <f>IF(DAY(A89)='Main Budget'!$J$31,'Main Budget'!$E$31,0)</f>
        <v>0</v>
      </c>
      <c r="M89" s="20">
        <f>IF(DAY(A89)='Main Budget'!$J$27,'Main Budget'!$E$27,0)</f>
        <v>0</v>
      </c>
      <c r="O89" s="228">
        <f>B89+(SUM(H89:M89)+(SUM(D89:E89)))</f>
        <v>100</v>
      </c>
      <c r="P89" s="228">
        <f>C89+F89+G89+N89</f>
        <v>100</v>
      </c>
      <c r="Q89" s="252">
        <f>O89+P89</f>
        <v>200</v>
      </c>
      <c r="S89" s="231" t="str">
        <f>TEXT(A89,"dddd")</f>
        <v>Sunday</v>
      </c>
    </row>
    <row r="90" spans="1:19" x14ac:dyDescent="0.25">
      <c r="A90" s="226">
        <v>46111</v>
      </c>
      <c r="B90" s="227">
        <f>O89</f>
        <v>100</v>
      </c>
      <c r="C90" s="228">
        <f>P89</f>
        <v>100</v>
      </c>
      <c r="D90" s="228">
        <f>IF(OR(DAY(A90+2)=1,DAY(A90+2)=15),-SUM('Main Budget'!$H$26:$H$31),0)</f>
        <v>0</v>
      </c>
      <c r="E90" s="228">
        <f>IF(DAY(A90+2)=22,-SUM('Main Budget'!$F$26:$F$31),0)</f>
        <v>0</v>
      </c>
      <c r="F90" s="228">
        <f>IF(D90&gt;0,-'Main Budget'!$H$25+0.15,0)</f>
        <v>0</v>
      </c>
      <c r="G90" s="228">
        <f>IF(E90&gt;0,-'Main Budget'!$F$25+0.81,0)</f>
        <v>0</v>
      </c>
      <c r="H90" s="227">
        <f>IF(DAY(A90)='Main Budget'!$J$26,'Main Budget'!$E$26,0)</f>
        <v>0</v>
      </c>
      <c r="I90" s="227">
        <f>IF(DAY(A90)='Main Budget'!$J$28,'Main Budget'!$E$28,0)</f>
        <v>0</v>
      </c>
      <c r="J90" s="227">
        <f>IF(DAY(A90)='Main Budget'!$J$29,'Main Budget'!$E$29,0)</f>
        <v>0</v>
      </c>
      <c r="K90" s="20">
        <f>IF(DAY(A90)='Main Budget'!$J$30,'Main Budget'!$E$30,0)</f>
        <v>0</v>
      </c>
      <c r="L90" s="20">
        <f>IF(DAY(A90)='Main Budget'!$J$31,'Main Budget'!$E$31,0)</f>
        <v>0</v>
      </c>
      <c r="M90" s="20">
        <f>IF(DAY(A90)='Main Budget'!$J$27,'Main Budget'!$E$27,0)</f>
        <v>0</v>
      </c>
      <c r="O90" s="228">
        <f>B90+(SUM(H90:M90)+(SUM(D90:E90)))</f>
        <v>100</v>
      </c>
      <c r="P90" s="228">
        <f>C90+F90+G90+N90</f>
        <v>100</v>
      </c>
      <c r="Q90" s="252">
        <f>O90+P90</f>
        <v>200</v>
      </c>
      <c r="S90" s="231" t="str">
        <f>TEXT(A90,"dddd")</f>
        <v>Monday</v>
      </c>
    </row>
    <row r="91" spans="1:19" x14ac:dyDescent="0.25">
      <c r="A91" s="226">
        <v>46112</v>
      </c>
      <c r="B91" s="227">
        <f>O90</f>
        <v>100</v>
      </c>
      <c r="C91" s="228">
        <f>P90</f>
        <v>100</v>
      </c>
      <c r="D91" s="228">
        <f>IF(OR(DAY(A91+2)=1,DAY(A91+2)=15),-SUM('Main Budget'!$H$26:$H$31),0)</f>
        <v>0</v>
      </c>
      <c r="E91" s="228">
        <f>IF(DAY(A91+2)=22,-SUM('Main Budget'!$F$26:$F$31),0)</f>
        <v>0</v>
      </c>
      <c r="F91" s="228">
        <f>IF(D91&gt;0,-'Main Budget'!$H$25+0.15,0)</f>
        <v>0</v>
      </c>
      <c r="G91" s="228">
        <f>IF(E91&gt;0,-'Main Budget'!$F$25+0.81,0)</f>
        <v>0</v>
      </c>
      <c r="H91" s="227">
        <f>IF(DAY(A91)='Main Budget'!$J$26,'Main Budget'!$E$26,0)</f>
        <v>0</v>
      </c>
      <c r="I91" s="227">
        <f>IF(DAY(A91)='Main Budget'!$J$28,'Main Budget'!$E$28,0)</f>
        <v>0</v>
      </c>
      <c r="J91" s="227">
        <f>IF(DAY(A91)='Main Budget'!$J$29,'Main Budget'!$E$29,0)</f>
        <v>0</v>
      </c>
      <c r="K91" s="20">
        <f>IF(DAY(A91)='Main Budget'!$J$30,'Main Budget'!$E$30,0)</f>
        <v>0</v>
      </c>
      <c r="L91" s="20">
        <f>IF(DAY(A91)='Main Budget'!$J$31,'Main Budget'!$E$31,0)</f>
        <v>0</v>
      </c>
      <c r="M91" s="20">
        <f>IF(DAY(A91)='Main Budget'!$J$27,'Main Budget'!$E$27,0)</f>
        <v>0</v>
      </c>
      <c r="O91" s="228">
        <f>B91+(SUM(H91:M91)+(SUM(D91:E91)))</f>
        <v>100</v>
      </c>
      <c r="P91" s="228">
        <f>C91+F91+G91+N91</f>
        <v>100</v>
      </c>
      <c r="Q91" s="252">
        <f>O91+P91</f>
        <v>200</v>
      </c>
      <c r="S91" s="231" t="str">
        <f>TEXT(A91,"dddd")</f>
        <v>Tuesday</v>
      </c>
    </row>
    <row r="92" spans="1:19" x14ac:dyDescent="0.25">
      <c r="A92" s="226">
        <v>46113</v>
      </c>
      <c r="B92" s="227">
        <f>O91</f>
        <v>100</v>
      </c>
      <c r="C92" s="228">
        <f>P91</f>
        <v>100</v>
      </c>
      <c r="D92" s="228">
        <f>IF(OR(DAY(A92+2)=1,DAY(A92+2)=15),-SUM('Main Budget'!$H$26:$H$31),0)</f>
        <v>0</v>
      </c>
      <c r="E92" s="228">
        <f>IF(DAY(A92+2)=22,-SUM('Main Budget'!$F$26:$F$31),0)</f>
        <v>0</v>
      </c>
      <c r="F92" s="228">
        <f>IF(D92&gt;0,-'Main Budget'!$H$25+0.15,0)</f>
        <v>0</v>
      </c>
      <c r="G92" s="228">
        <f>IF(E92&gt;0,-'Main Budget'!$F$25+0.81,0)</f>
        <v>0</v>
      </c>
      <c r="H92" s="227">
        <f>IF(DAY(A92)='Main Budget'!$J$26,'Main Budget'!$E$26,0)</f>
        <v>0</v>
      </c>
      <c r="I92" s="227">
        <f>IF(DAY(A92)='Main Budget'!$J$28,'Main Budget'!$E$28,0)</f>
        <v>0</v>
      </c>
      <c r="J92" s="227">
        <f>IF(DAY(A92)='Main Budget'!$J$29,'Main Budget'!$E$29,0)</f>
        <v>0</v>
      </c>
      <c r="K92" s="20">
        <f>IF(DAY(A92)='Main Budget'!$J$30,'Main Budget'!$E$30,0)</f>
        <v>0</v>
      </c>
      <c r="L92" s="20">
        <f>IF(DAY(A92)='Main Budget'!$J$31,'Main Budget'!$E$31,0)</f>
        <v>0</v>
      </c>
      <c r="M92" s="20">
        <f>IF(DAY(A92)='Main Budget'!$J$27,'Main Budget'!$E$27,0)</f>
        <v>0</v>
      </c>
      <c r="O92" s="228">
        <f>B92+(SUM(H92:M92)+(SUM(D92:E92)))</f>
        <v>100</v>
      </c>
      <c r="P92" s="228">
        <f>C92+F92+G92+N92</f>
        <v>100</v>
      </c>
      <c r="Q92" s="252">
        <f>O92+P92</f>
        <v>200</v>
      </c>
      <c r="S92" s="231" t="str">
        <f>TEXT(A92,"dddd")</f>
        <v>Wednesday</v>
      </c>
    </row>
    <row r="93" spans="1:19" x14ac:dyDescent="0.25">
      <c r="A93" s="226">
        <v>46114</v>
      </c>
      <c r="B93" s="227">
        <f>O92</f>
        <v>100</v>
      </c>
      <c r="C93" s="228">
        <f>P92</f>
        <v>100</v>
      </c>
      <c r="D93" s="228">
        <f>IF(OR(DAY(A93+2)=1,DAY(A93+2)=15),-SUM('Main Budget'!$H$26:$H$31),0)</f>
        <v>0</v>
      </c>
      <c r="E93" s="228">
        <f>IF(DAY(A93+2)=22,-SUM('Main Budget'!$F$26:$F$31),0)</f>
        <v>0</v>
      </c>
      <c r="F93" s="228">
        <f>IF(D93&gt;0,-'Main Budget'!$H$25+0.15,0)</f>
        <v>0</v>
      </c>
      <c r="G93" s="228">
        <f>IF(E93&gt;0,-'Main Budget'!$F$25+0.81,0)</f>
        <v>0</v>
      </c>
      <c r="H93" s="227">
        <f>IF(DAY(A93)='Main Budget'!$J$26,'Main Budget'!$E$26,0)</f>
        <v>0</v>
      </c>
      <c r="I93" s="227">
        <f>IF(DAY(A93)='Main Budget'!$J$28,'Main Budget'!$E$28,0)</f>
        <v>0</v>
      </c>
      <c r="J93" s="227">
        <f>IF(DAY(A93)='Main Budget'!$J$29,'Main Budget'!$E$29,0)</f>
        <v>0</v>
      </c>
      <c r="K93" s="20">
        <f>IF(DAY(A93)='Main Budget'!$J$30,'Main Budget'!$E$30,0)</f>
        <v>0</v>
      </c>
      <c r="L93" s="20">
        <f>IF(DAY(A93)='Main Budget'!$J$31,'Main Budget'!$E$31,0)</f>
        <v>0</v>
      </c>
      <c r="M93" s="20">
        <f>IF(DAY(A93)='Main Budget'!$J$27,'Main Budget'!$E$27,0)</f>
        <v>0</v>
      </c>
      <c r="O93" s="228">
        <f>B93+(SUM(H93:M93)+(SUM(D93:E93)))</f>
        <v>100</v>
      </c>
      <c r="P93" s="228">
        <f>C93+F93+G93+N93</f>
        <v>100</v>
      </c>
      <c r="Q93" s="252">
        <f>O93+P93</f>
        <v>200</v>
      </c>
      <c r="S93" s="231" t="str">
        <f>TEXT(A93,"dddd")</f>
        <v>Thursday</v>
      </c>
    </row>
    <row r="94" spans="1:19" x14ac:dyDescent="0.25">
      <c r="A94" s="226">
        <v>46115</v>
      </c>
      <c r="B94" s="227">
        <f>O93</f>
        <v>100</v>
      </c>
      <c r="C94" s="228">
        <f>P93</f>
        <v>100</v>
      </c>
      <c r="D94" s="228">
        <f>IF(OR(DAY(A94+2)=1,DAY(A94+2)=15),-SUM('Main Budget'!$H$26:$H$31),0)</f>
        <v>0</v>
      </c>
      <c r="E94" s="228">
        <f>IF(DAY(A94+2)=22,-SUM('Main Budget'!$F$26:$F$31),0)</f>
        <v>0</v>
      </c>
      <c r="F94" s="228">
        <f>IF(D94&gt;0,-'Main Budget'!$H$25+0.15,0)</f>
        <v>0</v>
      </c>
      <c r="G94" s="228">
        <f>IF(E94&gt;0,-'Main Budget'!$F$25+0.81,0)</f>
        <v>0</v>
      </c>
      <c r="H94" s="227">
        <f>IF(DAY(A94)='Main Budget'!$J$26,'Main Budget'!$E$26,0)</f>
        <v>0</v>
      </c>
      <c r="I94" s="227">
        <f>IF(DAY(A94)='Main Budget'!$J$28,'Main Budget'!$E$28,0)</f>
        <v>0</v>
      </c>
      <c r="J94" s="227">
        <f>IF(DAY(A94)='Main Budget'!$J$29,'Main Budget'!$E$29,0)</f>
        <v>0</v>
      </c>
      <c r="K94" s="20">
        <f>IF(DAY(A94)='Main Budget'!$J$30,'Main Budget'!$E$30,0)</f>
        <v>0</v>
      </c>
      <c r="L94" s="20">
        <f>IF(DAY(A94)='Main Budget'!$J$31,'Main Budget'!$E$31,0)</f>
        <v>0</v>
      </c>
      <c r="M94" s="20">
        <f>IF(DAY(A94)='Main Budget'!$J$27,'Main Budget'!$E$27,0)</f>
        <v>0</v>
      </c>
      <c r="O94" s="228">
        <f>B94+(SUM(H94:M94)+(SUM(D94:E94)))</f>
        <v>100</v>
      </c>
      <c r="P94" s="228">
        <f>C94+F94+G94+N94</f>
        <v>100</v>
      </c>
      <c r="Q94" s="252">
        <f>O94+P94</f>
        <v>200</v>
      </c>
      <c r="S94" s="231" t="str">
        <f>TEXT(A94,"dddd")</f>
        <v>Friday</v>
      </c>
    </row>
    <row r="95" spans="1:19" x14ac:dyDescent="0.25">
      <c r="A95" s="226">
        <v>46116</v>
      </c>
      <c r="B95" s="227">
        <f>O94</f>
        <v>100</v>
      </c>
      <c r="C95" s="228">
        <f>P94</f>
        <v>100</v>
      </c>
      <c r="D95" s="228">
        <f>IF(OR(DAY(A95+2)=1,DAY(A95+2)=15),-SUM('Main Budget'!$H$26:$H$31),0)</f>
        <v>0</v>
      </c>
      <c r="E95" s="228">
        <f>IF(DAY(A95+2)=22,-SUM('Main Budget'!$F$26:$F$31),0)</f>
        <v>0</v>
      </c>
      <c r="F95" s="228">
        <f>IF(D95&gt;0,-'Main Budget'!$H$25+0.15,0)</f>
        <v>0</v>
      </c>
      <c r="G95" s="228">
        <f>IF(E95&gt;0,-'Main Budget'!$F$25+0.81,0)</f>
        <v>0</v>
      </c>
      <c r="H95" s="227">
        <f>IF(DAY(A95)='Main Budget'!$J$26,'Main Budget'!$E$26,0)</f>
        <v>0</v>
      </c>
      <c r="I95" s="227">
        <f>IF(DAY(A95)='Main Budget'!$J$28,'Main Budget'!$E$28,0)</f>
        <v>0</v>
      </c>
      <c r="J95" s="227">
        <f>IF(DAY(A95)='Main Budget'!$J$29,'Main Budget'!$E$29,0)</f>
        <v>0</v>
      </c>
      <c r="K95" s="20">
        <f>IF(DAY(A95)='Main Budget'!$J$30,'Main Budget'!$E$30,0)</f>
        <v>0</v>
      </c>
      <c r="L95" s="20">
        <f>IF(DAY(A95)='Main Budget'!$J$31,'Main Budget'!$E$31,0)</f>
        <v>0</v>
      </c>
      <c r="M95" s="20">
        <f>IF(DAY(A95)='Main Budget'!$J$27,'Main Budget'!$E$27,0)</f>
        <v>0</v>
      </c>
      <c r="O95" s="228">
        <f>B95+(SUM(H95:M95)+(SUM(D95:E95)))</f>
        <v>100</v>
      </c>
      <c r="P95" s="228">
        <f>C95+F95+G95+N95</f>
        <v>100</v>
      </c>
      <c r="Q95" s="252">
        <f>O95+P95</f>
        <v>200</v>
      </c>
      <c r="S95" s="231" t="str">
        <f>TEXT(A95,"dddd")</f>
        <v>Saturday</v>
      </c>
    </row>
    <row r="96" spans="1:19" x14ac:dyDescent="0.25">
      <c r="A96" s="226">
        <v>46117</v>
      </c>
      <c r="B96" s="227">
        <f>O95</f>
        <v>100</v>
      </c>
      <c r="C96" s="228">
        <f>P95</f>
        <v>100</v>
      </c>
      <c r="D96" s="228">
        <f>IF(OR(DAY(A96+2)=1,DAY(A96+2)=15),-SUM('Main Budget'!$H$26:$H$31),0)</f>
        <v>0</v>
      </c>
      <c r="E96" s="228">
        <f>IF(DAY(A96+2)=22,-SUM('Main Budget'!$F$26:$F$31),0)</f>
        <v>0</v>
      </c>
      <c r="F96" s="228">
        <f>IF(D96&gt;0,-'Main Budget'!$H$25+0.15,0)</f>
        <v>0</v>
      </c>
      <c r="G96" s="228">
        <f>IF(E96&gt;0,-'Main Budget'!$F$25+0.81,0)</f>
        <v>0</v>
      </c>
      <c r="H96" s="227">
        <f>IF(DAY(A96)='Main Budget'!$J$26,'Main Budget'!$E$26,0)</f>
        <v>0</v>
      </c>
      <c r="I96" s="227">
        <f>IF(DAY(A96)='Main Budget'!$J$28,'Main Budget'!$E$28,0)</f>
        <v>0</v>
      </c>
      <c r="J96" s="227">
        <f>IF(DAY(A96)='Main Budget'!$J$29,'Main Budget'!$E$29,0)</f>
        <v>0</v>
      </c>
      <c r="K96" s="20">
        <f>IF(DAY(A96)='Main Budget'!$J$30,'Main Budget'!$E$30,0)</f>
        <v>0</v>
      </c>
      <c r="L96" s="20">
        <f>IF(DAY(A96)='Main Budget'!$J$31,'Main Budget'!$E$31,0)</f>
        <v>0</v>
      </c>
      <c r="M96" s="20">
        <f>IF(DAY(A96)='Main Budget'!$J$27,'Main Budget'!$E$27,0)</f>
        <v>0</v>
      </c>
      <c r="O96" s="228">
        <f>B96+(SUM(H96:M96)+(SUM(D96:E96)))</f>
        <v>100</v>
      </c>
      <c r="P96" s="228">
        <f>C96+F96+G96+N96</f>
        <v>100</v>
      </c>
      <c r="Q96" s="252">
        <f>O96+P96</f>
        <v>200</v>
      </c>
      <c r="S96" s="231" t="str">
        <f>TEXT(A96,"dddd")</f>
        <v>Sunday</v>
      </c>
    </row>
    <row r="97" spans="1:19" x14ac:dyDescent="0.25">
      <c r="A97" s="226">
        <v>46118</v>
      </c>
      <c r="B97" s="227">
        <f>O96</f>
        <v>100</v>
      </c>
      <c r="C97" s="228">
        <f>P96</f>
        <v>100</v>
      </c>
      <c r="D97" s="228">
        <f>IF(OR(DAY(A97+2)=1,DAY(A97+2)=15),-SUM('Main Budget'!$H$26:$H$31),0)</f>
        <v>0</v>
      </c>
      <c r="E97" s="228">
        <f>IF(DAY(A97+2)=22,-SUM('Main Budget'!$F$26:$F$31),0)</f>
        <v>0</v>
      </c>
      <c r="F97" s="228">
        <f>IF(D97&gt;0,-'Main Budget'!$H$25+0.15,0)</f>
        <v>0</v>
      </c>
      <c r="G97" s="228">
        <f>IF(E97&gt;0,-'Main Budget'!$F$25+0.81,0)</f>
        <v>0</v>
      </c>
      <c r="H97" s="227">
        <f>IF(DAY(A97)='Main Budget'!$J$26,'Main Budget'!$E$26,0)</f>
        <v>0</v>
      </c>
      <c r="I97" s="227">
        <f>IF(DAY(A97)='Main Budget'!$J$28,'Main Budget'!$E$28,0)</f>
        <v>0</v>
      </c>
      <c r="J97" s="227">
        <f>IF(DAY(A97)='Main Budget'!$J$29,'Main Budget'!$E$29,0)</f>
        <v>0</v>
      </c>
      <c r="K97" s="20">
        <f>IF(DAY(A97)='Main Budget'!$J$30,'Main Budget'!$E$30,0)</f>
        <v>0</v>
      </c>
      <c r="L97" s="20">
        <f>IF(DAY(A97)='Main Budget'!$J$31,'Main Budget'!$E$31,0)</f>
        <v>0</v>
      </c>
      <c r="M97" s="20">
        <f>IF(DAY(A97)='Main Budget'!$J$27,'Main Budget'!$E$27,0)</f>
        <v>0</v>
      </c>
      <c r="O97" s="228">
        <f>B97+(SUM(H97:M97)+(SUM(D97:E97)))</f>
        <v>100</v>
      </c>
      <c r="P97" s="228">
        <f>C97+F97+G97+N97</f>
        <v>100</v>
      </c>
      <c r="Q97" s="252">
        <f>O97+P97</f>
        <v>200</v>
      </c>
      <c r="S97" s="231" t="str">
        <f>TEXT(A97,"dddd")</f>
        <v>Monday</v>
      </c>
    </row>
    <row r="98" spans="1:19" x14ac:dyDescent="0.25">
      <c r="A98" s="226">
        <v>46119</v>
      </c>
      <c r="B98" s="227">
        <f>O97</f>
        <v>100</v>
      </c>
      <c r="C98" s="228">
        <f>P97</f>
        <v>100</v>
      </c>
      <c r="D98" s="228">
        <f>IF(OR(DAY(A98+2)=1,DAY(A98+2)=15),-SUM('Main Budget'!$H$26:$H$31),0)</f>
        <v>0</v>
      </c>
      <c r="E98" s="228">
        <f>IF(DAY(A98+2)=22,-SUM('Main Budget'!$F$26:$F$31),0)</f>
        <v>0</v>
      </c>
      <c r="F98" s="228">
        <f>IF(D98&gt;0,-'Main Budget'!$H$25+0.15,0)</f>
        <v>0</v>
      </c>
      <c r="G98" s="228">
        <f>IF(E98&gt;0,-'Main Budget'!$F$25+0.81,0)</f>
        <v>0</v>
      </c>
      <c r="H98" s="227">
        <f>IF(DAY(A98)='Main Budget'!$J$26,'Main Budget'!$E$26,0)</f>
        <v>0</v>
      </c>
      <c r="I98" s="227">
        <f>IF(DAY(A98)='Main Budget'!$J$28,'Main Budget'!$E$28,0)</f>
        <v>0</v>
      </c>
      <c r="J98" s="227">
        <f>IF(DAY(A98)='Main Budget'!$J$29,'Main Budget'!$E$29,0)</f>
        <v>0</v>
      </c>
      <c r="K98" s="20">
        <f>IF(DAY(A98)='Main Budget'!$J$30,'Main Budget'!$E$30,0)</f>
        <v>0</v>
      </c>
      <c r="L98" s="20">
        <f>IF(DAY(A98)='Main Budget'!$J$31,'Main Budget'!$E$31,0)</f>
        <v>0</v>
      </c>
      <c r="M98" s="20">
        <f>IF(DAY(A98)='Main Budget'!$J$27,'Main Budget'!$E$27,0)</f>
        <v>0</v>
      </c>
      <c r="O98" s="228">
        <f>B98+(SUM(H98:M98)+(SUM(D98:E98)))</f>
        <v>100</v>
      </c>
      <c r="P98" s="228">
        <f>C98+F98+G98+N98</f>
        <v>100</v>
      </c>
      <c r="Q98" s="252">
        <f>O98+P98</f>
        <v>200</v>
      </c>
      <c r="S98" s="231" t="str">
        <f>TEXT(A98,"dddd")</f>
        <v>Tuesday</v>
      </c>
    </row>
    <row r="99" spans="1:19" x14ac:dyDescent="0.25">
      <c r="A99" s="226">
        <v>46120</v>
      </c>
      <c r="B99" s="227">
        <f>O98</f>
        <v>100</v>
      </c>
      <c r="C99" s="228">
        <f>P98</f>
        <v>100</v>
      </c>
      <c r="D99" s="228">
        <f>IF(OR(DAY(A99+2)=1,DAY(A99+2)=15),-SUM('Main Budget'!$H$26:$H$31),0)</f>
        <v>0</v>
      </c>
      <c r="E99" s="228">
        <f>IF(DAY(A99+2)=22,-SUM('Main Budget'!$F$26:$F$31),0)</f>
        <v>0</v>
      </c>
      <c r="F99" s="228">
        <f>IF(D99&gt;0,-'Main Budget'!$H$25+0.15,0)</f>
        <v>0</v>
      </c>
      <c r="G99" s="228">
        <f>IF(E99&gt;0,-'Main Budget'!$F$25+0.81,0)</f>
        <v>0</v>
      </c>
      <c r="H99" s="227">
        <f>IF(DAY(A99)='Main Budget'!$J$26,'Main Budget'!$E$26,0)</f>
        <v>0</v>
      </c>
      <c r="I99" s="227">
        <f>IF(DAY(A99)='Main Budget'!$J$28,'Main Budget'!$E$28,0)</f>
        <v>0</v>
      </c>
      <c r="J99" s="227">
        <f>IF(DAY(A99)='Main Budget'!$J$29,'Main Budget'!$E$29,0)</f>
        <v>0</v>
      </c>
      <c r="K99" s="20">
        <f>IF(DAY(A99)='Main Budget'!$J$30,'Main Budget'!$E$30,0)</f>
        <v>0</v>
      </c>
      <c r="L99" s="20">
        <f>IF(DAY(A99)='Main Budget'!$J$31,'Main Budget'!$E$31,0)</f>
        <v>0</v>
      </c>
      <c r="M99" s="20">
        <f>IF(DAY(A99)='Main Budget'!$J$27,'Main Budget'!$E$27,0)</f>
        <v>0</v>
      </c>
      <c r="O99" s="228">
        <f>B99+(SUM(H99:M99)+(SUM(D99:E99)))</f>
        <v>100</v>
      </c>
      <c r="P99" s="228">
        <f>C99+F99+G99+N99</f>
        <v>100</v>
      </c>
      <c r="Q99" s="252">
        <f>O99+P99</f>
        <v>200</v>
      </c>
      <c r="S99" s="231" t="str">
        <f>TEXT(A99,"dddd")</f>
        <v>Wednesday</v>
      </c>
    </row>
    <row r="100" spans="1:19" x14ac:dyDescent="0.25">
      <c r="A100" s="226">
        <v>46121</v>
      </c>
      <c r="B100" s="227">
        <f>O99</f>
        <v>100</v>
      </c>
      <c r="C100" s="228">
        <f>P99</f>
        <v>100</v>
      </c>
      <c r="D100" s="228">
        <f>IF(OR(DAY(A100+2)=1,DAY(A100+2)=15),-SUM('Main Budget'!$H$26:$H$31),0)</f>
        <v>0</v>
      </c>
      <c r="E100" s="228">
        <f>IF(DAY(A100+2)=22,-SUM('Main Budget'!$F$26:$F$31),0)</f>
        <v>0</v>
      </c>
      <c r="F100" s="228">
        <f>IF(D100&gt;0,-'Main Budget'!$H$25+0.15,0)</f>
        <v>0</v>
      </c>
      <c r="G100" s="228">
        <f>IF(E100&gt;0,-'Main Budget'!$F$25+0.81,0)</f>
        <v>0</v>
      </c>
      <c r="H100" s="227">
        <f>IF(DAY(A100)='Main Budget'!$J$26,'Main Budget'!$E$26,0)</f>
        <v>0</v>
      </c>
      <c r="I100" s="227">
        <f>IF(DAY(A100)='Main Budget'!$J$28,'Main Budget'!$E$28,0)</f>
        <v>0</v>
      </c>
      <c r="J100" s="227">
        <f>IF(DAY(A100)='Main Budget'!$J$29,'Main Budget'!$E$29,0)</f>
        <v>0</v>
      </c>
      <c r="K100" s="20">
        <f>IF(DAY(A100)='Main Budget'!$J$30,'Main Budget'!$E$30,0)</f>
        <v>0</v>
      </c>
      <c r="L100" s="20">
        <f>IF(DAY(A100)='Main Budget'!$J$31,'Main Budget'!$E$31,0)</f>
        <v>0</v>
      </c>
      <c r="M100" s="20">
        <f>IF(DAY(A100)='Main Budget'!$J$27,'Main Budget'!$E$27,0)</f>
        <v>0</v>
      </c>
      <c r="O100" s="228">
        <f>B100+(SUM(H100:M100)+(SUM(D100:E100)))</f>
        <v>100</v>
      </c>
      <c r="P100" s="228">
        <f>C100+F100+G100+N100</f>
        <v>100</v>
      </c>
      <c r="Q100" s="252">
        <f>O100+P100</f>
        <v>200</v>
      </c>
      <c r="S100" s="231" t="str">
        <f>TEXT(A100,"dddd")</f>
        <v>Thursday</v>
      </c>
    </row>
    <row r="101" spans="1:19" x14ac:dyDescent="0.25">
      <c r="A101" s="226">
        <v>46122</v>
      </c>
      <c r="B101" s="227">
        <f>O100</f>
        <v>100</v>
      </c>
      <c r="C101" s="228">
        <f>P100</f>
        <v>100</v>
      </c>
      <c r="D101" s="228">
        <f>IF(OR(DAY(A101+2)=1,DAY(A101+2)=15),-SUM('Main Budget'!$H$26:$H$31),0)</f>
        <v>0</v>
      </c>
      <c r="E101" s="228">
        <f>IF(DAY(A101+2)=22,-SUM('Main Budget'!$F$26:$F$31),0)</f>
        <v>0</v>
      </c>
      <c r="F101" s="228">
        <f>IF(D101&gt;0,-'Main Budget'!$H$25+0.15,0)</f>
        <v>0</v>
      </c>
      <c r="G101" s="228">
        <f>IF(E101&gt;0,-'Main Budget'!$F$25+0.81,0)</f>
        <v>0</v>
      </c>
      <c r="H101" s="227">
        <f>IF(DAY(A101)='Main Budget'!$J$26,'Main Budget'!$E$26,0)</f>
        <v>0</v>
      </c>
      <c r="I101" s="227">
        <f>IF(DAY(A101)='Main Budget'!$J$28,'Main Budget'!$E$28,0)</f>
        <v>0</v>
      </c>
      <c r="J101" s="227">
        <f>IF(DAY(A101)='Main Budget'!$J$29,'Main Budget'!$E$29,0)</f>
        <v>0</v>
      </c>
      <c r="K101" s="20">
        <f>IF(DAY(A101)='Main Budget'!$J$30,'Main Budget'!$E$30,0)</f>
        <v>0</v>
      </c>
      <c r="L101" s="20">
        <f>IF(DAY(A101)='Main Budget'!$J$31,'Main Budget'!$E$31,0)</f>
        <v>0</v>
      </c>
      <c r="M101" s="20">
        <f>IF(DAY(A101)='Main Budget'!$J$27,'Main Budget'!$E$27,0)</f>
        <v>0</v>
      </c>
      <c r="O101" s="228">
        <f>B101+(SUM(H101:M101)+(SUM(D101:E101)))</f>
        <v>100</v>
      </c>
      <c r="P101" s="228">
        <f>C101+F101+G101+N101</f>
        <v>100</v>
      </c>
      <c r="Q101" s="252">
        <f>O101+P101</f>
        <v>200</v>
      </c>
      <c r="S101" s="231" t="str">
        <f>TEXT(A101,"dddd")</f>
        <v>Friday</v>
      </c>
    </row>
    <row r="102" spans="1:19" x14ac:dyDescent="0.25">
      <c r="A102" s="226">
        <v>46123</v>
      </c>
      <c r="B102" s="227">
        <f>O101</f>
        <v>100</v>
      </c>
      <c r="C102" s="228">
        <f>P101</f>
        <v>100</v>
      </c>
      <c r="D102" s="228">
        <f>IF(OR(DAY(A102+2)=1,DAY(A102+2)=15),-SUM('Main Budget'!$H$26:$H$31),0)</f>
        <v>0</v>
      </c>
      <c r="E102" s="228">
        <f>IF(DAY(A102+2)=22,-SUM('Main Budget'!$F$26:$F$31),0)</f>
        <v>0</v>
      </c>
      <c r="F102" s="228">
        <f>IF(D102&gt;0,-'Main Budget'!$H$25+0.15,0)</f>
        <v>0</v>
      </c>
      <c r="G102" s="228">
        <f>IF(E102&gt;0,-'Main Budget'!$F$25+0.81,0)</f>
        <v>0</v>
      </c>
      <c r="H102" s="227">
        <f>IF(DAY(A102)='Main Budget'!$J$26,'Main Budget'!$E$26,0)</f>
        <v>0</v>
      </c>
      <c r="I102" s="227">
        <f>IF(DAY(A102)='Main Budget'!$J$28,'Main Budget'!$E$28,0)</f>
        <v>0</v>
      </c>
      <c r="J102" s="227">
        <f>IF(DAY(A102)='Main Budget'!$J$29,'Main Budget'!$E$29,0)</f>
        <v>0</v>
      </c>
      <c r="K102" s="20">
        <f>IF(DAY(A102)='Main Budget'!$J$30,'Main Budget'!$E$30,0)</f>
        <v>0</v>
      </c>
      <c r="L102" s="20">
        <f>IF(DAY(A102)='Main Budget'!$J$31,'Main Budget'!$E$31,0)</f>
        <v>0</v>
      </c>
      <c r="M102" s="20">
        <f>IF(DAY(A102)='Main Budget'!$J$27,'Main Budget'!$E$27,0)</f>
        <v>0</v>
      </c>
      <c r="O102" s="228">
        <f>B102+(SUM(H102:M102)+(SUM(D102:E102)))</f>
        <v>100</v>
      </c>
      <c r="P102" s="228">
        <f>C102+F102+G102+N102</f>
        <v>100</v>
      </c>
      <c r="Q102" s="252">
        <f>O102+P102</f>
        <v>200</v>
      </c>
      <c r="S102" s="231" t="str">
        <f>TEXT(A102,"dddd")</f>
        <v>Saturday</v>
      </c>
    </row>
    <row r="103" spans="1:19" x14ac:dyDescent="0.25">
      <c r="A103" s="226">
        <v>46124</v>
      </c>
      <c r="B103" s="227">
        <f>O102</f>
        <v>100</v>
      </c>
      <c r="C103" s="228">
        <f>P102</f>
        <v>100</v>
      </c>
      <c r="D103" s="228">
        <f>IF(OR(DAY(A103+2)=1,DAY(A103+2)=15),-SUM('Main Budget'!$H$26:$H$31),0)</f>
        <v>0</v>
      </c>
      <c r="E103" s="228">
        <f>IF(DAY(A103+2)=22,-SUM('Main Budget'!$F$26:$F$31),0)</f>
        <v>0</v>
      </c>
      <c r="F103" s="228">
        <f>IF(D103&gt;0,-'Main Budget'!$H$25+0.15,0)</f>
        <v>0</v>
      </c>
      <c r="G103" s="228">
        <f>IF(E103&gt;0,-'Main Budget'!$F$25+0.81,0)</f>
        <v>0</v>
      </c>
      <c r="H103" s="227">
        <f>IF(DAY(A103)='Main Budget'!$J$26,'Main Budget'!$E$26,0)</f>
        <v>0</v>
      </c>
      <c r="I103" s="227">
        <f>IF(DAY(A103)='Main Budget'!$J$28,'Main Budget'!$E$28,0)</f>
        <v>0</v>
      </c>
      <c r="J103" s="227">
        <f>IF(DAY(A103)='Main Budget'!$J$29,'Main Budget'!$E$29,0)</f>
        <v>0</v>
      </c>
      <c r="K103" s="20">
        <f>IF(DAY(A103)='Main Budget'!$J$30,'Main Budget'!$E$30,0)</f>
        <v>0</v>
      </c>
      <c r="L103" s="20">
        <f>IF(DAY(A103)='Main Budget'!$J$31,'Main Budget'!$E$31,0)</f>
        <v>0</v>
      </c>
      <c r="M103" s="20">
        <f>IF(DAY(A103)='Main Budget'!$J$27,'Main Budget'!$E$27,0)</f>
        <v>0</v>
      </c>
      <c r="O103" s="228">
        <f>B103+(SUM(H103:M103)+(SUM(D103:E103)))</f>
        <v>100</v>
      </c>
      <c r="P103" s="228">
        <f>C103+F103+G103+N103</f>
        <v>100</v>
      </c>
      <c r="Q103" s="252">
        <f>O103+P103</f>
        <v>200</v>
      </c>
      <c r="S103" s="231" t="str">
        <f>TEXT(A103,"dddd")</f>
        <v>Sunday</v>
      </c>
    </row>
    <row r="104" spans="1:19" x14ac:dyDescent="0.25">
      <c r="A104" s="226">
        <v>46125</v>
      </c>
      <c r="B104" s="227">
        <f>O103</f>
        <v>100</v>
      </c>
      <c r="C104" s="228">
        <f>P103</f>
        <v>100</v>
      </c>
      <c r="D104" s="228">
        <f>IF(OR(DAY(A104+2)=1,DAY(A104+2)=15),-SUM('Main Budget'!$H$26:$H$31),0)</f>
        <v>0</v>
      </c>
      <c r="E104" s="228">
        <f>IF(DAY(A104+2)=22,-SUM('Main Budget'!$F$26:$F$31),0)</f>
        <v>0</v>
      </c>
      <c r="F104" s="228">
        <f>IF(D104&gt;0,-'Main Budget'!$H$25+0.15,0)</f>
        <v>0</v>
      </c>
      <c r="G104" s="228">
        <f>IF(E104&gt;0,-'Main Budget'!$F$25+0.81,0)</f>
        <v>0</v>
      </c>
      <c r="H104" s="227">
        <f>IF(DAY(A104)='Main Budget'!$J$26,'Main Budget'!$E$26,0)</f>
        <v>0</v>
      </c>
      <c r="I104" s="227">
        <f>IF(DAY(A104)='Main Budget'!$J$28,'Main Budget'!$E$28,0)</f>
        <v>0</v>
      </c>
      <c r="J104" s="227">
        <f>IF(DAY(A104)='Main Budget'!$J$29,'Main Budget'!$E$29,0)</f>
        <v>0</v>
      </c>
      <c r="K104" s="20">
        <f>IF(DAY(A104)='Main Budget'!$J$30,'Main Budget'!$E$30,0)</f>
        <v>0</v>
      </c>
      <c r="L104" s="20">
        <f>IF(DAY(A104)='Main Budget'!$J$31,'Main Budget'!$E$31,0)</f>
        <v>0</v>
      </c>
      <c r="M104" s="20">
        <f>IF(DAY(A104)='Main Budget'!$J$27,'Main Budget'!$E$27,0)</f>
        <v>0</v>
      </c>
      <c r="O104" s="228">
        <f>B104+(SUM(H104:M104)+(SUM(D104:E104)))</f>
        <v>100</v>
      </c>
      <c r="P104" s="228">
        <f>C104+F104+G104+N104</f>
        <v>100</v>
      </c>
      <c r="Q104" s="252">
        <f>O104+P104</f>
        <v>200</v>
      </c>
      <c r="S104" s="231" t="str">
        <f>TEXT(A104,"dddd")</f>
        <v>Monday</v>
      </c>
    </row>
    <row r="105" spans="1:19" x14ac:dyDescent="0.25">
      <c r="A105" s="226">
        <v>46126</v>
      </c>
      <c r="B105" s="227">
        <f>O104</f>
        <v>100</v>
      </c>
      <c r="C105" s="228">
        <f>P104</f>
        <v>100</v>
      </c>
      <c r="D105" s="228">
        <f>IF(OR(DAY(A105+2)=1,DAY(A105+2)=15),-SUM('Main Budget'!$H$26:$H$31),0)</f>
        <v>0</v>
      </c>
      <c r="E105" s="228">
        <f>IF(DAY(A105+2)=22,-SUM('Main Budget'!$F$26:$F$31),0)</f>
        <v>0</v>
      </c>
      <c r="F105" s="228">
        <f>IF(D105&gt;0,-'Main Budget'!$H$25+0.15,0)</f>
        <v>0</v>
      </c>
      <c r="G105" s="228">
        <f>IF(E105&gt;0,-'Main Budget'!$F$25+0.81,0)</f>
        <v>0</v>
      </c>
      <c r="H105" s="227">
        <f>IF(DAY(A105)='Main Budget'!$J$26,'Main Budget'!$E$26,0)</f>
        <v>0</v>
      </c>
      <c r="I105" s="227">
        <f>IF(DAY(A105)='Main Budget'!$J$28,'Main Budget'!$E$28,0)</f>
        <v>0</v>
      </c>
      <c r="J105" s="227">
        <f>IF(DAY(A105)='Main Budget'!$J$29,'Main Budget'!$E$29,0)</f>
        <v>0</v>
      </c>
      <c r="K105" s="20">
        <f>IF(DAY(A105)='Main Budget'!$J$30,'Main Budget'!$E$30,0)</f>
        <v>0</v>
      </c>
      <c r="L105" s="20">
        <f>IF(DAY(A105)='Main Budget'!$J$31,'Main Budget'!$E$31,0)</f>
        <v>0</v>
      </c>
      <c r="M105" s="20">
        <f>IF(DAY(A105)='Main Budget'!$J$27,'Main Budget'!$E$27,0)</f>
        <v>0</v>
      </c>
      <c r="O105" s="228">
        <f>B105+(SUM(H105:M105)+(SUM(D105:E105)))</f>
        <v>100</v>
      </c>
      <c r="P105" s="228">
        <f>C105+F105+G105+N105</f>
        <v>100</v>
      </c>
      <c r="Q105" s="252">
        <f>O105+P105</f>
        <v>200</v>
      </c>
      <c r="S105" s="231" t="str">
        <f>TEXT(A105,"dddd")</f>
        <v>Tuesday</v>
      </c>
    </row>
    <row r="106" spans="1:19" x14ac:dyDescent="0.25">
      <c r="A106" s="226">
        <v>46127</v>
      </c>
      <c r="B106" s="227">
        <f>O105</f>
        <v>100</v>
      </c>
      <c r="C106" s="228">
        <f>P105</f>
        <v>100</v>
      </c>
      <c r="D106" s="228">
        <f>IF(OR(DAY(A106+2)=1,DAY(A106+2)=15),-SUM('Main Budget'!$H$26:$H$31),0)</f>
        <v>0</v>
      </c>
      <c r="E106" s="228">
        <f>IF(DAY(A106+2)=22,-SUM('Main Budget'!$F$26:$F$31),0)</f>
        <v>0</v>
      </c>
      <c r="F106" s="228">
        <f>IF(D106&gt;0,-'Main Budget'!$H$25+0.15,0)</f>
        <v>0</v>
      </c>
      <c r="G106" s="228">
        <f>IF(E106&gt;0,-'Main Budget'!$F$25+0.81,0)</f>
        <v>0</v>
      </c>
      <c r="H106" s="227">
        <f>IF(DAY(A106)='Main Budget'!$J$26,'Main Budget'!$E$26,0)</f>
        <v>0</v>
      </c>
      <c r="I106" s="227">
        <f>IF(DAY(A106)='Main Budget'!$J$28,'Main Budget'!$E$28,0)</f>
        <v>0</v>
      </c>
      <c r="J106" s="227">
        <f>IF(DAY(A106)='Main Budget'!$J$29,'Main Budget'!$E$29,0)</f>
        <v>0</v>
      </c>
      <c r="K106" s="20">
        <f>IF(DAY(A106)='Main Budget'!$J$30,'Main Budget'!$E$30,0)</f>
        <v>0</v>
      </c>
      <c r="L106" s="20">
        <f>IF(DAY(A106)='Main Budget'!$J$31,'Main Budget'!$E$31,0)</f>
        <v>0</v>
      </c>
      <c r="M106" s="20">
        <f>IF(DAY(A106)='Main Budget'!$J$27,'Main Budget'!$E$27,0)</f>
        <v>0</v>
      </c>
      <c r="O106" s="228">
        <f>B106+(SUM(H106:M106)+(SUM(D106:E106)))</f>
        <v>100</v>
      </c>
      <c r="P106" s="228">
        <f>C106+F106+G106+N106</f>
        <v>100</v>
      </c>
      <c r="Q106" s="252">
        <f>O106+P106</f>
        <v>200</v>
      </c>
      <c r="S106" s="231" t="str">
        <f>TEXT(A106,"dddd")</f>
        <v>Wednesday</v>
      </c>
    </row>
    <row r="107" spans="1:19" x14ac:dyDescent="0.25">
      <c r="A107" s="226">
        <v>46128</v>
      </c>
      <c r="B107" s="227">
        <f>O106</f>
        <v>100</v>
      </c>
      <c r="C107" s="228">
        <f>P106</f>
        <v>100</v>
      </c>
      <c r="D107" s="228">
        <f>IF(OR(DAY(A107+2)=1,DAY(A107+2)=15),-SUM('Main Budget'!$H$26:$H$31),0)</f>
        <v>0</v>
      </c>
      <c r="E107" s="228">
        <f>IF(DAY(A107+2)=22,-SUM('Main Budget'!$F$26:$F$31),0)</f>
        <v>0</v>
      </c>
      <c r="F107" s="228">
        <f>IF(D107&gt;0,-'Main Budget'!$H$25+0.15,0)</f>
        <v>0</v>
      </c>
      <c r="G107" s="228">
        <f>IF(E107&gt;0,-'Main Budget'!$F$25+0.81,0)</f>
        <v>0</v>
      </c>
      <c r="H107" s="227">
        <f>IF(DAY(A107)='Main Budget'!$J$26,'Main Budget'!$E$26,0)</f>
        <v>0</v>
      </c>
      <c r="I107" s="227">
        <f>IF(DAY(A107)='Main Budget'!$J$28,'Main Budget'!$E$28,0)</f>
        <v>0</v>
      </c>
      <c r="J107" s="227">
        <f>IF(DAY(A107)='Main Budget'!$J$29,'Main Budget'!$E$29,0)</f>
        <v>0</v>
      </c>
      <c r="K107" s="20">
        <f>IF(DAY(A107)='Main Budget'!$J$30,'Main Budget'!$E$30,0)</f>
        <v>0</v>
      </c>
      <c r="L107" s="20">
        <f>IF(DAY(A107)='Main Budget'!$J$31,'Main Budget'!$E$31,0)</f>
        <v>0</v>
      </c>
      <c r="M107" s="20">
        <f>IF(DAY(A107)='Main Budget'!$J$27,'Main Budget'!$E$27,0)</f>
        <v>0</v>
      </c>
      <c r="O107" s="228">
        <f>B107+(SUM(H107:M107)+(SUM(D107:E107)))</f>
        <v>100</v>
      </c>
      <c r="P107" s="228">
        <f>C107+F107+G107+N107</f>
        <v>100</v>
      </c>
      <c r="Q107" s="252">
        <f>O107+P107</f>
        <v>200</v>
      </c>
      <c r="S107" s="231" t="str">
        <f>TEXT(A107,"dddd")</f>
        <v>Thursday</v>
      </c>
    </row>
    <row r="108" spans="1:19" x14ac:dyDescent="0.25">
      <c r="A108" s="226">
        <v>46129</v>
      </c>
      <c r="B108" s="227">
        <f>O107</f>
        <v>100</v>
      </c>
      <c r="C108" s="228">
        <f>P107</f>
        <v>100</v>
      </c>
      <c r="D108" s="228">
        <f>IF(OR(DAY(A108+2)=1,DAY(A108+2)=15),-SUM('Main Budget'!$H$26:$H$31),0)</f>
        <v>0</v>
      </c>
      <c r="E108" s="228">
        <f>IF(DAY(A108+2)=22,-SUM('Main Budget'!$F$26:$F$31),0)</f>
        <v>0</v>
      </c>
      <c r="F108" s="228">
        <f>IF(D108&gt;0,-'Main Budget'!$H$25+0.15,0)</f>
        <v>0</v>
      </c>
      <c r="G108" s="228">
        <f>IF(E108&gt;0,-'Main Budget'!$F$25+0.81,0)</f>
        <v>0</v>
      </c>
      <c r="H108" s="227">
        <f>IF(DAY(A108)='Main Budget'!$J$26,'Main Budget'!$E$26,0)</f>
        <v>0</v>
      </c>
      <c r="I108" s="227">
        <f>IF(DAY(A108)='Main Budget'!$J$28,'Main Budget'!$E$28,0)</f>
        <v>0</v>
      </c>
      <c r="J108" s="227">
        <f>IF(DAY(A108)='Main Budget'!$J$29,'Main Budget'!$E$29,0)</f>
        <v>0</v>
      </c>
      <c r="K108" s="20">
        <f>IF(DAY(A108)='Main Budget'!$J$30,'Main Budget'!$E$30,0)</f>
        <v>0</v>
      </c>
      <c r="L108" s="20">
        <f>IF(DAY(A108)='Main Budget'!$J$31,'Main Budget'!$E$31,0)</f>
        <v>0</v>
      </c>
      <c r="M108" s="20">
        <f>IF(DAY(A108)='Main Budget'!$J$27,'Main Budget'!$E$27,0)</f>
        <v>0</v>
      </c>
      <c r="O108" s="228">
        <f>B108+(SUM(H108:M108)+(SUM(D108:E108)))</f>
        <v>100</v>
      </c>
      <c r="P108" s="228">
        <f>C108+F108+G108+N108</f>
        <v>100</v>
      </c>
      <c r="Q108" s="252">
        <f>O108+P108</f>
        <v>200</v>
      </c>
      <c r="S108" s="231" t="str">
        <f>TEXT(A108,"dddd")</f>
        <v>Friday</v>
      </c>
    </row>
    <row r="109" spans="1:19" x14ac:dyDescent="0.25">
      <c r="A109" s="226">
        <v>46130</v>
      </c>
      <c r="B109" s="227">
        <f>O108</f>
        <v>100</v>
      </c>
      <c r="C109" s="228">
        <f>P108</f>
        <v>100</v>
      </c>
      <c r="D109" s="228">
        <f>IF(OR(DAY(A109+2)=1,DAY(A109+2)=15),-SUM('Main Budget'!$H$26:$H$31),0)</f>
        <v>0</v>
      </c>
      <c r="E109" s="228">
        <f>IF(DAY(A109+2)=22,-SUM('Main Budget'!$F$26:$F$31),0)</f>
        <v>0</v>
      </c>
      <c r="F109" s="228">
        <f>IF(D109&gt;0,-'Main Budget'!$H$25+0.15,0)</f>
        <v>0</v>
      </c>
      <c r="G109" s="228">
        <f>IF(E109&gt;0,-'Main Budget'!$F$25+0.81,0)</f>
        <v>0</v>
      </c>
      <c r="H109" s="227">
        <f>IF(DAY(A109)='Main Budget'!$J$26,'Main Budget'!$E$26,0)</f>
        <v>0</v>
      </c>
      <c r="I109" s="227">
        <f>IF(DAY(A109)='Main Budget'!$J$28,'Main Budget'!$E$28,0)</f>
        <v>0</v>
      </c>
      <c r="J109" s="227">
        <f>IF(DAY(A109)='Main Budget'!$J$29,'Main Budget'!$E$29,0)</f>
        <v>0</v>
      </c>
      <c r="K109" s="20">
        <f>IF(DAY(A109)='Main Budget'!$J$30,'Main Budget'!$E$30,0)</f>
        <v>0</v>
      </c>
      <c r="L109" s="20">
        <f>IF(DAY(A109)='Main Budget'!$J$31,'Main Budget'!$E$31,0)</f>
        <v>0</v>
      </c>
      <c r="M109" s="20">
        <f>IF(DAY(A109)='Main Budget'!$J$27,'Main Budget'!$E$27,0)</f>
        <v>0</v>
      </c>
      <c r="O109" s="228">
        <f>B109+(SUM(H109:M109)+(SUM(D109:E109)))</f>
        <v>100</v>
      </c>
      <c r="P109" s="228">
        <f>C109+F109+G109+N109</f>
        <v>100</v>
      </c>
      <c r="Q109" s="252">
        <f>O109+P109</f>
        <v>200</v>
      </c>
      <c r="S109" s="231" t="str">
        <f>TEXT(A109,"dddd")</f>
        <v>Saturday</v>
      </c>
    </row>
    <row r="110" spans="1:19" x14ac:dyDescent="0.25">
      <c r="A110" s="226">
        <v>46131</v>
      </c>
      <c r="B110" s="227">
        <f>O109</f>
        <v>100</v>
      </c>
      <c r="C110" s="228">
        <f>P109</f>
        <v>100</v>
      </c>
      <c r="D110" s="228">
        <f>IF(OR(DAY(A110+2)=1,DAY(A110+2)=15),-SUM('Main Budget'!$H$26:$H$31),0)</f>
        <v>0</v>
      </c>
      <c r="E110" s="228">
        <f>IF(DAY(A110+2)=22,-SUM('Main Budget'!$F$26:$F$31),0)</f>
        <v>0</v>
      </c>
      <c r="F110" s="228">
        <f>IF(D110&gt;0,-'Main Budget'!$H$25+0.15,0)</f>
        <v>0</v>
      </c>
      <c r="G110" s="228">
        <f>IF(E110&gt;0,-'Main Budget'!$F$25+0.81,0)</f>
        <v>0</v>
      </c>
      <c r="H110" s="227">
        <f>IF(DAY(A110)='Main Budget'!$J$26,'Main Budget'!$E$26,0)</f>
        <v>0</v>
      </c>
      <c r="I110" s="227">
        <f>IF(DAY(A110)='Main Budget'!$J$28,'Main Budget'!$E$28,0)</f>
        <v>0</v>
      </c>
      <c r="J110" s="227">
        <f>IF(DAY(A110)='Main Budget'!$J$29,'Main Budget'!$E$29,0)</f>
        <v>0</v>
      </c>
      <c r="K110" s="20">
        <f>IF(DAY(A110)='Main Budget'!$J$30,'Main Budget'!$E$30,0)</f>
        <v>0</v>
      </c>
      <c r="L110" s="20">
        <f>IF(DAY(A110)='Main Budget'!$J$31,'Main Budget'!$E$31,0)</f>
        <v>0</v>
      </c>
      <c r="M110" s="20">
        <f>IF(DAY(A110)='Main Budget'!$J$27,'Main Budget'!$E$27,0)</f>
        <v>0</v>
      </c>
      <c r="O110" s="228">
        <f>B110+(SUM(H110:M110)+(SUM(D110:E110)))</f>
        <v>100</v>
      </c>
      <c r="P110" s="228">
        <f>C110+F110+G110+N110</f>
        <v>100</v>
      </c>
      <c r="Q110" s="252">
        <f>O110+P110</f>
        <v>200</v>
      </c>
      <c r="S110" s="231" t="str">
        <f>TEXT(A110,"dddd")</f>
        <v>Sunday</v>
      </c>
    </row>
    <row r="111" spans="1:19" x14ac:dyDescent="0.25">
      <c r="A111" s="226">
        <v>46132</v>
      </c>
      <c r="B111" s="227">
        <f>O110</f>
        <v>100</v>
      </c>
      <c r="C111" s="228">
        <f>P110</f>
        <v>100</v>
      </c>
      <c r="D111" s="228">
        <f>IF(OR(DAY(A111+2)=1,DAY(A111+2)=15),-SUM('Main Budget'!$H$26:$H$31),0)</f>
        <v>0</v>
      </c>
      <c r="E111" s="228">
        <f>IF(DAY(A111+2)=22,-SUM('Main Budget'!$F$26:$F$31),0)</f>
        <v>0</v>
      </c>
      <c r="F111" s="228">
        <f>IF(D111&gt;0,-'Main Budget'!$H$25+0.15,0)</f>
        <v>0</v>
      </c>
      <c r="G111" s="228">
        <f>IF(E111&gt;0,-'Main Budget'!$F$25+0.81,0)</f>
        <v>0</v>
      </c>
      <c r="H111" s="227">
        <f>IF(DAY(A111)='Main Budget'!$J$26,'Main Budget'!$E$26,0)</f>
        <v>0</v>
      </c>
      <c r="I111" s="227">
        <f>IF(DAY(A111)='Main Budget'!$J$28,'Main Budget'!$E$28,0)</f>
        <v>0</v>
      </c>
      <c r="J111" s="227">
        <f>IF(DAY(A111)='Main Budget'!$J$29,'Main Budget'!$E$29,0)</f>
        <v>0</v>
      </c>
      <c r="K111" s="20">
        <f>IF(DAY(A111)='Main Budget'!$J$30,'Main Budget'!$E$30,0)</f>
        <v>0</v>
      </c>
      <c r="L111" s="20">
        <f>IF(DAY(A111)='Main Budget'!$J$31,'Main Budget'!$E$31,0)</f>
        <v>0</v>
      </c>
      <c r="M111" s="20">
        <f>IF(DAY(A111)='Main Budget'!$J$27,'Main Budget'!$E$27,0)</f>
        <v>0</v>
      </c>
      <c r="O111" s="228">
        <f>B111+(SUM(H111:M111)+(SUM(D111:E111)))</f>
        <v>100</v>
      </c>
      <c r="P111" s="228">
        <f>C111+F111+G111+N111</f>
        <v>100</v>
      </c>
      <c r="Q111" s="252">
        <f>O111+P111</f>
        <v>200</v>
      </c>
      <c r="S111" s="231" t="str">
        <f>TEXT(A111,"dddd")</f>
        <v>Monday</v>
      </c>
    </row>
    <row r="112" spans="1:19" x14ac:dyDescent="0.25">
      <c r="A112" s="226">
        <v>46133</v>
      </c>
      <c r="B112" s="227">
        <f>O111</f>
        <v>100</v>
      </c>
      <c r="C112" s="228">
        <f>P111</f>
        <v>100</v>
      </c>
      <c r="D112" s="228">
        <f>IF(OR(DAY(A112+2)=1,DAY(A112+2)=15),-SUM('Main Budget'!$H$26:$H$31),0)</f>
        <v>0</v>
      </c>
      <c r="E112" s="228">
        <f>IF(DAY(A112+2)=22,-SUM('Main Budget'!$F$26:$F$31),0)</f>
        <v>0</v>
      </c>
      <c r="F112" s="228">
        <f>IF(D112&gt;0,-'Main Budget'!$H$25+0.15,0)</f>
        <v>0</v>
      </c>
      <c r="G112" s="228">
        <f>IF(E112&gt;0,-'Main Budget'!$F$25+0.81,0)</f>
        <v>0</v>
      </c>
      <c r="H112" s="227">
        <f>IF(DAY(A112)='Main Budget'!$J$26,'Main Budget'!$E$26,0)</f>
        <v>0</v>
      </c>
      <c r="I112" s="227">
        <f>IF(DAY(A112)='Main Budget'!$J$28,'Main Budget'!$E$28,0)</f>
        <v>0</v>
      </c>
      <c r="J112" s="227">
        <f>IF(DAY(A112)='Main Budget'!$J$29,'Main Budget'!$E$29,0)</f>
        <v>0</v>
      </c>
      <c r="K112" s="20">
        <f>IF(DAY(A112)='Main Budget'!$J$30,'Main Budget'!$E$30,0)</f>
        <v>0</v>
      </c>
      <c r="L112" s="20">
        <f>IF(DAY(A112)='Main Budget'!$J$31,'Main Budget'!$E$31,0)</f>
        <v>0</v>
      </c>
      <c r="M112" s="20">
        <f>IF(DAY(A112)='Main Budget'!$J$27,'Main Budget'!$E$27,0)</f>
        <v>0</v>
      </c>
      <c r="O112" s="228">
        <f>B112+(SUM(H112:M112)+(SUM(D112:E112)))</f>
        <v>100</v>
      </c>
      <c r="P112" s="228">
        <f>C112+F112+G112+N112</f>
        <v>100</v>
      </c>
      <c r="Q112" s="252">
        <f>O112+P112</f>
        <v>200</v>
      </c>
      <c r="S112" s="231" t="str">
        <f>TEXT(A112,"dddd")</f>
        <v>Tuesday</v>
      </c>
    </row>
    <row r="113" spans="1:19" x14ac:dyDescent="0.25">
      <c r="A113" s="226">
        <v>46134</v>
      </c>
      <c r="B113" s="227">
        <f>O112</f>
        <v>100</v>
      </c>
      <c r="C113" s="228">
        <f>P112</f>
        <v>100</v>
      </c>
      <c r="D113" s="228">
        <f>IF(OR(DAY(A113+2)=1,DAY(A113+2)=15),-SUM('Main Budget'!$H$26:$H$31),0)</f>
        <v>0</v>
      </c>
      <c r="E113" s="228">
        <f>IF(DAY(A113+2)=22,-SUM('Main Budget'!$F$26:$F$31),0)</f>
        <v>0</v>
      </c>
      <c r="F113" s="228">
        <f>IF(D113&gt;0,-'Main Budget'!$H$25+0.15,0)</f>
        <v>0</v>
      </c>
      <c r="G113" s="228">
        <f>IF(E113&gt;0,-'Main Budget'!$F$25+0.81,0)</f>
        <v>0</v>
      </c>
      <c r="H113" s="227">
        <f>IF(DAY(A113)='Main Budget'!$J$26,'Main Budget'!$E$26,0)</f>
        <v>0</v>
      </c>
      <c r="I113" s="227">
        <f>IF(DAY(A113)='Main Budget'!$J$28,'Main Budget'!$E$28,0)</f>
        <v>0</v>
      </c>
      <c r="J113" s="227">
        <f>IF(DAY(A113)='Main Budget'!$J$29,'Main Budget'!$E$29,0)</f>
        <v>0</v>
      </c>
      <c r="K113" s="20">
        <f>IF(DAY(A113)='Main Budget'!$J$30,'Main Budget'!$E$30,0)</f>
        <v>0</v>
      </c>
      <c r="L113" s="20">
        <f>IF(DAY(A113)='Main Budget'!$J$31,'Main Budget'!$E$31,0)</f>
        <v>0</v>
      </c>
      <c r="M113" s="20">
        <f>IF(DAY(A113)='Main Budget'!$J$27,'Main Budget'!$E$27,0)</f>
        <v>0</v>
      </c>
      <c r="O113" s="228">
        <f>B113+(SUM(H113:M113)+(SUM(D113:E113)))</f>
        <v>100</v>
      </c>
      <c r="P113" s="228">
        <f>C113+F113+G113+N113</f>
        <v>100</v>
      </c>
      <c r="Q113" s="252">
        <f>O113+P113</f>
        <v>200</v>
      </c>
      <c r="S113" s="231" t="str">
        <f>TEXT(A113,"dddd")</f>
        <v>Wednesday</v>
      </c>
    </row>
    <row r="114" spans="1:19" x14ac:dyDescent="0.25">
      <c r="A114" s="226">
        <v>46135</v>
      </c>
      <c r="B114" s="227">
        <f>O113</f>
        <v>100</v>
      </c>
      <c r="C114" s="228">
        <f>P113</f>
        <v>100</v>
      </c>
      <c r="D114" s="228">
        <f>IF(OR(DAY(A114+2)=1,DAY(A114+2)=15),-SUM('Main Budget'!$H$26:$H$31),0)</f>
        <v>0</v>
      </c>
      <c r="E114" s="228">
        <f>IF(DAY(A114+2)=22,-SUM('Main Budget'!$F$26:$F$31),0)</f>
        <v>0</v>
      </c>
      <c r="F114" s="228">
        <f>IF(D114&gt;0,-'Main Budget'!$H$25+0.15,0)</f>
        <v>0</v>
      </c>
      <c r="G114" s="228">
        <f>IF(E114&gt;0,-'Main Budget'!$F$25+0.81,0)</f>
        <v>0</v>
      </c>
      <c r="H114" s="227">
        <f>IF(DAY(A114)='Main Budget'!$J$26,'Main Budget'!$E$26,0)</f>
        <v>0</v>
      </c>
      <c r="I114" s="227">
        <f>IF(DAY(A114)='Main Budget'!$J$28,'Main Budget'!$E$28,0)</f>
        <v>0</v>
      </c>
      <c r="J114" s="227">
        <f>IF(DAY(A114)='Main Budget'!$J$29,'Main Budget'!$E$29,0)</f>
        <v>0</v>
      </c>
      <c r="K114" s="20">
        <f>IF(DAY(A114)='Main Budget'!$J$30,'Main Budget'!$E$30,0)</f>
        <v>0</v>
      </c>
      <c r="L114" s="20">
        <f>IF(DAY(A114)='Main Budget'!$J$31,'Main Budget'!$E$31,0)</f>
        <v>0</v>
      </c>
      <c r="M114" s="20">
        <f>IF(DAY(A114)='Main Budget'!$J$27,'Main Budget'!$E$27,0)</f>
        <v>0</v>
      </c>
      <c r="O114" s="228">
        <f>B114+(SUM(H114:M114)+(SUM(D114:E114)))</f>
        <v>100</v>
      </c>
      <c r="P114" s="228">
        <f>C114+F114+G114+N114</f>
        <v>100</v>
      </c>
      <c r="Q114" s="252">
        <f>O114+P114</f>
        <v>200</v>
      </c>
      <c r="S114" s="231" t="str">
        <f>TEXT(A114,"dddd")</f>
        <v>Thursday</v>
      </c>
    </row>
    <row r="115" spans="1:19" x14ac:dyDescent="0.25">
      <c r="A115" s="226">
        <v>46136</v>
      </c>
      <c r="B115" s="227">
        <f>O114</f>
        <v>100</v>
      </c>
      <c r="C115" s="228">
        <f>P114</f>
        <v>100</v>
      </c>
      <c r="D115" s="228">
        <f>IF(OR(DAY(A115+2)=1,DAY(A115+2)=15),-SUM('Main Budget'!$H$26:$H$31),0)</f>
        <v>0</v>
      </c>
      <c r="E115" s="228">
        <f>IF(DAY(A115+2)=22,-SUM('Main Budget'!$F$26:$F$31),0)</f>
        <v>0</v>
      </c>
      <c r="F115" s="228">
        <f>IF(D115&gt;0,-'Main Budget'!$H$25+0.15,0)</f>
        <v>0</v>
      </c>
      <c r="G115" s="228">
        <f>IF(E115&gt;0,-'Main Budget'!$F$25+0.81,0)</f>
        <v>0</v>
      </c>
      <c r="H115" s="227">
        <f>IF(DAY(A115)='Main Budget'!$J$26,'Main Budget'!$E$26,0)</f>
        <v>0</v>
      </c>
      <c r="I115" s="227">
        <f>IF(DAY(A115)='Main Budget'!$J$28,'Main Budget'!$E$28,0)</f>
        <v>0</v>
      </c>
      <c r="J115" s="227">
        <f>IF(DAY(A115)='Main Budget'!$J$29,'Main Budget'!$E$29,0)</f>
        <v>0</v>
      </c>
      <c r="K115" s="20">
        <f>IF(DAY(A115)='Main Budget'!$J$30,'Main Budget'!$E$30,0)</f>
        <v>0</v>
      </c>
      <c r="L115" s="20">
        <f>IF(DAY(A115)='Main Budget'!$J$31,'Main Budget'!$E$31,0)</f>
        <v>0</v>
      </c>
      <c r="M115" s="20">
        <f>IF(DAY(A115)='Main Budget'!$J$27,'Main Budget'!$E$27,0)</f>
        <v>0</v>
      </c>
      <c r="O115" s="228">
        <f>B115+(SUM(H115:M115)+(SUM(D115:E115)))</f>
        <v>100</v>
      </c>
      <c r="P115" s="228">
        <f>C115+F115+G115+N115</f>
        <v>100</v>
      </c>
      <c r="Q115" s="252">
        <f>O115+P115</f>
        <v>200</v>
      </c>
      <c r="S115" s="231" t="str">
        <f>TEXT(A115,"dddd")</f>
        <v>Friday</v>
      </c>
    </row>
    <row r="116" spans="1:19" x14ac:dyDescent="0.25">
      <c r="A116" s="226">
        <v>46137</v>
      </c>
      <c r="B116" s="227">
        <f>O115</f>
        <v>100</v>
      </c>
      <c r="C116" s="228">
        <f>P115</f>
        <v>100</v>
      </c>
      <c r="D116" s="228">
        <f>IF(OR(DAY(A116+2)=1,DAY(A116+2)=15),-SUM('Main Budget'!$H$26:$H$31),0)</f>
        <v>0</v>
      </c>
      <c r="E116" s="228">
        <f>IF(DAY(A116+2)=22,-SUM('Main Budget'!$F$26:$F$31),0)</f>
        <v>0</v>
      </c>
      <c r="F116" s="228">
        <f>IF(D116&gt;0,-'Main Budget'!$H$25+0.15,0)</f>
        <v>0</v>
      </c>
      <c r="G116" s="228">
        <f>IF(E116&gt;0,-'Main Budget'!$F$25+0.81,0)</f>
        <v>0</v>
      </c>
      <c r="H116" s="227">
        <f>IF(DAY(A116)='Main Budget'!$J$26,'Main Budget'!$E$26,0)</f>
        <v>0</v>
      </c>
      <c r="I116" s="227">
        <f>IF(DAY(A116)='Main Budget'!$J$28,'Main Budget'!$E$28,0)</f>
        <v>0</v>
      </c>
      <c r="J116" s="227">
        <f>IF(DAY(A116)='Main Budget'!$J$29,'Main Budget'!$E$29,0)</f>
        <v>0</v>
      </c>
      <c r="K116" s="20">
        <f>IF(DAY(A116)='Main Budget'!$J$30,'Main Budget'!$E$30,0)</f>
        <v>0</v>
      </c>
      <c r="L116" s="20">
        <f>IF(DAY(A116)='Main Budget'!$J$31,'Main Budget'!$E$31,0)</f>
        <v>0</v>
      </c>
      <c r="M116" s="20">
        <f>IF(DAY(A116)='Main Budget'!$J$27,'Main Budget'!$E$27,0)</f>
        <v>0</v>
      </c>
      <c r="O116" s="228">
        <f>B116+(SUM(H116:M116)+(SUM(D116:E116)))</f>
        <v>100</v>
      </c>
      <c r="P116" s="228">
        <f>C116+F116+G116+N116</f>
        <v>100</v>
      </c>
      <c r="Q116" s="252">
        <f>O116+P116</f>
        <v>200</v>
      </c>
      <c r="S116" s="231" t="str">
        <f>TEXT(A116,"dddd")</f>
        <v>Saturday</v>
      </c>
    </row>
    <row r="117" spans="1:19" x14ac:dyDescent="0.25">
      <c r="A117" s="226">
        <v>46138</v>
      </c>
      <c r="B117" s="227">
        <f>O116</f>
        <v>100</v>
      </c>
      <c r="C117" s="228">
        <f>P116</f>
        <v>100</v>
      </c>
      <c r="D117" s="228">
        <f>IF(OR(DAY(A117+2)=1,DAY(A117+2)=15),-SUM('Main Budget'!$H$26:$H$31),0)</f>
        <v>0</v>
      </c>
      <c r="E117" s="228">
        <f>IF(DAY(A117+2)=22,-SUM('Main Budget'!$F$26:$F$31),0)</f>
        <v>0</v>
      </c>
      <c r="F117" s="228">
        <f>IF(D117&gt;0,-'Main Budget'!$H$25+0.15,0)</f>
        <v>0</v>
      </c>
      <c r="G117" s="228">
        <f>IF(E117&gt;0,-'Main Budget'!$F$25+0.81,0)</f>
        <v>0</v>
      </c>
      <c r="H117" s="227">
        <f>IF(DAY(A117)='Main Budget'!$J$26,'Main Budget'!$E$26,0)</f>
        <v>0</v>
      </c>
      <c r="I117" s="227">
        <f>IF(DAY(A117)='Main Budget'!$J$28,'Main Budget'!$E$28,0)</f>
        <v>0</v>
      </c>
      <c r="J117" s="227">
        <f>IF(DAY(A117)='Main Budget'!$J$29,'Main Budget'!$E$29,0)</f>
        <v>0</v>
      </c>
      <c r="K117" s="20">
        <f>IF(DAY(A117)='Main Budget'!$J$30,'Main Budget'!$E$30,0)</f>
        <v>0</v>
      </c>
      <c r="L117" s="20">
        <f>IF(DAY(A117)='Main Budget'!$J$31,'Main Budget'!$E$31,0)</f>
        <v>0</v>
      </c>
      <c r="M117" s="20">
        <f>IF(DAY(A117)='Main Budget'!$J$27,'Main Budget'!$E$27,0)</f>
        <v>0</v>
      </c>
      <c r="O117" s="228">
        <f>B117+(SUM(H117:M117)+(SUM(D117:E117)))</f>
        <v>100</v>
      </c>
      <c r="P117" s="228">
        <f>C117+F117+G117+N117</f>
        <v>100</v>
      </c>
      <c r="Q117" s="252">
        <f>O117+P117</f>
        <v>200</v>
      </c>
      <c r="S117" s="231" t="str">
        <f>TEXT(A117,"dddd")</f>
        <v>Sunday</v>
      </c>
    </row>
    <row r="118" spans="1:19" x14ac:dyDescent="0.25">
      <c r="A118" s="226">
        <v>46139</v>
      </c>
      <c r="B118" s="227">
        <f>O117</f>
        <v>100</v>
      </c>
      <c r="C118" s="228">
        <f>P117</f>
        <v>100</v>
      </c>
      <c r="D118" s="228">
        <f>IF(OR(DAY(A118+2)=1,DAY(A118+2)=15),-SUM('Main Budget'!$H$26:$H$31),0)</f>
        <v>0</v>
      </c>
      <c r="E118" s="228">
        <f>IF(DAY(A118+2)=22,-SUM('Main Budget'!$F$26:$F$31),0)</f>
        <v>0</v>
      </c>
      <c r="F118" s="228">
        <f>IF(D118&gt;0,-'Main Budget'!$H$25+0.15,0)</f>
        <v>0</v>
      </c>
      <c r="G118" s="228">
        <f>IF(E118&gt;0,-'Main Budget'!$F$25+0.81,0)</f>
        <v>0</v>
      </c>
      <c r="H118" s="227">
        <f>IF(DAY(A118)='Main Budget'!$J$26,'Main Budget'!$E$26,0)</f>
        <v>0</v>
      </c>
      <c r="I118" s="227">
        <f>IF(DAY(A118)='Main Budget'!$J$28,'Main Budget'!$E$28,0)</f>
        <v>0</v>
      </c>
      <c r="J118" s="227">
        <f>IF(DAY(A118)='Main Budget'!$J$29,'Main Budget'!$E$29,0)</f>
        <v>0</v>
      </c>
      <c r="K118" s="20">
        <f>IF(DAY(A118)='Main Budget'!$J$30,'Main Budget'!$E$30,0)</f>
        <v>0</v>
      </c>
      <c r="L118" s="20">
        <f>IF(DAY(A118)='Main Budget'!$J$31,'Main Budget'!$E$31,0)</f>
        <v>0</v>
      </c>
      <c r="M118" s="20">
        <f>IF(DAY(A118)='Main Budget'!$J$27,'Main Budget'!$E$27,0)</f>
        <v>0</v>
      </c>
      <c r="O118" s="228">
        <f>B118+(SUM(H118:M118)+(SUM(D118:E118)))</f>
        <v>100</v>
      </c>
      <c r="P118" s="228">
        <f>C118+F118+G118+N118</f>
        <v>100</v>
      </c>
      <c r="Q118" s="252">
        <f>O118+P118</f>
        <v>200</v>
      </c>
      <c r="S118" s="231" t="str">
        <f>TEXT(A118,"dddd")</f>
        <v>Monday</v>
      </c>
    </row>
    <row r="119" spans="1:19" x14ac:dyDescent="0.25">
      <c r="A119" s="226">
        <v>46140</v>
      </c>
      <c r="B119" s="227">
        <f>O118</f>
        <v>100</v>
      </c>
      <c r="C119" s="228">
        <f>P118</f>
        <v>100</v>
      </c>
      <c r="D119" s="228">
        <f>IF(OR(DAY(A119+2)=1,DAY(A119+2)=15),-SUM('Main Budget'!$H$26:$H$31),0)</f>
        <v>0</v>
      </c>
      <c r="E119" s="228">
        <f>IF(DAY(A119+2)=22,-SUM('Main Budget'!$F$26:$F$31),0)</f>
        <v>0</v>
      </c>
      <c r="F119" s="228">
        <f>IF(D119&gt;0,-'Main Budget'!$H$25+0.15,0)</f>
        <v>0</v>
      </c>
      <c r="G119" s="228">
        <f>IF(E119&gt;0,-'Main Budget'!$F$25+0.81,0)</f>
        <v>0</v>
      </c>
      <c r="H119" s="227">
        <f>IF(DAY(A119)='Main Budget'!$J$26,'Main Budget'!$E$26,0)</f>
        <v>0</v>
      </c>
      <c r="I119" s="227">
        <f>IF(DAY(A119)='Main Budget'!$J$28,'Main Budget'!$E$28,0)</f>
        <v>0</v>
      </c>
      <c r="J119" s="227">
        <f>IF(DAY(A119)='Main Budget'!$J$29,'Main Budget'!$E$29,0)</f>
        <v>0</v>
      </c>
      <c r="K119" s="20">
        <f>IF(DAY(A119)='Main Budget'!$J$30,'Main Budget'!$E$30,0)</f>
        <v>0</v>
      </c>
      <c r="L119" s="20">
        <f>IF(DAY(A119)='Main Budget'!$J$31,'Main Budget'!$E$31,0)</f>
        <v>0</v>
      </c>
      <c r="M119" s="20">
        <f>IF(DAY(A119)='Main Budget'!$J$27,'Main Budget'!$E$27,0)</f>
        <v>0</v>
      </c>
      <c r="O119" s="228">
        <f>B119+(SUM(H119:M119)+(SUM(D119:E119)))</f>
        <v>100</v>
      </c>
      <c r="P119" s="228">
        <f>C119+F119+G119+N119</f>
        <v>100</v>
      </c>
      <c r="Q119" s="252">
        <f>O119+P119</f>
        <v>200</v>
      </c>
      <c r="S119" s="231" t="str">
        <f>TEXT(A119,"dddd")</f>
        <v>Tuesday</v>
      </c>
    </row>
    <row r="120" spans="1:19" x14ac:dyDescent="0.25">
      <c r="A120" s="226">
        <v>46141</v>
      </c>
      <c r="B120" s="227">
        <f>O119</f>
        <v>100</v>
      </c>
      <c r="C120" s="228">
        <f>P119</f>
        <v>100</v>
      </c>
      <c r="D120" s="228">
        <f>IF(OR(DAY(A120+2)=1,DAY(A120+2)=15),-SUM('Main Budget'!$H$26:$H$31),0)</f>
        <v>0</v>
      </c>
      <c r="E120" s="228">
        <f>IF(DAY(A120+2)=22,-SUM('Main Budget'!$F$26:$F$31),0)</f>
        <v>0</v>
      </c>
      <c r="F120" s="228">
        <f>IF(D120&gt;0,-'Main Budget'!$H$25+0.15,0)</f>
        <v>0</v>
      </c>
      <c r="G120" s="228">
        <f>IF(E120&gt;0,-'Main Budget'!$F$25+0.81,0)</f>
        <v>0</v>
      </c>
      <c r="H120" s="227">
        <f>IF(DAY(A120)='Main Budget'!$J$26,'Main Budget'!$E$26,0)</f>
        <v>0</v>
      </c>
      <c r="I120" s="227">
        <f>IF(DAY(A120)='Main Budget'!$J$28,'Main Budget'!$E$28,0)</f>
        <v>0</v>
      </c>
      <c r="J120" s="227">
        <f>IF(DAY(A120)='Main Budget'!$J$29,'Main Budget'!$E$29,0)</f>
        <v>0</v>
      </c>
      <c r="K120" s="20">
        <f>IF(DAY(A120)='Main Budget'!$J$30,'Main Budget'!$E$30,0)</f>
        <v>0</v>
      </c>
      <c r="L120" s="20">
        <f>IF(DAY(A120)='Main Budget'!$J$31,'Main Budget'!$E$31,0)</f>
        <v>0</v>
      </c>
      <c r="M120" s="20">
        <f>IF(DAY(A120)='Main Budget'!$J$27,'Main Budget'!$E$27,0)</f>
        <v>0</v>
      </c>
      <c r="O120" s="228">
        <f>B120+(SUM(H120:M120)+(SUM(D120:E120)))</f>
        <v>100</v>
      </c>
      <c r="P120" s="228">
        <f>C120+F120+G120+N120</f>
        <v>100</v>
      </c>
      <c r="Q120" s="252">
        <f>O120+P120</f>
        <v>200</v>
      </c>
      <c r="S120" s="231" t="str">
        <f>TEXT(A120,"dddd")</f>
        <v>Wednesday</v>
      </c>
    </row>
    <row r="121" spans="1:19" x14ac:dyDescent="0.25">
      <c r="A121" s="226">
        <v>46142</v>
      </c>
      <c r="B121" s="227">
        <f>O120</f>
        <v>100</v>
      </c>
      <c r="C121" s="228">
        <f>P120</f>
        <v>100</v>
      </c>
      <c r="D121" s="228">
        <f>IF(OR(DAY(A121+2)=1,DAY(A121+2)=15),-SUM('Main Budget'!$H$26:$H$31),0)</f>
        <v>0</v>
      </c>
      <c r="E121" s="228">
        <f>IF(DAY(A121+2)=22,-SUM('Main Budget'!$F$26:$F$31),0)</f>
        <v>0</v>
      </c>
      <c r="F121" s="228">
        <f>IF(D121&gt;0,-'Main Budget'!$H$25+0.15,0)</f>
        <v>0</v>
      </c>
      <c r="G121" s="228">
        <f>IF(E121&gt;0,-'Main Budget'!$F$25+0.81,0)</f>
        <v>0</v>
      </c>
      <c r="H121" s="227">
        <f>IF(DAY(A121)='Main Budget'!$J$26,'Main Budget'!$E$26,0)</f>
        <v>0</v>
      </c>
      <c r="I121" s="227">
        <f>IF(DAY(A121)='Main Budget'!$J$28,'Main Budget'!$E$28,0)</f>
        <v>0</v>
      </c>
      <c r="J121" s="227">
        <f>IF(DAY(A121)='Main Budget'!$J$29,'Main Budget'!$E$29,0)</f>
        <v>0</v>
      </c>
      <c r="K121" s="20">
        <f>IF(DAY(A121)='Main Budget'!$J$30,'Main Budget'!$E$30,0)</f>
        <v>0</v>
      </c>
      <c r="L121" s="20">
        <f>IF(DAY(A121)='Main Budget'!$J$31,'Main Budget'!$E$31,0)</f>
        <v>0</v>
      </c>
      <c r="M121" s="20">
        <f>IF(DAY(A121)='Main Budget'!$J$27,'Main Budget'!$E$27,0)</f>
        <v>0</v>
      </c>
      <c r="O121" s="228">
        <f>B121+(SUM(H121:M121)+(SUM(D121:E121)))</f>
        <v>100</v>
      </c>
      <c r="P121" s="228">
        <f>C121+F121+G121+N121</f>
        <v>100</v>
      </c>
      <c r="Q121" s="252">
        <f>O121+P121</f>
        <v>200</v>
      </c>
      <c r="S121" s="231" t="str">
        <f>TEXT(A121,"dddd")</f>
        <v>Thursday</v>
      </c>
    </row>
    <row r="122" spans="1:19" x14ac:dyDescent="0.25">
      <c r="A122" s="226">
        <v>46143</v>
      </c>
      <c r="B122" s="227">
        <f>O121</f>
        <v>100</v>
      </c>
      <c r="C122" s="228">
        <f>P121</f>
        <v>100</v>
      </c>
      <c r="D122" s="228">
        <f>IF(OR(DAY(A122+2)=1,DAY(A122+2)=15),-SUM('Main Budget'!$H$26:$H$31),0)</f>
        <v>0</v>
      </c>
      <c r="E122" s="228">
        <f>IF(DAY(A122+2)=22,-SUM('Main Budget'!$F$26:$F$31),0)</f>
        <v>0</v>
      </c>
      <c r="F122" s="228">
        <f>IF(D122&gt;0,-'Main Budget'!$H$25+0.15,0)</f>
        <v>0</v>
      </c>
      <c r="G122" s="228">
        <f>IF(E122&gt;0,-'Main Budget'!$F$25+0.81,0)</f>
        <v>0</v>
      </c>
      <c r="H122" s="227">
        <f>IF(DAY(A122)='Main Budget'!$J$26,'Main Budget'!$E$26,0)</f>
        <v>0</v>
      </c>
      <c r="I122" s="227">
        <f>IF(DAY(A122)='Main Budget'!$J$28,'Main Budget'!$E$28,0)</f>
        <v>0</v>
      </c>
      <c r="J122" s="227">
        <f>IF(DAY(A122)='Main Budget'!$J$29,'Main Budget'!$E$29,0)</f>
        <v>0</v>
      </c>
      <c r="K122" s="20">
        <f>IF(DAY(A122)='Main Budget'!$J$30,'Main Budget'!$E$30,0)</f>
        <v>0</v>
      </c>
      <c r="L122" s="20">
        <f>IF(DAY(A122)='Main Budget'!$J$31,'Main Budget'!$E$31,0)</f>
        <v>0</v>
      </c>
      <c r="M122" s="20">
        <f>IF(DAY(A122)='Main Budget'!$J$27,'Main Budget'!$E$27,0)</f>
        <v>0</v>
      </c>
      <c r="O122" s="228">
        <f>B122+(SUM(H122:M122)+(SUM(D122:E122)))</f>
        <v>100</v>
      </c>
      <c r="P122" s="228">
        <f>C122+F122+G122+N122</f>
        <v>100</v>
      </c>
      <c r="Q122" s="252">
        <f>O122+P122</f>
        <v>200</v>
      </c>
      <c r="S122" s="231" t="str">
        <f>TEXT(A122,"dddd")</f>
        <v>Friday</v>
      </c>
    </row>
    <row r="123" spans="1:19" x14ac:dyDescent="0.25">
      <c r="A123" s="226">
        <v>46144</v>
      </c>
      <c r="B123" s="227">
        <f>O122</f>
        <v>100</v>
      </c>
      <c r="C123" s="228">
        <f>P122</f>
        <v>100</v>
      </c>
      <c r="D123" s="228">
        <f>IF(OR(DAY(A123+2)=1,DAY(A123+2)=15),-SUM('Main Budget'!$H$26:$H$31),0)</f>
        <v>0</v>
      </c>
      <c r="E123" s="228">
        <f>IF(DAY(A123+2)=22,-SUM('Main Budget'!$F$26:$F$31),0)</f>
        <v>0</v>
      </c>
      <c r="F123" s="228">
        <f>IF(D123&gt;0,-'Main Budget'!$H$25+0.15,0)</f>
        <v>0</v>
      </c>
      <c r="G123" s="228">
        <f>IF(E123&gt;0,-'Main Budget'!$F$25+0.81,0)</f>
        <v>0</v>
      </c>
      <c r="H123" s="227">
        <f>IF(DAY(A123)='Main Budget'!$J$26,'Main Budget'!$E$26,0)</f>
        <v>0</v>
      </c>
      <c r="I123" s="227">
        <f>IF(DAY(A123)='Main Budget'!$J$28,'Main Budget'!$E$28,0)</f>
        <v>0</v>
      </c>
      <c r="J123" s="227">
        <f>IF(DAY(A123)='Main Budget'!$J$29,'Main Budget'!$E$29,0)</f>
        <v>0</v>
      </c>
      <c r="K123" s="20">
        <f>IF(DAY(A123)='Main Budget'!$J$30,'Main Budget'!$E$30,0)</f>
        <v>0</v>
      </c>
      <c r="L123" s="20">
        <f>IF(DAY(A123)='Main Budget'!$J$31,'Main Budget'!$E$31,0)</f>
        <v>0</v>
      </c>
      <c r="M123" s="20">
        <f>IF(DAY(A123)='Main Budget'!$J$27,'Main Budget'!$E$27,0)</f>
        <v>0</v>
      </c>
      <c r="O123" s="228">
        <f>B123+(SUM(H123:M123)+(SUM(D123:E123)))</f>
        <v>100</v>
      </c>
      <c r="P123" s="228">
        <f>C123+F123+G123+N123</f>
        <v>100</v>
      </c>
      <c r="Q123" s="252">
        <f>O123+P123</f>
        <v>200</v>
      </c>
      <c r="S123" s="231" t="str">
        <f>TEXT(A123,"dddd")</f>
        <v>Saturday</v>
      </c>
    </row>
    <row r="124" spans="1:19" x14ac:dyDescent="0.25">
      <c r="A124" s="226">
        <v>46145</v>
      </c>
      <c r="B124" s="227">
        <f>O123</f>
        <v>100</v>
      </c>
      <c r="C124" s="228">
        <f>P123</f>
        <v>100</v>
      </c>
      <c r="D124" s="228">
        <f>IF(OR(DAY(A124+2)=1,DAY(A124+2)=15),-SUM('Main Budget'!$H$26:$H$31),0)</f>
        <v>0</v>
      </c>
      <c r="E124" s="228">
        <f>IF(DAY(A124+2)=22,-SUM('Main Budget'!$F$26:$F$31),0)</f>
        <v>0</v>
      </c>
      <c r="F124" s="228">
        <f>IF(D124&gt;0,-'Main Budget'!$H$25+0.15,0)</f>
        <v>0</v>
      </c>
      <c r="G124" s="228">
        <f>IF(E124&gt;0,-'Main Budget'!$F$25+0.81,0)</f>
        <v>0</v>
      </c>
      <c r="H124" s="227">
        <f>IF(DAY(A124)='Main Budget'!$J$26,'Main Budget'!$E$26,0)</f>
        <v>0</v>
      </c>
      <c r="I124" s="227">
        <f>IF(DAY(A124)='Main Budget'!$J$28,'Main Budget'!$E$28,0)</f>
        <v>0</v>
      </c>
      <c r="J124" s="227">
        <f>IF(DAY(A124)='Main Budget'!$J$29,'Main Budget'!$E$29,0)</f>
        <v>0</v>
      </c>
      <c r="K124" s="20">
        <f>IF(DAY(A124)='Main Budget'!$J$30,'Main Budget'!$E$30,0)</f>
        <v>0</v>
      </c>
      <c r="L124" s="20">
        <f>IF(DAY(A124)='Main Budget'!$J$31,'Main Budget'!$E$31,0)</f>
        <v>0</v>
      </c>
      <c r="M124" s="20">
        <f>IF(DAY(A124)='Main Budget'!$J$27,'Main Budget'!$E$27,0)</f>
        <v>0</v>
      </c>
      <c r="O124" s="228">
        <f>B124+(SUM(H124:M124)+(SUM(D124:E124)))</f>
        <v>100</v>
      </c>
      <c r="P124" s="228">
        <f>C124+F124+G124+N124</f>
        <v>100</v>
      </c>
      <c r="Q124" s="252">
        <f>O124+P124</f>
        <v>200</v>
      </c>
      <c r="S124" s="231" t="str">
        <f>TEXT(A124,"dddd")</f>
        <v>Sunday</v>
      </c>
    </row>
    <row r="125" spans="1:19" x14ac:dyDescent="0.25">
      <c r="A125" s="226">
        <v>46146</v>
      </c>
      <c r="B125" s="227">
        <f>O124</f>
        <v>100</v>
      </c>
      <c r="C125" s="228">
        <f>P124</f>
        <v>100</v>
      </c>
      <c r="D125" s="228">
        <f>IF(OR(DAY(A125+2)=1,DAY(A125+2)=15),-SUM('Main Budget'!$H$26:$H$31),0)</f>
        <v>0</v>
      </c>
      <c r="E125" s="228">
        <f>IF(DAY(A125+2)=22,-SUM('Main Budget'!$F$26:$F$31),0)</f>
        <v>0</v>
      </c>
      <c r="F125" s="228">
        <f>IF(D125&gt;0,-'Main Budget'!$H$25+0.15,0)</f>
        <v>0</v>
      </c>
      <c r="G125" s="228">
        <f>IF(E125&gt;0,-'Main Budget'!$F$25+0.81,0)</f>
        <v>0</v>
      </c>
      <c r="H125" s="227">
        <f>IF(DAY(A125)='Main Budget'!$J$26,'Main Budget'!$E$26,0)</f>
        <v>0</v>
      </c>
      <c r="I125" s="227">
        <f>IF(DAY(A125)='Main Budget'!$J$28,'Main Budget'!$E$28,0)</f>
        <v>0</v>
      </c>
      <c r="J125" s="227">
        <f>IF(DAY(A125)='Main Budget'!$J$29,'Main Budget'!$E$29,0)</f>
        <v>0</v>
      </c>
      <c r="K125" s="20">
        <f>IF(DAY(A125)='Main Budget'!$J$30,'Main Budget'!$E$30,0)</f>
        <v>0</v>
      </c>
      <c r="L125" s="20">
        <f>IF(DAY(A125)='Main Budget'!$J$31,'Main Budget'!$E$31,0)</f>
        <v>0</v>
      </c>
      <c r="M125" s="20">
        <f>IF(DAY(A125)='Main Budget'!$J$27,'Main Budget'!$E$27,0)</f>
        <v>0</v>
      </c>
      <c r="O125" s="228">
        <f>B125+(SUM(H125:M125)+(SUM(D125:E125)))</f>
        <v>100</v>
      </c>
      <c r="P125" s="228">
        <f>C125+F125+G125+N125</f>
        <v>100</v>
      </c>
      <c r="Q125" s="252">
        <f>O125+P125</f>
        <v>200</v>
      </c>
      <c r="S125" s="231" t="str">
        <f>TEXT(A125,"dddd")</f>
        <v>Monday</v>
      </c>
    </row>
    <row r="126" spans="1:19" x14ac:dyDescent="0.25">
      <c r="A126" s="226">
        <v>46147</v>
      </c>
      <c r="B126" s="227">
        <f>O125</f>
        <v>100</v>
      </c>
      <c r="C126" s="228">
        <f>P125</f>
        <v>100</v>
      </c>
      <c r="D126" s="228">
        <f>IF(OR(DAY(A126+2)=1,DAY(A126+2)=15),-SUM('Main Budget'!$H$26:$H$31),0)</f>
        <v>0</v>
      </c>
      <c r="E126" s="228">
        <f>IF(DAY(A126+2)=22,-SUM('Main Budget'!$F$26:$F$31),0)</f>
        <v>0</v>
      </c>
      <c r="F126" s="228">
        <f>IF(D126&gt;0,-'Main Budget'!$H$25+0.15,0)</f>
        <v>0</v>
      </c>
      <c r="G126" s="228">
        <f>IF(E126&gt;0,-'Main Budget'!$F$25+0.81,0)</f>
        <v>0</v>
      </c>
      <c r="H126" s="227">
        <f>IF(DAY(A126)='Main Budget'!$J$26,'Main Budget'!$E$26,0)</f>
        <v>0</v>
      </c>
      <c r="I126" s="227">
        <f>IF(DAY(A126)='Main Budget'!$J$28,'Main Budget'!$E$28,0)</f>
        <v>0</v>
      </c>
      <c r="J126" s="227">
        <f>IF(DAY(A126)='Main Budget'!$J$29,'Main Budget'!$E$29,0)</f>
        <v>0</v>
      </c>
      <c r="K126" s="20">
        <f>IF(DAY(A126)='Main Budget'!$J$30,'Main Budget'!$E$30,0)</f>
        <v>0</v>
      </c>
      <c r="L126" s="20">
        <f>IF(DAY(A126)='Main Budget'!$J$31,'Main Budget'!$E$31,0)</f>
        <v>0</v>
      </c>
      <c r="M126" s="20">
        <f>IF(DAY(A126)='Main Budget'!$J$27,'Main Budget'!$E$27,0)</f>
        <v>0</v>
      </c>
      <c r="O126" s="228">
        <f>B126+(SUM(H126:M126)+(SUM(D126:E126)))</f>
        <v>100</v>
      </c>
      <c r="P126" s="228">
        <f>C126+F126+G126+N126</f>
        <v>100</v>
      </c>
      <c r="Q126" s="252">
        <f>O126+P126</f>
        <v>200</v>
      </c>
      <c r="S126" s="231" t="str">
        <f>TEXT(A126,"dddd")</f>
        <v>Tuesday</v>
      </c>
    </row>
    <row r="127" spans="1:19" x14ac:dyDescent="0.25">
      <c r="A127" s="226">
        <v>46148</v>
      </c>
      <c r="B127" s="227">
        <f>O126</f>
        <v>100</v>
      </c>
      <c r="C127" s="228">
        <f>P126</f>
        <v>100</v>
      </c>
      <c r="D127" s="228">
        <f>IF(OR(DAY(A127+2)=1,DAY(A127+2)=15),-SUM('Main Budget'!$H$26:$H$31),0)</f>
        <v>0</v>
      </c>
      <c r="E127" s="228">
        <f>IF(DAY(A127+2)=22,-SUM('Main Budget'!$F$26:$F$31),0)</f>
        <v>0</v>
      </c>
      <c r="F127" s="228">
        <f>IF(D127&gt;0,-'Main Budget'!$H$25+0.15,0)</f>
        <v>0</v>
      </c>
      <c r="G127" s="228">
        <f>IF(E127&gt;0,-'Main Budget'!$F$25+0.81,0)</f>
        <v>0</v>
      </c>
      <c r="H127" s="227">
        <f>IF(DAY(A127)='Main Budget'!$J$26,'Main Budget'!$E$26,0)</f>
        <v>0</v>
      </c>
      <c r="I127" s="227">
        <f>IF(DAY(A127)='Main Budget'!$J$28,'Main Budget'!$E$28,0)</f>
        <v>0</v>
      </c>
      <c r="J127" s="227">
        <f>IF(DAY(A127)='Main Budget'!$J$29,'Main Budget'!$E$29,0)</f>
        <v>0</v>
      </c>
      <c r="K127" s="20">
        <f>IF(DAY(A127)='Main Budget'!$J$30,'Main Budget'!$E$30,0)</f>
        <v>0</v>
      </c>
      <c r="L127" s="20">
        <f>IF(DAY(A127)='Main Budget'!$J$31,'Main Budget'!$E$31,0)</f>
        <v>0</v>
      </c>
      <c r="M127" s="20">
        <f>IF(DAY(A127)='Main Budget'!$J$27,'Main Budget'!$E$27,0)</f>
        <v>0</v>
      </c>
      <c r="O127" s="228">
        <f>B127+(SUM(H127:M127)+(SUM(D127:E127)))</f>
        <v>100</v>
      </c>
      <c r="P127" s="228">
        <f>C127+F127+G127+N127</f>
        <v>100</v>
      </c>
      <c r="Q127" s="252">
        <f>O127+P127</f>
        <v>200</v>
      </c>
      <c r="S127" s="231" t="str">
        <f>TEXT(A127,"dddd")</f>
        <v>Wednesday</v>
      </c>
    </row>
    <row r="128" spans="1:19" x14ac:dyDescent="0.25">
      <c r="A128" s="226">
        <v>46149</v>
      </c>
      <c r="B128" s="227">
        <f>O127</f>
        <v>100</v>
      </c>
      <c r="C128" s="228">
        <f>P127</f>
        <v>100</v>
      </c>
      <c r="D128" s="228">
        <f>IF(OR(DAY(A128+2)=1,DAY(A128+2)=15),-SUM('Main Budget'!$H$26:$H$31),0)</f>
        <v>0</v>
      </c>
      <c r="E128" s="228">
        <f>IF(DAY(A128+2)=22,-SUM('Main Budget'!$F$26:$F$31),0)</f>
        <v>0</v>
      </c>
      <c r="F128" s="228">
        <f>IF(D128&gt;0,-'Main Budget'!$H$25+0.15,0)</f>
        <v>0</v>
      </c>
      <c r="G128" s="228">
        <f>IF(E128&gt;0,-'Main Budget'!$F$25+0.81,0)</f>
        <v>0</v>
      </c>
      <c r="H128" s="227">
        <f>IF(DAY(A128)='Main Budget'!$J$26,'Main Budget'!$E$26,0)</f>
        <v>0</v>
      </c>
      <c r="I128" s="227">
        <f>IF(DAY(A128)='Main Budget'!$J$28,'Main Budget'!$E$28,0)</f>
        <v>0</v>
      </c>
      <c r="J128" s="227">
        <f>IF(DAY(A128)='Main Budget'!$J$29,'Main Budget'!$E$29,0)</f>
        <v>0</v>
      </c>
      <c r="K128" s="20">
        <f>IF(DAY(A128)='Main Budget'!$J$30,'Main Budget'!$E$30,0)</f>
        <v>0</v>
      </c>
      <c r="L128" s="20">
        <f>IF(DAY(A128)='Main Budget'!$J$31,'Main Budget'!$E$31,0)</f>
        <v>0</v>
      </c>
      <c r="M128" s="20">
        <f>IF(DAY(A128)='Main Budget'!$J$27,'Main Budget'!$E$27,0)</f>
        <v>0</v>
      </c>
      <c r="O128" s="228">
        <f>B128+(SUM(H128:M128)+(SUM(D128:E128)))</f>
        <v>100</v>
      </c>
      <c r="P128" s="228">
        <f>C128+F128+G128+N128</f>
        <v>100</v>
      </c>
      <c r="Q128" s="252">
        <f>O128+P128</f>
        <v>200</v>
      </c>
      <c r="S128" s="231" t="str">
        <f>TEXT(A128,"dddd")</f>
        <v>Thursday</v>
      </c>
    </row>
    <row r="129" spans="1:19" x14ac:dyDescent="0.25">
      <c r="A129" s="226">
        <v>46150</v>
      </c>
      <c r="B129" s="227">
        <f>O128</f>
        <v>100</v>
      </c>
      <c r="C129" s="228">
        <f>P128</f>
        <v>100</v>
      </c>
      <c r="D129" s="228">
        <f>IF(OR(DAY(A129+2)=1,DAY(A129+2)=15),-SUM('Main Budget'!$H$26:$H$31),0)</f>
        <v>0</v>
      </c>
      <c r="E129" s="228">
        <f>IF(DAY(A129+2)=22,-SUM('Main Budget'!$F$26:$F$31),0)</f>
        <v>0</v>
      </c>
      <c r="F129" s="228">
        <f>IF(D129&gt;0,-'Main Budget'!$H$25+0.15,0)</f>
        <v>0</v>
      </c>
      <c r="G129" s="228">
        <f>IF(E129&gt;0,-'Main Budget'!$F$25+0.81,0)</f>
        <v>0</v>
      </c>
      <c r="H129" s="227">
        <f>IF(DAY(A129)='Main Budget'!$J$26,'Main Budget'!$E$26,0)</f>
        <v>0</v>
      </c>
      <c r="I129" s="227">
        <f>IF(DAY(A129)='Main Budget'!$J$28,'Main Budget'!$E$28,0)</f>
        <v>0</v>
      </c>
      <c r="J129" s="227">
        <f>IF(DAY(A129)='Main Budget'!$J$29,'Main Budget'!$E$29,0)</f>
        <v>0</v>
      </c>
      <c r="K129" s="20">
        <f>IF(DAY(A129)='Main Budget'!$J$30,'Main Budget'!$E$30,0)</f>
        <v>0</v>
      </c>
      <c r="L129" s="20">
        <f>IF(DAY(A129)='Main Budget'!$J$31,'Main Budget'!$E$31,0)</f>
        <v>0</v>
      </c>
      <c r="M129" s="20">
        <f>IF(DAY(A129)='Main Budget'!$J$27,'Main Budget'!$E$27,0)</f>
        <v>0</v>
      </c>
      <c r="O129" s="228">
        <f>B129+(SUM(H129:M129)+(SUM(D129:E129)))</f>
        <v>100</v>
      </c>
      <c r="P129" s="228">
        <f>C129+F129+G129+N129</f>
        <v>100</v>
      </c>
      <c r="Q129" s="252">
        <f>O129+P129</f>
        <v>200</v>
      </c>
      <c r="S129" s="231" t="str">
        <f>TEXT(A129,"dddd")</f>
        <v>Friday</v>
      </c>
    </row>
    <row r="130" spans="1:19" x14ac:dyDescent="0.25">
      <c r="A130" s="226">
        <v>46151</v>
      </c>
      <c r="B130" s="227">
        <f>O129</f>
        <v>100</v>
      </c>
      <c r="C130" s="228">
        <f>P129</f>
        <v>100</v>
      </c>
      <c r="D130" s="228">
        <f>IF(OR(DAY(A130+2)=1,DAY(A130+2)=15),-SUM('Main Budget'!$H$26:$H$31),0)</f>
        <v>0</v>
      </c>
      <c r="E130" s="228">
        <f>IF(DAY(A130+2)=22,-SUM('Main Budget'!$F$26:$F$31),0)</f>
        <v>0</v>
      </c>
      <c r="F130" s="228">
        <f>IF(D130&gt;0,-'Main Budget'!$H$25+0.15,0)</f>
        <v>0</v>
      </c>
      <c r="G130" s="228">
        <f>IF(E130&gt;0,-'Main Budget'!$F$25+0.81,0)</f>
        <v>0</v>
      </c>
      <c r="H130" s="227">
        <f>IF(DAY(A130)='Main Budget'!$J$26,'Main Budget'!$E$26,0)</f>
        <v>0</v>
      </c>
      <c r="I130" s="227">
        <f>IF(DAY(A130)='Main Budget'!$J$28,'Main Budget'!$E$28,0)</f>
        <v>0</v>
      </c>
      <c r="J130" s="227">
        <f>IF(DAY(A130)='Main Budget'!$J$29,'Main Budget'!$E$29,0)</f>
        <v>0</v>
      </c>
      <c r="K130" s="20">
        <f>IF(DAY(A130)='Main Budget'!$J$30,'Main Budget'!$E$30,0)</f>
        <v>0</v>
      </c>
      <c r="L130" s="20">
        <f>IF(DAY(A130)='Main Budget'!$J$31,'Main Budget'!$E$31,0)</f>
        <v>0</v>
      </c>
      <c r="M130" s="20">
        <f>IF(DAY(A130)='Main Budget'!$J$27,'Main Budget'!$E$27,0)</f>
        <v>0</v>
      </c>
      <c r="O130" s="228">
        <f>B130+(SUM(H130:M130)+(SUM(D130:E130)))</f>
        <v>100</v>
      </c>
      <c r="P130" s="228">
        <f>C130+F130+G130+N130</f>
        <v>100</v>
      </c>
      <c r="Q130" s="252">
        <f>O130+P130</f>
        <v>200</v>
      </c>
      <c r="S130" s="231" t="str">
        <f>TEXT(A130,"dddd")</f>
        <v>Saturday</v>
      </c>
    </row>
    <row r="131" spans="1:19" x14ac:dyDescent="0.25">
      <c r="A131" s="226">
        <v>46152</v>
      </c>
      <c r="B131" s="227">
        <f>O130</f>
        <v>100</v>
      </c>
      <c r="C131" s="228">
        <f>P130</f>
        <v>100</v>
      </c>
      <c r="D131" s="228">
        <f>IF(OR(DAY(A131+2)=1,DAY(A131+2)=15),-SUM('Main Budget'!$H$26:$H$31),0)</f>
        <v>0</v>
      </c>
      <c r="E131" s="228">
        <f>IF(DAY(A131+2)=22,-SUM('Main Budget'!$F$26:$F$31),0)</f>
        <v>0</v>
      </c>
      <c r="F131" s="228">
        <f>IF(D131&gt;0,-'Main Budget'!$H$25+0.15,0)</f>
        <v>0</v>
      </c>
      <c r="G131" s="228">
        <f>IF(E131&gt;0,-'Main Budget'!$F$25+0.81,0)</f>
        <v>0</v>
      </c>
      <c r="H131" s="227">
        <f>IF(DAY(A131)='Main Budget'!$J$26,'Main Budget'!$E$26,0)</f>
        <v>0</v>
      </c>
      <c r="I131" s="227">
        <f>IF(DAY(A131)='Main Budget'!$J$28,'Main Budget'!$E$28,0)</f>
        <v>0</v>
      </c>
      <c r="J131" s="227">
        <f>IF(DAY(A131)='Main Budget'!$J$29,'Main Budget'!$E$29,0)</f>
        <v>0</v>
      </c>
      <c r="K131" s="20">
        <f>IF(DAY(A131)='Main Budget'!$J$30,'Main Budget'!$E$30,0)</f>
        <v>0</v>
      </c>
      <c r="L131" s="20">
        <f>IF(DAY(A131)='Main Budget'!$J$31,'Main Budget'!$E$31,0)</f>
        <v>0</v>
      </c>
      <c r="M131" s="20">
        <f>IF(DAY(A131)='Main Budget'!$J$27,'Main Budget'!$E$27,0)</f>
        <v>0</v>
      </c>
      <c r="O131" s="228">
        <f>B131+(SUM(H131:M131)+(SUM(D131:E131)))</f>
        <v>100</v>
      </c>
      <c r="P131" s="228">
        <f>C131+F131+G131+N131</f>
        <v>100</v>
      </c>
      <c r="Q131" s="252">
        <f>O131+P131</f>
        <v>200</v>
      </c>
      <c r="S131" s="231" t="str">
        <f>TEXT(A131,"dddd")</f>
        <v>Sunday</v>
      </c>
    </row>
    <row r="132" spans="1:19" x14ac:dyDescent="0.25">
      <c r="A132" s="226">
        <v>46153</v>
      </c>
      <c r="B132" s="227">
        <f>O131</f>
        <v>100</v>
      </c>
      <c r="C132" s="228">
        <f>P131</f>
        <v>100</v>
      </c>
      <c r="D132" s="228">
        <f>IF(OR(DAY(A132+2)=1,DAY(A132+2)=15),-SUM('Main Budget'!$H$26:$H$31),0)</f>
        <v>0</v>
      </c>
      <c r="E132" s="228">
        <f>IF(DAY(A132+2)=22,-SUM('Main Budget'!$F$26:$F$31),0)</f>
        <v>0</v>
      </c>
      <c r="F132" s="228">
        <f>IF(D132&gt;0,-'Main Budget'!$H$25+0.15,0)</f>
        <v>0</v>
      </c>
      <c r="G132" s="228">
        <f>IF(E132&gt;0,-'Main Budget'!$F$25+0.81,0)</f>
        <v>0</v>
      </c>
      <c r="H132" s="227">
        <f>IF(DAY(A132)='Main Budget'!$J$26,'Main Budget'!$E$26,0)</f>
        <v>0</v>
      </c>
      <c r="I132" s="227">
        <f>IF(DAY(A132)='Main Budget'!$J$28,'Main Budget'!$E$28,0)</f>
        <v>0</v>
      </c>
      <c r="J132" s="227">
        <f>IF(DAY(A132)='Main Budget'!$J$29,'Main Budget'!$E$29,0)</f>
        <v>0</v>
      </c>
      <c r="K132" s="20">
        <f>IF(DAY(A132)='Main Budget'!$J$30,'Main Budget'!$E$30,0)</f>
        <v>0</v>
      </c>
      <c r="L132" s="20">
        <f>IF(DAY(A132)='Main Budget'!$J$31,'Main Budget'!$E$31,0)</f>
        <v>0</v>
      </c>
      <c r="M132" s="20">
        <f>IF(DAY(A132)='Main Budget'!$J$27,'Main Budget'!$E$27,0)</f>
        <v>0</v>
      </c>
      <c r="O132" s="228">
        <f>B132+(SUM(H132:M132)+(SUM(D132:E132)))</f>
        <v>100</v>
      </c>
      <c r="P132" s="228">
        <f>C132+F132+G132+N132</f>
        <v>100</v>
      </c>
      <c r="Q132" s="252">
        <f>O132+P132</f>
        <v>200</v>
      </c>
      <c r="S132" s="231" t="str">
        <f>TEXT(A132,"dddd")</f>
        <v>Monday</v>
      </c>
    </row>
    <row r="133" spans="1:19" x14ac:dyDescent="0.25">
      <c r="A133" s="226">
        <v>46154</v>
      </c>
      <c r="B133" s="227">
        <f>O132</f>
        <v>100</v>
      </c>
      <c r="C133" s="228">
        <f>P132</f>
        <v>100</v>
      </c>
      <c r="D133" s="228">
        <f>IF(OR(DAY(A133+2)=1,DAY(A133+2)=15),-SUM('Main Budget'!$H$26:$H$31),0)</f>
        <v>0</v>
      </c>
      <c r="E133" s="228">
        <f>IF(DAY(A133+2)=22,-SUM('Main Budget'!$F$26:$F$31),0)</f>
        <v>0</v>
      </c>
      <c r="F133" s="228">
        <f>IF(D133&gt;0,-'Main Budget'!$H$25+0.15,0)</f>
        <v>0</v>
      </c>
      <c r="G133" s="228">
        <f>IF(E133&gt;0,-'Main Budget'!$F$25+0.81,0)</f>
        <v>0</v>
      </c>
      <c r="H133" s="227">
        <f>IF(DAY(A133)='Main Budget'!$J$26,'Main Budget'!$E$26,0)</f>
        <v>0</v>
      </c>
      <c r="I133" s="227">
        <f>IF(DAY(A133)='Main Budget'!$J$28,'Main Budget'!$E$28,0)</f>
        <v>0</v>
      </c>
      <c r="J133" s="227">
        <f>IF(DAY(A133)='Main Budget'!$J$29,'Main Budget'!$E$29,0)</f>
        <v>0</v>
      </c>
      <c r="K133" s="20">
        <f>IF(DAY(A133)='Main Budget'!$J$30,'Main Budget'!$E$30,0)</f>
        <v>0</v>
      </c>
      <c r="L133" s="20">
        <f>IF(DAY(A133)='Main Budget'!$J$31,'Main Budget'!$E$31,0)</f>
        <v>0</v>
      </c>
      <c r="M133" s="20">
        <f>IF(DAY(A133)='Main Budget'!$J$27,'Main Budget'!$E$27,0)</f>
        <v>0</v>
      </c>
      <c r="O133" s="228">
        <f>B133+(SUM(H133:M133)+(SUM(D133:E133)))</f>
        <v>100</v>
      </c>
      <c r="P133" s="228">
        <f>C133+F133+G133+N133</f>
        <v>100</v>
      </c>
      <c r="Q133" s="252">
        <f>O133+P133</f>
        <v>200</v>
      </c>
      <c r="S133" s="231" t="str">
        <f>TEXT(A133,"dddd")</f>
        <v>Tuesday</v>
      </c>
    </row>
    <row r="134" spans="1:19" x14ac:dyDescent="0.25">
      <c r="A134" s="226">
        <v>46155</v>
      </c>
      <c r="B134" s="227">
        <f>O133</f>
        <v>100</v>
      </c>
      <c r="C134" s="228">
        <f>P133</f>
        <v>100</v>
      </c>
      <c r="D134" s="228">
        <f>IF(OR(DAY(A134+2)=1,DAY(A134+2)=15),-SUM('Main Budget'!$H$26:$H$31),0)</f>
        <v>0</v>
      </c>
      <c r="E134" s="228">
        <f>IF(DAY(A134+2)=22,-SUM('Main Budget'!$F$26:$F$31),0)</f>
        <v>0</v>
      </c>
      <c r="F134" s="228">
        <f>IF(D134&gt;0,-'Main Budget'!$H$25+0.15,0)</f>
        <v>0</v>
      </c>
      <c r="G134" s="228">
        <f>IF(E134&gt;0,-'Main Budget'!$F$25+0.81,0)</f>
        <v>0</v>
      </c>
      <c r="H134" s="227">
        <f>IF(DAY(A134)='Main Budget'!$J$26,'Main Budget'!$E$26,0)</f>
        <v>0</v>
      </c>
      <c r="I134" s="227">
        <f>IF(DAY(A134)='Main Budget'!$J$28,'Main Budget'!$E$28,0)</f>
        <v>0</v>
      </c>
      <c r="J134" s="227">
        <f>IF(DAY(A134)='Main Budget'!$J$29,'Main Budget'!$E$29,0)</f>
        <v>0</v>
      </c>
      <c r="K134" s="20">
        <f>IF(DAY(A134)='Main Budget'!$J$30,'Main Budget'!$E$30,0)</f>
        <v>0</v>
      </c>
      <c r="L134" s="20">
        <f>IF(DAY(A134)='Main Budget'!$J$31,'Main Budget'!$E$31,0)</f>
        <v>0</v>
      </c>
      <c r="M134" s="20">
        <f>IF(DAY(A134)='Main Budget'!$J$27,'Main Budget'!$E$27,0)</f>
        <v>0</v>
      </c>
      <c r="O134" s="228">
        <f>B134+(SUM(H134:M134)+(SUM(D134:E134)))</f>
        <v>100</v>
      </c>
      <c r="P134" s="228">
        <f>C134+F134+G134+N134</f>
        <v>100</v>
      </c>
      <c r="Q134" s="252">
        <f>O134+P134</f>
        <v>200</v>
      </c>
      <c r="S134" s="231" t="str">
        <f>TEXT(A134,"dddd")</f>
        <v>Wednesday</v>
      </c>
    </row>
    <row r="135" spans="1:19" x14ac:dyDescent="0.25">
      <c r="A135" s="226">
        <v>46156</v>
      </c>
      <c r="B135" s="227">
        <f>O134</f>
        <v>100</v>
      </c>
      <c r="C135" s="228">
        <f>P134</f>
        <v>100</v>
      </c>
      <c r="D135" s="228">
        <f>IF(OR(DAY(A135+2)=1,DAY(A135+2)=15),-SUM('Main Budget'!$H$26:$H$31),0)</f>
        <v>0</v>
      </c>
      <c r="E135" s="228">
        <f>IF(DAY(A135+2)=22,-SUM('Main Budget'!$F$26:$F$31),0)</f>
        <v>0</v>
      </c>
      <c r="F135" s="228">
        <f>IF(D135&gt;0,-'Main Budget'!$H$25+0.15,0)</f>
        <v>0</v>
      </c>
      <c r="G135" s="228">
        <f>IF(E135&gt;0,-'Main Budget'!$F$25+0.81,0)</f>
        <v>0</v>
      </c>
      <c r="H135" s="227">
        <f>IF(DAY(A135)='Main Budget'!$J$26,'Main Budget'!$E$26,0)</f>
        <v>0</v>
      </c>
      <c r="I135" s="227">
        <f>IF(DAY(A135)='Main Budget'!$J$28,'Main Budget'!$E$28,0)</f>
        <v>0</v>
      </c>
      <c r="J135" s="227">
        <f>IF(DAY(A135)='Main Budget'!$J$29,'Main Budget'!$E$29,0)</f>
        <v>0</v>
      </c>
      <c r="K135" s="20">
        <f>IF(DAY(A135)='Main Budget'!$J$30,'Main Budget'!$E$30,0)</f>
        <v>0</v>
      </c>
      <c r="L135" s="20">
        <f>IF(DAY(A135)='Main Budget'!$J$31,'Main Budget'!$E$31,0)</f>
        <v>0</v>
      </c>
      <c r="M135" s="20">
        <f>IF(DAY(A135)='Main Budget'!$J$27,'Main Budget'!$E$27,0)</f>
        <v>0</v>
      </c>
      <c r="O135" s="228">
        <f>B135+(SUM(H135:M135)+(SUM(D135:E135)))</f>
        <v>100</v>
      </c>
      <c r="P135" s="228">
        <f>C135+F135+G135+N135</f>
        <v>100</v>
      </c>
      <c r="Q135" s="252">
        <f>O135+P135</f>
        <v>200</v>
      </c>
      <c r="S135" s="231" t="str">
        <f>TEXT(A135,"dddd")</f>
        <v>Thursday</v>
      </c>
    </row>
    <row r="136" spans="1:19" x14ac:dyDescent="0.25">
      <c r="A136" s="226">
        <v>46157</v>
      </c>
      <c r="B136" s="227">
        <f>O135</f>
        <v>100</v>
      </c>
      <c r="C136" s="228">
        <f>P135</f>
        <v>100</v>
      </c>
      <c r="D136" s="228">
        <f>IF(OR(DAY(A136+2)=1,DAY(A136+2)=15),-SUM('Main Budget'!$H$26:$H$31),0)</f>
        <v>0</v>
      </c>
      <c r="E136" s="228">
        <f>IF(DAY(A136+2)=22,-SUM('Main Budget'!$F$26:$F$31),0)</f>
        <v>0</v>
      </c>
      <c r="F136" s="228">
        <f>IF(D136&gt;0,-'Main Budget'!$H$25+0.15,0)</f>
        <v>0</v>
      </c>
      <c r="G136" s="228">
        <f>IF(E136&gt;0,-'Main Budget'!$F$25+0.81,0)</f>
        <v>0</v>
      </c>
      <c r="H136" s="227">
        <f>IF(DAY(A136)='Main Budget'!$J$26,'Main Budget'!$E$26,0)</f>
        <v>0</v>
      </c>
      <c r="I136" s="227">
        <f>IF(DAY(A136)='Main Budget'!$J$28,'Main Budget'!$E$28,0)</f>
        <v>0</v>
      </c>
      <c r="J136" s="227">
        <f>IF(DAY(A136)='Main Budget'!$J$29,'Main Budget'!$E$29,0)</f>
        <v>0</v>
      </c>
      <c r="K136" s="20">
        <f>IF(DAY(A136)='Main Budget'!$J$30,'Main Budget'!$E$30,0)</f>
        <v>0</v>
      </c>
      <c r="L136" s="20">
        <f>IF(DAY(A136)='Main Budget'!$J$31,'Main Budget'!$E$31,0)</f>
        <v>0</v>
      </c>
      <c r="M136" s="20">
        <f>IF(DAY(A136)='Main Budget'!$J$27,'Main Budget'!$E$27,0)</f>
        <v>0</v>
      </c>
      <c r="O136" s="228">
        <f>B136+(SUM(H136:M136)+(SUM(D136:E136)))</f>
        <v>100</v>
      </c>
      <c r="P136" s="228">
        <f>C136+F136+G136+N136</f>
        <v>100</v>
      </c>
      <c r="Q136" s="252">
        <f>O136+P136</f>
        <v>200</v>
      </c>
      <c r="S136" s="231" t="str">
        <f>TEXT(A136,"dddd")</f>
        <v>Friday</v>
      </c>
    </row>
    <row r="137" spans="1:19" x14ac:dyDescent="0.25">
      <c r="A137" s="226">
        <v>46158</v>
      </c>
      <c r="B137" s="227">
        <f>O136</f>
        <v>100</v>
      </c>
      <c r="C137" s="228">
        <f>P136</f>
        <v>100</v>
      </c>
      <c r="D137" s="228">
        <f>IF(OR(DAY(A137+2)=1,DAY(A137+2)=15),-SUM('Main Budget'!$H$26:$H$31),0)</f>
        <v>0</v>
      </c>
      <c r="E137" s="228">
        <f>IF(DAY(A137+2)=22,-SUM('Main Budget'!$F$26:$F$31),0)</f>
        <v>0</v>
      </c>
      <c r="F137" s="228">
        <f>IF(D137&gt;0,-'Main Budget'!$H$25+0.15,0)</f>
        <v>0</v>
      </c>
      <c r="G137" s="228">
        <f>IF(E137&gt;0,-'Main Budget'!$F$25+0.81,0)</f>
        <v>0</v>
      </c>
      <c r="H137" s="227">
        <f>IF(DAY(A137)='Main Budget'!$J$26,'Main Budget'!$E$26,0)</f>
        <v>0</v>
      </c>
      <c r="I137" s="227">
        <f>IF(DAY(A137)='Main Budget'!$J$28,'Main Budget'!$E$28,0)</f>
        <v>0</v>
      </c>
      <c r="J137" s="227">
        <f>IF(DAY(A137)='Main Budget'!$J$29,'Main Budget'!$E$29,0)</f>
        <v>0</v>
      </c>
      <c r="K137" s="20">
        <f>IF(DAY(A137)='Main Budget'!$J$30,'Main Budget'!$E$30,0)</f>
        <v>0</v>
      </c>
      <c r="L137" s="20">
        <f>IF(DAY(A137)='Main Budget'!$J$31,'Main Budget'!$E$31,0)</f>
        <v>0</v>
      </c>
      <c r="M137" s="20">
        <f>IF(DAY(A137)='Main Budget'!$J$27,'Main Budget'!$E$27,0)</f>
        <v>0</v>
      </c>
      <c r="O137" s="228">
        <f>B137+(SUM(H137:M137)+(SUM(D137:E137)))</f>
        <v>100</v>
      </c>
      <c r="P137" s="228">
        <f>C137+F137+G137+N137</f>
        <v>100</v>
      </c>
      <c r="Q137" s="252">
        <f>O137+P137</f>
        <v>200</v>
      </c>
      <c r="S137" s="231" t="str">
        <f>TEXT(A137,"dddd")</f>
        <v>Saturday</v>
      </c>
    </row>
    <row r="138" spans="1:19" x14ac:dyDescent="0.25">
      <c r="A138" s="226">
        <v>46159</v>
      </c>
      <c r="B138" s="227">
        <f>O137</f>
        <v>100</v>
      </c>
      <c r="C138" s="228">
        <f>P137</f>
        <v>100</v>
      </c>
      <c r="D138" s="228">
        <f>IF(OR(DAY(A138+2)=1,DAY(A138+2)=15),-SUM('Main Budget'!$H$26:$H$31),0)</f>
        <v>0</v>
      </c>
      <c r="E138" s="228">
        <f>IF(DAY(A138+2)=22,-SUM('Main Budget'!$F$26:$F$31),0)</f>
        <v>0</v>
      </c>
      <c r="F138" s="228">
        <f>IF(D138&gt;0,-'Main Budget'!$H$25+0.15,0)</f>
        <v>0</v>
      </c>
      <c r="G138" s="228">
        <f>IF(E138&gt;0,-'Main Budget'!$F$25+0.81,0)</f>
        <v>0</v>
      </c>
      <c r="H138" s="227">
        <f>IF(DAY(A138)='Main Budget'!$J$26,'Main Budget'!$E$26,0)</f>
        <v>0</v>
      </c>
      <c r="I138" s="227">
        <f>IF(DAY(A138)='Main Budget'!$J$28,'Main Budget'!$E$28,0)</f>
        <v>0</v>
      </c>
      <c r="J138" s="227">
        <f>IF(DAY(A138)='Main Budget'!$J$29,'Main Budget'!$E$29,0)</f>
        <v>0</v>
      </c>
      <c r="K138" s="20">
        <f>IF(DAY(A138)='Main Budget'!$J$30,'Main Budget'!$E$30,0)</f>
        <v>0</v>
      </c>
      <c r="L138" s="20">
        <f>IF(DAY(A138)='Main Budget'!$J$31,'Main Budget'!$E$31,0)</f>
        <v>0</v>
      </c>
      <c r="M138" s="20">
        <f>IF(DAY(A138)='Main Budget'!$J$27,'Main Budget'!$E$27,0)</f>
        <v>0</v>
      </c>
      <c r="O138" s="228">
        <f>B138+(SUM(H138:M138)+(SUM(D138:E138)))</f>
        <v>100</v>
      </c>
      <c r="P138" s="228">
        <f>C138+F138+G138+N138</f>
        <v>100</v>
      </c>
      <c r="Q138" s="252">
        <f>O138+P138</f>
        <v>200</v>
      </c>
      <c r="S138" s="231" t="str">
        <f>TEXT(A138,"dddd")</f>
        <v>Sunday</v>
      </c>
    </row>
    <row r="139" spans="1:19" x14ac:dyDescent="0.25">
      <c r="A139" s="226">
        <v>46160</v>
      </c>
      <c r="B139" s="227">
        <f>O138</f>
        <v>100</v>
      </c>
      <c r="C139" s="228">
        <f>P138</f>
        <v>100</v>
      </c>
      <c r="D139" s="228">
        <f>IF(OR(DAY(A139+2)=1,DAY(A139+2)=15),-SUM('Main Budget'!$H$26:$H$31),0)</f>
        <v>0</v>
      </c>
      <c r="E139" s="228">
        <f>IF(DAY(A139+2)=22,-SUM('Main Budget'!$F$26:$F$31),0)</f>
        <v>0</v>
      </c>
      <c r="F139" s="228">
        <f>IF(D139&gt;0,-'Main Budget'!$H$25+0.15,0)</f>
        <v>0</v>
      </c>
      <c r="G139" s="228">
        <f>IF(E139&gt;0,-'Main Budget'!$F$25+0.81,0)</f>
        <v>0</v>
      </c>
      <c r="H139" s="227">
        <f>IF(DAY(A139)='Main Budget'!$J$26,'Main Budget'!$E$26,0)</f>
        <v>0</v>
      </c>
      <c r="I139" s="227">
        <f>IF(DAY(A139)='Main Budget'!$J$28,'Main Budget'!$E$28,0)</f>
        <v>0</v>
      </c>
      <c r="J139" s="227">
        <f>IF(DAY(A139)='Main Budget'!$J$29,'Main Budget'!$E$29,0)</f>
        <v>0</v>
      </c>
      <c r="K139" s="20">
        <f>IF(DAY(A139)='Main Budget'!$J$30,'Main Budget'!$E$30,0)</f>
        <v>0</v>
      </c>
      <c r="L139" s="20">
        <f>IF(DAY(A139)='Main Budget'!$J$31,'Main Budget'!$E$31,0)</f>
        <v>0</v>
      </c>
      <c r="M139" s="20">
        <f>IF(DAY(A139)='Main Budget'!$J$27,'Main Budget'!$E$27,0)</f>
        <v>0</v>
      </c>
      <c r="O139" s="228">
        <f>B139+(SUM(H139:M139)+(SUM(D139:E139)))</f>
        <v>100</v>
      </c>
      <c r="P139" s="228">
        <f>C139+F139+G139+N139</f>
        <v>100</v>
      </c>
      <c r="Q139" s="252">
        <f>O139+P139</f>
        <v>200</v>
      </c>
      <c r="S139" s="231" t="str">
        <f>TEXT(A139,"dddd")</f>
        <v>Monday</v>
      </c>
    </row>
    <row r="140" spans="1:19" x14ac:dyDescent="0.25">
      <c r="A140" s="226">
        <v>46161</v>
      </c>
      <c r="B140" s="227">
        <f>O139</f>
        <v>100</v>
      </c>
      <c r="C140" s="228">
        <f>P139</f>
        <v>100</v>
      </c>
      <c r="D140" s="228">
        <f>IF(OR(DAY(A140+2)=1,DAY(A140+2)=15),-SUM('Main Budget'!$H$26:$H$31),0)</f>
        <v>0</v>
      </c>
      <c r="E140" s="228">
        <f>IF(DAY(A140+2)=22,-SUM('Main Budget'!$F$26:$F$31),0)</f>
        <v>0</v>
      </c>
      <c r="F140" s="228">
        <f>IF(D140&gt;0,-'Main Budget'!$H$25+0.15,0)</f>
        <v>0</v>
      </c>
      <c r="G140" s="228">
        <f>IF(E140&gt;0,-'Main Budget'!$F$25+0.81,0)</f>
        <v>0</v>
      </c>
      <c r="H140" s="227">
        <f>IF(DAY(A140)='Main Budget'!$J$26,'Main Budget'!$E$26,0)</f>
        <v>0</v>
      </c>
      <c r="I140" s="227">
        <f>IF(DAY(A140)='Main Budget'!$J$28,'Main Budget'!$E$28,0)</f>
        <v>0</v>
      </c>
      <c r="J140" s="227">
        <f>IF(DAY(A140)='Main Budget'!$J$29,'Main Budget'!$E$29,0)</f>
        <v>0</v>
      </c>
      <c r="K140" s="20">
        <f>IF(DAY(A140)='Main Budget'!$J$30,'Main Budget'!$E$30,0)</f>
        <v>0</v>
      </c>
      <c r="L140" s="20">
        <f>IF(DAY(A140)='Main Budget'!$J$31,'Main Budget'!$E$31,0)</f>
        <v>0</v>
      </c>
      <c r="M140" s="20">
        <f>IF(DAY(A140)='Main Budget'!$J$27,'Main Budget'!$E$27,0)</f>
        <v>0</v>
      </c>
      <c r="O140" s="228">
        <f>B140+(SUM(H140:M140)+(SUM(D140:E140)))</f>
        <v>100</v>
      </c>
      <c r="P140" s="228">
        <f>C140+F140+G140+N140</f>
        <v>100</v>
      </c>
      <c r="Q140" s="252">
        <f>O140+P140</f>
        <v>200</v>
      </c>
      <c r="S140" s="231" t="str">
        <f>TEXT(A140,"dddd")</f>
        <v>Tuesday</v>
      </c>
    </row>
    <row r="141" spans="1:19" x14ac:dyDescent="0.25">
      <c r="A141" s="226">
        <v>46162</v>
      </c>
      <c r="B141" s="227">
        <f>O140</f>
        <v>100</v>
      </c>
      <c r="C141" s="228">
        <f>P140</f>
        <v>100</v>
      </c>
      <c r="D141" s="228">
        <f>IF(OR(DAY(A141+2)=1,DAY(A141+2)=15),-SUM('Main Budget'!$H$26:$H$31),0)</f>
        <v>0</v>
      </c>
      <c r="E141" s="228">
        <f>IF(DAY(A141+2)=22,-SUM('Main Budget'!$F$26:$F$31),0)</f>
        <v>0</v>
      </c>
      <c r="F141" s="228">
        <f>IF(D141&gt;0,-'Main Budget'!$H$25+0.15,0)</f>
        <v>0</v>
      </c>
      <c r="G141" s="228">
        <f>IF(E141&gt;0,-'Main Budget'!$F$25+0.81,0)</f>
        <v>0</v>
      </c>
      <c r="H141" s="227">
        <f>IF(DAY(A141)='Main Budget'!$J$26,'Main Budget'!$E$26,0)</f>
        <v>0</v>
      </c>
      <c r="I141" s="227">
        <f>IF(DAY(A141)='Main Budget'!$J$28,'Main Budget'!$E$28,0)</f>
        <v>0</v>
      </c>
      <c r="J141" s="227">
        <f>IF(DAY(A141)='Main Budget'!$J$29,'Main Budget'!$E$29,0)</f>
        <v>0</v>
      </c>
      <c r="K141" s="20">
        <f>IF(DAY(A141)='Main Budget'!$J$30,'Main Budget'!$E$30,0)</f>
        <v>0</v>
      </c>
      <c r="L141" s="20">
        <f>IF(DAY(A141)='Main Budget'!$J$31,'Main Budget'!$E$31,0)</f>
        <v>0</v>
      </c>
      <c r="M141" s="20">
        <f>IF(DAY(A141)='Main Budget'!$J$27,'Main Budget'!$E$27,0)</f>
        <v>0</v>
      </c>
      <c r="O141" s="228">
        <f>B141+(SUM(H141:M141)+(SUM(D141:E141)))</f>
        <v>100</v>
      </c>
      <c r="P141" s="228">
        <f>C141+F141+G141+N141</f>
        <v>100</v>
      </c>
      <c r="Q141" s="252">
        <f>O141+P141</f>
        <v>200</v>
      </c>
      <c r="S141" s="231" t="str">
        <f>TEXT(A141,"dddd")</f>
        <v>Wednesday</v>
      </c>
    </row>
    <row r="142" spans="1:19" x14ac:dyDescent="0.25">
      <c r="A142" s="226">
        <v>46163</v>
      </c>
      <c r="B142" s="227">
        <f>O141</f>
        <v>100</v>
      </c>
      <c r="C142" s="228">
        <f>P141</f>
        <v>100</v>
      </c>
      <c r="D142" s="228">
        <f>IF(OR(DAY(A142+2)=1,DAY(A142+2)=15),-SUM('Main Budget'!$H$26:$H$31),0)</f>
        <v>0</v>
      </c>
      <c r="E142" s="228">
        <f>IF(DAY(A142+2)=22,-SUM('Main Budget'!$F$26:$F$31),0)</f>
        <v>0</v>
      </c>
      <c r="F142" s="228">
        <f>IF(D142&gt;0,-'Main Budget'!$H$25+0.15,0)</f>
        <v>0</v>
      </c>
      <c r="G142" s="228">
        <f>IF(E142&gt;0,-'Main Budget'!$F$25+0.81,0)</f>
        <v>0</v>
      </c>
      <c r="H142" s="227">
        <f>IF(DAY(A142)='Main Budget'!$J$26,'Main Budget'!$E$26,0)</f>
        <v>0</v>
      </c>
      <c r="I142" s="227">
        <f>IF(DAY(A142)='Main Budget'!$J$28,'Main Budget'!$E$28,0)</f>
        <v>0</v>
      </c>
      <c r="J142" s="227">
        <f>IF(DAY(A142)='Main Budget'!$J$29,'Main Budget'!$E$29,0)</f>
        <v>0</v>
      </c>
      <c r="K142" s="20">
        <f>IF(DAY(A142)='Main Budget'!$J$30,'Main Budget'!$E$30,0)</f>
        <v>0</v>
      </c>
      <c r="L142" s="20">
        <f>IF(DAY(A142)='Main Budget'!$J$31,'Main Budget'!$E$31,0)</f>
        <v>0</v>
      </c>
      <c r="M142" s="20">
        <f>IF(DAY(A142)='Main Budget'!$J$27,'Main Budget'!$E$27,0)</f>
        <v>0</v>
      </c>
      <c r="O142" s="228">
        <f>B142+(SUM(H142:M142)+(SUM(D142:E142)))</f>
        <v>100</v>
      </c>
      <c r="P142" s="228">
        <f>C142+F142+G142+N142</f>
        <v>100</v>
      </c>
      <c r="Q142" s="252">
        <f>O142+P142</f>
        <v>200</v>
      </c>
      <c r="S142" s="231" t="str">
        <f>TEXT(A142,"dddd")</f>
        <v>Thursday</v>
      </c>
    </row>
    <row r="143" spans="1:19" x14ac:dyDescent="0.25">
      <c r="A143" s="226">
        <v>46164</v>
      </c>
      <c r="B143" s="227">
        <f>O142</f>
        <v>100</v>
      </c>
      <c r="C143" s="228">
        <f>P142</f>
        <v>100</v>
      </c>
      <c r="D143" s="228">
        <f>IF(OR(DAY(A143+2)=1,DAY(A143+2)=15),-SUM('Main Budget'!$H$26:$H$31),0)</f>
        <v>0</v>
      </c>
      <c r="E143" s="228">
        <f>IF(DAY(A143+2)=22,-SUM('Main Budget'!$F$26:$F$31),0)</f>
        <v>0</v>
      </c>
      <c r="F143" s="228">
        <f>IF(D143&gt;0,-'Main Budget'!$H$25+0.15,0)</f>
        <v>0</v>
      </c>
      <c r="G143" s="228">
        <f>IF(E143&gt;0,-'Main Budget'!$F$25+0.81,0)</f>
        <v>0</v>
      </c>
      <c r="H143" s="227">
        <f>IF(DAY(A143)='Main Budget'!$J$26,'Main Budget'!$E$26,0)</f>
        <v>0</v>
      </c>
      <c r="I143" s="227">
        <f>IF(DAY(A143)='Main Budget'!$J$28,'Main Budget'!$E$28,0)</f>
        <v>0</v>
      </c>
      <c r="J143" s="227">
        <f>IF(DAY(A143)='Main Budget'!$J$29,'Main Budget'!$E$29,0)</f>
        <v>0</v>
      </c>
      <c r="K143" s="20">
        <f>IF(DAY(A143)='Main Budget'!$J$30,'Main Budget'!$E$30,0)</f>
        <v>0</v>
      </c>
      <c r="L143" s="20">
        <f>IF(DAY(A143)='Main Budget'!$J$31,'Main Budget'!$E$31,0)</f>
        <v>0</v>
      </c>
      <c r="M143" s="20">
        <f>IF(DAY(A143)='Main Budget'!$J$27,'Main Budget'!$E$27,0)</f>
        <v>0</v>
      </c>
      <c r="O143" s="228">
        <f>B143+(SUM(H143:M143)+(SUM(D143:E143)))</f>
        <v>100</v>
      </c>
      <c r="P143" s="228">
        <f>C143+F143+G143+N143</f>
        <v>100</v>
      </c>
      <c r="Q143" s="252">
        <f>O143+P143</f>
        <v>200</v>
      </c>
      <c r="S143" s="231" t="str">
        <f>TEXT(A143,"dddd")</f>
        <v>Friday</v>
      </c>
    </row>
    <row r="144" spans="1:19" x14ac:dyDescent="0.25">
      <c r="A144" s="226">
        <v>46165</v>
      </c>
      <c r="B144" s="227">
        <f>O143</f>
        <v>100</v>
      </c>
      <c r="C144" s="228">
        <f>P143</f>
        <v>100</v>
      </c>
      <c r="D144" s="228">
        <f>IF(OR(DAY(A144+2)=1,DAY(A144+2)=15),-SUM('Main Budget'!$H$26:$H$31),0)</f>
        <v>0</v>
      </c>
      <c r="E144" s="228">
        <f>IF(DAY(A144+2)=22,-SUM('Main Budget'!$F$26:$F$31),0)</f>
        <v>0</v>
      </c>
      <c r="F144" s="228">
        <f>IF(D144&gt;0,-'Main Budget'!$H$25+0.15,0)</f>
        <v>0</v>
      </c>
      <c r="G144" s="228">
        <f>IF(E144&gt;0,-'Main Budget'!$F$25+0.81,0)</f>
        <v>0</v>
      </c>
      <c r="H144" s="227">
        <f>IF(DAY(A144)='Main Budget'!$J$26,'Main Budget'!$E$26,0)</f>
        <v>0</v>
      </c>
      <c r="I144" s="227">
        <f>IF(DAY(A144)='Main Budget'!$J$28,'Main Budget'!$E$28,0)</f>
        <v>0</v>
      </c>
      <c r="J144" s="227">
        <f>IF(DAY(A144)='Main Budget'!$J$29,'Main Budget'!$E$29,0)</f>
        <v>0</v>
      </c>
      <c r="K144" s="20">
        <f>IF(DAY(A144)='Main Budget'!$J$30,'Main Budget'!$E$30,0)</f>
        <v>0</v>
      </c>
      <c r="L144" s="20">
        <f>IF(DAY(A144)='Main Budget'!$J$31,'Main Budget'!$E$31,0)</f>
        <v>0</v>
      </c>
      <c r="M144" s="20">
        <f>IF(DAY(A144)='Main Budget'!$J$27,'Main Budget'!$E$27,0)</f>
        <v>0</v>
      </c>
      <c r="O144" s="228">
        <f>B144+(SUM(H144:M144)+(SUM(D144:E144)))</f>
        <v>100</v>
      </c>
      <c r="P144" s="228">
        <f>C144+F144+G144+N144</f>
        <v>100</v>
      </c>
      <c r="Q144" s="252">
        <f>O144+P144</f>
        <v>200</v>
      </c>
      <c r="S144" s="231" t="str">
        <f>TEXT(A144,"dddd")</f>
        <v>Saturday</v>
      </c>
    </row>
    <row r="145" spans="1:19" x14ac:dyDescent="0.25">
      <c r="A145" s="226">
        <v>46166</v>
      </c>
      <c r="B145" s="227">
        <f>O144</f>
        <v>100</v>
      </c>
      <c r="C145" s="228">
        <f>P144</f>
        <v>100</v>
      </c>
      <c r="D145" s="228">
        <f>IF(OR(DAY(A145+2)=1,DAY(A145+2)=15),-SUM('Main Budget'!$H$26:$H$31),0)</f>
        <v>0</v>
      </c>
      <c r="E145" s="228">
        <f>IF(DAY(A145+2)=22,-SUM('Main Budget'!$F$26:$F$31),0)</f>
        <v>0</v>
      </c>
      <c r="F145" s="228">
        <f>IF(D145&gt;0,-'Main Budget'!$H$25+0.15,0)</f>
        <v>0</v>
      </c>
      <c r="G145" s="228">
        <f>IF(E145&gt;0,-'Main Budget'!$F$25+0.81,0)</f>
        <v>0</v>
      </c>
      <c r="H145" s="227">
        <f>IF(DAY(A145)='Main Budget'!$J$26,'Main Budget'!$E$26,0)</f>
        <v>0</v>
      </c>
      <c r="I145" s="227">
        <f>IF(DAY(A145)='Main Budget'!$J$28,'Main Budget'!$E$28,0)</f>
        <v>0</v>
      </c>
      <c r="J145" s="227">
        <f>IF(DAY(A145)='Main Budget'!$J$29,'Main Budget'!$E$29,0)</f>
        <v>0</v>
      </c>
      <c r="K145" s="20">
        <f>IF(DAY(A145)='Main Budget'!$J$30,'Main Budget'!$E$30,0)</f>
        <v>0</v>
      </c>
      <c r="L145" s="20">
        <f>IF(DAY(A145)='Main Budget'!$J$31,'Main Budget'!$E$31,0)</f>
        <v>0</v>
      </c>
      <c r="M145" s="20">
        <f>IF(DAY(A145)='Main Budget'!$J$27,'Main Budget'!$E$27,0)</f>
        <v>0</v>
      </c>
      <c r="O145" s="228">
        <f>B145+(SUM(H145:M145)+(SUM(D145:E145)))</f>
        <v>100</v>
      </c>
      <c r="P145" s="228">
        <f>C145+F145+G145+N145</f>
        <v>100</v>
      </c>
      <c r="Q145" s="252">
        <f>O145+P145</f>
        <v>200</v>
      </c>
      <c r="S145" s="231" t="str">
        <f>TEXT(A145,"dddd")</f>
        <v>Sunday</v>
      </c>
    </row>
    <row r="146" spans="1:19" x14ac:dyDescent="0.25">
      <c r="A146" s="226">
        <v>46167</v>
      </c>
      <c r="B146" s="227">
        <f>O145</f>
        <v>100</v>
      </c>
      <c r="C146" s="228">
        <f>P145</f>
        <v>100</v>
      </c>
      <c r="D146" s="228">
        <f>IF(OR(DAY(A146+2)=1,DAY(A146+2)=15),-SUM('Main Budget'!$H$26:$H$31),0)</f>
        <v>0</v>
      </c>
      <c r="E146" s="228">
        <f>IF(DAY(A146+2)=22,-SUM('Main Budget'!$F$26:$F$31),0)</f>
        <v>0</v>
      </c>
      <c r="F146" s="228">
        <f>IF(D146&gt;0,-'Main Budget'!$H$25+0.15,0)</f>
        <v>0</v>
      </c>
      <c r="G146" s="228">
        <f>IF(E146&gt;0,-'Main Budget'!$F$25+0.81,0)</f>
        <v>0</v>
      </c>
      <c r="H146" s="227">
        <f>IF(DAY(A146)='Main Budget'!$J$26,'Main Budget'!$E$26,0)</f>
        <v>0</v>
      </c>
      <c r="I146" s="227">
        <f>IF(DAY(A146)='Main Budget'!$J$28,'Main Budget'!$E$28,0)</f>
        <v>0</v>
      </c>
      <c r="J146" s="227">
        <f>IF(DAY(A146)='Main Budget'!$J$29,'Main Budget'!$E$29,0)</f>
        <v>0</v>
      </c>
      <c r="K146" s="20">
        <f>IF(DAY(A146)='Main Budget'!$J$30,'Main Budget'!$E$30,0)</f>
        <v>0</v>
      </c>
      <c r="L146" s="20">
        <f>IF(DAY(A146)='Main Budget'!$J$31,'Main Budget'!$E$31,0)</f>
        <v>0</v>
      </c>
      <c r="M146" s="20">
        <f>IF(DAY(A146)='Main Budget'!$J$27,'Main Budget'!$E$27,0)</f>
        <v>0</v>
      </c>
      <c r="O146" s="228">
        <f>B146+(SUM(H146:M146)+(SUM(D146:E146)))</f>
        <v>100</v>
      </c>
      <c r="P146" s="228">
        <f>C146+F146+G146+N146</f>
        <v>100</v>
      </c>
      <c r="Q146" s="252">
        <f>O146+P146</f>
        <v>200</v>
      </c>
      <c r="S146" s="231" t="str">
        <f>TEXT(A146,"dddd")</f>
        <v>Monday</v>
      </c>
    </row>
    <row r="147" spans="1:19" x14ac:dyDescent="0.25">
      <c r="A147" s="226">
        <v>46168</v>
      </c>
      <c r="B147" s="227">
        <f>O146</f>
        <v>100</v>
      </c>
      <c r="C147" s="228">
        <f>P146</f>
        <v>100</v>
      </c>
      <c r="D147" s="228">
        <f>IF(OR(DAY(A147+2)=1,DAY(A147+2)=15),-SUM('Main Budget'!$H$26:$H$31),0)</f>
        <v>0</v>
      </c>
      <c r="E147" s="228">
        <f>IF(DAY(A147+2)=22,-SUM('Main Budget'!$F$26:$F$31),0)</f>
        <v>0</v>
      </c>
      <c r="F147" s="228">
        <f>IF(D147&gt;0,-'Main Budget'!$H$25+0.15,0)</f>
        <v>0</v>
      </c>
      <c r="G147" s="228">
        <f>IF(E147&gt;0,-'Main Budget'!$F$25+0.81,0)</f>
        <v>0</v>
      </c>
      <c r="H147" s="227">
        <f>IF(DAY(A147)='Main Budget'!$J$26,'Main Budget'!$E$26,0)</f>
        <v>0</v>
      </c>
      <c r="I147" s="227">
        <f>IF(DAY(A147)='Main Budget'!$J$28,'Main Budget'!$E$28,0)</f>
        <v>0</v>
      </c>
      <c r="J147" s="227">
        <f>IF(DAY(A147)='Main Budget'!$J$29,'Main Budget'!$E$29,0)</f>
        <v>0</v>
      </c>
      <c r="K147" s="20">
        <f>IF(DAY(A147)='Main Budget'!$J$30,'Main Budget'!$E$30,0)</f>
        <v>0</v>
      </c>
      <c r="L147" s="20">
        <f>IF(DAY(A147)='Main Budget'!$J$31,'Main Budget'!$E$31,0)</f>
        <v>0</v>
      </c>
      <c r="M147" s="20">
        <f>IF(DAY(A147)='Main Budget'!$J$27,'Main Budget'!$E$27,0)</f>
        <v>0</v>
      </c>
      <c r="O147" s="228">
        <f>B147+(SUM(H147:M147)+(SUM(D147:E147)))</f>
        <v>100</v>
      </c>
      <c r="P147" s="228">
        <f>C147+F147+G147+N147</f>
        <v>100</v>
      </c>
      <c r="Q147" s="252">
        <f>O147+P147</f>
        <v>200</v>
      </c>
      <c r="S147" s="231" t="str">
        <f>TEXT(A147,"dddd")</f>
        <v>Tuesday</v>
      </c>
    </row>
    <row r="148" spans="1:19" x14ac:dyDescent="0.25">
      <c r="A148" s="226">
        <v>46169</v>
      </c>
      <c r="B148" s="227">
        <f>O147</f>
        <v>100</v>
      </c>
      <c r="C148" s="228">
        <f>P147</f>
        <v>100</v>
      </c>
      <c r="D148" s="228">
        <f>IF(OR(DAY(A148+2)=1,DAY(A148+2)=15),-SUM('Main Budget'!$H$26:$H$31),0)</f>
        <v>0</v>
      </c>
      <c r="E148" s="228">
        <f>IF(DAY(A148+2)=22,-SUM('Main Budget'!$F$26:$F$31),0)</f>
        <v>0</v>
      </c>
      <c r="F148" s="228">
        <f>IF(D148&gt;0,-'Main Budget'!$H$25+0.15,0)</f>
        <v>0</v>
      </c>
      <c r="G148" s="228">
        <f>IF(E148&gt;0,-'Main Budget'!$F$25+0.81,0)</f>
        <v>0</v>
      </c>
      <c r="H148" s="227">
        <f>IF(DAY(A148)='Main Budget'!$J$26,'Main Budget'!$E$26,0)</f>
        <v>0</v>
      </c>
      <c r="I148" s="227">
        <f>IF(DAY(A148)='Main Budget'!$J$28,'Main Budget'!$E$28,0)</f>
        <v>0</v>
      </c>
      <c r="J148" s="227">
        <f>IF(DAY(A148)='Main Budget'!$J$29,'Main Budget'!$E$29,0)</f>
        <v>0</v>
      </c>
      <c r="K148" s="20">
        <f>IF(DAY(A148)='Main Budget'!$J$30,'Main Budget'!$E$30,0)</f>
        <v>0</v>
      </c>
      <c r="L148" s="20">
        <f>IF(DAY(A148)='Main Budget'!$J$31,'Main Budget'!$E$31,0)</f>
        <v>0</v>
      </c>
      <c r="M148" s="20">
        <f>IF(DAY(A148)='Main Budget'!$J$27,'Main Budget'!$E$27,0)</f>
        <v>0</v>
      </c>
      <c r="O148" s="228">
        <f>B148+(SUM(H148:M148)+(SUM(D148:E148)))</f>
        <v>100</v>
      </c>
      <c r="P148" s="228">
        <f>C148+F148+G148+N148</f>
        <v>100</v>
      </c>
      <c r="Q148" s="252">
        <f>O148+P148</f>
        <v>200</v>
      </c>
      <c r="S148" s="231" t="str">
        <f>TEXT(A148,"dddd")</f>
        <v>Wednesday</v>
      </c>
    </row>
    <row r="149" spans="1:19" x14ac:dyDescent="0.25">
      <c r="A149" s="226">
        <v>46170</v>
      </c>
      <c r="B149" s="227">
        <f>O148</f>
        <v>100</v>
      </c>
      <c r="C149" s="228">
        <f>P148</f>
        <v>100</v>
      </c>
      <c r="D149" s="228">
        <f>IF(OR(DAY(A149+2)=1,DAY(A149+2)=15),-SUM('Main Budget'!$H$26:$H$31),0)</f>
        <v>0</v>
      </c>
      <c r="E149" s="228">
        <f>IF(DAY(A149+2)=22,-SUM('Main Budget'!$F$26:$F$31),0)</f>
        <v>0</v>
      </c>
      <c r="F149" s="228">
        <f>IF(D149&gt;0,-'Main Budget'!$H$25+0.15,0)</f>
        <v>0</v>
      </c>
      <c r="G149" s="228">
        <f>IF(E149&gt;0,-'Main Budget'!$F$25+0.81,0)</f>
        <v>0</v>
      </c>
      <c r="H149" s="227">
        <f>IF(DAY(A149)='Main Budget'!$J$26,'Main Budget'!$E$26,0)</f>
        <v>0</v>
      </c>
      <c r="I149" s="227">
        <f>IF(DAY(A149)='Main Budget'!$J$28,'Main Budget'!$E$28,0)</f>
        <v>0</v>
      </c>
      <c r="J149" s="227">
        <f>IF(DAY(A149)='Main Budget'!$J$29,'Main Budget'!$E$29,0)</f>
        <v>0</v>
      </c>
      <c r="K149" s="20">
        <f>IF(DAY(A149)='Main Budget'!$J$30,'Main Budget'!$E$30,0)</f>
        <v>0</v>
      </c>
      <c r="L149" s="20">
        <f>IF(DAY(A149)='Main Budget'!$J$31,'Main Budget'!$E$31,0)</f>
        <v>0</v>
      </c>
      <c r="M149" s="20">
        <f>IF(DAY(A149)='Main Budget'!$J$27,'Main Budget'!$E$27,0)</f>
        <v>0</v>
      </c>
      <c r="O149" s="228">
        <f>B149+(SUM(H149:M149)+(SUM(D149:E149)))</f>
        <v>100</v>
      </c>
      <c r="P149" s="228">
        <f>C149+F149+G149+N149</f>
        <v>100</v>
      </c>
      <c r="Q149" s="252">
        <f>O149+P149</f>
        <v>200</v>
      </c>
      <c r="S149" s="231" t="str">
        <f>TEXT(A149,"dddd")</f>
        <v>Thursday</v>
      </c>
    </row>
    <row r="150" spans="1:19" x14ac:dyDescent="0.25">
      <c r="A150" s="226">
        <v>46171</v>
      </c>
      <c r="B150" s="227">
        <f>O149</f>
        <v>100</v>
      </c>
      <c r="C150" s="228">
        <f>P149</f>
        <v>100</v>
      </c>
      <c r="D150" s="228">
        <f>IF(OR(DAY(A150+2)=1,DAY(A150+2)=15),-SUM('Main Budget'!$H$26:$H$31),0)</f>
        <v>0</v>
      </c>
      <c r="E150" s="228">
        <f>IF(DAY(A150+2)=22,-SUM('Main Budget'!$F$26:$F$31),0)</f>
        <v>0</v>
      </c>
      <c r="F150" s="228">
        <f>IF(D150&gt;0,-'Main Budget'!$H$25+0.15,0)</f>
        <v>0</v>
      </c>
      <c r="G150" s="228">
        <f>IF(E150&gt;0,-'Main Budget'!$F$25+0.81,0)</f>
        <v>0</v>
      </c>
      <c r="H150" s="227">
        <f>IF(DAY(A150)='Main Budget'!$J$26,'Main Budget'!$E$26,0)</f>
        <v>0</v>
      </c>
      <c r="I150" s="227">
        <f>IF(DAY(A150)='Main Budget'!$J$28,'Main Budget'!$E$28,0)</f>
        <v>0</v>
      </c>
      <c r="J150" s="227">
        <f>IF(DAY(A150)='Main Budget'!$J$29,'Main Budget'!$E$29,0)</f>
        <v>0</v>
      </c>
      <c r="K150" s="20">
        <f>IF(DAY(A150)='Main Budget'!$J$30,'Main Budget'!$E$30,0)</f>
        <v>0</v>
      </c>
      <c r="L150" s="20">
        <f>IF(DAY(A150)='Main Budget'!$J$31,'Main Budget'!$E$31,0)</f>
        <v>0</v>
      </c>
      <c r="M150" s="20">
        <f>IF(DAY(A150)='Main Budget'!$J$27,'Main Budget'!$E$27,0)</f>
        <v>0</v>
      </c>
      <c r="O150" s="228">
        <f>B150+(SUM(H150:M150)+(SUM(D150:E150)))</f>
        <v>100</v>
      </c>
      <c r="P150" s="228">
        <f>C150+F150+G150+N150</f>
        <v>100</v>
      </c>
      <c r="Q150" s="252">
        <f>O150+P150</f>
        <v>200</v>
      </c>
      <c r="S150" s="231" t="str">
        <f>TEXT(A150,"dddd")</f>
        <v>Friday</v>
      </c>
    </row>
    <row r="151" spans="1:19" x14ac:dyDescent="0.25">
      <c r="A151" s="226">
        <v>46172</v>
      </c>
      <c r="B151" s="227">
        <f>O150</f>
        <v>100</v>
      </c>
      <c r="C151" s="228">
        <f>P150</f>
        <v>100</v>
      </c>
      <c r="D151" s="228">
        <f>IF(OR(DAY(A151+2)=1,DAY(A151+2)=15),-SUM('Main Budget'!$H$26:$H$31),0)</f>
        <v>0</v>
      </c>
      <c r="E151" s="228">
        <f>IF(DAY(A151+2)=22,-SUM('Main Budget'!$F$26:$F$31),0)</f>
        <v>0</v>
      </c>
      <c r="F151" s="228">
        <f>IF(D151&gt;0,-'Main Budget'!$H$25+0.15,0)</f>
        <v>0</v>
      </c>
      <c r="G151" s="228">
        <f>IF(E151&gt;0,-'Main Budget'!$F$25+0.81,0)</f>
        <v>0</v>
      </c>
      <c r="H151" s="227">
        <f>IF(DAY(A151)='Main Budget'!$J$26,'Main Budget'!$E$26,0)</f>
        <v>0</v>
      </c>
      <c r="I151" s="227">
        <f>IF(DAY(A151)='Main Budget'!$J$28,'Main Budget'!$E$28,0)</f>
        <v>0</v>
      </c>
      <c r="J151" s="227">
        <f>IF(DAY(A151)='Main Budget'!$J$29,'Main Budget'!$E$29,0)</f>
        <v>0</v>
      </c>
      <c r="K151" s="20">
        <f>IF(DAY(A151)='Main Budget'!$J$30,'Main Budget'!$E$30,0)</f>
        <v>0</v>
      </c>
      <c r="L151" s="20">
        <f>IF(DAY(A151)='Main Budget'!$J$31,'Main Budget'!$E$31,0)</f>
        <v>0</v>
      </c>
      <c r="M151" s="20">
        <f>IF(DAY(A151)='Main Budget'!$J$27,'Main Budget'!$E$27,0)</f>
        <v>0</v>
      </c>
      <c r="O151" s="228">
        <f>B151+(SUM(H151:M151)+(SUM(D151:E151)))</f>
        <v>100</v>
      </c>
      <c r="P151" s="228">
        <f>C151+F151+G151+N151</f>
        <v>100</v>
      </c>
      <c r="Q151" s="252">
        <f>O151+P151</f>
        <v>200</v>
      </c>
      <c r="S151" s="231" t="str">
        <f>TEXT(A151,"dddd")</f>
        <v>Saturday</v>
      </c>
    </row>
    <row r="152" spans="1:19" x14ac:dyDescent="0.25">
      <c r="A152" s="226">
        <v>46173</v>
      </c>
      <c r="B152" s="227">
        <f>O151</f>
        <v>100</v>
      </c>
      <c r="C152" s="228">
        <f>P151</f>
        <v>100</v>
      </c>
      <c r="D152" s="228">
        <f>IF(OR(DAY(A152+2)=1,DAY(A152+2)=15),-SUM('Main Budget'!$H$26:$H$31),0)</f>
        <v>0</v>
      </c>
      <c r="E152" s="228">
        <f>IF(DAY(A152+2)=22,-SUM('Main Budget'!$F$26:$F$31),0)</f>
        <v>0</v>
      </c>
      <c r="F152" s="228">
        <f>IF(D152&gt;0,-'Main Budget'!$H$25+0.15,0)</f>
        <v>0</v>
      </c>
      <c r="G152" s="228">
        <f>IF(E152&gt;0,-'Main Budget'!$F$25+0.81,0)</f>
        <v>0</v>
      </c>
      <c r="H152" s="227">
        <f>IF(DAY(A152)='Main Budget'!$J$26,'Main Budget'!$E$26,0)</f>
        <v>0</v>
      </c>
      <c r="I152" s="227">
        <f>IF(DAY(A152)='Main Budget'!$J$28,'Main Budget'!$E$28,0)</f>
        <v>0</v>
      </c>
      <c r="J152" s="227">
        <f>IF(DAY(A152)='Main Budget'!$J$29,'Main Budget'!$E$29,0)</f>
        <v>0</v>
      </c>
      <c r="K152" s="20">
        <f>IF(DAY(A152)='Main Budget'!$J$30,'Main Budget'!$E$30,0)</f>
        <v>0</v>
      </c>
      <c r="L152" s="20">
        <f>IF(DAY(A152)='Main Budget'!$J$31,'Main Budget'!$E$31,0)</f>
        <v>0</v>
      </c>
      <c r="M152" s="20">
        <f>IF(DAY(A152)='Main Budget'!$J$27,'Main Budget'!$E$27,0)</f>
        <v>0</v>
      </c>
      <c r="O152" s="228">
        <f>B152+(SUM(H152:M152)+(SUM(D152:E152)))</f>
        <v>100</v>
      </c>
      <c r="P152" s="228">
        <f>C152+F152+G152+N152</f>
        <v>100</v>
      </c>
      <c r="Q152" s="252">
        <f>O152+P152</f>
        <v>200</v>
      </c>
      <c r="S152" s="231" t="str">
        <f>TEXT(A152,"dddd")</f>
        <v>Sunday</v>
      </c>
    </row>
    <row r="153" spans="1:19" x14ac:dyDescent="0.25">
      <c r="A153" s="226">
        <v>46174</v>
      </c>
      <c r="B153" s="227">
        <f>O152</f>
        <v>100</v>
      </c>
      <c r="C153" s="228">
        <f>P152</f>
        <v>100</v>
      </c>
      <c r="D153" s="228">
        <f>IF(OR(DAY(A153+2)=1,DAY(A153+2)=15),-SUM('Main Budget'!$H$26:$H$31),0)</f>
        <v>0</v>
      </c>
      <c r="E153" s="228">
        <f>IF(DAY(A153+2)=22,-SUM('Main Budget'!$F$26:$F$31),0)</f>
        <v>0</v>
      </c>
      <c r="F153" s="228">
        <f>IF(D153&gt;0,-'Main Budget'!$H$25+0.15,0)</f>
        <v>0</v>
      </c>
      <c r="G153" s="228">
        <f>IF(E153&gt;0,-'Main Budget'!$F$25+0.81,0)</f>
        <v>0</v>
      </c>
      <c r="H153" s="227">
        <f>IF(DAY(A153)='Main Budget'!$J$26,'Main Budget'!$E$26,0)</f>
        <v>0</v>
      </c>
      <c r="I153" s="227">
        <f>IF(DAY(A153)='Main Budget'!$J$28,'Main Budget'!$E$28,0)</f>
        <v>0</v>
      </c>
      <c r="J153" s="227">
        <f>IF(DAY(A153)='Main Budget'!$J$29,'Main Budget'!$E$29,0)</f>
        <v>0</v>
      </c>
      <c r="K153" s="20">
        <f>IF(DAY(A153)='Main Budget'!$J$30,'Main Budget'!$E$30,0)</f>
        <v>0</v>
      </c>
      <c r="L153" s="20">
        <f>IF(DAY(A153)='Main Budget'!$J$31,'Main Budget'!$E$31,0)</f>
        <v>0</v>
      </c>
      <c r="M153" s="20">
        <f>IF(DAY(A153)='Main Budget'!$J$27,'Main Budget'!$E$27,0)</f>
        <v>0</v>
      </c>
      <c r="O153" s="228">
        <f>B153+(SUM(H153:M153)+(SUM(D153:E153)))</f>
        <v>100</v>
      </c>
      <c r="P153" s="228">
        <f>C153+F153+G153+N153</f>
        <v>100</v>
      </c>
      <c r="Q153" s="252">
        <f>O153+P153</f>
        <v>200</v>
      </c>
      <c r="S153" s="231" t="str">
        <f>TEXT(A153,"dddd")</f>
        <v>Monday</v>
      </c>
    </row>
    <row r="154" spans="1:19" x14ac:dyDescent="0.25">
      <c r="A154" s="226">
        <v>46175</v>
      </c>
      <c r="B154" s="227">
        <f>O153</f>
        <v>100</v>
      </c>
      <c r="C154" s="228">
        <f>P153</f>
        <v>100</v>
      </c>
      <c r="D154" s="228">
        <f>IF(OR(DAY(A154+2)=1,DAY(A154+2)=15),-SUM('Main Budget'!$H$26:$H$31),0)</f>
        <v>0</v>
      </c>
      <c r="E154" s="228">
        <f>IF(DAY(A154+2)=22,-SUM('Main Budget'!$F$26:$F$31),0)</f>
        <v>0</v>
      </c>
      <c r="F154" s="228">
        <f>IF(D154&gt;0,-'Main Budget'!$H$25+0.15,0)</f>
        <v>0</v>
      </c>
      <c r="G154" s="228">
        <f>IF(E154&gt;0,-'Main Budget'!$F$25+0.81,0)</f>
        <v>0</v>
      </c>
      <c r="H154" s="227">
        <f>IF(DAY(A154)='Main Budget'!$J$26,'Main Budget'!$E$26,0)</f>
        <v>0</v>
      </c>
      <c r="I154" s="227">
        <f>IF(DAY(A154)='Main Budget'!$J$28,'Main Budget'!$E$28,0)</f>
        <v>0</v>
      </c>
      <c r="J154" s="227">
        <f>IF(DAY(A154)='Main Budget'!$J$29,'Main Budget'!$E$29,0)</f>
        <v>0</v>
      </c>
      <c r="K154" s="20">
        <f>IF(DAY(A154)='Main Budget'!$J$30,'Main Budget'!$E$30,0)</f>
        <v>0</v>
      </c>
      <c r="L154" s="20">
        <f>IF(DAY(A154)='Main Budget'!$J$31,'Main Budget'!$E$31,0)</f>
        <v>0</v>
      </c>
      <c r="M154" s="20">
        <f>IF(DAY(A154)='Main Budget'!$J$27,'Main Budget'!$E$27,0)</f>
        <v>0</v>
      </c>
      <c r="O154" s="228">
        <f>B154+(SUM(H154:M154)+(SUM(D154:E154)))</f>
        <v>100</v>
      </c>
      <c r="P154" s="228">
        <f>C154+F154+G154+N154</f>
        <v>100</v>
      </c>
      <c r="Q154" s="252">
        <f>O154+P154</f>
        <v>200</v>
      </c>
      <c r="S154" s="231" t="str">
        <f>TEXT(A154,"dddd")</f>
        <v>Tuesday</v>
      </c>
    </row>
    <row r="155" spans="1:19" x14ac:dyDescent="0.25">
      <c r="A155" s="226">
        <v>46176</v>
      </c>
      <c r="B155" s="227">
        <f>O154</f>
        <v>100</v>
      </c>
      <c r="C155" s="228">
        <f>P154</f>
        <v>100</v>
      </c>
      <c r="D155" s="228">
        <f>IF(OR(DAY(A155+2)=1,DAY(A155+2)=15),-SUM('Main Budget'!$H$26:$H$31),0)</f>
        <v>0</v>
      </c>
      <c r="E155" s="228">
        <f>IF(DAY(A155+2)=22,-SUM('Main Budget'!$F$26:$F$31),0)</f>
        <v>0</v>
      </c>
      <c r="F155" s="228">
        <f>IF(D155&gt;0,-'Main Budget'!$H$25+0.15,0)</f>
        <v>0</v>
      </c>
      <c r="G155" s="228">
        <f>IF(E155&gt;0,-'Main Budget'!$F$25+0.81,0)</f>
        <v>0</v>
      </c>
      <c r="H155" s="227">
        <f>IF(DAY(A155)='Main Budget'!$J$26,'Main Budget'!$E$26,0)</f>
        <v>0</v>
      </c>
      <c r="I155" s="227">
        <f>IF(DAY(A155)='Main Budget'!$J$28,'Main Budget'!$E$28,0)</f>
        <v>0</v>
      </c>
      <c r="J155" s="227">
        <f>IF(DAY(A155)='Main Budget'!$J$29,'Main Budget'!$E$29,0)</f>
        <v>0</v>
      </c>
      <c r="K155" s="20">
        <f>IF(DAY(A155)='Main Budget'!$J$30,'Main Budget'!$E$30,0)</f>
        <v>0</v>
      </c>
      <c r="L155" s="20">
        <f>IF(DAY(A155)='Main Budget'!$J$31,'Main Budget'!$E$31,0)</f>
        <v>0</v>
      </c>
      <c r="M155" s="20">
        <f>IF(DAY(A155)='Main Budget'!$J$27,'Main Budget'!$E$27,0)</f>
        <v>0</v>
      </c>
      <c r="O155" s="228">
        <f>B155+(SUM(H155:M155)+(SUM(D155:E155)))</f>
        <v>100</v>
      </c>
      <c r="P155" s="228">
        <f>C155+F155+G155+N155</f>
        <v>100</v>
      </c>
      <c r="Q155" s="252">
        <f>O155+P155</f>
        <v>200</v>
      </c>
      <c r="S155" s="231" t="str">
        <f>TEXT(A155,"dddd")</f>
        <v>Wednesday</v>
      </c>
    </row>
    <row r="156" spans="1:19" x14ac:dyDescent="0.25">
      <c r="A156" s="226">
        <v>46177</v>
      </c>
      <c r="B156" s="227">
        <f>O155</f>
        <v>100</v>
      </c>
      <c r="C156" s="228">
        <f>P155</f>
        <v>100</v>
      </c>
      <c r="D156" s="228">
        <f>IF(OR(DAY(A156+2)=1,DAY(A156+2)=15),-SUM('Main Budget'!$H$26:$H$31),0)</f>
        <v>0</v>
      </c>
      <c r="E156" s="228">
        <f>IF(DAY(A156+2)=22,-SUM('Main Budget'!$F$26:$F$31),0)</f>
        <v>0</v>
      </c>
      <c r="F156" s="228">
        <f>IF(D156&gt;0,-'Main Budget'!$H$25+0.15,0)</f>
        <v>0</v>
      </c>
      <c r="G156" s="228">
        <f>IF(E156&gt;0,-'Main Budget'!$F$25+0.81,0)</f>
        <v>0</v>
      </c>
      <c r="H156" s="227">
        <f>IF(DAY(A156)='Main Budget'!$J$26,'Main Budget'!$E$26,0)</f>
        <v>0</v>
      </c>
      <c r="I156" s="227">
        <f>IF(DAY(A156)='Main Budget'!$J$28,'Main Budget'!$E$28,0)</f>
        <v>0</v>
      </c>
      <c r="J156" s="227">
        <f>IF(DAY(A156)='Main Budget'!$J$29,'Main Budget'!$E$29,0)</f>
        <v>0</v>
      </c>
      <c r="K156" s="20">
        <f>IF(DAY(A156)='Main Budget'!$J$30,'Main Budget'!$E$30,0)</f>
        <v>0</v>
      </c>
      <c r="L156" s="20">
        <f>IF(DAY(A156)='Main Budget'!$J$31,'Main Budget'!$E$31,0)</f>
        <v>0</v>
      </c>
      <c r="M156" s="20">
        <f>IF(DAY(A156)='Main Budget'!$J$27,'Main Budget'!$E$27,0)</f>
        <v>0</v>
      </c>
      <c r="O156" s="228">
        <f>B156+(SUM(H156:M156)+(SUM(D156:E156)))</f>
        <v>100</v>
      </c>
      <c r="P156" s="228">
        <f>C156+F156+G156+N156</f>
        <v>100</v>
      </c>
      <c r="Q156" s="252">
        <f>O156+P156</f>
        <v>200</v>
      </c>
      <c r="S156" s="231" t="str">
        <f>TEXT(A156,"dddd")</f>
        <v>Thursday</v>
      </c>
    </row>
    <row r="157" spans="1:19" x14ac:dyDescent="0.25">
      <c r="A157" s="226">
        <v>46178</v>
      </c>
      <c r="B157" s="227">
        <f>O156</f>
        <v>100</v>
      </c>
      <c r="C157" s="228">
        <f>P156</f>
        <v>100</v>
      </c>
      <c r="D157" s="228">
        <f>IF(OR(DAY(A157+2)=1,DAY(A157+2)=15),-SUM('Main Budget'!$H$26:$H$31),0)</f>
        <v>0</v>
      </c>
      <c r="E157" s="228">
        <f>IF(DAY(A157+2)=22,-SUM('Main Budget'!$F$26:$F$31),0)</f>
        <v>0</v>
      </c>
      <c r="F157" s="228">
        <f>IF(D157&gt;0,-'Main Budget'!$H$25+0.15,0)</f>
        <v>0</v>
      </c>
      <c r="G157" s="228">
        <f>IF(E157&gt;0,-'Main Budget'!$F$25+0.81,0)</f>
        <v>0</v>
      </c>
      <c r="H157" s="227">
        <f>IF(DAY(A157)='Main Budget'!$J$26,'Main Budget'!$E$26,0)</f>
        <v>0</v>
      </c>
      <c r="I157" s="227">
        <f>IF(DAY(A157)='Main Budget'!$J$28,'Main Budget'!$E$28,0)</f>
        <v>0</v>
      </c>
      <c r="J157" s="227">
        <f>IF(DAY(A157)='Main Budget'!$J$29,'Main Budget'!$E$29,0)</f>
        <v>0</v>
      </c>
      <c r="K157" s="20">
        <f>IF(DAY(A157)='Main Budget'!$J$30,'Main Budget'!$E$30,0)</f>
        <v>0</v>
      </c>
      <c r="L157" s="20">
        <f>IF(DAY(A157)='Main Budget'!$J$31,'Main Budget'!$E$31,0)</f>
        <v>0</v>
      </c>
      <c r="M157" s="20">
        <f>IF(DAY(A157)='Main Budget'!$J$27,'Main Budget'!$E$27,0)</f>
        <v>0</v>
      </c>
      <c r="O157" s="228">
        <f>B157+(SUM(H157:M157)+(SUM(D157:E157)))</f>
        <v>100</v>
      </c>
      <c r="P157" s="228">
        <f>C157+F157+G157+N157</f>
        <v>100</v>
      </c>
      <c r="Q157" s="252">
        <f>O157+P157</f>
        <v>200</v>
      </c>
      <c r="S157" s="231" t="str">
        <f>TEXT(A157,"dddd")</f>
        <v>Friday</v>
      </c>
    </row>
    <row r="158" spans="1:19" x14ac:dyDescent="0.25">
      <c r="A158" s="226">
        <v>46179</v>
      </c>
      <c r="B158" s="227">
        <f>O157</f>
        <v>100</v>
      </c>
      <c r="C158" s="228">
        <f>P157</f>
        <v>100</v>
      </c>
      <c r="D158" s="228">
        <f>IF(OR(DAY(A158+2)=1,DAY(A158+2)=15),-SUM('Main Budget'!$H$26:$H$31),0)</f>
        <v>0</v>
      </c>
      <c r="E158" s="228">
        <f>IF(DAY(A158+2)=22,-SUM('Main Budget'!$F$26:$F$31),0)</f>
        <v>0</v>
      </c>
      <c r="F158" s="228">
        <f>IF(D158&gt;0,-'Main Budget'!$H$25+0.15,0)</f>
        <v>0</v>
      </c>
      <c r="G158" s="228">
        <f>IF(E158&gt;0,-'Main Budget'!$F$25+0.81,0)</f>
        <v>0</v>
      </c>
      <c r="H158" s="227">
        <f>IF(DAY(A158)='Main Budget'!$J$26,'Main Budget'!$E$26,0)</f>
        <v>0</v>
      </c>
      <c r="I158" s="227">
        <f>IF(DAY(A158)='Main Budget'!$J$28,'Main Budget'!$E$28,0)</f>
        <v>0</v>
      </c>
      <c r="J158" s="227">
        <f>IF(DAY(A158)='Main Budget'!$J$29,'Main Budget'!$E$29,0)</f>
        <v>0</v>
      </c>
      <c r="K158" s="20">
        <f>IF(DAY(A158)='Main Budget'!$J$30,'Main Budget'!$E$30,0)</f>
        <v>0</v>
      </c>
      <c r="L158" s="20">
        <f>IF(DAY(A158)='Main Budget'!$J$31,'Main Budget'!$E$31,0)</f>
        <v>0</v>
      </c>
      <c r="M158" s="20">
        <f>IF(DAY(A158)='Main Budget'!$J$27,'Main Budget'!$E$27,0)</f>
        <v>0</v>
      </c>
      <c r="O158" s="228">
        <f>B158+(SUM(H158:M158)+(SUM(D158:E158)))</f>
        <v>100</v>
      </c>
      <c r="P158" s="228">
        <f>C158+F158+G158+N158</f>
        <v>100</v>
      </c>
      <c r="Q158" s="252">
        <f>O158+P158</f>
        <v>200</v>
      </c>
      <c r="S158" s="231" t="str">
        <f>TEXT(A158,"dddd")</f>
        <v>Saturday</v>
      </c>
    </row>
    <row r="159" spans="1:19" x14ac:dyDescent="0.25">
      <c r="A159" s="226">
        <v>46180</v>
      </c>
      <c r="B159" s="227">
        <f>O158</f>
        <v>100</v>
      </c>
      <c r="C159" s="228">
        <f>P158</f>
        <v>100</v>
      </c>
      <c r="D159" s="228">
        <f>IF(OR(DAY(A159+2)=1,DAY(A159+2)=15),-SUM('Main Budget'!$H$26:$H$31),0)</f>
        <v>0</v>
      </c>
      <c r="E159" s="228">
        <f>IF(DAY(A159+2)=22,-SUM('Main Budget'!$F$26:$F$31),0)</f>
        <v>0</v>
      </c>
      <c r="F159" s="228">
        <f>IF(D159&gt;0,-'Main Budget'!$H$25+0.15,0)</f>
        <v>0</v>
      </c>
      <c r="G159" s="228">
        <f>IF(E159&gt;0,-'Main Budget'!$F$25+0.81,0)</f>
        <v>0</v>
      </c>
      <c r="H159" s="227">
        <f>IF(DAY(A159)='Main Budget'!$J$26,'Main Budget'!$E$26,0)</f>
        <v>0</v>
      </c>
      <c r="I159" s="227">
        <f>IF(DAY(A159)='Main Budget'!$J$28,'Main Budget'!$E$28,0)</f>
        <v>0</v>
      </c>
      <c r="J159" s="227">
        <f>IF(DAY(A159)='Main Budget'!$J$29,'Main Budget'!$E$29,0)</f>
        <v>0</v>
      </c>
      <c r="K159" s="20">
        <f>IF(DAY(A159)='Main Budget'!$J$30,'Main Budget'!$E$30,0)</f>
        <v>0</v>
      </c>
      <c r="L159" s="20">
        <f>IF(DAY(A159)='Main Budget'!$J$31,'Main Budget'!$E$31,0)</f>
        <v>0</v>
      </c>
      <c r="M159" s="20">
        <f>IF(DAY(A159)='Main Budget'!$J$27,'Main Budget'!$E$27,0)</f>
        <v>0</v>
      </c>
      <c r="O159" s="228">
        <f>B159+(SUM(H159:M159)+(SUM(D159:E159)))</f>
        <v>100</v>
      </c>
      <c r="P159" s="228">
        <f>C159+F159+G159+N159</f>
        <v>100</v>
      </c>
      <c r="Q159" s="252">
        <f>O159+P159</f>
        <v>200</v>
      </c>
      <c r="S159" s="231" t="str">
        <f>TEXT(A159,"dddd")</f>
        <v>Sunday</v>
      </c>
    </row>
    <row r="160" spans="1:19" x14ac:dyDescent="0.25">
      <c r="A160" s="226">
        <v>46181</v>
      </c>
      <c r="B160" s="227">
        <f>O159</f>
        <v>100</v>
      </c>
      <c r="C160" s="228">
        <f>P159</f>
        <v>100</v>
      </c>
      <c r="D160" s="228">
        <f>IF(OR(DAY(A160+2)=1,DAY(A160+2)=15),-SUM('Main Budget'!$H$26:$H$31),0)</f>
        <v>0</v>
      </c>
      <c r="E160" s="228">
        <f>IF(DAY(A160+2)=22,-SUM('Main Budget'!$F$26:$F$31),0)</f>
        <v>0</v>
      </c>
      <c r="F160" s="228">
        <f>IF(D160&gt;0,-'Main Budget'!$H$25+0.15,0)</f>
        <v>0</v>
      </c>
      <c r="G160" s="228">
        <f>IF(E160&gt;0,-'Main Budget'!$F$25+0.81,0)</f>
        <v>0</v>
      </c>
      <c r="H160" s="227">
        <f>IF(DAY(A160)='Main Budget'!$J$26,'Main Budget'!$E$26,0)</f>
        <v>0</v>
      </c>
      <c r="I160" s="227">
        <f>IF(DAY(A160)='Main Budget'!$J$28,'Main Budget'!$E$28,0)</f>
        <v>0</v>
      </c>
      <c r="J160" s="227">
        <f>IF(DAY(A160)='Main Budget'!$J$29,'Main Budget'!$E$29,0)</f>
        <v>0</v>
      </c>
      <c r="K160" s="20">
        <f>IF(DAY(A160)='Main Budget'!$J$30,'Main Budget'!$E$30,0)</f>
        <v>0</v>
      </c>
      <c r="L160" s="20">
        <f>IF(DAY(A160)='Main Budget'!$J$31,'Main Budget'!$E$31,0)</f>
        <v>0</v>
      </c>
      <c r="M160" s="20">
        <f>IF(DAY(A160)='Main Budget'!$J$27,'Main Budget'!$E$27,0)</f>
        <v>0</v>
      </c>
      <c r="O160" s="228">
        <f>B160+(SUM(H160:M160)+(SUM(D160:E160)))</f>
        <v>100</v>
      </c>
      <c r="P160" s="228">
        <f>C160+F160+G160+N160</f>
        <v>100</v>
      </c>
      <c r="Q160" s="252">
        <f>O160+P160</f>
        <v>200</v>
      </c>
      <c r="S160" s="231" t="str">
        <f>TEXT(A160,"dddd")</f>
        <v>Monday</v>
      </c>
    </row>
    <row r="161" spans="1:19" x14ac:dyDescent="0.25">
      <c r="A161" s="226">
        <v>46182</v>
      </c>
      <c r="B161" s="227">
        <f>O160</f>
        <v>100</v>
      </c>
      <c r="C161" s="228">
        <f>P160</f>
        <v>100</v>
      </c>
      <c r="D161" s="228">
        <f>IF(OR(DAY(A161+2)=1,DAY(A161+2)=15),-SUM('Main Budget'!$H$26:$H$31),0)</f>
        <v>0</v>
      </c>
      <c r="E161" s="228">
        <f>IF(DAY(A161+2)=22,-SUM('Main Budget'!$F$26:$F$31),0)</f>
        <v>0</v>
      </c>
      <c r="F161" s="228">
        <f>IF(D161&gt;0,-'Main Budget'!$H$25+0.15,0)</f>
        <v>0</v>
      </c>
      <c r="G161" s="228">
        <f>IF(E161&gt;0,-'Main Budget'!$F$25+0.81,0)</f>
        <v>0</v>
      </c>
      <c r="H161" s="227">
        <f>IF(DAY(A161)='Main Budget'!$J$26,'Main Budget'!$E$26,0)</f>
        <v>0</v>
      </c>
      <c r="I161" s="227">
        <f>IF(DAY(A161)='Main Budget'!$J$28,'Main Budget'!$E$28,0)</f>
        <v>0</v>
      </c>
      <c r="J161" s="227">
        <f>IF(DAY(A161)='Main Budget'!$J$29,'Main Budget'!$E$29,0)</f>
        <v>0</v>
      </c>
      <c r="K161" s="20">
        <f>IF(DAY(A161)='Main Budget'!$J$30,'Main Budget'!$E$30,0)</f>
        <v>0</v>
      </c>
      <c r="L161" s="20">
        <f>IF(DAY(A161)='Main Budget'!$J$31,'Main Budget'!$E$31,0)</f>
        <v>0</v>
      </c>
      <c r="M161" s="20">
        <f>IF(DAY(A161)='Main Budget'!$J$27,'Main Budget'!$E$27,0)</f>
        <v>0</v>
      </c>
      <c r="O161" s="228">
        <f>B161+(SUM(H161:M161)+(SUM(D161:E161)))</f>
        <v>100</v>
      </c>
      <c r="P161" s="228">
        <f>C161+F161+G161+N161</f>
        <v>100</v>
      </c>
      <c r="Q161" s="252">
        <f>O161+P161</f>
        <v>200</v>
      </c>
      <c r="S161" s="231" t="str">
        <f>TEXT(A161,"dddd")</f>
        <v>Tuesday</v>
      </c>
    </row>
    <row r="162" spans="1:19" x14ac:dyDescent="0.25">
      <c r="A162" s="226">
        <v>46183</v>
      </c>
      <c r="B162" s="227">
        <f>O161</f>
        <v>100</v>
      </c>
      <c r="C162" s="228">
        <f>P161</f>
        <v>100</v>
      </c>
      <c r="D162" s="228">
        <f>IF(OR(DAY(A162+2)=1,DAY(A162+2)=15),-SUM('Main Budget'!$H$26:$H$31),0)</f>
        <v>0</v>
      </c>
      <c r="E162" s="228">
        <f>IF(DAY(A162+2)=22,-SUM('Main Budget'!$F$26:$F$31),0)</f>
        <v>0</v>
      </c>
      <c r="F162" s="228">
        <f>IF(D162&gt;0,-'Main Budget'!$H$25+0.15,0)</f>
        <v>0</v>
      </c>
      <c r="G162" s="228">
        <f>IF(E162&gt;0,-'Main Budget'!$F$25+0.81,0)</f>
        <v>0</v>
      </c>
      <c r="H162" s="227">
        <f>IF(DAY(A162)='Main Budget'!$J$26,'Main Budget'!$E$26,0)</f>
        <v>0</v>
      </c>
      <c r="I162" s="227">
        <f>IF(DAY(A162)='Main Budget'!$J$28,'Main Budget'!$E$28,0)</f>
        <v>0</v>
      </c>
      <c r="J162" s="227">
        <f>IF(DAY(A162)='Main Budget'!$J$29,'Main Budget'!$E$29,0)</f>
        <v>0</v>
      </c>
      <c r="K162" s="20">
        <f>IF(DAY(A162)='Main Budget'!$J$30,'Main Budget'!$E$30,0)</f>
        <v>0</v>
      </c>
      <c r="L162" s="20">
        <f>IF(DAY(A162)='Main Budget'!$J$31,'Main Budget'!$E$31,0)</f>
        <v>0</v>
      </c>
      <c r="M162" s="20">
        <f>IF(DAY(A162)='Main Budget'!$J$27,'Main Budget'!$E$27,0)</f>
        <v>0</v>
      </c>
      <c r="O162" s="228">
        <f>B162+(SUM(H162:M162)+(SUM(D162:E162)))</f>
        <v>100</v>
      </c>
      <c r="P162" s="228">
        <f>C162+F162+G162+N162</f>
        <v>100</v>
      </c>
      <c r="Q162" s="252">
        <f>O162+P162</f>
        <v>200</v>
      </c>
      <c r="S162" s="231" t="str">
        <f>TEXT(A162,"dddd")</f>
        <v>Wednesday</v>
      </c>
    </row>
    <row r="163" spans="1:19" x14ac:dyDescent="0.25">
      <c r="A163" s="226">
        <v>46184</v>
      </c>
      <c r="B163" s="227">
        <f>O162</f>
        <v>100</v>
      </c>
      <c r="C163" s="228">
        <f>P162</f>
        <v>100</v>
      </c>
      <c r="D163" s="228">
        <f>IF(OR(DAY(A163+2)=1,DAY(A163+2)=15),-SUM('Main Budget'!$H$26:$H$31),0)</f>
        <v>0</v>
      </c>
      <c r="E163" s="228">
        <f>IF(DAY(A163+2)=22,-SUM('Main Budget'!$F$26:$F$31),0)</f>
        <v>0</v>
      </c>
      <c r="F163" s="228">
        <f>IF(D163&gt;0,-'Main Budget'!$H$25+0.15,0)</f>
        <v>0</v>
      </c>
      <c r="G163" s="228">
        <f>IF(E163&gt;0,-'Main Budget'!$F$25+0.81,0)</f>
        <v>0</v>
      </c>
      <c r="H163" s="227">
        <f>IF(DAY(A163)='Main Budget'!$J$26,'Main Budget'!$E$26,0)</f>
        <v>0</v>
      </c>
      <c r="I163" s="227">
        <f>IF(DAY(A163)='Main Budget'!$J$28,'Main Budget'!$E$28,0)</f>
        <v>0</v>
      </c>
      <c r="J163" s="227">
        <f>IF(DAY(A163)='Main Budget'!$J$29,'Main Budget'!$E$29,0)</f>
        <v>0</v>
      </c>
      <c r="K163" s="20">
        <f>IF(DAY(A163)='Main Budget'!$J$30,'Main Budget'!$E$30,0)</f>
        <v>0</v>
      </c>
      <c r="L163" s="20">
        <f>IF(DAY(A163)='Main Budget'!$J$31,'Main Budget'!$E$31,0)</f>
        <v>0</v>
      </c>
      <c r="M163" s="20">
        <f>IF(DAY(A163)='Main Budget'!$J$27,'Main Budget'!$E$27,0)</f>
        <v>0</v>
      </c>
      <c r="O163" s="228">
        <f>B163+(SUM(H163:M163)+(SUM(D163:E163)))</f>
        <v>100</v>
      </c>
      <c r="P163" s="228">
        <f>C163+F163+G163+N163</f>
        <v>100</v>
      </c>
      <c r="Q163" s="252">
        <f>O163+P163</f>
        <v>200</v>
      </c>
      <c r="S163" s="231" t="str">
        <f>TEXT(A163,"dddd")</f>
        <v>Thursday</v>
      </c>
    </row>
    <row r="164" spans="1:19" x14ac:dyDescent="0.25">
      <c r="A164" s="226">
        <v>46185</v>
      </c>
      <c r="B164" s="227">
        <f>O163</f>
        <v>100</v>
      </c>
      <c r="C164" s="228">
        <f>P163</f>
        <v>100</v>
      </c>
      <c r="D164" s="228">
        <f>IF(OR(DAY(A164+2)=1,DAY(A164+2)=15),-SUM('Main Budget'!$H$26:$H$31),0)</f>
        <v>0</v>
      </c>
      <c r="E164" s="228">
        <f>IF(DAY(A164+2)=22,-SUM('Main Budget'!$F$26:$F$31),0)</f>
        <v>0</v>
      </c>
      <c r="F164" s="228">
        <f>IF(D164&gt;0,-'Main Budget'!$H$25+0.15,0)</f>
        <v>0</v>
      </c>
      <c r="G164" s="228">
        <f>IF(E164&gt;0,-'Main Budget'!$F$25+0.81,0)</f>
        <v>0</v>
      </c>
      <c r="H164" s="227">
        <f>IF(DAY(A164)='Main Budget'!$J$26,'Main Budget'!$E$26,0)</f>
        <v>0</v>
      </c>
      <c r="I164" s="227">
        <f>IF(DAY(A164)='Main Budget'!$J$28,'Main Budget'!$E$28,0)</f>
        <v>0</v>
      </c>
      <c r="J164" s="227">
        <f>IF(DAY(A164)='Main Budget'!$J$29,'Main Budget'!$E$29,0)</f>
        <v>0</v>
      </c>
      <c r="K164" s="20">
        <f>IF(DAY(A164)='Main Budget'!$J$30,'Main Budget'!$E$30,0)</f>
        <v>0</v>
      </c>
      <c r="L164" s="20">
        <f>IF(DAY(A164)='Main Budget'!$J$31,'Main Budget'!$E$31,0)</f>
        <v>0</v>
      </c>
      <c r="M164" s="20">
        <f>IF(DAY(A164)='Main Budget'!$J$27,'Main Budget'!$E$27,0)</f>
        <v>0</v>
      </c>
      <c r="O164" s="228">
        <f>B164+(SUM(H164:M164)+(SUM(D164:E164)))</f>
        <v>100</v>
      </c>
      <c r="P164" s="228">
        <f>C164+F164+G164+N164</f>
        <v>100</v>
      </c>
      <c r="Q164" s="252">
        <f>O164+P164</f>
        <v>200</v>
      </c>
      <c r="S164" s="231" t="str">
        <f>TEXT(A164,"dddd")</f>
        <v>Friday</v>
      </c>
    </row>
    <row r="165" spans="1:19" x14ac:dyDescent="0.25">
      <c r="A165" s="226">
        <v>46186</v>
      </c>
      <c r="B165" s="227">
        <f>O164</f>
        <v>100</v>
      </c>
      <c r="C165" s="228">
        <f>P164</f>
        <v>100</v>
      </c>
      <c r="D165" s="228">
        <f>IF(OR(DAY(A165+2)=1,DAY(A165+2)=15),-SUM('Main Budget'!$H$26:$H$31),0)</f>
        <v>0</v>
      </c>
      <c r="E165" s="228">
        <f>IF(DAY(A165+2)=22,-SUM('Main Budget'!$F$26:$F$31),0)</f>
        <v>0</v>
      </c>
      <c r="F165" s="228">
        <f>IF(D165&gt;0,-'Main Budget'!$H$25+0.15,0)</f>
        <v>0</v>
      </c>
      <c r="G165" s="228">
        <f>IF(E165&gt;0,-'Main Budget'!$F$25+0.81,0)</f>
        <v>0</v>
      </c>
      <c r="H165" s="227">
        <f>IF(DAY(A165)='Main Budget'!$J$26,'Main Budget'!$E$26,0)</f>
        <v>0</v>
      </c>
      <c r="I165" s="227">
        <f>IF(DAY(A165)='Main Budget'!$J$28,'Main Budget'!$E$28,0)</f>
        <v>0</v>
      </c>
      <c r="J165" s="227">
        <f>IF(DAY(A165)='Main Budget'!$J$29,'Main Budget'!$E$29,0)</f>
        <v>0</v>
      </c>
      <c r="K165" s="20">
        <f>IF(DAY(A165)='Main Budget'!$J$30,'Main Budget'!$E$30,0)</f>
        <v>0</v>
      </c>
      <c r="L165" s="20">
        <f>IF(DAY(A165)='Main Budget'!$J$31,'Main Budget'!$E$31,0)</f>
        <v>0</v>
      </c>
      <c r="M165" s="20">
        <f>IF(DAY(A165)='Main Budget'!$J$27,'Main Budget'!$E$27,0)</f>
        <v>0</v>
      </c>
      <c r="O165" s="228">
        <f>B165+(SUM(H165:M165)+(SUM(D165:E165)))</f>
        <v>100</v>
      </c>
      <c r="P165" s="228">
        <f>C165+F165+G165+N165</f>
        <v>100</v>
      </c>
      <c r="Q165" s="252">
        <f>O165+P165</f>
        <v>200</v>
      </c>
      <c r="S165" s="231" t="str">
        <f>TEXT(A165,"dddd")</f>
        <v>Saturday</v>
      </c>
    </row>
    <row r="166" spans="1:19" x14ac:dyDescent="0.25">
      <c r="A166" s="226">
        <v>46187</v>
      </c>
      <c r="B166" s="227">
        <f>O165</f>
        <v>100</v>
      </c>
      <c r="C166" s="228">
        <f>P165</f>
        <v>100</v>
      </c>
      <c r="D166" s="228">
        <f>IF(OR(DAY(A166+2)=1,DAY(A166+2)=15),-SUM('Main Budget'!$H$26:$H$31),0)</f>
        <v>0</v>
      </c>
      <c r="E166" s="228">
        <f>IF(DAY(A166+2)=22,-SUM('Main Budget'!$F$26:$F$31),0)</f>
        <v>0</v>
      </c>
      <c r="F166" s="228">
        <f>IF(D166&gt;0,-'Main Budget'!$H$25+0.15,0)</f>
        <v>0</v>
      </c>
      <c r="G166" s="228">
        <f>IF(E166&gt;0,-'Main Budget'!$F$25+0.81,0)</f>
        <v>0</v>
      </c>
      <c r="H166" s="227">
        <f>IF(DAY(A166)='Main Budget'!$J$26,'Main Budget'!$E$26,0)</f>
        <v>0</v>
      </c>
      <c r="I166" s="227">
        <f>IF(DAY(A166)='Main Budget'!$J$28,'Main Budget'!$E$28,0)</f>
        <v>0</v>
      </c>
      <c r="J166" s="227">
        <f>IF(DAY(A166)='Main Budget'!$J$29,'Main Budget'!$E$29,0)</f>
        <v>0</v>
      </c>
      <c r="K166" s="20">
        <f>IF(DAY(A166)='Main Budget'!$J$30,'Main Budget'!$E$30,0)</f>
        <v>0</v>
      </c>
      <c r="L166" s="20">
        <f>IF(DAY(A166)='Main Budget'!$J$31,'Main Budget'!$E$31,0)</f>
        <v>0</v>
      </c>
      <c r="M166" s="20">
        <f>IF(DAY(A166)='Main Budget'!$J$27,'Main Budget'!$E$27,0)</f>
        <v>0</v>
      </c>
      <c r="O166" s="228">
        <f>B166+(SUM(H166:M166)+(SUM(D166:E166)))</f>
        <v>100</v>
      </c>
      <c r="P166" s="228">
        <f>C166+F166+G166+N166</f>
        <v>100</v>
      </c>
      <c r="Q166" s="252">
        <f>O166+P166</f>
        <v>200</v>
      </c>
      <c r="S166" s="231" t="str">
        <f>TEXT(A166,"dddd")</f>
        <v>Sunday</v>
      </c>
    </row>
    <row r="167" spans="1:19" x14ac:dyDescent="0.25">
      <c r="A167" s="226">
        <v>46188</v>
      </c>
      <c r="B167" s="227">
        <f>O166</f>
        <v>100</v>
      </c>
      <c r="C167" s="228">
        <f>P166</f>
        <v>100</v>
      </c>
      <c r="D167" s="228">
        <f>IF(OR(DAY(A167+2)=1,DAY(A167+2)=15),-SUM('Main Budget'!$H$26:$H$31),0)</f>
        <v>0</v>
      </c>
      <c r="E167" s="228">
        <f>IF(DAY(A167+2)=22,-SUM('Main Budget'!$F$26:$F$31),0)</f>
        <v>0</v>
      </c>
      <c r="F167" s="228">
        <f>IF(D167&gt;0,-'Main Budget'!$H$25+0.15,0)</f>
        <v>0</v>
      </c>
      <c r="G167" s="228">
        <f>IF(E167&gt;0,-'Main Budget'!$F$25+0.81,0)</f>
        <v>0</v>
      </c>
      <c r="H167" s="227">
        <f>IF(DAY(A167)='Main Budget'!$J$26,'Main Budget'!$E$26,0)</f>
        <v>0</v>
      </c>
      <c r="I167" s="227">
        <f>IF(DAY(A167)='Main Budget'!$J$28,'Main Budget'!$E$28,0)</f>
        <v>0</v>
      </c>
      <c r="J167" s="227">
        <f>IF(DAY(A167)='Main Budget'!$J$29,'Main Budget'!$E$29,0)</f>
        <v>0</v>
      </c>
      <c r="K167" s="20">
        <f>IF(DAY(A167)='Main Budget'!$J$30,'Main Budget'!$E$30,0)</f>
        <v>0</v>
      </c>
      <c r="L167" s="20">
        <f>IF(DAY(A167)='Main Budget'!$J$31,'Main Budget'!$E$31,0)</f>
        <v>0</v>
      </c>
      <c r="M167" s="20">
        <f>IF(DAY(A167)='Main Budget'!$J$27,'Main Budget'!$E$27,0)</f>
        <v>0</v>
      </c>
      <c r="O167" s="228">
        <f>B167+(SUM(H167:M167)+(SUM(D167:E167)))</f>
        <v>100</v>
      </c>
      <c r="P167" s="228">
        <f>C167+F167+G167+N167</f>
        <v>100</v>
      </c>
      <c r="Q167" s="252">
        <f>O167+P167</f>
        <v>200</v>
      </c>
      <c r="S167" s="231" t="str">
        <f>TEXT(A167,"dddd")</f>
        <v>Monday</v>
      </c>
    </row>
    <row r="168" spans="1:19" x14ac:dyDescent="0.25">
      <c r="A168" s="226">
        <v>46189</v>
      </c>
      <c r="B168" s="227">
        <f>O167</f>
        <v>100</v>
      </c>
      <c r="C168" s="228">
        <f>P167</f>
        <v>100</v>
      </c>
      <c r="D168" s="228">
        <f>IF(OR(DAY(A168+2)=1,DAY(A168+2)=15),-SUM('Main Budget'!$H$26:$H$31),0)</f>
        <v>0</v>
      </c>
      <c r="E168" s="228">
        <f>IF(DAY(A168+2)=22,-SUM('Main Budget'!$F$26:$F$31),0)</f>
        <v>0</v>
      </c>
      <c r="F168" s="228">
        <f>IF(D168&gt;0,-'Main Budget'!$H$25+0.15,0)</f>
        <v>0</v>
      </c>
      <c r="G168" s="228">
        <f>IF(E168&gt;0,-'Main Budget'!$F$25+0.81,0)</f>
        <v>0</v>
      </c>
      <c r="H168" s="227">
        <f>IF(DAY(A168)='Main Budget'!$J$26,'Main Budget'!$E$26,0)</f>
        <v>0</v>
      </c>
      <c r="I168" s="227">
        <f>IF(DAY(A168)='Main Budget'!$J$28,'Main Budget'!$E$28,0)</f>
        <v>0</v>
      </c>
      <c r="J168" s="227">
        <f>IF(DAY(A168)='Main Budget'!$J$29,'Main Budget'!$E$29,0)</f>
        <v>0</v>
      </c>
      <c r="K168" s="20">
        <f>IF(DAY(A168)='Main Budget'!$J$30,'Main Budget'!$E$30,0)</f>
        <v>0</v>
      </c>
      <c r="L168" s="20">
        <f>IF(DAY(A168)='Main Budget'!$J$31,'Main Budget'!$E$31,0)</f>
        <v>0</v>
      </c>
      <c r="M168" s="20">
        <f>IF(DAY(A168)='Main Budget'!$J$27,'Main Budget'!$E$27,0)</f>
        <v>0</v>
      </c>
      <c r="O168" s="228">
        <f>B168+(SUM(H168:M168)+(SUM(D168:E168)))</f>
        <v>100</v>
      </c>
      <c r="P168" s="228">
        <f>C168+F168+G168+N168</f>
        <v>100</v>
      </c>
      <c r="Q168" s="252">
        <f>O168+P168</f>
        <v>200</v>
      </c>
      <c r="S168" s="231" t="str">
        <f>TEXT(A168,"dddd")</f>
        <v>Tuesday</v>
      </c>
    </row>
    <row r="169" spans="1:19" x14ac:dyDescent="0.25">
      <c r="A169" s="226">
        <v>46190</v>
      </c>
      <c r="B169" s="227">
        <f>O168</f>
        <v>100</v>
      </c>
      <c r="C169" s="228">
        <f>P168</f>
        <v>100</v>
      </c>
      <c r="D169" s="228">
        <f>IF(OR(DAY(A169+2)=1,DAY(A169+2)=15),-SUM('Main Budget'!$H$26:$H$31),0)</f>
        <v>0</v>
      </c>
      <c r="E169" s="228">
        <f>IF(DAY(A169+2)=22,-SUM('Main Budget'!$F$26:$F$31),0)</f>
        <v>0</v>
      </c>
      <c r="F169" s="228">
        <f>IF(D169&gt;0,-'Main Budget'!$H$25+0.15,0)</f>
        <v>0</v>
      </c>
      <c r="G169" s="228">
        <f>IF(E169&gt;0,-'Main Budget'!$F$25+0.81,0)</f>
        <v>0</v>
      </c>
      <c r="H169" s="227">
        <f>IF(DAY(A169)='Main Budget'!$J$26,'Main Budget'!$E$26,0)</f>
        <v>0</v>
      </c>
      <c r="I169" s="227">
        <f>IF(DAY(A169)='Main Budget'!$J$28,'Main Budget'!$E$28,0)</f>
        <v>0</v>
      </c>
      <c r="J169" s="227">
        <f>IF(DAY(A169)='Main Budget'!$J$29,'Main Budget'!$E$29,0)</f>
        <v>0</v>
      </c>
      <c r="K169" s="20">
        <f>IF(DAY(A169)='Main Budget'!$J$30,'Main Budget'!$E$30,0)</f>
        <v>0</v>
      </c>
      <c r="L169" s="20">
        <f>IF(DAY(A169)='Main Budget'!$J$31,'Main Budget'!$E$31,0)</f>
        <v>0</v>
      </c>
      <c r="M169" s="20">
        <f>IF(DAY(A169)='Main Budget'!$J$27,'Main Budget'!$E$27,0)</f>
        <v>0</v>
      </c>
      <c r="O169" s="228">
        <f>B169+(SUM(H169:M169)+(SUM(D169:E169)))</f>
        <v>100</v>
      </c>
      <c r="P169" s="228">
        <f>C169+F169+G169+N169</f>
        <v>100</v>
      </c>
      <c r="Q169" s="252">
        <f>O169+P169</f>
        <v>200</v>
      </c>
      <c r="S169" s="231" t="str">
        <f>TEXT(A169,"dddd")</f>
        <v>Wednesday</v>
      </c>
    </row>
    <row r="170" spans="1:19" x14ac:dyDescent="0.25">
      <c r="A170" s="226">
        <v>46191</v>
      </c>
      <c r="B170" s="227">
        <f>O169</f>
        <v>100</v>
      </c>
      <c r="C170" s="228">
        <f>P169</f>
        <v>100</v>
      </c>
      <c r="D170" s="228">
        <f>IF(OR(DAY(A170+2)=1,DAY(A170+2)=15),-SUM('Main Budget'!$H$26:$H$31),0)</f>
        <v>0</v>
      </c>
      <c r="E170" s="228">
        <f>IF(DAY(A170+2)=22,-SUM('Main Budget'!$F$26:$F$31),0)</f>
        <v>0</v>
      </c>
      <c r="F170" s="228">
        <f>IF(D170&gt;0,-'Main Budget'!$H$25+0.15,0)</f>
        <v>0</v>
      </c>
      <c r="G170" s="228">
        <f>IF(E170&gt;0,-'Main Budget'!$F$25+0.81,0)</f>
        <v>0</v>
      </c>
      <c r="H170" s="227">
        <f>IF(DAY(A170)='Main Budget'!$J$26,'Main Budget'!$E$26,0)</f>
        <v>0</v>
      </c>
      <c r="I170" s="227">
        <f>IF(DAY(A170)='Main Budget'!$J$28,'Main Budget'!$E$28,0)</f>
        <v>0</v>
      </c>
      <c r="J170" s="227">
        <f>IF(DAY(A170)='Main Budget'!$J$29,'Main Budget'!$E$29,0)</f>
        <v>0</v>
      </c>
      <c r="K170" s="20">
        <f>IF(DAY(A170)='Main Budget'!$J$30,'Main Budget'!$E$30,0)</f>
        <v>0</v>
      </c>
      <c r="L170" s="20">
        <f>IF(DAY(A170)='Main Budget'!$J$31,'Main Budget'!$E$31,0)</f>
        <v>0</v>
      </c>
      <c r="M170" s="20">
        <f>IF(DAY(A170)='Main Budget'!$J$27,'Main Budget'!$E$27,0)</f>
        <v>0</v>
      </c>
      <c r="O170" s="228">
        <f>B170+(SUM(H170:M170)+(SUM(D170:E170)))</f>
        <v>100</v>
      </c>
      <c r="P170" s="228">
        <f>C170+F170+G170+N170</f>
        <v>100</v>
      </c>
      <c r="Q170" s="252">
        <f>O170+P170</f>
        <v>200</v>
      </c>
      <c r="S170" s="231" t="str">
        <f>TEXT(A170,"dddd")</f>
        <v>Thursday</v>
      </c>
    </row>
    <row r="171" spans="1:19" x14ac:dyDescent="0.25">
      <c r="A171" s="226">
        <v>46192</v>
      </c>
      <c r="B171" s="227">
        <f>O170</f>
        <v>100</v>
      </c>
      <c r="C171" s="228">
        <f>P170</f>
        <v>100</v>
      </c>
      <c r="D171" s="228">
        <f>IF(OR(DAY(A171+2)=1,DAY(A171+2)=15),-SUM('Main Budget'!$H$26:$H$31),0)</f>
        <v>0</v>
      </c>
      <c r="E171" s="228">
        <f>IF(DAY(A171+2)=22,-SUM('Main Budget'!$F$26:$F$31),0)</f>
        <v>0</v>
      </c>
      <c r="F171" s="228">
        <f>IF(D171&gt;0,-'Main Budget'!$H$25+0.15,0)</f>
        <v>0</v>
      </c>
      <c r="G171" s="228">
        <f>IF(E171&gt;0,-'Main Budget'!$F$25+0.81,0)</f>
        <v>0</v>
      </c>
      <c r="H171" s="227">
        <f>IF(DAY(A171)='Main Budget'!$J$26,'Main Budget'!$E$26,0)</f>
        <v>0</v>
      </c>
      <c r="I171" s="227">
        <f>IF(DAY(A171)='Main Budget'!$J$28,'Main Budget'!$E$28,0)</f>
        <v>0</v>
      </c>
      <c r="J171" s="227">
        <f>IF(DAY(A171)='Main Budget'!$J$29,'Main Budget'!$E$29,0)</f>
        <v>0</v>
      </c>
      <c r="K171" s="20">
        <f>IF(DAY(A171)='Main Budget'!$J$30,'Main Budget'!$E$30,0)</f>
        <v>0</v>
      </c>
      <c r="L171" s="20">
        <f>IF(DAY(A171)='Main Budget'!$J$31,'Main Budget'!$E$31,0)</f>
        <v>0</v>
      </c>
      <c r="M171" s="20">
        <f>IF(DAY(A171)='Main Budget'!$J$27,'Main Budget'!$E$27,0)</f>
        <v>0</v>
      </c>
      <c r="O171" s="228">
        <f>B171+(SUM(H171:M171)+(SUM(D171:E171)))</f>
        <v>100</v>
      </c>
      <c r="P171" s="228">
        <f>C171+F171+G171+N171</f>
        <v>100</v>
      </c>
      <c r="Q171" s="252">
        <f>O171+P171</f>
        <v>200</v>
      </c>
      <c r="S171" s="231" t="str">
        <f>TEXT(A171,"dddd")</f>
        <v>Friday</v>
      </c>
    </row>
    <row r="172" spans="1:19" x14ac:dyDescent="0.25">
      <c r="A172" s="226">
        <v>46193</v>
      </c>
      <c r="B172" s="227">
        <f>O171</f>
        <v>100</v>
      </c>
      <c r="C172" s="228">
        <f>P171</f>
        <v>100</v>
      </c>
      <c r="D172" s="228">
        <f>IF(OR(DAY(A172+2)=1,DAY(A172+2)=15),-SUM('Main Budget'!$H$26:$H$31),0)</f>
        <v>0</v>
      </c>
      <c r="E172" s="228">
        <f>IF(DAY(A172+2)=22,-SUM('Main Budget'!$F$26:$F$31),0)</f>
        <v>0</v>
      </c>
      <c r="F172" s="228">
        <f>IF(D172&gt;0,-'Main Budget'!$H$25+0.15,0)</f>
        <v>0</v>
      </c>
      <c r="G172" s="228">
        <f>IF(E172&gt;0,-'Main Budget'!$F$25+0.81,0)</f>
        <v>0</v>
      </c>
      <c r="H172" s="227">
        <f>IF(DAY(A172)='Main Budget'!$J$26,'Main Budget'!$E$26,0)</f>
        <v>0</v>
      </c>
      <c r="I172" s="227">
        <f>IF(DAY(A172)='Main Budget'!$J$28,'Main Budget'!$E$28,0)</f>
        <v>0</v>
      </c>
      <c r="J172" s="227">
        <f>IF(DAY(A172)='Main Budget'!$J$29,'Main Budget'!$E$29,0)</f>
        <v>0</v>
      </c>
      <c r="K172" s="20">
        <f>IF(DAY(A172)='Main Budget'!$J$30,'Main Budget'!$E$30,0)</f>
        <v>0</v>
      </c>
      <c r="L172" s="20">
        <f>IF(DAY(A172)='Main Budget'!$J$31,'Main Budget'!$E$31,0)</f>
        <v>0</v>
      </c>
      <c r="M172" s="20">
        <f>IF(DAY(A172)='Main Budget'!$J$27,'Main Budget'!$E$27,0)</f>
        <v>0</v>
      </c>
      <c r="O172" s="228">
        <f>B172+(SUM(H172:M172)+(SUM(D172:E172)))</f>
        <v>100</v>
      </c>
      <c r="P172" s="228">
        <f>C172+F172+G172+N172</f>
        <v>100</v>
      </c>
      <c r="Q172" s="252">
        <f>O172+P172</f>
        <v>200</v>
      </c>
      <c r="S172" s="231" t="str">
        <f>TEXT(A172,"dddd")</f>
        <v>Saturday</v>
      </c>
    </row>
    <row r="173" spans="1:19" x14ac:dyDescent="0.25">
      <c r="A173" s="226">
        <v>46194</v>
      </c>
      <c r="B173" s="227">
        <f>O172</f>
        <v>100</v>
      </c>
      <c r="C173" s="228">
        <f>P172</f>
        <v>100</v>
      </c>
      <c r="D173" s="228">
        <f>IF(OR(DAY(A173+2)=1,DAY(A173+2)=15),-SUM('Main Budget'!$H$26:$H$31),0)</f>
        <v>0</v>
      </c>
      <c r="E173" s="228">
        <f>IF(DAY(A173+2)=22,-SUM('Main Budget'!$F$26:$F$31),0)</f>
        <v>0</v>
      </c>
      <c r="F173" s="228">
        <f>IF(D173&gt;0,-'Main Budget'!$H$25+0.15,0)</f>
        <v>0</v>
      </c>
      <c r="G173" s="228">
        <f>IF(E173&gt;0,-'Main Budget'!$F$25+0.81,0)</f>
        <v>0</v>
      </c>
      <c r="H173" s="227">
        <f>IF(DAY(A173)='Main Budget'!$J$26,'Main Budget'!$E$26,0)</f>
        <v>0</v>
      </c>
      <c r="I173" s="227">
        <f>IF(DAY(A173)='Main Budget'!$J$28,'Main Budget'!$E$28,0)</f>
        <v>0</v>
      </c>
      <c r="J173" s="227">
        <f>IF(DAY(A173)='Main Budget'!$J$29,'Main Budget'!$E$29,0)</f>
        <v>0</v>
      </c>
      <c r="K173" s="20">
        <f>IF(DAY(A173)='Main Budget'!$J$30,'Main Budget'!$E$30,0)</f>
        <v>0</v>
      </c>
      <c r="L173" s="20">
        <f>IF(DAY(A173)='Main Budget'!$J$31,'Main Budget'!$E$31,0)</f>
        <v>0</v>
      </c>
      <c r="M173" s="20">
        <f>IF(DAY(A173)='Main Budget'!$J$27,'Main Budget'!$E$27,0)</f>
        <v>0</v>
      </c>
      <c r="O173" s="228">
        <f>B173+(SUM(H173:M173)+(SUM(D173:E173)))</f>
        <v>100</v>
      </c>
      <c r="P173" s="228">
        <f>C173+F173+G173+N173</f>
        <v>100</v>
      </c>
      <c r="Q173" s="252">
        <f>O173+P173</f>
        <v>200</v>
      </c>
      <c r="S173" s="231" t="str">
        <f>TEXT(A173,"dddd")</f>
        <v>Sunday</v>
      </c>
    </row>
    <row r="174" spans="1:19" x14ac:dyDescent="0.25">
      <c r="A174" s="226">
        <v>46195</v>
      </c>
      <c r="B174" s="227">
        <f>O173</f>
        <v>100</v>
      </c>
      <c r="C174" s="228">
        <f>P173</f>
        <v>100</v>
      </c>
      <c r="D174" s="228">
        <f>IF(OR(DAY(A174+2)=1,DAY(A174+2)=15),-SUM('Main Budget'!$H$26:$H$31),0)</f>
        <v>0</v>
      </c>
      <c r="E174" s="228">
        <f>IF(DAY(A174+2)=22,-SUM('Main Budget'!$F$26:$F$31),0)</f>
        <v>0</v>
      </c>
      <c r="F174" s="228">
        <f>IF(D174&gt;0,-'Main Budget'!$H$25+0.15,0)</f>
        <v>0</v>
      </c>
      <c r="G174" s="228">
        <f>IF(E174&gt;0,-'Main Budget'!$F$25+0.81,0)</f>
        <v>0</v>
      </c>
      <c r="H174" s="227">
        <f>IF(DAY(A174)='Main Budget'!$J$26,'Main Budget'!$E$26,0)</f>
        <v>0</v>
      </c>
      <c r="I174" s="227">
        <f>IF(DAY(A174)='Main Budget'!$J$28,'Main Budget'!$E$28,0)</f>
        <v>0</v>
      </c>
      <c r="J174" s="227">
        <f>IF(DAY(A174)='Main Budget'!$J$29,'Main Budget'!$E$29,0)</f>
        <v>0</v>
      </c>
      <c r="K174" s="20">
        <f>IF(DAY(A174)='Main Budget'!$J$30,'Main Budget'!$E$30,0)</f>
        <v>0</v>
      </c>
      <c r="L174" s="20">
        <f>IF(DAY(A174)='Main Budget'!$J$31,'Main Budget'!$E$31,0)</f>
        <v>0</v>
      </c>
      <c r="M174" s="20">
        <f>IF(DAY(A174)='Main Budget'!$J$27,'Main Budget'!$E$27,0)</f>
        <v>0</v>
      </c>
      <c r="O174" s="228">
        <f>B174+(SUM(H174:M174)+(SUM(D174:E174)))</f>
        <v>100</v>
      </c>
      <c r="P174" s="228">
        <f>C174+F174+G174+N174</f>
        <v>100</v>
      </c>
      <c r="Q174" s="252">
        <f>O174+P174</f>
        <v>200</v>
      </c>
      <c r="S174" s="231" t="str">
        <f>TEXT(A174,"dddd")</f>
        <v>Monday</v>
      </c>
    </row>
    <row r="175" spans="1:19" x14ac:dyDescent="0.25">
      <c r="A175" s="226">
        <v>46196</v>
      </c>
      <c r="B175" s="227">
        <f>O174</f>
        <v>100</v>
      </c>
      <c r="C175" s="228">
        <f>P174</f>
        <v>100</v>
      </c>
      <c r="D175" s="228">
        <f>IF(OR(DAY(A175+2)=1,DAY(A175+2)=15),-SUM('Main Budget'!$H$26:$H$31),0)</f>
        <v>0</v>
      </c>
      <c r="E175" s="228">
        <f>IF(DAY(A175+2)=22,-SUM('Main Budget'!$F$26:$F$31),0)</f>
        <v>0</v>
      </c>
      <c r="F175" s="228">
        <f>IF(D175&gt;0,-'Main Budget'!$H$25+0.15,0)</f>
        <v>0</v>
      </c>
      <c r="G175" s="228">
        <f>IF(E175&gt;0,-'Main Budget'!$F$25+0.81,0)</f>
        <v>0</v>
      </c>
      <c r="H175" s="227">
        <f>IF(DAY(A175)='Main Budget'!$J$26,'Main Budget'!$E$26,0)</f>
        <v>0</v>
      </c>
      <c r="I175" s="227">
        <f>IF(DAY(A175)='Main Budget'!$J$28,'Main Budget'!$E$28,0)</f>
        <v>0</v>
      </c>
      <c r="J175" s="227">
        <f>IF(DAY(A175)='Main Budget'!$J$29,'Main Budget'!$E$29,0)</f>
        <v>0</v>
      </c>
      <c r="K175" s="20">
        <f>IF(DAY(A175)='Main Budget'!$J$30,'Main Budget'!$E$30,0)</f>
        <v>0</v>
      </c>
      <c r="L175" s="20">
        <f>IF(DAY(A175)='Main Budget'!$J$31,'Main Budget'!$E$31,0)</f>
        <v>0</v>
      </c>
      <c r="M175" s="20">
        <f>IF(DAY(A175)='Main Budget'!$J$27,'Main Budget'!$E$27,0)</f>
        <v>0</v>
      </c>
      <c r="O175" s="228">
        <f>B175+(SUM(H175:M175)+(SUM(D175:E175)))</f>
        <v>100</v>
      </c>
      <c r="P175" s="228">
        <f>C175+F175+G175+N175</f>
        <v>100</v>
      </c>
      <c r="Q175" s="252">
        <f>O175+P175</f>
        <v>200</v>
      </c>
      <c r="S175" s="231" t="str">
        <f>TEXT(A175,"dddd")</f>
        <v>Tuesday</v>
      </c>
    </row>
    <row r="176" spans="1:19" x14ac:dyDescent="0.25">
      <c r="A176" s="226">
        <v>46197</v>
      </c>
      <c r="B176" s="227">
        <f>O175</f>
        <v>100</v>
      </c>
      <c r="C176" s="228">
        <f>P175</f>
        <v>100</v>
      </c>
      <c r="D176" s="228">
        <f>IF(OR(DAY(A176+2)=1,DAY(A176+2)=15),-SUM('Main Budget'!$H$26:$H$31),0)</f>
        <v>0</v>
      </c>
      <c r="E176" s="228">
        <f>IF(DAY(A176+2)=22,-SUM('Main Budget'!$F$26:$F$31),0)</f>
        <v>0</v>
      </c>
      <c r="F176" s="228">
        <f>IF(D176&gt;0,-'Main Budget'!$H$25+0.15,0)</f>
        <v>0</v>
      </c>
      <c r="G176" s="228">
        <f>IF(E176&gt;0,-'Main Budget'!$F$25+0.81,0)</f>
        <v>0</v>
      </c>
      <c r="H176" s="227">
        <f>IF(DAY(A176)='Main Budget'!$J$26,'Main Budget'!$E$26,0)</f>
        <v>0</v>
      </c>
      <c r="I176" s="227">
        <f>IF(DAY(A176)='Main Budget'!$J$28,'Main Budget'!$E$28,0)</f>
        <v>0</v>
      </c>
      <c r="J176" s="227">
        <f>IF(DAY(A176)='Main Budget'!$J$29,'Main Budget'!$E$29,0)</f>
        <v>0</v>
      </c>
      <c r="K176" s="20">
        <f>IF(DAY(A176)='Main Budget'!$J$30,'Main Budget'!$E$30,0)</f>
        <v>0</v>
      </c>
      <c r="L176" s="20">
        <f>IF(DAY(A176)='Main Budget'!$J$31,'Main Budget'!$E$31,0)</f>
        <v>0</v>
      </c>
      <c r="M176" s="20">
        <f>IF(DAY(A176)='Main Budget'!$J$27,'Main Budget'!$E$27,0)</f>
        <v>0</v>
      </c>
      <c r="O176" s="228">
        <f>B176+(SUM(H176:M176)+(SUM(D176:E176)))</f>
        <v>100</v>
      </c>
      <c r="P176" s="228">
        <f>C176+F176+G176+N176</f>
        <v>100</v>
      </c>
      <c r="Q176" s="252">
        <f>O176+P176</f>
        <v>200</v>
      </c>
      <c r="S176" s="231" t="str">
        <f>TEXT(A176,"dddd")</f>
        <v>Wednesday</v>
      </c>
    </row>
    <row r="177" spans="1:19" x14ac:dyDescent="0.25">
      <c r="A177" s="226">
        <v>46198</v>
      </c>
      <c r="B177" s="227">
        <f>O176</f>
        <v>100</v>
      </c>
      <c r="C177" s="228">
        <f>P176</f>
        <v>100</v>
      </c>
      <c r="D177" s="228">
        <f>IF(OR(DAY(A177+2)=1,DAY(A177+2)=15),-SUM('Main Budget'!$H$26:$H$31),0)</f>
        <v>0</v>
      </c>
      <c r="E177" s="228">
        <f>IF(DAY(A177+2)=22,-SUM('Main Budget'!$F$26:$F$31),0)</f>
        <v>0</v>
      </c>
      <c r="F177" s="228">
        <f>IF(D177&gt;0,-'Main Budget'!$H$25+0.15,0)</f>
        <v>0</v>
      </c>
      <c r="G177" s="228">
        <f>IF(E177&gt;0,-'Main Budget'!$F$25+0.81,0)</f>
        <v>0</v>
      </c>
      <c r="H177" s="227">
        <f>IF(DAY(A177)='Main Budget'!$J$26,'Main Budget'!$E$26,0)</f>
        <v>0</v>
      </c>
      <c r="I177" s="227">
        <f>IF(DAY(A177)='Main Budget'!$J$28,'Main Budget'!$E$28,0)</f>
        <v>0</v>
      </c>
      <c r="J177" s="227">
        <f>IF(DAY(A177)='Main Budget'!$J$29,'Main Budget'!$E$29,0)</f>
        <v>0</v>
      </c>
      <c r="K177" s="20">
        <f>IF(DAY(A177)='Main Budget'!$J$30,'Main Budget'!$E$30,0)</f>
        <v>0</v>
      </c>
      <c r="L177" s="20">
        <f>IF(DAY(A177)='Main Budget'!$J$31,'Main Budget'!$E$31,0)</f>
        <v>0</v>
      </c>
      <c r="M177" s="20">
        <f>IF(DAY(A177)='Main Budget'!$J$27,'Main Budget'!$E$27,0)</f>
        <v>0</v>
      </c>
      <c r="O177" s="228">
        <f>B177+(SUM(H177:M177)+(SUM(D177:E177)))</f>
        <v>100</v>
      </c>
      <c r="P177" s="228">
        <f>C177+F177+G177+N177</f>
        <v>100</v>
      </c>
      <c r="Q177" s="252">
        <f>O177+P177</f>
        <v>200</v>
      </c>
      <c r="S177" s="231" t="str">
        <f>TEXT(A177,"dddd")</f>
        <v>Thursday</v>
      </c>
    </row>
    <row r="178" spans="1:19" x14ac:dyDescent="0.25">
      <c r="A178" s="226">
        <v>46199</v>
      </c>
      <c r="B178" s="227">
        <f>O177</f>
        <v>100</v>
      </c>
      <c r="C178" s="228">
        <f>P177</f>
        <v>100</v>
      </c>
      <c r="D178" s="228">
        <f>IF(OR(DAY(A178+2)=1,DAY(A178+2)=15),-SUM('Main Budget'!$H$26:$H$31),0)</f>
        <v>0</v>
      </c>
      <c r="E178" s="228">
        <f>IF(DAY(A178+2)=22,-SUM('Main Budget'!$F$26:$F$31),0)</f>
        <v>0</v>
      </c>
      <c r="F178" s="228">
        <f>IF(D178&gt;0,-'Main Budget'!$H$25+0.15,0)</f>
        <v>0</v>
      </c>
      <c r="G178" s="228">
        <f>IF(E178&gt;0,-'Main Budget'!$F$25+0.81,0)</f>
        <v>0</v>
      </c>
      <c r="H178" s="227">
        <f>IF(DAY(A178)='Main Budget'!$J$26,'Main Budget'!$E$26,0)</f>
        <v>0</v>
      </c>
      <c r="I178" s="227">
        <f>IF(DAY(A178)='Main Budget'!$J$28,'Main Budget'!$E$28,0)</f>
        <v>0</v>
      </c>
      <c r="J178" s="227">
        <f>IF(DAY(A178)='Main Budget'!$J$29,'Main Budget'!$E$29,0)</f>
        <v>0</v>
      </c>
      <c r="K178" s="20">
        <f>IF(DAY(A178)='Main Budget'!$J$30,'Main Budget'!$E$30,0)</f>
        <v>0</v>
      </c>
      <c r="L178" s="20">
        <f>IF(DAY(A178)='Main Budget'!$J$31,'Main Budget'!$E$31,0)</f>
        <v>0</v>
      </c>
      <c r="M178" s="20">
        <f>IF(DAY(A178)='Main Budget'!$J$27,'Main Budget'!$E$27,0)</f>
        <v>0</v>
      </c>
      <c r="O178" s="228">
        <f>B178+(SUM(H178:M178)+(SUM(D178:E178)))</f>
        <v>100</v>
      </c>
      <c r="P178" s="228">
        <f>C178+F178+G178+N178</f>
        <v>100</v>
      </c>
      <c r="Q178" s="252">
        <f>O178+P178</f>
        <v>200</v>
      </c>
      <c r="S178" s="231" t="str">
        <f>TEXT(A178,"dddd")</f>
        <v>Friday</v>
      </c>
    </row>
    <row r="179" spans="1:19" x14ac:dyDescent="0.25">
      <c r="A179" s="226">
        <v>46200</v>
      </c>
      <c r="B179" s="227">
        <f>O178</f>
        <v>100</v>
      </c>
      <c r="C179" s="228">
        <f>P178</f>
        <v>100</v>
      </c>
      <c r="D179" s="228">
        <f>IF(OR(DAY(A179+2)=1,DAY(A179+2)=15),-SUM('Main Budget'!$H$26:$H$31),0)</f>
        <v>0</v>
      </c>
      <c r="E179" s="228">
        <f>IF(DAY(A179+2)=22,-SUM('Main Budget'!$F$26:$F$31),0)</f>
        <v>0</v>
      </c>
      <c r="F179" s="228">
        <f>IF(D179&gt;0,-'Main Budget'!$H$25+0.15,0)</f>
        <v>0</v>
      </c>
      <c r="G179" s="228">
        <f>IF(E179&gt;0,-'Main Budget'!$F$25+0.81,0)</f>
        <v>0</v>
      </c>
      <c r="H179" s="227">
        <f>IF(DAY(A179)='Main Budget'!$J$26,'Main Budget'!$E$26,0)</f>
        <v>0</v>
      </c>
      <c r="I179" s="227">
        <f>IF(DAY(A179)='Main Budget'!$J$28,'Main Budget'!$E$28,0)</f>
        <v>0</v>
      </c>
      <c r="J179" s="227">
        <f>IF(DAY(A179)='Main Budget'!$J$29,'Main Budget'!$E$29,0)</f>
        <v>0</v>
      </c>
      <c r="K179" s="20">
        <f>IF(DAY(A179)='Main Budget'!$J$30,'Main Budget'!$E$30,0)</f>
        <v>0</v>
      </c>
      <c r="L179" s="20">
        <f>IF(DAY(A179)='Main Budget'!$J$31,'Main Budget'!$E$31,0)</f>
        <v>0</v>
      </c>
      <c r="M179" s="20">
        <f>IF(DAY(A179)='Main Budget'!$J$27,'Main Budget'!$E$27,0)</f>
        <v>0</v>
      </c>
      <c r="O179" s="228">
        <f>B179+(SUM(H179:M179)+(SUM(D179:E179)))</f>
        <v>100</v>
      </c>
      <c r="P179" s="228">
        <f>C179+F179+G179+N179</f>
        <v>100</v>
      </c>
      <c r="Q179" s="252">
        <f>O179+P179</f>
        <v>200</v>
      </c>
      <c r="S179" s="231" t="str">
        <f>TEXT(A179,"dddd")</f>
        <v>Saturday</v>
      </c>
    </row>
    <row r="180" spans="1:19" x14ac:dyDescent="0.25">
      <c r="A180" s="226">
        <v>46201</v>
      </c>
      <c r="B180" s="227">
        <f>O179</f>
        <v>100</v>
      </c>
      <c r="C180" s="228">
        <f>P179</f>
        <v>100</v>
      </c>
      <c r="D180" s="228">
        <f>IF(OR(DAY(A180+2)=1,DAY(A180+2)=15),-SUM('Main Budget'!$H$26:$H$31),0)</f>
        <v>0</v>
      </c>
      <c r="E180" s="228">
        <f>IF(DAY(A180+2)=22,-SUM('Main Budget'!$F$26:$F$31),0)</f>
        <v>0</v>
      </c>
      <c r="F180" s="228">
        <f>IF(D180&gt;0,-'Main Budget'!$H$25+0.15,0)</f>
        <v>0</v>
      </c>
      <c r="G180" s="228">
        <f>IF(E180&gt;0,-'Main Budget'!$F$25+0.81,0)</f>
        <v>0</v>
      </c>
      <c r="H180" s="227">
        <f>IF(DAY(A180)='Main Budget'!$J$26,'Main Budget'!$E$26,0)</f>
        <v>0</v>
      </c>
      <c r="I180" s="227">
        <f>IF(DAY(A180)='Main Budget'!$J$28,'Main Budget'!$E$28,0)</f>
        <v>0</v>
      </c>
      <c r="J180" s="227">
        <f>IF(DAY(A180)='Main Budget'!$J$29,'Main Budget'!$E$29,0)</f>
        <v>0</v>
      </c>
      <c r="K180" s="20">
        <f>IF(DAY(A180)='Main Budget'!$J$30,'Main Budget'!$E$30,0)</f>
        <v>0</v>
      </c>
      <c r="L180" s="20">
        <f>IF(DAY(A180)='Main Budget'!$J$31,'Main Budget'!$E$31,0)</f>
        <v>0</v>
      </c>
      <c r="M180" s="20">
        <f>IF(DAY(A180)='Main Budget'!$J$27,'Main Budget'!$E$27,0)</f>
        <v>0</v>
      </c>
      <c r="O180" s="228">
        <f>B180+(SUM(H180:M180)+(SUM(D180:E180)))</f>
        <v>100</v>
      </c>
      <c r="P180" s="228">
        <f>C180+F180+G180+N180</f>
        <v>100</v>
      </c>
      <c r="Q180" s="252">
        <f>O180+P180</f>
        <v>200</v>
      </c>
      <c r="S180" s="231" t="str">
        <f>TEXT(A180,"dddd")</f>
        <v>Sunday</v>
      </c>
    </row>
    <row r="181" spans="1:19" x14ac:dyDescent="0.25">
      <c r="A181" s="226">
        <v>46202</v>
      </c>
      <c r="B181" s="227">
        <f>O180</f>
        <v>100</v>
      </c>
      <c r="C181" s="228">
        <f>P180</f>
        <v>100</v>
      </c>
      <c r="D181" s="228">
        <f>IF(OR(DAY(A181+2)=1,DAY(A181+2)=15),-SUM('Main Budget'!$H$26:$H$31),0)</f>
        <v>0</v>
      </c>
      <c r="E181" s="228">
        <f>IF(DAY(A181+2)=22,-SUM('Main Budget'!$F$26:$F$31),0)</f>
        <v>0</v>
      </c>
      <c r="F181" s="228">
        <f>IF(D181&gt;0,-'Main Budget'!$H$25+0.15,0)</f>
        <v>0</v>
      </c>
      <c r="G181" s="228">
        <f>IF(E181&gt;0,-'Main Budget'!$F$25+0.81,0)</f>
        <v>0</v>
      </c>
      <c r="H181" s="227">
        <f>IF(DAY(A181)='Main Budget'!$J$26,'Main Budget'!$E$26,0)</f>
        <v>0</v>
      </c>
      <c r="I181" s="227">
        <f>IF(DAY(A181)='Main Budget'!$J$28,'Main Budget'!$E$28,0)</f>
        <v>0</v>
      </c>
      <c r="J181" s="227">
        <f>IF(DAY(A181)='Main Budget'!$J$29,'Main Budget'!$E$29,0)</f>
        <v>0</v>
      </c>
      <c r="K181" s="20">
        <f>IF(DAY(A181)='Main Budget'!$J$30,'Main Budget'!$E$30,0)</f>
        <v>0</v>
      </c>
      <c r="L181" s="20">
        <f>IF(DAY(A181)='Main Budget'!$J$31,'Main Budget'!$E$31,0)</f>
        <v>0</v>
      </c>
      <c r="M181" s="20">
        <f>IF(DAY(A181)='Main Budget'!$J$27,'Main Budget'!$E$27,0)</f>
        <v>0</v>
      </c>
      <c r="O181" s="228">
        <f>B181+(SUM(H181:M181)+(SUM(D181:E181)))</f>
        <v>100</v>
      </c>
      <c r="P181" s="228">
        <f>C181+F181+G181+N181</f>
        <v>100</v>
      </c>
      <c r="Q181" s="252">
        <f>O181+P181</f>
        <v>200</v>
      </c>
      <c r="S181" s="231" t="str">
        <f>TEXT(A181,"dddd")</f>
        <v>Monday</v>
      </c>
    </row>
    <row r="182" spans="1:19" x14ac:dyDescent="0.25">
      <c r="A182" s="226">
        <v>46203</v>
      </c>
      <c r="B182" s="227">
        <f>O181</f>
        <v>100</v>
      </c>
      <c r="C182" s="228">
        <f>P181</f>
        <v>100</v>
      </c>
      <c r="D182" s="228">
        <f>IF(OR(DAY(A182+2)=1,DAY(A182+2)=15),-SUM('Main Budget'!$H$26:$H$31),0)</f>
        <v>0</v>
      </c>
      <c r="E182" s="228">
        <f>IF(DAY(A182+2)=22,-SUM('Main Budget'!$F$26:$F$31),0)</f>
        <v>0</v>
      </c>
      <c r="F182" s="228">
        <f>IF(D182&gt;0,-'Main Budget'!$H$25+0.15,0)</f>
        <v>0</v>
      </c>
      <c r="G182" s="228">
        <f>IF(E182&gt;0,-'Main Budget'!$F$25+0.81,0)</f>
        <v>0</v>
      </c>
      <c r="H182" s="227">
        <f>IF(DAY(A182)='Main Budget'!$J$26,'Main Budget'!$E$26,0)</f>
        <v>0</v>
      </c>
      <c r="I182" s="227">
        <f>IF(DAY(A182)='Main Budget'!$J$28,'Main Budget'!$E$28,0)</f>
        <v>0</v>
      </c>
      <c r="J182" s="227">
        <f>IF(DAY(A182)='Main Budget'!$J$29,'Main Budget'!$E$29,0)</f>
        <v>0</v>
      </c>
      <c r="K182" s="20">
        <f>IF(DAY(A182)='Main Budget'!$J$30,'Main Budget'!$E$30,0)</f>
        <v>0</v>
      </c>
      <c r="L182" s="20">
        <f>IF(DAY(A182)='Main Budget'!$J$31,'Main Budget'!$E$31,0)</f>
        <v>0</v>
      </c>
      <c r="M182" s="20">
        <f>IF(DAY(A182)='Main Budget'!$J$27,'Main Budget'!$E$27,0)</f>
        <v>0</v>
      </c>
      <c r="O182" s="228">
        <f>B182+(SUM(H182:M182)+(SUM(D182:E182)))</f>
        <v>100</v>
      </c>
      <c r="P182" s="228">
        <f>C182+F182+G182+N182</f>
        <v>100</v>
      </c>
      <c r="Q182" s="252">
        <f>O182+P182</f>
        <v>200</v>
      </c>
      <c r="S182" s="231" t="str">
        <f>TEXT(A182,"dddd")</f>
        <v>Tuesday</v>
      </c>
    </row>
    <row r="183" spans="1:19" x14ac:dyDescent="0.25">
      <c r="A183" s="226">
        <v>46204</v>
      </c>
      <c r="B183" s="227">
        <f>O182</f>
        <v>100</v>
      </c>
      <c r="C183" s="228">
        <f>P182</f>
        <v>100</v>
      </c>
      <c r="D183" s="228">
        <f>IF(OR(DAY(A183+2)=1,DAY(A183+2)=15),-SUM('Main Budget'!$H$26:$H$31),0)</f>
        <v>0</v>
      </c>
      <c r="E183" s="228">
        <f>IF(DAY(A183+2)=22,-SUM('Main Budget'!$F$26:$F$31),0)</f>
        <v>0</v>
      </c>
      <c r="F183" s="228">
        <f>IF(D183&gt;0,-'Main Budget'!$H$25+0.15,0)</f>
        <v>0</v>
      </c>
      <c r="G183" s="228">
        <f>IF(E183&gt;0,-'Main Budget'!$F$25+0.81,0)</f>
        <v>0</v>
      </c>
      <c r="H183" s="227">
        <f>IF(DAY(A183)='Main Budget'!$J$26,'Main Budget'!$E$26,0)</f>
        <v>0</v>
      </c>
      <c r="I183" s="227">
        <f>IF(DAY(A183)='Main Budget'!$J$28,'Main Budget'!$E$28,0)</f>
        <v>0</v>
      </c>
      <c r="J183" s="227">
        <f>IF(DAY(A183)='Main Budget'!$J$29,'Main Budget'!$E$29,0)</f>
        <v>0</v>
      </c>
      <c r="K183" s="20">
        <f>IF(DAY(A183)='Main Budget'!$J$30,'Main Budget'!$E$30,0)</f>
        <v>0</v>
      </c>
      <c r="L183" s="20">
        <f>IF(DAY(A183)='Main Budget'!$J$31,'Main Budget'!$E$31,0)</f>
        <v>0</v>
      </c>
      <c r="M183" s="20">
        <f>IF(DAY(A183)='Main Budget'!$J$27,'Main Budget'!$E$27,0)</f>
        <v>0</v>
      </c>
      <c r="O183" s="228">
        <f>B183+(SUM(H183:M183)+(SUM(D183:E183)))</f>
        <v>100</v>
      </c>
      <c r="P183" s="228">
        <f>C183+F183+G183+N183</f>
        <v>100</v>
      </c>
      <c r="Q183" s="252">
        <f>O183+P183</f>
        <v>200</v>
      </c>
      <c r="S183" s="231" t="str">
        <f>TEXT(A183,"dddd")</f>
        <v>Wednesday</v>
      </c>
    </row>
    <row r="184" spans="1:19" x14ac:dyDescent="0.25">
      <c r="A184" s="226">
        <v>46205</v>
      </c>
      <c r="B184" s="227">
        <f>O183</f>
        <v>100</v>
      </c>
      <c r="C184" s="228">
        <f>P183</f>
        <v>100</v>
      </c>
      <c r="D184" s="228">
        <f>IF(OR(DAY(A184+2)=1,DAY(A184+2)=15),-SUM('Main Budget'!$H$26:$H$31),0)</f>
        <v>0</v>
      </c>
      <c r="E184" s="228">
        <f>IF(DAY(A184+2)=22,-SUM('Main Budget'!$F$26:$F$31),0)</f>
        <v>0</v>
      </c>
      <c r="F184" s="228">
        <f>IF(D184&gt;0,-'Main Budget'!$H$25+0.15,0)</f>
        <v>0</v>
      </c>
      <c r="G184" s="228">
        <f>IF(E184&gt;0,-'Main Budget'!$F$25+0.81,0)</f>
        <v>0</v>
      </c>
      <c r="H184" s="227">
        <f>IF(DAY(A184)='Main Budget'!$J$26,'Main Budget'!$E$26,0)</f>
        <v>0</v>
      </c>
      <c r="I184" s="227">
        <f>IF(DAY(A184)='Main Budget'!$J$28,'Main Budget'!$E$28,0)</f>
        <v>0</v>
      </c>
      <c r="J184" s="227">
        <f>IF(DAY(A184)='Main Budget'!$J$29,'Main Budget'!$E$29,0)</f>
        <v>0</v>
      </c>
      <c r="K184" s="20">
        <f>IF(DAY(A184)='Main Budget'!$J$30,'Main Budget'!$E$30,0)</f>
        <v>0</v>
      </c>
      <c r="L184" s="20">
        <f>IF(DAY(A184)='Main Budget'!$J$31,'Main Budget'!$E$31,0)</f>
        <v>0</v>
      </c>
      <c r="M184" s="20">
        <f>IF(DAY(A184)='Main Budget'!$J$27,'Main Budget'!$E$27,0)</f>
        <v>0</v>
      </c>
      <c r="O184" s="228">
        <f>B184+(SUM(H184:M184)+(SUM(D184:E184)))</f>
        <v>100</v>
      </c>
      <c r="P184" s="228">
        <f>C184+F184+G184+N184</f>
        <v>100</v>
      </c>
      <c r="Q184" s="252">
        <f>O184+P184</f>
        <v>200</v>
      </c>
      <c r="S184" s="231" t="str">
        <f>TEXT(A184,"dddd")</f>
        <v>Thursday</v>
      </c>
    </row>
    <row r="185" spans="1:19" x14ac:dyDescent="0.25">
      <c r="A185" s="226">
        <v>46206</v>
      </c>
      <c r="B185" s="227">
        <f>O184</f>
        <v>100</v>
      </c>
      <c r="C185" s="228">
        <f>P184</f>
        <v>100</v>
      </c>
      <c r="D185" s="228">
        <f>IF(OR(DAY(A185+2)=1,DAY(A185+2)=15),-SUM('Main Budget'!$H$26:$H$31),0)</f>
        <v>0</v>
      </c>
      <c r="E185" s="228">
        <f>IF(DAY(A185+2)=22,-SUM('Main Budget'!$F$26:$F$31),0)</f>
        <v>0</v>
      </c>
      <c r="F185" s="228">
        <f>IF(D185&gt;0,-'Main Budget'!$H$25+0.15,0)</f>
        <v>0</v>
      </c>
      <c r="G185" s="228">
        <f>IF(E185&gt;0,-'Main Budget'!$F$25+0.81,0)</f>
        <v>0</v>
      </c>
      <c r="H185" s="227">
        <f>IF(DAY(A185)='Main Budget'!$J$26,'Main Budget'!$E$26,0)</f>
        <v>0</v>
      </c>
      <c r="I185" s="227">
        <f>IF(DAY(A185)='Main Budget'!$J$28,'Main Budget'!$E$28,0)</f>
        <v>0</v>
      </c>
      <c r="J185" s="227">
        <f>IF(DAY(A185)='Main Budget'!$J$29,'Main Budget'!$E$29,0)</f>
        <v>0</v>
      </c>
      <c r="K185" s="20">
        <f>IF(DAY(A185)='Main Budget'!$J$30,'Main Budget'!$E$30,0)</f>
        <v>0</v>
      </c>
      <c r="L185" s="20">
        <f>IF(DAY(A185)='Main Budget'!$J$31,'Main Budget'!$E$31,0)</f>
        <v>0</v>
      </c>
      <c r="M185" s="20">
        <f>IF(DAY(A185)='Main Budget'!$J$27,'Main Budget'!$E$27,0)</f>
        <v>0</v>
      </c>
      <c r="O185" s="228">
        <f>B185+(SUM(H185:M185)+(SUM(D185:E185)))</f>
        <v>100</v>
      </c>
      <c r="P185" s="228">
        <f>C185+F185+G185+N185</f>
        <v>100</v>
      </c>
      <c r="Q185" s="252">
        <f>O185+P185</f>
        <v>200</v>
      </c>
      <c r="S185" s="231" t="str">
        <f>TEXT(A185,"dddd")</f>
        <v>Friday</v>
      </c>
    </row>
    <row r="186" spans="1:19" x14ac:dyDescent="0.25">
      <c r="A186" s="226">
        <v>46207</v>
      </c>
      <c r="B186" s="227">
        <f>O185</f>
        <v>100</v>
      </c>
      <c r="C186" s="228">
        <f>P185</f>
        <v>100</v>
      </c>
      <c r="D186" s="228">
        <f>IF(OR(DAY(A186+2)=1,DAY(A186+2)=15),-SUM('Main Budget'!$H$26:$H$31),0)</f>
        <v>0</v>
      </c>
      <c r="E186" s="228">
        <f>IF(DAY(A186+2)=22,-SUM('Main Budget'!$F$26:$F$31),0)</f>
        <v>0</v>
      </c>
      <c r="F186" s="228">
        <f>IF(D186&gt;0,-'Main Budget'!$H$25+0.15,0)</f>
        <v>0</v>
      </c>
      <c r="G186" s="228">
        <f>IF(E186&gt;0,-'Main Budget'!$F$25+0.81,0)</f>
        <v>0</v>
      </c>
      <c r="H186" s="227">
        <f>IF(DAY(A186)='Main Budget'!$J$26,'Main Budget'!$E$26,0)</f>
        <v>0</v>
      </c>
      <c r="I186" s="227">
        <f>IF(DAY(A186)='Main Budget'!$J$28,'Main Budget'!$E$28,0)</f>
        <v>0</v>
      </c>
      <c r="J186" s="227">
        <f>IF(DAY(A186)='Main Budget'!$J$29,'Main Budget'!$E$29,0)</f>
        <v>0</v>
      </c>
      <c r="K186" s="20">
        <f>IF(DAY(A186)='Main Budget'!$J$30,'Main Budget'!$E$30,0)</f>
        <v>0</v>
      </c>
      <c r="L186" s="20">
        <f>IF(DAY(A186)='Main Budget'!$J$31,'Main Budget'!$E$31,0)</f>
        <v>0</v>
      </c>
      <c r="M186" s="20">
        <f>IF(DAY(A186)='Main Budget'!$J$27,'Main Budget'!$E$27,0)</f>
        <v>0</v>
      </c>
      <c r="O186" s="228">
        <f>B186+(SUM(H186:M186)+(SUM(D186:E186)))</f>
        <v>100</v>
      </c>
      <c r="P186" s="228">
        <f>C186+F186+G186+N186</f>
        <v>100</v>
      </c>
      <c r="Q186" s="252">
        <f>O186+P186</f>
        <v>200</v>
      </c>
      <c r="S186" s="231" t="str">
        <f>TEXT(A186,"dddd")</f>
        <v>Saturday</v>
      </c>
    </row>
    <row r="187" spans="1:19" x14ac:dyDescent="0.25">
      <c r="A187" s="226">
        <v>46208</v>
      </c>
      <c r="B187" s="227">
        <f>O186</f>
        <v>100</v>
      </c>
      <c r="C187" s="228">
        <f>P186</f>
        <v>100</v>
      </c>
      <c r="D187" s="228">
        <f>IF(OR(DAY(A187+2)=1,DAY(A187+2)=15),-SUM('Main Budget'!$H$26:$H$31),0)</f>
        <v>0</v>
      </c>
      <c r="E187" s="228">
        <f>IF(DAY(A187+2)=22,-SUM('Main Budget'!$F$26:$F$31),0)</f>
        <v>0</v>
      </c>
      <c r="F187" s="228">
        <f>IF(D187&gt;0,-'Main Budget'!$H$25+0.15,0)</f>
        <v>0</v>
      </c>
      <c r="G187" s="228">
        <f>IF(E187&gt;0,-'Main Budget'!$F$25+0.81,0)</f>
        <v>0</v>
      </c>
      <c r="H187" s="227">
        <f>IF(DAY(A187)='Main Budget'!$J$26,'Main Budget'!$E$26,0)</f>
        <v>0</v>
      </c>
      <c r="I187" s="227">
        <f>IF(DAY(A187)='Main Budget'!$J$28,'Main Budget'!$E$28,0)</f>
        <v>0</v>
      </c>
      <c r="J187" s="227">
        <f>IF(DAY(A187)='Main Budget'!$J$29,'Main Budget'!$E$29,0)</f>
        <v>0</v>
      </c>
      <c r="K187" s="20">
        <f>IF(DAY(A187)='Main Budget'!$J$30,'Main Budget'!$E$30,0)</f>
        <v>0</v>
      </c>
      <c r="L187" s="20">
        <f>IF(DAY(A187)='Main Budget'!$J$31,'Main Budget'!$E$31,0)</f>
        <v>0</v>
      </c>
      <c r="M187" s="20">
        <f>IF(DAY(A187)='Main Budget'!$J$27,'Main Budget'!$E$27,0)</f>
        <v>0</v>
      </c>
      <c r="O187" s="228">
        <f>B187+(SUM(H187:M187)+(SUM(D187:E187)))</f>
        <v>100</v>
      </c>
      <c r="P187" s="228">
        <f>C187+F187+G187+N187</f>
        <v>100</v>
      </c>
      <c r="Q187" s="252">
        <f>O187+P187</f>
        <v>200</v>
      </c>
      <c r="S187" s="231" t="str">
        <f>TEXT(A187,"dddd")</f>
        <v>Sunday</v>
      </c>
    </row>
    <row r="188" spans="1:19" x14ac:dyDescent="0.25">
      <c r="A188" s="226">
        <v>46209</v>
      </c>
      <c r="B188" s="227">
        <f>O187</f>
        <v>100</v>
      </c>
      <c r="C188" s="228">
        <f>P187</f>
        <v>100</v>
      </c>
      <c r="D188" s="228">
        <f>IF(OR(DAY(A188+2)=1,DAY(A188+2)=15),-SUM('Main Budget'!$H$26:$H$31),0)</f>
        <v>0</v>
      </c>
      <c r="E188" s="228">
        <f>IF(DAY(A188+2)=22,-SUM('Main Budget'!$F$26:$F$31),0)</f>
        <v>0</v>
      </c>
      <c r="F188" s="228">
        <f>IF(D188&gt;0,-'Main Budget'!$H$25+0.15,0)</f>
        <v>0</v>
      </c>
      <c r="G188" s="228">
        <f>IF(E188&gt;0,-'Main Budget'!$F$25+0.81,0)</f>
        <v>0</v>
      </c>
      <c r="H188" s="227">
        <f>IF(DAY(A188)='Main Budget'!$J$26,'Main Budget'!$E$26,0)</f>
        <v>0</v>
      </c>
      <c r="I188" s="227">
        <f>IF(DAY(A188)='Main Budget'!$J$28,'Main Budget'!$E$28,0)</f>
        <v>0</v>
      </c>
      <c r="J188" s="227">
        <f>IF(DAY(A188)='Main Budget'!$J$29,'Main Budget'!$E$29,0)</f>
        <v>0</v>
      </c>
      <c r="K188" s="20">
        <f>IF(DAY(A188)='Main Budget'!$J$30,'Main Budget'!$E$30,0)</f>
        <v>0</v>
      </c>
      <c r="L188" s="20">
        <f>IF(DAY(A188)='Main Budget'!$J$31,'Main Budget'!$E$31,0)</f>
        <v>0</v>
      </c>
      <c r="M188" s="20">
        <f>IF(DAY(A188)='Main Budget'!$J$27,'Main Budget'!$E$27,0)</f>
        <v>0</v>
      </c>
      <c r="O188" s="228">
        <f>B188+(SUM(H188:M188)+(SUM(D188:E188)))</f>
        <v>100</v>
      </c>
      <c r="P188" s="228">
        <f>C188+F188+G188+N188</f>
        <v>100</v>
      </c>
      <c r="Q188" s="252">
        <f>O188+P188</f>
        <v>200</v>
      </c>
      <c r="S188" s="231" t="str">
        <f>TEXT(A188,"dddd")</f>
        <v>Monday</v>
      </c>
    </row>
    <row r="189" spans="1:19" x14ac:dyDescent="0.25">
      <c r="A189" s="226">
        <v>46210</v>
      </c>
      <c r="B189" s="227">
        <f>O188</f>
        <v>100</v>
      </c>
      <c r="C189" s="228">
        <f>P188</f>
        <v>100</v>
      </c>
      <c r="D189" s="228">
        <f>IF(OR(DAY(A189+2)=1,DAY(A189+2)=15),-SUM('Main Budget'!$H$26:$H$31),0)</f>
        <v>0</v>
      </c>
      <c r="E189" s="228">
        <f>IF(DAY(A189+2)=22,-SUM('Main Budget'!$F$26:$F$31),0)</f>
        <v>0</v>
      </c>
      <c r="F189" s="228">
        <f>IF(D189&gt;0,-'Main Budget'!$H$25+0.15,0)</f>
        <v>0</v>
      </c>
      <c r="G189" s="228">
        <f>IF(E189&gt;0,-'Main Budget'!$F$25+0.81,0)</f>
        <v>0</v>
      </c>
      <c r="H189" s="227">
        <f>IF(DAY(A189)='Main Budget'!$J$26,'Main Budget'!$E$26,0)</f>
        <v>0</v>
      </c>
      <c r="I189" s="227">
        <f>IF(DAY(A189)='Main Budget'!$J$28,'Main Budget'!$E$28,0)</f>
        <v>0</v>
      </c>
      <c r="J189" s="227">
        <f>IF(DAY(A189)='Main Budget'!$J$29,'Main Budget'!$E$29,0)</f>
        <v>0</v>
      </c>
      <c r="K189" s="20">
        <f>IF(DAY(A189)='Main Budget'!$J$30,'Main Budget'!$E$30,0)</f>
        <v>0</v>
      </c>
      <c r="L189" s="20">
        <f>IF(DAY(A189)='Main Budget'!$J$31,'Main Budget'!$E$31,0)</f>
        <v>0</v>
      </c>
      <c r="M189" s="20">
        <f>IF(DAY(A189)='Main Budget'!$J$27,'Main Budget'!$E$27,0)</f>
        <v>0</v>
      </c>
      <c r="O189" s="228">
        <f>B189+(SUM(H189:M189)+(SUM(D189:E189)))</f>
        <v>100</v>
      </c>
      <c r="P189" s="228">
        <f>C189+F189+G189+N189</f>
        <v>100</v>
      </c>
      <c r="Q189" s="252">
        <f>O189+P189</f>
        <v>200</v>
      </c>
      <c r="S189" s="231" t="str">
        <f>TEXT(A189,"dddd")</f>
        <v>Tuesday</v>
      </c>
    </row>
    <row r="190" spans="1:19" x14ac:dyDescent="0.25">
      <c r="A190" s="226">
        <v>46211</v>
      </c>
      <c r="B190" s="227">
        <f>O189</f>
        <v>100</v>
      </c>
      <c r="C190" s="228">
        <f>P189</f>
        <v>100</v>
      </c>
      <c r="D190" s="228">
        <f>IF(OR(DAY(A190+2)=1,DAY(A190+2)=15),-SUM('Main Budget'!$H$26:$H$31),0)</f>
        <v>0</v>
      </c>
      <c r="E190" s="228">
        <f>IF(DAY(A190+2)=22,-SUM('Main Budget'!$F$26:$F$31),0)</f>
        <v>0</v>
      </c>
      <c r="F190" s="228">
        <f>IF(D190&gt;0,-'Main Budget'!$H$25+0.15,0)</f>
        <v>0</v>
      </c>
      <c r="G190" s="228">
        <f>IF(E190&gt;0,-'Main Budget'!$F$25+0.81,0)</f>
        <v>0</v>
      </c>
      <c r="H190" s="227">
        <f>IF(DAY(A190)='Main Budget'!$J$26,'Main Budget'!$E$26,0)</f>
        <v>0</v>
      </c>
      <c r="I190" s="227">
        <f>IF(DAY(A190)='Main Budget'!$J$28,'Main Budget'!$E$28,0)</f>
        <v>0</v>
      </c>
      <c r="J190" s="227">
        <f>IF(DAY(A190)='Main Budget'!$J$29,'Main Budget'!$E$29,0)</f>
        <v>0</v>
      </c>
      <c r="K190" s="20">
        <f>IF(DAY(A190)='Main Budget'!$J$30,'Main Budget'!$E$30,0)</f>
        <v>0</v>
      </c>
      <c r="L190" s="20">
        <f>IF(DAY(A190)='Main Budget'!$J$31,'Main Budget'!$E$31,0)</f>
        <v>0</v>
      </c>
      <c r="M190" s="20">
        <f>IF(DAY(A190)='Main Budget'!$J$27,'Main Budget'!$E$27,0)</f>
        <v>0</v>
      </c>
      <c r="O190" s="228">
        <f>B190+(SUM(H190:M190)+(SUM(D190:E190)))</f>
        <v>100</v>
      </c>
      <c r="P190" s="228">
        <f>C190+F190+G190+N190</f>
        <v>100</v>
      </c>
      <c r="Q190" s="252">
        <f>O190+P190</f>
        <v>200</v>
      </c>
      <c r="S190" s="231" t="str">
        <f>TEXT(A190,"dddd")</f>
        <v>Wednesday</v>
      </c>
    </row>
    <row r="191" spans="1:19" x14ac:dyDescent="0.25">
      <c r="A191" s="226">
        <v>46212</v>
      </c>
      <c r="B191" s="227">
        <f>O190</f>
        <v>100</v>
      </c>
      <c r="C191" s="228">
        <f>P190</f>
        <v>100</v>
      </c>
      <c r="D191" s="228">
        <f>IF(OR(DAY(A191+2)=1,DAY(A191+2)=15),-SUM('Main Budget'!$H$26:$H$31),0)</f>
        <v>0</v>
      </c>
      <c r="E191" s="228">
        <f>IF(DAY(A191+2)=22,-SUM('Main Budget'!$F$26:$F$31),0)</f>
        <v>0</v>
      </c>
      <c r="F191" s="228">
        <f>IF(D191&gt;0,-'Main Budget'!$H$25+0.15,0)</f>
        <v>0</v>
      </c>
      <c r="G191" s="228">
        <f>IF(E191&gt;0,-'Main Budget'!$F$25+0.81,0)</f>
        <v>0</v>
      </c>
      <c r="H191" s="227">
        <f>IF(DAY(A191)='Main Budget'!$J$26,'Main Budget'!$E$26,0)</f>
        <v>0</v>
      </c>
      <c r="I191" s="227">
        <f>IF(DAY(A191)='Main Budget'!$J$28,'Main Budget'!$E$28,0)</f>
        <v>0</v>
      </c>
      <c r="J191" s="227">
        <f>IF(DAY(A191)='Main Budget'!$J$29,'Main Budget'!$E$29,0)</f>
        <v>0</v>
      </c>
      <c r="K191" s="20">
        <f>IF(DAY(A191)='Main Budget'!$J$30,'Main Budget'!$E$30,0)</f>
        <v>0</v>
      </c>
      <c r="L191" s="20">
        <f>IF(DAY(A191)='Main Budget'!$J$31,'Main Budget'!$E$31,0)</f>
        <v>0</v>
      </c>
      <c r="M191" s="20">
        <f>IF(DAY(A191)='Main Budget'!$J$27,'Main Budget'!$E$27,0)</f>
        <v>0</v>
      </c>
      <c r="O191" s="228">
        <f>B191+(SUM(H191:M191)+(SUM(D191:E191)))</f>
        <v>100</v>
      </c>
      <c r="P191" s="228">
        <f>C191+F191+G191+N191</f>
        <v>100</v>
      </c>
      <c r="Q191" s="252">
        <f>O191+P191</f>
        <v>200</v>
      </c>
      <c r="S191" s="231" t="str">
        <f>TEXT(A191,"dddd")</f>
        <v>Thursday</v>
      </c>
    </row>
    <row r="192" spans="1:19" x14ac:dyDescent="0.25">
      <c r="A192" s="226">
        <v>46213</v>
      </c>
      <c r="B192" s="227">
        <f>O191</f>
        <v>100</v>
      </c>
      <c r="C192" s="228">
        <f>P191</f>
        <v>100</v>
      </c>
      <c r="D192" s="228">
        <f>IF(OR(DAY(A192+2)=1,DAY(A192+2)=15),-SUM('Main Budget'!$H$26:$H$31),0)</f>
        <v>0</v>
      </c>
      <c r="E192" s="228">
        <f>IF(DAY(A192+2)=22,-SUM('Main Budget'!$F$26:$F$31),0)</f>
        <v>0</v>
      </c>
      <c r="F192" s="228">
        <f>IF(D192&gt;0,-'Main Budget'!$H$25+0.15,0)</f>
        <v>0</v>
      </c>
      <c r="G192" s="228">
        <f>IF(E192&gt;0,-'Main Budget'!$F$25+0.81,0)</f>
        <v>0</v>
      </c>
      <c r="H192" s="227">
        <f>IF(DAY(A192)='Main Budget'!$J$26,'Main Budget'!$E$26,0)</f>
        <v>0</v>
      </c>
      <c r="I192" s="227">
        <f>IF(DAY(A192)='Main Budget'!$J$28,'Main Budget'!$E$28,0)</f>
        <v>0</v>
      </c>
      <c r="J192" s="227">
        <f>IF(DAY(A192)='Main Budget'!$J$29,'Main Budget'!$E$29,0)</f>
        <v>0</v>
      </c>
      <c r="K192" s="20">
        <f>IF(DAY(A192)='Main Budget'!$J$30,'Main Budget'!$E$30,0)</f>
        <v>0</v>
      </c>
      <c r="L192" s="20">
        <f>IF(DAY(A192)='Main Budget'!$J$31,'Main Budget'!$E$31,0)</f>
        <v>0</v>
      </c>
      <c r="M192" s="20">
        <f>IF(DAY(A192)='Main Budget'!$J$27,'Main Budget'!$E$27,0)</f>
        <v>0</v>
      </c>
      <c r="O192" s="228">
        <f>B192+(SUM(H192:M192)+(SUM(D192:E192)))</f>
        <v>100</v>
      </c>
      <c r="P192" s="228">
        <f>C192+F192+G192+N192</f>
        <v>100</v>
      </c>
      <c r="Q192" s="252">
        <f>O192+P192</f>
        <v>200</v>
      </c>
      <c r="S192" s="231" t="str">
        <f>TEXT(A192,"dddd")</f>
        <v>Friday</v>
      </c>
    </row>
    <row r="193" spans="1:19" x14ac:dyDescent="0.25">
      <c r="A193" s="226">
        <v>46214</v>
      </c>
      <c r="B193" s="227">
        <f>O192</f>
        <v>100</v>
      </c>
      <c r="C193" s="228">
        <f>P192</f>
        <v>100</v>
      </c>
      <c r="D193" s="228">
        <f>IF(OR(DAY(A193+2)=1,DAY(A193+2)=15),-SUM('Main Budget'!$H$26:$H$31),0)</f>
        <v>0</v>
      </c>
      <c r="E193" s="228">
        <f>IF(DAY(A193+2)=22,-SUM('Main Budget'!$F$26:$F$31),0)</f>
        <v>0</v>
      </c>
      <c r="F193" s="228">
        <f>IF(D193&gt;0,-'Main Budget'!$H$25+0.15,0)</f>
        <v>0</v>
      </c>
      <c r="G193" s="228">
        <f>IF(E193&gt;0,-'Main Budget'!$F$25+0.81,0)</f>
        <v>0</v>
      </c>
      <c r="H193" s="227">
        <f>IF(DAY(A193)='Main Budget'!$J$26,'Main Budget'!$E$26,0)</f>
        <v>0</v>
      </c>
      <c r="I193" s="227">
        <f>IF(DAY(A193)='Main Budget'!$J$28,'Main Budget'!$E$28,0)</f>
        <v>0</v>
      </c>
      <c r="J193" s="227">
        <f>IF(DAY(A193)='Main Budget'!$J$29,'Main Budget'!$E$29,0)</f>
        <v>0</v>
      </c>
      <c r="K193" s="20">
        <f>IF(DAY(A193)='Main Budget'!$J$30,'Main Budget'!$E$30,0)</f>
        <v>0</v>
      </c>
      <c r="L193" s="20">
        <f>IF(DAY(A193)='Main Budget'!$J$31,'Main Budget'!$E$31,0)</f>
        <v>0</v>
      </c>
      <c r="M193" s="20">
        <f>IF(DAY(A193)='Main Budget'!$J$27,'Main Budget'!$E$27,0)</f>
        <v>0</v>
      </c>
      <c r="O193" s="228">
        <f>B193+(SUM(H193:M193)+(SUM(D193:E193)))</f>
        <v>100</v>
      </c>
      <c r="P193" s="228">
        <f>C193+F193+G193+N193</f>
        <v>100</v>
      </c>
      <c r="Q193" s="252">
        <f>O193+P193</f>
        <v>200</v>
      </c>
      <c r="S193" s="231" t="str">
        <f>TEXT(A193,"dddd")</f>
        <v>Saturday</v>
      </c>
    </row>
    <row r="194" spans="1:19" x14ac:dyDescent="0.25">
      <c r="A194" s="226">
        <v>46215</v>
      </c>
      <c r="B194" s="227">
        <f>O193</f>
        <v>100</v>
      </c>
      <c r="C194" s="228">
        <f>P193</f>
        <v>100</v>
      </c>
      <c r="D194" s="228">
        <f>IF(OR(DAY(A194+2)=1,DAY(A194+2)=15),-SUM('Main Budget'!$H$26:$H$31),0)</f>
        <v>0</v>
      </c>
      <c r="E194" s="228">
        <f>IF(DAY(A194+2)=22,-SUM('Main Budget'!$F$26:$F$31),0)</f>
        <v>0</v>
      </c>
      <c r="F194" s="228">
        <f>IF(D194&gt;0,-'Main Budget'!$H$25+0.15,0)</f>
        <v>0</v>
      </c>
      <c r="G194" s="228">
        <f>IF(E194&gt;0,-'Main Budget'!$F$25+0.81,0)</f>
        <v>0</v>
      </c>
      <c r="H194" s="227">
        <f>IF(DAY(A194)='Main Budget'!$J$26,'Main Budget'!$E$26,0)</f>
        <v>0</v>
      </c>
      <c r="I194" s="227">
        <f>IF(DAY(A194)='Main Budget'!$J$28,'Main Budget'!$E$28,0)</f>
        <v>0</v>
      </c>
      <c r="J194" s="227">
        <f>IF(DAY(A194)='Main Budget'!$J$29,'Main Budget'!$E$29,0)</f>
        <v>0</v>
      </c>
      <c r="K194" s="20">
        <f>IF(DAY(A194)='Main Budget'!$J$30,'Main Budget'!$E$30,0)</f>
        <v>0</v>
      </c>
      <c r="L194" s="20">
        <f>IF(DAY(A194)='Main Budget'!$J$31,'Main Budget'!$E$31,0)</f>
        <v>0</v>
      </c>
      <c r="M194" s="20">
        <f>IF(DAY(A194)='Main Budget'!$J$27,'Main Budget'!$E$27,0)</f>
        <v>0</v>
      </c>
      <c r="O194" s="228">
        <f>B194+(SUM(H194:M194)+(SUM(D194:E194)))</f>
        <v>100</v>
      </c>
      <c r="P194" s="228">
        <f>C194+F194+G194+N194</f>
        <v>100</v>
      </c>
      <c r="Q194" s="252">
        <f>O194+P194</f>
        <v>200</v>
      </c>
      <c r="S194" s="231" t="str">
        <f>TEXT(A194,"dddd")</f>
        <v>Sunday</v>
      </c>
    </row>
    <row r="195" spans="1:19" x14ac:dyDescent="0.25">
      <c r="A195" s="226">
        <v>46216</v>
      </c>
      <c r="B195" s="227">
        <f>O194</f>
        <v>100</v>
      </c>
      <c r="C195" s="228">
        <f>P194</f>
        <v>100</v>
      </c>
      <c r="D195" s="228">
        <f>IF(OR(DAY(A195+2)=1,DAY(A195+2)=15),-SUM('Main Budget'!$H$26:$H$31),0)</f>
        <v>0</v>
      </c>
      <c r="E195" s="228">
        <f>IF(DAY(A195+2)=22,-SUM('Main Budget'!$F$26:$F$31),0)</f>
        <v>0</v>
      </c>
      <c r="F195" s="228">
        <f>IF(D195&gt;0,-'Main Budget'!$H$25+0.15,0)</f>
        <v>0</v>
      </c>
      <c r="G195" s="228">
        <f>IF(E195&gt;0,-'Main Budget'!$F$25+0.81,0)</f>
        <v>0</v>
      </c>
      <c r="H195" s="227">
        <f>IF(DAY(A195)='Main Budget'!$J$26,'Main Budget'!$E$26,0)</f>
        <v>0</v>
      </c>
      <c r="I195" s="227">
        <f>IF(DAY(A195)='Main Budget'!$J$28,'Main Budget'!$E$28,0)</f>
        <v>0</v>
      </c>
      <c r="J195" s="227">
        <f>IF(DAY(A195)='Main Budget'!$J$29,'Main Budget'!$E$29,0)</f>
        <v>0</v>
      </c>
      <c r="K195" s="20">
        <f>IF(DAY(A195)='Main Budget'!$J$30,'Main Budget'!$E$30,0)</f>
        <v>0</v>
      </c>
      <c r="L195" s="20">
        <f>IF(DAY(A195)='Main Budget'!$J$31,'Main Budget'!$E$31,0)</f>
        <v>0</v>
      </c>
      <c r="M195" s="20">
        <f>IF(DAY(A195)='Main Budget'!$J$27,'Main Budget'!$E$27,0)</f>
        <v>0</v>
      </c>
      <c r="O195" s="228">
        <f>B195+(SUM(H195:M195)+(SUM(D195:E195)))</f>
        <v>100</v>
      </c>
      <c r="P195" s="228">
        <f>C195+F195+G195+N195</f>
        <v>100</v>
      </c>
      <c r="Q195" s="252">
        <f>O195+P195</f>
        <v>200</v>
      </c>
      <c r="S195" s="231" t="str">
        <f>TEXT(A195,"dddd")</f>
        <v>Monday</v>
      </c>
    </row>
    <row r="196" spans="1:19" x14ac:dyDescent="0.25">
      <c r="A196" s="226">
        <v>46217</v>
      </c>
      <c r="B196" s="227">
        <f>O195</f>
        <v>100</v>
      </c>
      <c r="C196" s="228">
        <f>P195</f>
        <v>100</v>
      </c>
      <c r="D196" s="228">
        <f>IF(OR(DAY(A196+2)=1,DAY(A196+2)=15),-SUM('Main Budget'!$H$26:$H$31),0)</f>
        <v>0</v>
      </c>
      <c r="E196" s="228">
        <f>IF(DAY(A196+2)=22,-SUM('Main Budget'!$F$26:$F$31),0)</f>
        <v>0</v>
      </c>
      <c r="F196" s="228">
        <f>IF(D196&gt;0,-'Main Budget'!$H$25+0.15,0)</f>
        <v>0</v>
      </c>
      <c r="G196" s="228">
        <f>IF(E196&gt;0,-'Main Budget'!$F$25+0.81,0)</f>
        <v>0</v>
      </c>
      <c r="H196" s="227">
        <f>IF(DAY(A196)='Main Budget'!$J$26,'Main Budget'!$E$26,0)</f>
        <v>0</v>
      </c>
      <c r="I196" s="227">
        <f>IF(DAY(A196)='Main Budget'!$J$28,'Main Budget'!$E$28,0)</f>
        <v>0</v>
      </c>
      <c r="J196" s="227">
        <f>IF(DAY(A196)='Main Budget'!$J$29,'Main Budget'!$E$29,0)</f>
        <v>0</v>
      </c>
      <c r="K196" s="20">
        <f>IF(DAY(A196)='Main Budget'!$J$30,'Main Budget'!$E$30,0)</f>
        <v>0</v>
      </c>
      <c r="L196" s="20">
        <f>IF(DAY(A196)='Main Budget'!$J$31,'Main Budget'!$E$31,0)</f>
        <v>0</v>
      </c>
      <c r="M196" s="20">
        <f>IF(DAY(A196)='Main Budget'!$J$27,'Main Budget'!$E$27,0)</f>
        <v>0</v>
      </c>
      <c r="O196" s="228">
        <f>B196+(SUM(H196:M196)+(SUM(D196:E196)))</f>
        <v>100</v>
      </c>
      <c r="P196" s="228">
        <f>C196+F196+G196+N196</f>
        <v>100</v>
      </c>
      <c r="Q196" s="252">
        <f>O196+P196</f>
        <v>200</v>
      </c>
      <c r="S196" s="231" t="str">
        <f>TEXT(A196,"dddd")</f>
        <v>Tuesday</v>
      </c>
    </row>
    <row r="197" spans="1:19" x14ac:dyDescent="0.25">
      <c r="A197" s="226">
        <v>46218</v>
      </c>
      <c r="B197" s="227">
        <f>O196</f>
        <v>100</v>
      </c>
      <c r="C197" s="228">
        <f>P196</f>
        <v>100</v>
      </c>
      <c r="D197" s="228">
        <f>IF(OR(DAY(A197+2)=1,DAY(A197+2)=15),-SUM('Main Budget'!$H$26:$H$31),0)</f>
        <v>0</v>
      </c>
      <c r="E197" s="228">
        <f>IF(DAY(A197+2)=22,-SUM('Main Budget'!$F$26:$F$31),0)</f>
        <v>0</v>
      </c>
      <c r="F197" s="228">
        <f>IF(D197&gt;0,-'Main Budget'!$H$25+0.15,0)</f>
        <v>0</v>
      </c>
      <c r="G197" s="228">
        <f>IF(E197&gt;0,-'Main Budget'!$F$25+0.81,0)</f>
        <v>0</v>
      </c>
      <c r="H197" s="227">
        <f>IF(DAY(A197)='Main Budget'!$J$26,'Main Budget'!$E$26,0)</f>
        <v>0</v>
      </c>
      <c r="I197" s="227">
        <f>IF(DAY(A197)='Main Budget'!$J$28,'Main Budget'!$E$28,0)</f>
        <v>0</v>
      </c>
      <c r="J197" s="227">
        <f>IF(DAY(A197)='Main Budget'!$J$29,'Main Budget'!$E$29,0)</f>
        <v>0</v>
      </c>
      <c r="K197" s="20">
        <f>IF(DAY(A197)='Main Budget'!$J$30,'Main Budget'!$E$30,0)</f>
        <v>0</v>
      </c>
      <c r="L197" s="20">
        <f>IF(DAY(A197)='Main Budget'!$J$31,'Main Budget'!$E$31,0)</f>
        <v>0</v>
      </c>
      <c r="M197" s="20">
        <f>IF(DAY(A197)='Main Budget'!$J$27,'Main Budget'!$E$27,0)</f>
        <v>0</v>
      </c>
      <c r="O197" s="228">
        <f>B197+(SUM(H197:M197)+(SUM(D197:E197)))</f>
        <v>100</v>
      </c>
      <c r="P197" s="228">
        <f>C197+F197+G197+N197</f>
        <v>100</v>
      </c>
      <c r="Q197" s="252">
        <f>O197+P197</f>
        <v>200</v>
      </c>
      <c r="S197" s="231" t="str">
        <f>TEXT(A197,"dddd")</f>
        <v>Wednesday</v>
      </c>
    </row>
    <row r="198" spans="1:19" x14ac:dyDescent="0.25">
      <c r="A198" s="226">
        <v>46219</v>
      </c>
      <c r="B198" s="227">
        <f>O197</f>
        <v>100</v>
      </c>
      <c r="C198" s="228">
        <f>P197</f>
        <v>100</v>
      </c>
      <c r="D198" s="228">
        <f>IF(OR(DAY(A198+2)=1,DAY(A198+2)=15),-SUM('Main Budget'!$H$26:$H$31),0)</f>
        <v>0</v>
      </c>
      <c r="E198" s="228">
        <f>IF(DAY(A198+2)=22,-SUM('Main Budget'!$F$26:$F$31),0)</f>
        <v>0</v>
      </c>
      <c r="F198" s="228">
        <f>IF(D198&gt;0,-'Main Budget'!$H$25+0.15,0)</f>
        <v>0</v>
      </c>
      <c r="G198" s="228">
        <f>IF(E198&gt;0,-'Main Budget'!$F$25+0.81,0)</f>
        <v>0</v>
      </c>
      <c r="H198" s="227">
        <f>IF(DAY(A198)='Main Budget'!$J$26,'Main Budget'!$E$26,0)</f>
        <v>0</v>
      </c>
      <c r="I198" s="227">
        <f>IF(DAY(A198)='Main Budget'!$J$28,'Main Budget'!$E$28,0)</f>
        <v>0</v>
      </c>
      <c r="J198" s="227">
        <f>IF(DAY(A198)='Main Budget'!$J$29,'Main Budget'!$E$29,0)</f>
        <v>0</v>
      </c>
      <c r="K198" s="20">
        <f>IF(DAY(A198)='Main Budget'!$J$30,'Main Budget'!$E$30,0)</f>
        <v>0</v>
      </c>
      <c r="L198" s="20">
        <f>IF(DAY(A198)='Main Budget'!$J$31,'Main Budget'!$E$31,0)</f>
        <v>0</v>
      </c>
      <c r="M198" s="20">
        <f>IF(DAY(A198)='Main Budget'!$J$27,'Main Budget'!$E$27,0)</f>
        <v>0</v>
      </c>
      <c r="O198" s="228">
        <f>B198+(SUM(H198:M198)+(SUM(D198:E198)))</f>
        <v>100</v>
      </c>
      <c r="P198" s="228">
        <f>C198+F198+G198+N198</f>
        <v>100</v>
      </c>
      <c r="Q198" s="252">
        <f>O198+P198</f>
        <v>200</v>
      </c>
      <c r="S198" s="231" t="str">
        <f>TEXT(A198,"dddd")</f>
        <v>Thursday</v>
      </c>
    </row>
    <row r="199" spans="1:19" x14ac:dyDescent="0.25">
      <c r="A199" s="226">
        <v>46220</v>
      </c>
      <c r="B199" s="227">
        <f>O198</f>
        <v>100</v>
      </c>
      <c r="C199" s="228">
        <f>P198</f>
        <v>100</v>
      </c>
      <c r="D199" s="228">
        <f>IF(OR(DAY(A199+2)=1,DAY(A199+2)=15),-SUM('Main Budget'!$H$26:$H$31),0)</f>
        <v>0</v>
      </c>
      <c r="E199" s="228">
        <f>IF(DAY(A199+2)=22,-SUM('Main Budget'!$F$26:$F$31),0)</f>
        <v>0</v>
      </c>
      <c r="F199" s="228">
        <f>IF(D199&gt;0,-'Main Budget'!$H$25+0.15,0)</f>
        <v>0</v>
      </c>
      <c r="G199" s="228">
        <f>IF(E199&gt;0,-'Main Budget'!$F$25+0.81,0)</f>
        <v>0</v>
      </c>
      <c r="H199" s="227">
        <f>IF(DAY(A199)='Main Budget'!$J$26,'Main Budget'!$E$26,0)</f>
        <v>0</v>
      </c>
      <c r="I199" s="227">
        <f>IF(DAY(A199)='Main Budget'!$J$28,'Main Budget'!$E$28,0)</f>
        <v>0</v>
      </c>
      <c r="J199" s="227">
        <f>IF(DAY(A199)='Main Budget'!$J$29,'Main Budget'!$E$29,0)</f>
        <v>0</v>
      </c>
      <c r="K199" s="20">
        <f>IF(DAY(A199)='Main Budget'!$J$30,'Main Budget'!$E$30,0)</f>
        <v>0</v>
      </c>
      <c r="L199" s="20">
        <f>IF(DAY(A199)='Main Budget'!$J$31,'Main Budget'!$E$31,0)</f>
        <v>0</v>
      </c>
      <c r="M199" s="20">
        <f>IF(DAY(A199)='Main Budget'!$J$27,'Main Budget'!$E$27,0)</f>
        <v>0</v>
      </c>
      <c r="O199" s="228">
        <f>B199+(SUM(H199:M199)+(SUM(D199:E199)))</f>
        <v>100</v>
      </c>
      <c r="P199" s="228">
        <f>C199+F199+G199+N199</f>
        <v>100</v>
      </c>
      <c r="Q199" s="252">
        <f>O199+P199</f>
        <v>200</v>
      </c>
      <c r="S199" s="231" t="str">
        <f>TEXT(A199,"dddd")</f>
        <v>Friday</v>
      </c>
    </row>
    <row r="200" spans="1:19" x14ac:dyDescent="0.25">
      <c r="A200" s="226">
        <v>46221</v>
      </c>
      <c r="B200" s="227">
        <f>O199</f>
        <v>100</v>
      </c>
      <c r="C200" s="228">
        <f>P199</f>
        <v>100</v>
      </c>
      <c r="D200" s="228">
        <f>IF(OR(DAY(A200+2)=1,DAY(A200+2)=15),-SUM('Main Budget'!$H$26:$H$31),0)</f>
        <v>0</v>
      </c>
      <c r="E200" s="228">
        <f>IF(DAY(A200+2)=22,-SUM('Main Budget'!$F$26:$F$31),0)</f>
        <v>0</v>
      </c>
      <c r="F200" s="228">
        <f>IF(D200&gt;0,-'Main Budget'!$H$25+0.15,0)</f>
        <v>0</v>
      </c>
      <c r="G200" s="228">
        <f>IF(E200&gt;0,-'Main Budget'!$F$25+0.81,0)</f>
        <v>0</v>
      </c>
      <c r="H200" s="227">
        <f>IF(DAY(A200)='Main Budget'!$J$26,'Main Budget'!$E$26,0)</f>
        <v>0</v>
      </c>
      <c r="I200" s="227">
        <f>IF(DAY(A200)='Main Budget'!$J$28,'Main Budget'!$E$28,0)</f>
        <v>0</v>
      </c>
      <c r="J200" s="227">
        <f>IF(DAY(A200)='Main Budget'!$J$29,'Main Budget'!$E$29,0)</f>
        <v>0</v>
      </c>
      <c r="K200" s="20">
        <f>IF(DAY(A200)='Main Budget'!$J$30,'Main Budget'!$E$30,0)</f>
        <v>0</v>
      </c>
      <c r="L200" s="20">
        <f>IF(DAY(A200)='Main Budget'!$J$31,'Main Budget'!$E$31,0)</f>
        <v>0</v>
      </c>
      <c r="M200" s="20">
        <f>IF(DAY(A200)='Main Budget'!$J$27,'Main Budget'!$E$27,0)</f>
        <v>0</v>
      </c>
      <c r="O200" s="228">
        <f>B200+(SUM(H200:M200)+(SUM(D200:E200)))</f>
        <v>100</v>
      </c>
      <c r="P200" s="228">
        <f>C200+F200+G200+N200</f>
        <v>100</v>
      </c>
      <c r="Q200" s="252">
        <f>O200+P200</f>
        <v>200</v>
      </c>
      <c r="S200" s="231" t="str">
        <f>TEXT(A200,"dddd")</f>
        <v>Saturday</v>
      </c>
    </row>
    <row r="201" spans="1:19" x14ac:dyDescent="0.25">
      <c r="A201" s="226">
        <v>46222</v>
      </c>
      <c r="B201" s="227">
        <f>O200</f>
        <v>100</v>
      </c>
      <c r="C201" s="228">
        <f>P200</f>
        <v>100</v>
      </c>
      <c r="D201" s="228">
        <f>IF(OR(DAY(A201+2)=1,DAY(A201+2)=15),-SUM('Main Budget'!$H$26:$H$31),0)</f>
        <v>0</v>
      </c>
      <c r="E201" s="228">
        <f>IF(DAY(A201+2)=22,-SUM('Main Budget'!$F$26:$F$31),0)</f>
        <v>0</v>
      </c>
      <c r="F201" s="228">
        <f>IF(D201&gt;0,-'Main Budget'!$H$25+0.15,0)</f>
        <v>0</v>
      </c>
      <c r="G201" s="228">
        <f>IF(E201&gt;0,-'Main Budget'!$F$25+0.81,0)</f>
        <v>0</v>
      </c>
      <c r="H201" s="227">
        <f>IF(DAY(A201)='Main Budget'!$J$26,'Main Budget'!$E$26,0)</f>
        <v>0</v>
      </c>
      <c r="I201" s="227">
        <f>IF(DAY(A201)='Main Budget'!$J$28,'Main Budget'!$E$28,0)</f>
        <v>0</v>
      </c>
      <c r="J201" s="227">
        <f>IF(DAY(A201)='Main Budget'!$J$29,'Main Budget'!$E$29,0)</f>
        <v>0</v>
      </c>
      <c r="K201" s="20">
        <f>IF(DAY(A201)='Main Budget'!$J$30,'Main Budget'!$E$30,0)</f>
        <v>0</v>
      </c>
      <c r="L201" s="20">
        <f>IF(DAY(A201)='Main Budget'!$J$31,'Main Budget'!$E$31,0)</f>
        <v>0</v>
      </c>
      <c r="M201" s="20">
        <f>IF(DAY(A201)='Main Budget'!$J$27,'Main Budget'!$E$27,0)</f>
        <v>0</v>
      </c>
      <c r="O201" s="228">
        <f>B201+(SUM(H201:M201)+(SUM(D201:E201)))</f>
        <v>100</v>
      </c>
      <c r="P201" s="228">
        <f>C201+F201+G201+N201</f>
        <v>100</v>
      </c>
      <c r="Q201" s="252">
        <f>O201+P201</f>
        <v>200</v>
      </c>
      <c r="S201" s="231" t="str">
        <f>TEXT(A201,"dddd")</f>
        <v>Sunday</v>
      </c>
    </row>
    <row r="202" spans="1:19" x14ac:dyDescent="0.25">
      <c r="A202" s="226">
        <v>46223</v>
      </c>
      <c r="B202" s="227">
        <f>O201</f>
        <v>100</v>
      </c>
      <c r="C202" s="228">
        <f>P201</f>
        <v>100</v>
      </c>
      <c r="D202" s="228">
        <f>IF(OR(DAY(A202+2)=1,DAY(A202+2)=15),-SUM('Main Budget'!$H$26:$H$31),0)</f>
        <v>0</v>
      </c>
      <c r="E202" s="228">
        <f>IF(DAY(A202+2)=22,-SUM('Main Budget'!$F$26:$F$31),0)</f>
        <v>0</v>
      </c>
      <c r="F202" s="228">
        <f>IF(D202&gt;0,-'Main Budget'!$H$25+0.15,0)</f>
        <v>0</v>
      </c>
      <c r="G202" s="228">
        <f>IF(E202&gt;0,-'Main Budget'!$F$25+0.81,0)</f>
        <v>0</v>
      </c>
      <c r="H202" s="227">
        <f>IF(DAY(A202)='Main Budget'!$J$26,'Main Budget'!$E$26,0)</f>
        <v>0</v>
      </c>
      <c r="I202" s="227">
        <f>IF(DAY(A202)='Main Budget'!$J$28,'Main Budget'!$E$28,0)</f>
        <v>0</v>
      </c>
      <c r="J202" s="227">
        <f>IF(DAY(A202)='Main Budget'!$J$29,'Main Budget'!$E$29,0)</f>
        <v>0</v>
      </c>
      <c r="K202" s="20">
        <f>IF(DAY(A202)='Main Budget'!$J$30,'Main Budget'!$E$30,0)</f>
        <v>0</v>
      </c>
      <c r="L202" s="20">
        <f>IF(DAY(A202)='Main Budget'!$J$31,'Main Budget'!$E$31,0)</f>
        <v>0</v>
      </c>
      <c r="M202" s="20">
        <f>IF(DAY(A202)='Main Budget'!$J$27,'Main Budget'!$E$27,0)</f>
        <v>0</v>
      </c>
      <c r="O202" s="228">
        <f>B202+(SUM(H202:M202)+(SUM(D202:E202)))</f>
        <v>100</v>
      </c>
      <c r="P202" s="228">
        <f>C202+F202+G202+N202</f>
        <v>100</v>
      </c>
      <c r="Q202" s="252">
        <f>O202+P202</f>
        <v>200</v>
      </c>
      <c r="S202" s="231" t="str">
        <f>TEXT(A202,"dddd")</f>
        <v>Monday</v>
      </c>
    </row>
    <row r="203" spans="1:19" x14ac:dyDescent="0.25">
      <c r="A203" s="226">
        <v>46224</v>
      </c>
      <c r="B203" s="227">
        <f>O202</f>
        <v>100</v>
      </c>
      <c r="C203" s="228">
        <f>P202</f>
        <v>100</v>
      </c>
      <c r="D203" s="228">
        <f>IF(OR(DAY(A203+2)=1,DAY(A203+2)=15),-SUM('Main Budget'!$H$26:$H$31),0)</f>
        <v>0</v>
      </c>
      <c r="E203" s="228">
        <f>IF(DAY(A203+2)=22,-SUM('Main Budget'!$F$26:$F$31),0)</f>
        <v>0</v>
      </c>
      <c r="F203" s="228">
        <f>IF(D203&gt;0,-'Main Budget'!$H$25+0.15,0)</f>
        <v>0</v>
      </c>
      <c r="G203" s="228">
        <f>IF(E203&gt;0,-'Main Budget'!$F$25+0.81,0)</f>
        <v>0</v>
      </c>
      <c r="H203" s="227">
        <f>IF(DAY(A203)='Main Budget'!$J$26,'Main Budget'!$E$26,0)</f>
        <v>0</v>
      </c>
      <c r="I203" s="227">
        <f>IF(DAY(A203)='Main Budget'!$J$28,'Main Budget'!$E$28,0)</f>
        <v>0</v>
      </c>
      <c r="J203" s="227">
        <f>IF(DAY(A203)='Main Budget'!$J$29,'Main Budget'!$E$29,0)</f>
        <v>0</v>
      </c>
      <c r="K203" s="20">
        <f>IF(DAY(A203)='Main Budget'!$J$30,'Main Budget'!$E$30,0)</f>
        <v>0</v>
      </c>
      <c r="L203" s="20">
        <f>IF(DAY(A203)='Main Budget'!$J$31,'Main Budget'!$E$31,0)</f>
        <v>0</v>
      </c>
      <c r="M203" s="20">
        <f>IF(DAY(A203)='Main Budget'!$J$27,'Main Budget'!$E$27,0)</f>
        <v>0</v>
      </c>
      <c r="O203" s="228">
        <f>B203+(SUM(H203:M203)+(SUM(D203:E203)))</f>
        <v>100</v>
      </c>
      <c r="P203" s="228">
        <f>C203+F203+G203+N203</f>
        <v>100</v>
      </c>
      <c r="Q203" s="252">
        <f>O203+P203</f>
        <v>200</v>
      </c>
      <c r="S203" s="231" t="str">
        <f>TEXT(A203,"dddd")</f>
        <v>Tuesday</v>
      </c>
    </row>
    <row r="204" spans="1:19" x14ac:dyDescent="0.25">
      <c r="A204" s="226">
        <v>46225</v>
      </c>
      <c r="B204" s="227">
        <f>O203</f>
        <v>100</v>
      </c>
      <c r="C204" s="228">
        <f>P203</f>
        <v>100</v>
      </c>
      <c r="D204" s="228">
        <f>IF(OR(DAY(A204+2)=1,DAY(A204+2)=15),-SUM('Main Budget'!$H$26:$H$31),0)</f>
        <v>0</v>
      </c>
      <c r="E204" s="228">
        <f>IF(DAY(A204+2)=22,-SUM('Main Budget'!$F$26:$F$31),0)</f>
        <v>0</v>
      </c>
      <c r="F204" s="228">
        <f>IF(D204&gt;0,-'Main Budget'!$H$25+0.15,0)</f>
        <v>0</v>
      </c>
      <c r="G204" s="228">
        <f>IF(E204&gt;0,-'Main Budget'!$F$25+0.81,0)</f>
        <v>0</v>
      </c>
      <c r="H204" s="227">
        <f>IF(DAY(A204)='Main Budget'!$J$26,'Main Budget'!$E$26,0)</f>
        <v>0</v>
      </c>
      <c r="I204" s="227">
        <f>IF(DAY(A204)='Main Budget'!$J$28,'Main Budget'!$E$28,0)</f>
        <v>0</v>
      </c>
      <c r="J204" s="227">
        <f>IF(DAY(A204)='Main Budget'!$J$29,'Main Budget'!$E$29,0)</f>
        <v>0</v>
      </c>
      <c r="K204" s="20">
        <f>IF(DAY(A204)='Main Budget'!$J$30,'Main Budget'!$E$30,0)</f>
        <v>0</v>
      </c>
      <c r="L204" s="20">
        <f>IF(DAY(A204)='Main Budget'!$J$31,'Main Budget'!$E$31,0)</f>
        <v>0</v>
      </c>
      <c r="M204" s="20">
        <f>IF(DAY(A204)='Main Budget'!$J$27,'Main Budget'!$E$27,0)</f>
        <v>0</v>
      </c>
      <c r="O204" s="228">
        <f>B204+(SUM(H204:M204)+(SUM(D204:E204)))</f>
        <v>100</v>
      </c>
      <c r="P204" s="228">
        <f>C204+F204+G204+N204</f>
        <v>100</v>
      </c>
      <c r="Q204" s="252">
        <f>O204+P204</f>
        <v>200</v>
      </c>
      <c r="S204" s="231" t="str">
        <f>TEXT(A204,"dddd")</f>
        <v>Wednesday</v>
      </c>
    </row>
    <row r="205" spans="1:19" x14ac:dyDescent="0.25">
      <c r="A205" s="226">
        <v>46226</v>
      </c>
      <c r="B205" s="227">
        <f>O204</f>
        <v>100</v>
      </c>
      <c r="C205" s="228">
        <f>P204</f>
        <v>100</v>
      </c>
      <c r="D205" s="228">
        <f>IF(OR(DAY(A205+2)=1,DAY(A205+2)=15),-SUM('Main Budget'!$H$26:$H$31),0)</f>
        <v>0</v>
      </c>
      <c r="E205" s="228">
        <f>IF(DAY(A205+2)=22,-SUM('Main Budget'!$F$26:$F$31),0)</f>
        <v>0</v>
      </c>
      <c r="F205" s="228">
        <f>IF(D205&gt;0,-'Main Budget'!$H$25+0.15,0)</f>
        <v>0</v>
      </c>
      <c r="G205" s="228">
        <f>IF(E205&gt;0,-'Main Budget'!$F$25+0.81,0)</f>
        <v>0</v>
      </c>
      <c r="H205" s="227">
        <f>IF(DAY(A205)='Main Budget'!$J$26,'Main Budget'!$E$26,0)</f>
        <v>0</v>
      </c>
      <c r="I205" s="227">
        <f>IF(DAY(A205)='Main Budget'!$J$28,'Main Budget'!$E$28,0)</f>
        <v>0</v>
      </c>
      <c r="J205" s="227">
        <f>IF(DAY(A205)='Main Budget'!$J$29,'Main Budget'!$E$29,0)</f>
        <v>0</v>
      </c>
      <c r="K205" s="20">
        <f>IF(DAY(A205)='Main Budget'!$J$30,'Main Budget'!$E$30,0)</f>
        <v>0</v>
      </c>
      <c r="L205" s="20">
        <f>IF(DAY(A205)='Main Budget'!$J$31,'Main Budget'!$E$31,0)</f>
        <v>0</v>
      </c>
      <c r="M205" s="20">
        <f>IF(DAY(A205)='Main Budget'!$J$27,'Main Budget'!$E$27,0)</f>
        <v>0</v>
      </c>
      <c r="O205" s="228">
        <f>B205+(SUM(H205:M205)+(SUM(D205:E205)))</f>
        <v>100</v>
      </c>
      <c r="P205" s="228">
        <f>C205+F205+G205+N205</f>
        <v>100</v>
      </c>
      <c r="Q205" s="252">
        <f>O205+P205</f>
        <v>200</v>
      </c>
      <c r="S205" s="231" t="str">
        <f>TEXT(A205,"dddd")</f>
        <v>Thursday</v>
      </c>
    </row>
    <row r="206" spans="1:19" x14ac:dyDescent="0.25">
      <c r="A206" s="226">
        <v>46227</v>
      </c>
      <c r="B206" s="227">
        <f>O205</f>
        <v>100</v>
      </c>
      <c r="C206" s="228">
        <f>P205</f>
        <v>100</v>
      </c>
      <c r="D206" s="228">
        <f>IF(OR(DAY(A206+2)=1,DAY(A206+2)=15),-SUM('Main Budget'!$H$26:$H$31),0)</f>
        <v>0</v>
      </c>
      <c r="E206" s="228">
        <f>IF(DAY(A206+2)=22,-SUM('Main Budget'!$F$26:$F$31),0)</f>
        <v>0</v>
      </c>
      <c r="F206" s="228">
        <f>IF(D206&gt;0,-'Main Budget'!$H$25+0.15,0)</f>
        <v>0</v>
      </c>
      <c r="G206" s="228">
        <f>IF(E206&gt;0,-'Main Budget'!$F$25+0.81,0)</f>
        <v>0</v>
      </c>
      <c r="H206" s="227">
        <f>IF(DAY(A206)='Main Budget'!$J$26,'Main Budget'!$E$26,0)</f>
        <v>0</v>
      </c>
      <c r="I206" s="227">
        <f>IF(DAY(A206)='Main Budget'!$J$28,'Main Budget'!$E$28,0)</f>
        <v>0</v>
      </c>
      <c r="J206" s="227">
        <f>IF(DAY(A206)='Main Budget'!$J$29,'Main Budget'!$E$29,0)</f>
        <v>0</v>
      </c>
      <c r="K206" s="20">
        <f>IF(DAY(A206)='Main Budget'!$J$30,'Main Budget'!$E$30,0)</f>
        <v>0</v>
      </c>
      <c r="L206" s="20">
        <f>IF(DAY(A206)='Main Budget'!$J$31,'Main Budget'!$E$31,0)</f>
        <v>0</v>
      </c>
      <c r="M206" s="20">
        <f>IF(DAY(A206)='Main Budget'!$J$27,'Main Budget'!$E$27,0)</f>
        <v>0</v>
      </c>
      <c r="O206" s="228">
        <f>B206+(SUM(H206:M206)+(SUM(D206:E206)))</f>
        <v>100</v>
      </c>
      <c r="P206" s="228">
        <f>C206+F206+G206+N206</f>
        <v>100</v>
      </c>
      <c r="Q206" s="252">
        <f>O206+P206</f>
        <v>200</v>
      </c>
      <c r="S206" s="231" t="str">
        <f>TEXT(A206,"dddd")</f>
        <v>Friday</v>
      </c>
    </row>
    <row r="207" spans="1:19" x14ac:dyDescent="0.25">
      <c r="A207" s="226">
        <v>46228</v>
      </c>
      <c r="B207" s="227">
        <f>O206</f>
        <v>100</v>
      </c>
      <c r="C207" s="228">
        <f>P206</f>
        <v>100</v>
      </c>
      <c r="D207" s="228">
        <f>IF(OR(DAY(A207+2)=1,DAY(A207+2)=15),-SUM('Main Budget'!$H$26:$H$31),0)</f>
        <v>0</v>
      </c>
      <c r="E207" s="228">
        <f>IF(DAY(A207+2)=22,-SUM('Main Budget'!$F$26:$F$31),0)</f>
        <v>0</v>
      </c>
      <c r="F207" s="228">
        <f>IF(D207&gt;0,-'Main Budget'!$H$25+0.15,0)</f>
        <v>0</v>
      </c>
      <c r="G207" s="228">
        <f>IF(E207&gt;0,-'Main Budget'!$F$25+0.81,0)</f>
        <v>0</v>
      </c>
      <c r="H207" s="227">
        <f>IF(DAY(A207)='Main Budget'!$J$26,'Main Budget'!$E$26,0)</f>
        <v>0</v>
      </c>
      <c r="I207" s="227">
        <f>IF(DAY(A207)='Main Budget'!$J$28,'Main Budget'!$E$28,0)</f>
        <v>0</v>
      </c>
      <c r="J207" s="227">
        <f>IF(DAY(A207)='Main Budget'!$J$29,'Main Budget'!$E$29,0)</f>
        <v>0</v>
      </c>
      <c r="K207" s="20">
        <f>IF(DAY(A207)='Main Budget'!$J$30,'Main Budget'!$E$30,0)</f>
        <v>0</v>
      </c>
      <c r="L207" s="20">
        <f>IF(DAY(A207)='Main Budget'!$J$31,'Main Budget'!$E$31,0)</f>
        <v>0</v>
      </c>
      <c r="M207" s="20">
        <f>IF(DAY(A207)='Main Budget'!$J$27,'Main Budget'!$E$27,0)</f>
        <v>0</v>
      </c>
      <c r="O207" s="228">
        <f>B207+(SUM(H207:M207)+(SUM(D207:E207)))</f>
        <v>100</v>
      </c>
      <c r="P207" s="228">
        <f>C207+F207+G207+N207</f>
        <v>100</v>
      </c>
      <c r="Q207" s="252">
        <f>O207+P207</f>
        <v>200</v>
      </c>
      <c r="S207" s="231" t="str">
        <f>TEXT(A207,"dddd")</f>
        <v>Saturday</v>
      </c>
    </row>
    <row r="208" spans="1:19" x14ac:dyDescent="0.25">
      <c r="A208" s="226">
        <v>46229</v>
      </c>
      <c r="B208" s="227">
        <f>O207</f>
        <v>100</v>
      </c>
      <c r="C208" s="228">
        <f>P207</f>
        <v>100</v>
      </c>
      <c r="D208" s="228">
        <f>IF(OR(DAY(A208+2)=1,DAY(A208+2)=15),-SUM('Main Budget'!$H$26:$H$31),0)</f>
        <v>0</v>
      </c>
      <c r="E208" s="228">
        <f>IF(DAY(A208+2)=22,-SUM('Main Budget'!$F$26:$F$31),0)</f>
        <v>0</v>
      </c>
      <c r="F208" s="228">
        <f>IF(D208&gt;0,-'Main Budget'!$H$25+0.15,0)</f>
        <v>0</v>
      </c>
      <c r="G208" s="228">
        <f>IF(E208&gt;0,-'Main Budget'!$F$25+0.81,0)</f>
        <v>0</v>
      </c>
      <c r="H208" s="227">
        <f>IF(DAY(A208)='Main Budget'!$J$26,'Main Budget'!$E$26,0)</f>
        <v>0</v>
      </c>
      <c r="I208" s="227">
        <f>IF(DAY(A208)='Main Budget'!$J$28,'Main Budget'!$E$28,0)</f>
        <v>0</v>
      </c>
      <c r="J208" s="227">
        <f>IF(DAY(A208)='Main Budget'!$J$29,'Main Budget'!$E$29,0)</f>
        <v>0</v>
      </c>
      <c r="K208" s="20">
        <f>IF(DAY(A208)='Main Budget'!$J$30,'Main Budget'!$E$30,0)</f>
        <v>0</v>
      </c>
      <c r="L208" s="20">
        <f>IF(DAY(A208)='Main Budget'!$J$31,'Main Budget'!$E$31,0)</f>
        <v>0</v>
      </c>
      <c r="M208" s="20">
        <f>IF(DAY(A208)='Main Budget'!$J$27,'Main Budget'!$E$27,0)</f>
        <v>0</v>
      </c>
      <c r="O208" s="228">
        <f>B208+(SUM(H208:M208)+(SUM(D208:E208)))</f>
        <v>100</v>
      </c>
      <c r="P208" s="228">
        <f>C208+F208+G208+N208</f>
        <v>100</v>
      </c>
      <c r="Q208" s="252">
        <f>O208+P208</f>
        <v>200</v>
      </c>
      <c r="S208" s="231" t="str">
        <f>TEXT(A208,"dddd")</f>
        <v>Sunday</v>
      </c>
    </row>
    <row r="209" spans="1:19" x14ac:dyDescent="0.25">
      <c r="A209" s="226">
        <v>46230</v>
      </c>
      <c r="B209" s="227">
        <f>O208</f>
        <v>100</v>
      </c>
      <c r="C209" s="228">
        <f>P208</f>
        <v>100</v>
      </c>
      <c r="D209" s="228">
        <f>IF(OR(DAY(A209+2)=1,DAY(A209+2)=15),-SUM('Main Budget'!$H$26:$H$31),0)</f>
        <v>0</v>
      </c>
      <c r="E209" s="228">
        <f>IF(DAY(A209+2)=22,-SUM('Main Budget'!$F$26:$F$31),0)</f>
        <v>0</v>
      </c>
      <c r="F209" s="228">
        <f>IF(D209&gt;0,-'Main Budget'!$H$25+0.15,0)</f>
        <v>0</v>
      </c>
      <c r="G209" s="228">
        <f>IF(E209&gt;0,-'Main Budget'!$F$25+0.81,0)</f>
        <v>0</v>
      </c>
      <c r="H209" s="227">
        <f>IF(DAY(A209)='Main Budget'!$J$26,'Main Budget'!$E$26,0)</f>
        <v>0</v>
      </c>
      <c r="I209" s="227">
        <f>IF(DAY(A209)='Main Budget'!$J$28,'Main Budget'!$E$28,0)</f>
        <v>0</v>
      </c>
      <c r="J209" s="227">
        <f>IF(DAY(A209)='Main Budget'!$J$29,'Main Budget'!$E$29,0)</f>
        <v>0</v>
      </c>
      <c r="K209" s="20">
        <f>IF(DAY(A209)='Main Budget'!$J$30,'Main Budget'!$E$30,0)</f>
        <v>0</v>
      </c>
      <c r="L209" s="20">
        <f>IF(DAY(A209)='Main Budget'!$J$31,'Main Budget'!$E$31,0)</f>
        <v>0</v>
      </c>
      <c r="M209" s="20">
        <f>IF(DAY(A209)='Main Budget'!$J$27,'Main Budget'!$E$27,0)</f>
        <v>0</v>
      </c>
      <c r="O209" s="228">
        <f>B209+(SUM(H209:M209)+(SUM(D209:E209)))</f>
        <v>100</v>
      </c>
      <c r="P209" s="228">
        <f>C209+F209+G209+N209</f>
        <v>100</v>
      </c>
      <c r="Q209" s="252">
        <f>O209+P209</f>
        <v>200</v>
      </c>
      <c r="S209" s="231" t="str">
        <f>TEXT(A209,"dddd")</f>
        <v>Monday</v>
      </c>
    </row>
    <row r="210" spans="1:19" x14ac:dyDescent="0.25">
      <c r="A210" s="226">
        <v>46231</v>
      </c>
      <c r="B210" s="227">
        <f>O209</f>
        <v>100</v>
      </c>
      <c r="C210" s="228">
        <f>P209</f>
        <v>100</v>
      </c>
      <c r="D210" s="228">
        <f>IF(OR(DAY(A210+2)=1,DAY(A210+2)=15),-SUM('Main Budget'!$H$26:$H$31),0)</f>
        <v>0</v>
      </c>
      <c r="E210" s="228">
        <f>IF(DAY(A210+2)=22,-SUM('Main Budget'!$F$26:$F$31),0)</f>
        <v>0</v>
      </c>
      <c r="F210" s="228">
        <f>IF(D210&gt;0,-'Main Budget'!$H$25+0.15,0)</f>
        <v>0</v>
      </c>
      <c r="G210" s="228">
        <f>IF(E210&gt;0,-'Main Budget'!$F$25+0.81,0)</f>
        <v>0</v>
      </c>
      <c r="H210" s="227">
        <f>IF(DAY(A210)='Main Budget'!$J$26,'Main Budget'!$E$26,0)</f>
        <v>0</v>
      </c>
      <c r="I210" s="227">
        <f>IF(DAY(A210)='Main Budget'!$J$28,'Main Budget'!$E$28,0)</f>
        <v>0</v>
      </c>
      <c r="J210" s="227">
        <f>IF(DAY(A210)='Main Budget'!$J$29,'Main Budget'!$E$29,0)</f>
        <v>0</v>
      </c>
      <c r="K210" s="20">
        <f>IF(DAY(A210)='Main Budget'!$J$30,'Main Budget'!$E$30,0)</f>
        <v>0</v>
      </c>
      <c r="L210" s="20">
        <f>IF(DAY(A210)='Main Budget'!$J$31,'Main Budget'!$E$31,0)</f>
        <v>0</v>
      </c>
      <c r="M210" s="20">
        <f>IF(DAY(A210)='Main Budget'!$J$27,'Main Budget'!$E$27,0)</f>
        <v>0</v>
      </c>
      <c r="O210" s="228">
        <f>B210+(SUM(H210:M210)+(SUM(D210:E210)))</f>
        <v>100</v>
      </c>
      <c r="P210" s="228">
        <f>C210+F210+G210+N210</f>
        <v>100</v>
      </c>
      <c r="Q210" s="252">
        <f>O210+P210</f>
        <v>200</v>
      </c>
      <c r="S210" s="231" t="str">
        <f>TEXT(A210,"dddd")</f>
        <v>Tuesday</v>
      </c>
    </row>
    <row r="211" spans="1:19" x14ac:dyDescent="0.25">
      <c r="A211" s="226">
        <v>46232</v>
      </c>
      <c r="B211" s="227">
        <f>O210</f>
        <v>100</v>
      </c>
      <c r="C211" s="228">
        <f>P210</f>
        <v>100</v>
      </c>
      <c r="D211" s="228">
        <f>IF(OR(DAY(A211+2)=1,DAY(A211+2)=15),-SUM('Main Budget'!$H$26:$H$31),0)</f>
        <v>0</v>
      </c>
      <c r="E211" s="228">
        <f>IF(DAY(A211+2)=22,-SUM('Main Budget'!$F$26:$F$31),0)</f>
        <v>0</v>
      </c>
      <c r="F211" s="228">
        <f>IF(D211&gt;0,-'Main Budget'!$H$25+0.15,0)</f>
        <v>0</v>
      </c>
      <c r="G211" s="228">
        <f>IF(E211&gt;0,-'Main Budget'!$F$25+0.81,0)</f>
        <v>0</v>
      </c>
      <c r="H211" s="227">
        <f>IF(DAY(A211)='Main Budget'!$J$26,'Main Budget'!$E$26,0)</f>
        <v>0</v>
      </c>
      <c r="I211" s="227">
        <f>IF(DAY(A211)='Main Budget'!$J$28,'Main Budget'!$E$28,0)</f>
        <v>0</v>
      </c>
      <c r="J211" s="227">
        <f>IF(DAY(A211)='Main Budget'!$J$29,'Main Budget'!$E$29,0)</f>
        <v>0</v>
      </c>
      <c r="K211" s="20">
        <f>IF(DAY(A211)='Main Budget'!$J$30,'Main Budget'!$E$30,0)</f>
        <v>0</v>
      </c>
      <c r="L211" s="20">
        <f>IF(DAY(A211)='Main Budget'!$J$31,'Main Budget'!$E$31,0)</f>
        <v>0</v>
      </c>
      <c r="M211" s="20">
        <f>IF(DAY(A211)='Main Budget'!$J$27,'Main Budget'!$E$27,0)</f>
        <v>0</v>
      </c>
      <c r="O211" s="228">
        <f>B211+(SUM(H211:M211)+(SUM(D211:E211)))</f>
        <v>100</v>
      </c>
      <c r="P211" s="228">
        <f>C211+F211+G211+N211</f>
        <v>100</v>
      </c>
      <c r="Q211" s="252">
        <f>O211+P211</f>
        <v>200</v>
      </c>
      <c r="S211" s="231" t="str">
        <f>TEXT(A211,"dddd")</f>
        <v>Wednesday</v>
      </c>
    </row>
    <row r="212" spans="1:19" x14ac:dyDescent="0.25">
      <c r="A212" s="226">
        <v>46233</v>
      </c>
      <c r="B212" s="227">
        <f>O211</f>
        <v>100</v>
      </c>
      <c r="C212" s="228">
        <f>P211</f>
        <v>100</v>
      </c>
      <c r="D212" s="228">
        <f>IF(OR(DAY(A212+2)=1,DAY(A212+2)=15),-SUM('Main Budget'!$H$26:$H$31),0)</f>
        <v>0</v>
      </c>
      <c r="E212" s="228">
        <f>IF(DAY(A212+2)=22,-SUM('Main Budget'!$F$26:$F$31),0)</f>
        <v>0</v>
      </c>
      <c r="F212" s="228">
        <f>IF(D212&gt;0,-'Main Budget'!$H$25+0.15,0)</f>
        <v>0</v>
      </c>
      <c r="G212" s="228">
        <f>IF(E212&gt;0,-'Main Budget'!$F$25+0.81,0)</f>
        <v>0</v>
      </c>
      <c r="H212" s="227">
        <f>IF(DAY(A212)='Main Budget'!$J$26,'Main Budget'!$E$26,0)</f>
        <v>0</v>
      </c>
      <c r="I212" s="227">
        <f>IF(DAY(A212)='Main Budget'!$J$28,'Main Budget'!$E$28,0)</f>
        <v>0</v>
      </c>
      <c r="J212" s="227">
        <f>IF(DAY(A212)='Main Budget'!$J$29,'Main Budget'!$E$29,0)</f>
        <v>0</v>
      </c>
      <c r="K212" s="20">
        <f>IF(DAY(A212)='Main Budget'!$J$30,'Main Budget'!$E$30,0)</f>
        <v>0</v>
      </c>
      <c r="L212" s="20">
        <f>IF(DAY(A212)='Main Budget'!$J$31,'Main Budget'!$E$31,0)</f>
        <v>0</v>
      </c>
      <c r="M212" s="20">
        <f>IF(DAY(A212)='Main Budget'!$J$27,'Main Budget'!$E$27,0)</f>
        <v>0</v>
      </c>
      <c r="O212" s="228">
        <f>B212+(SUM(H212:M212)+(SUM(D212:E212)))</f>
        <v>100</v>
      </c>
      <c r="P212" s="228">
        <f>C212+F212+G212+N212</f>
        <v>100</v>
      </c>
      <c r="Q212" s="252">
        <f>O212+P212</f>
        <v>200</v>
      </c>
      <c r="S212" s="231" t="str">
        <f>TEXT(A212,"dddd")</f>
        <v>Thursday</v>
      </c>
    </row>
    <row r="213" spans="1:19" x14ac:dyDescent="0.25">
      <c r="A213" s="226">
        <v>46234</v>
      </c>
      <c r="B213" s="227">
        <f>O212</f>
        <v>100</v>
      </c>
      <c r="C213" s="228">
        <f>P212</f>
        <v>100</v>
      </c>
      <c r="D213" s="228">
        <f>IF(OR(DAY(A213+2)=1,DAY(A213+2)=15),-SUM('Main Budget'!$H$26:$H$31),0)</f>
        <v>0</v>
      </c>
      <c r="E213" s="228">
        <f>IF(DAY(A213+2)=22,-SUM('Main Budget'!$F$26:$F$31),0)</f>
        <v>0</v>
      </c>
      <c r="F213" s="228">
        <f>IF(D213&gt;0,-'Main Budget'!$H$25+0.15,0)</f>
        <v>0</v>
      </c>
      <c r="G213" s="228">
        <f>IF(E213&gt;0,-'Main Budget'!$F$25+0.81,0)</f>
        <v>0</v>
      </c>
      <c r="H213" s="227">
        <f>IF(DAY(A213)='Main Budget'!$J$26,'Main Budget'!$E$26,0)</f>
        <v>0</v>
      </c>
      <c r="I213" s="227">
        <f>IF(DAY(A213)='Main Budget'!$J$28,'Main Budget'!$E$28,0)</f>
        <v>0</v>
      </c>
      <c r="J213" s="227">
        <f>IF(DAY(A213)='Main Budget'!$J$29,'Main Budget'!$E$29,0)</f>
        <v>0</v>
      </c>
      <c r="K213" s="20">
        <f>IF(DAY(A213)='Main Budget'!$J$30,'Main Budget'!$E$30,0)</f>
        <v>0</v>
      </c>
      <c r="L213" s="20">
        <f>IF(DAY(A213)='Main Budget'!$J$31,'Main Budget'!$E$31,0)</f>
        <v>0</v>
      </c>
      <c r="M213" s="20">
        <f>IF(DAY(A213)='Main Budget'!$J$27,'Main Budget'!$E$27,0)</f>
        <v>0</v>
      </c>
      <c r="O213" s="228">
        <f>B213+(SUM(H213:M213)+(SUM(D213:E213)))</f>
        <v>100</v>
      </c>
      <c r="P213" s="228">
        <f>C213+F213+G213+N213</f>
        <v>100</v>
      </c>
      <c r="Q213" s="252">
        <f>O213+P213</f>
        <v>200</v>
      </c>
      <c r="S213" s="231" t="str">
        <f>TEXT(A213,"dddd")</f>
        <v>Friday</v>
      </c>
    </row>
    <row r="214" spans="1:19" x14ac:dyDescent="0.25">
      <c r="A214" s="226">
        <v>46235</v>
      </c>
      <c r="B214" s="227">
        <f>O213</f>
        <v>100</v>
      </c>
      <c r="C214" s="228">
        <f>P213</f>
        <v>100</v>
      </c>
      <c r="D214" s="228">
        <f>IF(OR(DAY(A214+2)=1,DAY(A214+2)=15),-SUM('Main Budget'!$H$26:$H$31),0)</f>
        <v>0</v>
      </c>
      <c r="E214" s="228">
        <f>IF(DAY(A214+2)=22,-SUM('Main Budget'!$F$26:$F$31),0)</f>
        <v>0</v>
      </c>
      <c r="F214" s="228">
        <f>IF(D214&gt;0,-'Main Budget'!$H$25+0.15,0)</f>
        <v>0</v>
      </c>
      <c r="G214" s="228">
        <f>IF(E214&gt;0,-'Main Budget'!$F$25+0.81,0)</f>
        <v>0</v>
      </c>
      <c r="H214" s="227">
        <f>IF(DAY(A214)='Main Budget'!$J$26,'Main Budget'!$E$26,0)</f>
        <v>0</v>
      </c>
      <c r="I214" s="227">
        <f>IF(DAY(A214)='Main Budget'!$J$28,'Main Budget'!$E$28,0)</f>
        <v>0</v>
      </c>
      <c r="J214" s="227">
        <f>IF(DAY(A214)='Main Budget'!$J$29,'Main Budget'!$E$29,0)</f>
        <v>0</v>
      </c>
      <c r="K214" s="20">
        <f>IF(DAY(A214)='Main Budget'!$J$30,'Main Budget'!$E$30,0)</f>
        <v>0</v>
      </c>
      <c r="L214" s="20">
        <f>IF(DAY(A214)='Main Budget'!$J$31,'Main Budget'!$E$31,0)</f>
        <v>0</v>
      </c>
      <c r="M214" s="20">
        <f>IF(DAY(A214)='Main Budget'!$J$27,'Main Budget'!$E$27,0)</f>
        <v>0</v>
      </c>
      <c r="O214" s="228">
        <f>B214+(SUM(H214:M214)+(SUM(D214:E214)))</f>
        <v>100</v>
      </c>
      <c r="P214" s="228">
        <f>C214+F214+G214+N214</f>
        <v>100</v>
      </c>
      <c r="Q214" s="252">
        <f>O214+P214</f>
        <v>200</v>
      </c>
      <c r="S214" s="231" t="str">
        <f>TEXT(A214,"dddd")</f>
        <v>Saturday</v>
      </c>
    </row>
    <row r="215" spans="1:19" x14ac:dyDescent="0.25">
      <c r="A215" s="226">
        <v>46236</v>
      </c>
      <c r="B215" s="227">
        <f>O214</f>
        <v>100</v>
      </c>
      <c r="C215" s="228">
        <f>P214</f>
        <v>100</v>
      </c>
      <c r="D215" s="228">
        <f>IF(OR(DAY(A215+2)=1,DAY(A215+2)=15),-SUM('Main Budget'!$H$26:$H$31),0)</f>
        <v>0</v>
      </c>
      <c r="E215" s="228">
        <f>IF(DAY(A215+2)=22,-SUM('Main Budget'!$F$26:$F$31),0)</f>
        <v>0</v>
      </c>
      <c r="F215" s="228">
        <f>IF(D215&gt;0,-'Main Budget'!$H$25+0.15,0)</f>
        <v>0</v>
      </c>
      <c r="G215" s="228">
        <f>IF(E215&gt;0,-'Main Budget'!$F$25+0.81,0)</f>
        <v>0</v>
      </c>
      <c r="H215" s="227">
        <f>IF(DAY(A215)='Main Budget'!$J$26,'Main Budget'!$E$26,0)</f>
        <v>0</v>
      </c>
      <c r="I215" s="227">
        <f>IF(DAY(A215)='Main Budget'!$J$28,'Main Budget'!$E$28,0)</f>
        <v>0</v>
      </c>
      <c r="J215" s="227">
        <f>IF(DAY(A215)='Main Budget'!$J$29,'Main Budget'!$E$29,0)</f>
        <v>0</v>
      </c>
      <c r="K215" s="20">
        <f>IF(DAY(A215)='Main Budget'!$J$30,'Main Budget'!$E$30,0)</f>
        <v>0</v>
      </c>
      <c r="L215" s="20">
        <f>IF(DAY(A215)='Main Budget'!$J$31,'Main Budget'!$E$31,0)</f>
        <v>0</v>
      </c>
      <c r="M215" s="20">
        <f>IF(DAY(A215)='Main Budget'!$J$27,'Main Budget'!$E$27,0)</f>
        <v>0</v>
      </c>
      <c r="O215" s="228">
        <f>B215+(SUM(H215:M215)+(SUM(D215:E215)))</f>
        <v>100</v>
      </c>
      <c r="P215" s="228">
        <f>C215+F215+G215+N215</f>
        <v>100</v>
      </c>
      <c r="Q215" s="252">
        <f>O215+P215</f>
        <v>200</v>
      </c>
      <c r="S215" s="231" t="str">
        <f>TEXT(A215,"dddd")</f>
        <v>Sunday</v>
      </c>
    </row>
    <row r="216" spans="1:19" x14ac:dyDescent="0.25">
      <c r="A216" s="226">
        <v>46237</v>
      </c>
      <c r="B216" s="227">
        <f>O215</f>
        <v>100</v>
      </c>
      <c r="C216" s="228">
        <f>P215</f>
        <v>100</v>
      </c>
      <c r="D216" s="228">
        <f>IF(OR(DAY(A216+2)=1,DAY(A216+2)=15),-SUM('Main Budget'!$H$26:$H$31),0)</f>
        <v>0</v>
      </c>
      <c r="E216" s="228">
        <f>IF(DAY(A216+2)=22,-SUM('Main Budget'!$F$26:$F$31),0)</f>
        <v>0</v>
      </c>
      <c r="F216" s="228">
        <f>IF(D216&gt;0,-'Main Budget'!$H$25+0.15,0)</f>
        <v>0</v>
      </c>
      <c r="G216" s="228">
        <f>IF(E216&gt;0,-'Main Budget'!$F$25+0.81,0)</f>
        <v>0</v>
      </c>
      <c r="H216" s="227">
        <f>IF(DAY(A216)='Main Budget'!$J$26,'Main Budget'!$E$26,0)</f>
        <v>0</v>
      </c>
      <c r="I216" s="227">
        <f>IF(DAY(A216)='Main Budget'!$J$28,'Main Budget'!$E$28,0)</f>
        <v>0</v>
      </c>
      <c r="J216" s="227">
        <f>IF(DAY(A216)='Main Budget'!$J$29,'Main Budget'!$E$29,0)</f>
        <v>0</v>
      </c>
      <c r="K216" s="20">
        <f>IF(DAY(A216)='Main Budget'!$J$30,'Main Budget'!$E$30,0)</f>
        <v>0</v>
      </c>
      <c r="L216" s="20">
        <f>IF(DAY(A216)='Main Budget'!$J$31,'Main Budget'!$E$31,0)</f>
        <v>0</v>
      </c>
      <c r="M216" s="20">
        <f>IF(DAY(A216)='Main Budget'!$J$27,'Main Budget'!$E$27,0)</f>
        <v>0</v>
      </c>
      <c r="O216" s="228">
        <f>B216+(SUM(H216:M216)+(SUM(D216:E216)))</f>
        <v>100</v>
      </c>
      <c r="P216" s="228">
        <f>C216+F216+G216+N216</f>
        <v>100</v>
      </c>
      <c r="Q216" s="252">
        <f>O216+P216</f>
        <v>200</v>
      </c>
      <c r="S216" s="231" t="str">
        <f>TEXT(A216,"dddd")</f>
        <v>Monday</v>
      </c>
    </row>
    <row r="217" spans="1:19" x14ac:dyDescent="0.25">
      <c r="A217" s="226">
        <v>46238</v>
      </c>
      <c r="B217" s="227">
        <f>O216</f>
        <v>100</v>
      </c>
      <c r="C217" s="228">
        <f>P216</f>
        <v>100</v>
      </c>
      <c r="D217" s="228">
        <f>IF(OR(DAY(A217+2)=1,DAY(A217+2)=15),-SUM('Main Budget'!$H$26:$H$31),0)</f>
        <v>0</v>
      </c>
      <c r="E217" s="228">
        <f>IF(DAY(A217+2)=22,-SUM('Main Budget'!$F$26:$F$31),0)</f>
        <v>0</v>
      </c>
      <c r="F217" s="228">
        <f>IF(D217&gt;0,-'Main Budget'!$H$25+0.15,0)</f>
        <v>0</v>
      </c>
      <c r="G217" s="228">
        <f>IF(E217&gt;0,-'Main Budget'!$F$25+0.81,0)</f>
        <v>0</v>
      </c>
      <c r="H217" s="227">
        <f>IF(DAY(A217)='Main Budget'!$J$26,'Main Budget'!$E$26,0)</f>
        <v>0</v>
      </c>
      <c r="I217" s="227">
        <f>IF(DAY(A217)='Main Budget'!$J$28,'Main Budget'!$E$28,0)</f>
        <v>0</v>
      </c>
      <c r="J217" s="227">
        <f>IF(DAY(A217)='Main Budget'!$J$29,'Main Budget'!$E$29,0)</f>
        <v>0</v>
      </c>
      <c r="K217" s="20">
        <f>IF(DAY(A217)='Main Budget'!$J$30,'Main Budget'!$E$30,0)</f>
        <v>0</v>
      </c>
      <c r="L217" s="20">
        <f>IF(DAY(A217)='Main Budget'!$J$31,'Main Budget'!$E$31,0)</f>
        <v>0</v>
      </c>
      <c r="M217" s="20">
        <f>IF(DAY(A217)='Main Budget'!$J$27,'Main Budget'!$E$27,0)</f>
        <v>0</v>
      </c>
      <c r="O217" s="228">
        <f>B217+(SUM(H217:M217)+(SUM(D217:E217)))</f>
        <v>100</v>
      </c>
      <c r="P217" s="228">
        <f>C217+F217+G217+N217</f>
        <v>100</v>
      </c>
      <c r="Q217" s="252">
        <f>O217+P217</f>
        <v>200</v>
      </c>
      <c r="S217" s="231" t="str">
        <f>TEXT(A217,"dddd")</f>
        <v>Tuesday</v>
      </c>
    </row>
    <row r="218" spans="1:19" x14ac:dyDescent="0.25">
      <c r="A218" s="226">
        <v>46239</v>
      </c>
      <c r="B218" s="227">
        <f>O217</f>
        <v>100</v>
      </c>
      <c r="C218" s="228">
        <f>P217</f>
        <v>100</v>
      </c>
      <c r="D218" s="228">
        <f>IF(OR(DAY(A218+2)=1,DAY(A218+2)=15),-SUM('Main Budget'!$H$26:$H$31),0)</f>
        <v>0</v>
      </c>
      <c r="E218" s="228">
        <f>IF(DAY(A218+2)=22,-SUM('Main Budget'!$F$26:$F$31),0)</f>
        <v>0</v>
      </c>
      <c r="F218" s="228">
        <f>IF(D218&gt;0,-'Main Budget'!$H$25+0.15,0)</f>
        <v>0</v>
      </c>
      <c r="G218" s="228">
        <f>IF(E218&gt;0,-'Main Budget'!$F$25+0.81,0)</f>
        <v>0</v>
      </c>
      <c r="H218" s="227">
        <f>IF(DAY(A218)='Main Budget'!$J$26,'Main Budget'!$E$26,0)</f>
        <v>0</v>
      </c>
      <c r="I218" s="227">
        <f>IF(DAY(A218)='Main Budget'!$J$28,'Main Budget'!$E$28,0)</f>
        <v>0</v>
      </c>
      <c r="J218" s="227">
        <f>IF(DAY(A218)='Main Budget'!$J$29,'Main Budget'!$E$29,0)</f>
        <v>0</v>
      </c>
      <c r="K218" s="20">
        <f>IF(DAY(A218)='Main Budget'!$J$30,'Main Budget'!$E$30,0)</f>
        <v>0</v>
      </c>
      <c r="L218" s="20">
        <f>IF(DAY(A218)='Main Budget'!$J$31,'Main Budget'!$E$31,0)</f>
        <v>0</v>
      </c>
      <c r="M218" s="20">
        <f>IF(DAY(A218)='Main Budget'!$J$27,'Main Budget'!$E$27,0)</f>
        <v>0</v>
      </c>
      <c r="O218" s="228">
        <f>B218+(SUM(H218:M218)+(SUM(D218:E218)))</f>
        <v>100</v>
      </c>
      <c r="P218" s="228">
        <f>C218+F218+G218+N218</f>
        <v>100</v>
      </c>
      <c r="Q218" s="252">
        <f>O218+P218</f>
        <v>200</v>
      </c>
      <c r="S218" s="231" t="str">
        <f>TEXT(A218,"dddd")</f>
        <v>Wednesday</v>
      </c>
    </row>
    <row r="219" spans="1:19" x14ac:dyDescent="0.25">
      <c r="A219" s="226">
        <v>46240</v>
      </c>
      <c r="B219" s="227">
        <f>O218</f>
        <v>100</v>
      </c>
      <c r="C219" s="228">
        <f>P218</f>
        <v>100</v>
      </c>
      <c r="D219" s="228">
        <f>IF(OR(DAY(A219+2)=1,DAY(A219+2)=15),-SUM('Main Budget'!$H$26:$H$31),0)</f>
        <v>0</v>
      </c>
      <c r="E219" s="228">
        <f>IF(DAY(A219+2)=22,-SUM('Main Budget'!$F$26:$F$31),0)</f>
        <v>0</v>
      </c>
      <c r="F219" s="228">
        <f>IF(D219&gt;0,-'Main Budget'!$H$25+0.15,0)</f>
        <v>0</v>
      </c>
      <c r="G219" s="228">
        <f>IF(E219&gt;0,-'Main Budget'!$F$25+0.81,0)</f>
        <v>0</v>
      </c>
      <c r="H219" s="227">
        <f>IF(DAY(A219)='Main Budget'!$J$26,'Main Budget'!$E$26,0)</f>
        <v>0</v>
      </c>
      <c r="I219" s="227">
        <f>IF(DAY(A219)='Main Budget'!$J$28,'Main Budget'!$E$28,0)</f>
        <v>0</v>
      </c>
      <c r="J219" s="227">
        <f>IF(DAY(A219)='Main Budget'!$J$29,'Main Budget'!$E$29,0)</f>
        <v>0</v>
      </c>
      <c r="K219" s="20">
        <f>IF(DAY(A219)='Main Budget'!$J$30,'Main Budget'!$E$30,0)</f>
        <v>0</v>
      </c>
      <c r="L219" s="20">
        <f>IF(DAY(A219)='Main Budget'!$J$31,'Main Budget'!$E$31,0)</f>
        <v>0</v>
      </c>
      <c r="M219" s="20">
        <f>IF(DAY(A219)='Main Budget'!$J$27,'Main Budget'!$E$27,0)</f>
        <v>0</v>
      </c>
      <c r="O219" s="228">
        <f>B219+(SUM(H219:M219)+(SUM(D219:E219)))</f>
        <v>100</v>
      </c>
      <c r="P219" s="228">
        <f>C219+F219+G219+N219</f>
        <v>100</v>
      </c>
      <c r="Q219" s="252">
        <f>O219+P219</f>
        <v>200</v>
      </c>
      <c r="S219" s="231" t="str">
        <f>TEXT(A219,"dddd")</f>
        <v>Thursday</v>
      </c>
    </row>
    <row r="220" spans="1:19" x14ac:dyDescent="0.25">
      <c r="A220" s="226">
        <v>46241</v>
      </c>
      <c r="B220" s="227">
        <f>O219</f>
        <v>100</v>
      </c>
      <c r="C220" s="228">
        <f>P219</f>
        <v>100</v>
      </c>
      <c r="D220" s="228">
        <f>IF(OR(DAY(A220+2)=1,DAY(A220+2)=15),-SUM('Main Budget'!$H$26:$H$31),0)</f>
        <v>0</v>
      </c>
      <c r="E220" s="228">
        <f>IF(DAY(A220+2)=22,-SUM('Main Budget'!$F$26:$F$31),0)</f>
        <v>0</v>
      </c>
      <c r="F220" s="228">
        <f>IF(D220&gt;0,-'Main Budget'!$H$25+0.15,0)</f>
        <v>0</v>
      </c>
      <c r="G220" s="228">
        <f>IF(E220&gt;0,-'Main Budget'!$F$25+0.81,0)</f>
        <v>0</v>
      </c>
      <c r="H220" s="227">
        <f>IF(DAY(A220)='Main Budget'!$J$26,'Main Budget'!$E$26,0)</f>
        <v>0</v>
      </c>
      <c r="I220" s="227">
        <f>IF(DAY(A220)='Main Budget'!$J$28,'Main Budget'!$E$28,0)</f>
        <v>0</v>
      </c>
      <c r="J220" s="227">
        <f>IF(DAY(A220)='Main Budget'!$J$29,'Main Budget'!$E$29,0)</f>
        <v>0</v>
      </c>
      <c r="K220" s="20">
        <f>IF(DAY(A220)='Main Budget'!$J$30,'Main Budget'!$E$30,0)</f>
        <v>0</v>
      </c>
      <c r="L220" s="20">
        <f>IF(DAY(A220)='Main Budget'!$J$31,'Main Budget'!$E$31,0)</f>
        <v>0</v>
      </c>
      <c r="M220" s="20">
        <f>IF(DAY(A220)='Main Budget'!$J$27,'Main Budget'!$E$27,0)</f>
        <v>0</v>
      </c>
      <c r="O220" s="228">
        <f>B220+(SUM(H220:M220)+(SUM(D220:E220)))</f>
        <v>100</v>
      </c>
      <c r="P220" s="228">
        <f>C220+F220+G220+N220</f>
        <v>100</v>
      </c>
      <c r="Q220" s="252">
        <f>O220+P220</f>
        <v>200</v>
      </c>
      <c r="S220" s="231" t="str">
        <f>TEXT(A220,"dddd")</f>
        <v>Friday</v>
      </c>
    </row>
    <row r="221" spans="1:19" x14ac:dyDescent="0.25">
      <c r="A221" s="226">
        <v>46242</v>
      </c>
      <c r="B221" s="227">
        <f>O220</f>
        <v>100</v>
      </c>
      <c r="C221" s="228">
        <f>P220</f>
        <v>100</v>
      </c>
      <c r="D221" s="228">
        <f>IF(OR(DAY(A221+2)=1,DAY(A221+2)=15),-SUM('Main Budget'!$H$26:$H$31),0)</f>
        <v>0</v>
      </c>
      <c r="E221" s="228">
        <f>IF(DAY(A221+2)=22,-SUM('Main Budget'!$F$26:$F$31),0)</f>
        <v>0</v>
      </c>
      <c r="F221" s="228">
        <f>IF(D221&gt;0,-'Main Budget'!$H$25+0.15,0)</f>
        <v>0</v>
      </c>
      <c r="G221" s="228">
        <f>IF(E221&gt;0,-'Main Budget'!$F$25+0.81,0)</f>
        <v>0</v>
      </c>
      <c r="H221" s="227">
        <f>IF(DAY(A221)='Main Budget'!$J$26,'Main Budget'!$E$26,0)</f>
        <v>0</v>
      </c>
      <c r="I221" s="227">
        <f>IF(DAY(A221)='Main Budget'!$J$28,'Main Budget'!$E$28,0)</f>
        <v>0</v>
      </c>
      <c r="J221" s="227">
        <f>IF(DAY(A221)='Main Budget'!$J$29,'Main Budget'!$E$29,0)</f>
        <v>0</v>
      </c>
      <c r="K221" s="20">
        <f>IF(DAY(A221)='Main Budget'!$J$30,'Main Budget'!$E$30,0)</f>
        <v>0</v>
      </c>
      <c r="L221" s="20">
        <f>IF(DAY(A221)='Main Budget'!$J$31,'Main Budget'!$E$31,0)</f>
        <v>0</v>
      </c>
      <c r="M221" s="20">
        <f>IF(DAY(A221)='Main Budget'!$J$27,'Main Budget'!$E$27,0)</f>
        <v>0</v>
      </c>
      <c r="O221" s="228">
        <f>B221+(SUM(H221:M221)+(SUM(D221:E221)))</f>
        <v>100</v>
      </c>
      <c r="P221" s="228">
        <f>C221+F221+G221+N221</f>
        <v>100</v>
      </c>
      <c r="Q221" s="252">
        <f>O221+P221</f>
        <v>200</v>
      </c>
      <c r="S221" s="231" t="str">
        <f>TEXT(A221,"dddd")</f>
        <v>Saturday</v>
      </c>
    </row>
    <row r="222" spans="1:19" x14ac:dyDescent="0.25">
      <c r="A222" s="226">
        <v>46243</v>
      </c>
      <c r="B222" s="227">
        <f>O221</f>
        <v>100</v>
      </c>
      <c r="C222" s="228">
        <f>P221</f>
        <v>100</v>
      </c>
      <c r="D222" s="228">
        <f>IF(OR(DAY(A222+2)=1,DAY(A222+2)=15),-SUM('Main Budget'!$H$26:$H$31),0)</f>
        <v>0</v>
      </c>
      <c r="E222" s="228">
        <f>IF(DAY(A222+2)=22,-SUM('Main Budget'!$F$26:$F$31),0)</f>
        <v>0</v>
      </c>
      <c r="F222" s="228">
        <f>IF(D222&gt;0,-'Main Budget'!$H$25+0.15,0)</f>
        <v>0</v>
      </c>
      <c r="G222" s="228">
        <f>IF(E222&gt;0,-'Main Budget'!$F$25+0.81,0)</f>
        <v>0</v>
      </c>
      <c r="H222" s="227">
        <f>IF(DAY(A222)='Main Budget'!$J$26,'Main Budget'!$E$26,0)</f>
        <v>0</v>
      </c>
      <c r="I222" s="227">
        <f>IF(DAY(A222)='Main Budget'!$J$28,'Main Budget'!$E$28,0)</f>
        <v>0</v>
      </c>
      <c r="J222" s="227">
        <f>IF(DAY(A222)='Main Budget'!$J$29,'Main Budget'!$E$29,0)</f>
        <v>0</v>
      </c>
      <c r="K222" s="20">
        <f>IF(DAY(A222)='Main Budget'!$J$30,'Main Budget'!$E$30,0)</f>
        <v>0</v>
      </c>
      <c r="L222" s="20">
        <f>IF(DAY(A222)='Main Budget'!$J$31,'Main Budget'!$E$31,0)</f>
        <v>0</v>
      </c>
      <c r="M222" s="20">
        <f>IF(DAY(A222)='Main Budget'!$J$27,'Main Budget'!$E$27,0)</f>
        <v>0</v>
      </c>
      <c r="O222" s="228">
        <f>B222+(SUM(H222:M222)+(SUM(D222:E222)))</f>
        <v>100</v>
      </c>
      <c r="P222" s="228">
        <f>C222+F222+G222+N222</f>
        <v>100</v>
      </c>
      <c r="Q222" s="252">
        <f>O222+P222</f>
        <v>200</v>
      </c>
      <c r="S222" s="231" t="str">
        <f>TEXT(A222,"dddd")</f>
        <v>Sunday</v>
      </c>
    </row>
    <row r="223" spans="1:19" x14ac:dyDescent="0.25">
      <c r="A223" s="226">
        <v>46244</v>
      </c>
      <c r="B223" s="227">
        <f>O222</f>
        <v>100</v>
      </c>
      <c r="C223" s="228">
        <f>P222</f>
        <v>100</v>
      </c>
      <c r="D223" s="228">
        <f>IF(OR(DAY(A223+2)=1,DAY(A223+2)=15),-SUM('Main Budget'!$H$26:$H$31),0)</f>
        <v>0</v>
      </c>
      <c r="E223" s="228">
        <f>IF(DAY(A223+2)=22,-SUM('Main Budget'!$F$26:$F$31),0)</f>
        <v>0</v>
      </c>
      <c r="F223" s="228">
        <f>IF(D223&gt;0,-'Main Budget'!$H$25+0.15,0)</f>
        <v>0</v>
      </c>
      <c r="G223" s="228">
        <f>IF(E223&gt;0,-'Main Budget'!$F$25+0.81,0)</f>
        <v>0</v>
      </c>
      <c r="H223" s="227">
        <f>IF(DAY(A223)='Main Budget'!$J$26,'Main Budget'!$E$26,0)</f>
        <v>0</v>
      </c>
      <c r="I223" s="227">
        <f>IF(DAY(A223)='Main Budget'!$J$28,'Main Budget'!$E$28,0)</f>
        <v>0</v>
      </c>
      <c r="J223" s="227">
        <f>IF(DAY(A223)='Main Budget'!$J$29,'Main Budget'!$E$29,0)</f>
        <v>0</v>
      </c>
      <c r="K223" s="20">
        <f>IF(DAY(A223)='Main Budget'!$J$30,'Main Budget'!$E$30,0)</f>
        <v>0</v>
      </c>
      <c r="L223" s="20">
        <f>IF(DAY(A223)='Main Budget'!$J$31,'Main Budget'!$E$31,0)</f>
        <v>0</v>
      </c>
      <c r="M223" s="20">
        <f>IF(DAY(A223)='Main Budget'!$J$27,'Main Budget'!$E$27,0)</f>
        <v>0</v>
      </c>
      <c r="O223" s="228">
        <f>B223+(SUM(H223:M223)+(SUM(D223:E223)))</f>
        <v>100</v>
      </c>
      <c r="P223" s="228">
        <f>C223+F223+G223+N223</f>
        <v>100</v>
      </c>
      <c r="Q223" s="252">
        <f>O223+P223</f>
        <v>200</v>
      </c>
      <c r="S223" s="231" t="str">
        <f>TEXT(A223,"dddd")</f>
        <v>Monday</v>
      </c>
    </row>
    <row r="224" spans="1:19" x14ac:dyDescent="0.25">
      <c r="A224" s="226">
        <v>46245</v>
      </c>
      <c r="B224" s="227">
        <f>O223</f>
        <v>100</v>
      </c>
      <c r="C224" s="228">
        <f>P223</f>
        <v>100</v>
      </c>
      <c r="D224" s="228">
        <f>IF(OR(DAY(A224+2)=1,DAY(A224+2)=15),-SUM('Main Budget'!$H$26:$H$31),0)</f>
        <v>0</v>
      </c>
      <c r="E224" s="228">
        <f>IF(DAY(A224+2)=22,-SUM('Main Budget'!$F$26:$F$31),0)</f>
        <v>0</v>
      </c>
      <c r="F224" s="228">
        <f>IF(D224&gt;0,-'Main Budget'!$H$25+0.15,0)</f>
        <v>0</v>
      </c>
      <c r="G224" s="228">
        <f>IF(E224&gt;0,-'Main Budget'!$F$25+0.81,0)</f>
        <v>0</v>
      </c>
      <c r="H224" s="227">
        <f>IF(DAY(A224)='Main Budget'!$J$26,'Main Budget'!$E$26,0)</f>
        <v>0</v>
      </c>
      <c r="I224" s="227">
        <f>IF(DAY(A224)='Main Budget'!$J$28,'Main Budget'!$E$28,0)</f>
        <v>0</v>
      </c>
      <c r="J224" s="227">
        <f>IF(DAY(A224)='Main Budget'!$J$29,'Main Budget'!$E$29,0)</f>
        <v>0</v>
      </c>
      <c r="K224" s="20">
        <f>IF(DAY(A224)='Main Budget'!$J$30,'Main Budget'!$E$30,0)</f>
        <v>0</v>
      </c>
      <c r="L224" s="20">
        <f>IF(DAY(A224)='Main Budget'!$J$31,'Main Budget'!$E$31,0)</f>
        <v>0</v>
      </c>
      <c r="M224" s="20">
        <f>IF(DAY(A224)='Main Budget'!$J$27,'Main Budget'!$E$27,0)</f>
        <v>0</v>
      </c>
      <c r="O224" s="228">
        <f>B224+(SUM(H224:M224)+(SUM(D224:E224)))</f>
        <v>100</v>
      </c>
      <c r="P224" s="228">
        <f>C224+F224+G224+N224</f>
        <v>100</v>
      </c>
      <c r="Q224" s="252">
        <f>O224+P224</f>
        <v>200</v>
      </c>
      <c r="S224" s="231" t="str">
        <f>TEXT(A224,"dddd")</f>
        <v>Tuesday</v>
      </c>
    </row>
    <row r="225" spans="1:19" x14ac:dyDescent="0.25">
      <c r="A225" s="226">
        <v>46246</v>
      </c>
      <c r="B225" s="227">
        <f>O224</f>
        <v>100</v>
      </c>
      <c r="C225" s="228">
        <f>P224</f>
        <v>100</v>
      </c>
      <c r="D225" s="228">
        <f>IF(OR(DAY(A225+2)=1,DAY(A225+2)=15),-SUM('Main Budget'!$H$26:$H$31),0)</f>
        <v>0</v>
      </c>
      <c r="E225" s="228">
        <f>IF(DAY(A225+2)=22,-SUM('Main Budget'!$F$26:$F$31),0)</f>
        <v>0</v>
      </c>
      <c r="F225" s="228">
        <f>IF(D225&gt;0,-'Main Budget'!$H$25+0.15,0)</f>
        <v>0</v>
      </c>
      <c r="G225" s="228">
        <f>IF(E225&gt;0,-'Main Budget'!$F$25+0.81,0)</f>
        <v>0</v>
      </c>
      <c r="H225" s="227">
        <f>IF(DAY(A225)='Main Budget'!$J$26,'Main Budget'!$E$26,0)</f>
        <v>0</v>
      </c>
      <c r="I225" s="227">
        <f>IF(DAY(A225)='Main Budget'!$J$28,'Main Budget'!$E$28,0)</f>
        <v>0</v>
      </c>
      <c r="J225" s="227">
        <f>IF(DAY(A225)='Main Budget'!$J$29,'Main Budget'!$E$29,0)</f>
        <v>0</v>
      </c>
      <c r="K225" s="20">
        <f>IF(DAY(A225)='Main Budget'!$J$30,'Main Budget'!$E$30,0)</f>
        <v>0</v>
      </c>
      <c r="L225" s="20">
        <f>IF(DAY(A225)='Main Budget'!$J$31,'Main Budget'!$E$31,0)</f>
        <v>0</v>
      </c>
      <c r="M225" s="20">
        <f>IF(DAY(A225)='Main Budget'!$J$27,'Main Budget'!$E$27,0)</f>
        <v>0</v>
      </c>
      <c r="O225" s="228">
        <f>B225+(SUM(H225:M225)+(SUM(D225:E225)))</f>
        <v>100</v>
      </c>
      <c r="P225" s="228">
        <f>C225+F225+G225+N225</f>
        <v>100</v>
      </c>
      <c r="Q225" s="252">
        <f>O225+P225</f>
        <v>200</v>
      </c>
      <c r="S225" s="231" t="str">
        <f>TEXT(A225,"dddd")</f>
        <v>Wednesday</v>
      </c>
    </row>
    <row r="226" spans="1:19" x14ac:dyDescent="0.25">
      <c r="A226" s="226">
        <v>46247</v>
      </c>
      <c r="B226" s="227">
        <f>O225</f>
        <v>100</v>
      </c>
      <c r="C226" s="228">
        <f>P225</f>
        <v>100</v>
      </c>
      <c r="D226" s="228">
        <f>IF(OR(DAY(A226+2)=1,DAY(A226+2)=15),-SUM('Main Budget'!$H$26:$H$31),0)</f>
        <v>0</v>
      </c>
      <c r="E226" s="228">
        <f>IF(DAY(A226+2)=22,-SUM('Main Budget'!$F$26:$F$31),0)</f>
        <v>0</v>
      </c>
      <c r="F226" s="228">
        <f>IF(D226&gt;0,-'Main Budget'!$H$25+0.15,0)</f>
        <v>0</v>
      </c>
      <c r="G226" s="228">
        <f>IF(E226&gt;0,-'Main Budget'!$F$25+0.81,0)</f>
        <v>0</v>
      </c>
      <c r="H226" s="227">
        <f>IF(DAY(A226)='Main Budget'!$J$26,'Main Budget'!$E$26,0)</f>
        <v>0</v>
      </c>
      <c r="I226" s="227">
        <f>IF(DAY(A226)='Main Budget'!$J$28,'Main Budget'!$E$28,0)</f>
        <v>0</v>
      </c>
      <c r="J226" s="227">
        <f>IF(DAY(A226)='Main Budget'!$J$29,'Main Budget'!$E$29,0)</f>
        <v>0</v>
      </c>
      <c r="K226" s="20">
        <f>IF(DAY(A226)='Main Budget'!$J$30,'Main Budget'!$E$30,0)</f>
        <v>0</v>
      </c>
      <c r="L226" s="20">
        <f>IF(DAY(A226)='Main Budget'!$J$31,'Main Budget'!$E$31,0)</f>
        <v>0</v>
      </c>
      <c r="M226" s="20">
        <f>IF(DAY(A226)='Main Budget'!$J$27,'Main Budget'!$E$27,0)</f>
        <v>0</v>
      </c>
      <c r="O226" s="228">
        <f>B226+(SUM(H226:M226)+(SUM(D226:E226)))</f>
        <v>100</v>
      </c>
      <c r="P226" s="228">
        <f>C226+F226+G226+N226</f>
        <v>100</v>
      </c>
      <c r="Q226" s="252">
        <f>O226+P226</f>
        <v>200</v>
      </c>
      <c r="S226" s="231" t="str">
        <f>TEXT(A226,"dddd")</f>
        <v>Thursday</v>
      </c>
    </row>
    <row r="227" spans="1:19" x14ac:dyDescent="0.25">
      <c r="A227" s="226">
        <v>46248</v>
      </c>
      <c r="B227" s="227">
        <f>O226</f>
        <v>100</v>
      </c>
      <c r="C227" s="228">
        <f>P226</f>
        <v>100</v>
      </c>
      <c r="D227" s="228">
        <f>IF(OR(DAY(A227+2)=1,DAY(A227+2)=15),-SUM('Main Budget'!$H$26:$H$31),0)</f>
        <v>0</v>
      </c>
      <c r="E227" s="228">
        <f>IF(DAY(A227+2)=22,-SUM('Main Budget'!$F$26:$F$31),0)</f>
        <v>0</v>
      </c>
      <c r="F227" s="228">
        <f>IF(D227&gt;0,-'Main Budget'!$H$25+0.15,0)</f>
        <v>0</v>
      </c>
      <c r="G227" s="228">
        <f>IF(E227&gt;0,-'Main Budget'!$F$25+0.81,0)</f>
        <v>0</v>
      </c>
      <c r="H227" s="227">
        <f>IF(DAY(A227)='Main Budget'!$J$26,'Main Budget'!$E$26,0)</f>
        <v>0</v>
      </c>
      <c r="I227" s="227">
        <f>IF(DAY(A227)='Main Budget'!$J$28,'Main Budget'!$E$28,0)</f>
        <v>0</v>
      </c>
      <c r="J227" s="227">
        <f>IF(DAY(A227)='Main Budget'!$J$29,'Main Budget'!$E$29,0)</f>
        <v>0</v>
      </c>
      <c r="K227" s="20">
        <f>IF(DAY(A227)='Main Budget'!$J$30,'Main Budget'!$E$30,0)</f>
        <v>0</v>
      </c>
      <c r="L227" s="20">
        <f>IF(DAY(A227)='Main Budget'!$J$31,'Main Budget'!$E$31,0)</f>
        <v>0</v>
      </c>
      <c r="M227" s="20">
        <f>IF(DAY(A227)='Main Budget'!$J$27,'Main Budget'!$E$27,0)</f>
        <v>0</v>
      </c>
      <c r="O227" s="228">
        <f>B227+(SUM(H227:M227)+(SUM(D227:E227)))</f>
        <v>100</v>
      </c>
      <c r="P227" s="228">
        <f>C227+F227+G227+N227</f>
        <v>100</v>
      </c>
      <c r="Q227" s="252">
        <f>O227+P227</f>
        <v>200</v>
      </c>
      <c r="S227" s="231" t="str">
        <f>TEXT(A227,"dddd")</f>
        <v>Friday</v>
      </c>
    </row>
    <row r="228" spans="1:19" x14ac:dyDescent="0.25">
      <c r="A228" s="226">
        <v>46249</v>
      </c>
      <c r="B228" s="227">
        <f>O227</f>
        <v>100</v>
      </c>
      <c r="C228" s="228">
        <f>P227</f>
        <v>100</v>
      </c>
      <c r="D228" s="228">
        <f>IF(OR(DAY(A228+2)=1,DAY(A228+2)=15),-SUM('Main Budget'!$H$26:$H$31),0)</f>
        <v>0</v>
      </c>
      <c r="E228" s="228">
        <f>IF(DAY(A228+2)=22,-SUM('Main Budget'!$F$26:$F$31),0)</f>
        <v>0</v>
      </c>
      <c r="F228" s="228">
        <f>IF(D228&gt;0,-'Main Budget'!$H$25+0.15,0)</f>
        <v>0</v>
      </c>
      <c r="G228" s="228">
        <f>IF(E228&gt;0,-'Main Budget'!$F$25+0.81,0)</f>
        <v>0</v>
      </c>
      <c r="H228" s="227">
        <f>IF(DAY(A228)='Main Budget'!$J$26,'Main Budget'!$E$26,0)</f>
        <v>0</v>
      </c>
      <c r="I228" s="227">
        <f>IF(DAY(A228)='Main Budget'!$J$28,'Main Budget'!$E$28,0)</f>
        <v>0</v>
      </c>
      <c r="J228" s="227">
        <f>IF(DAY(A228)='Main Budget'!$J$29,'Main Budget'!$E$29,0)</f>
        <v>0</v>
      </c>
      <c r="K228" s="20">
        <f>IF(DAY(A228)='Main Budget'!$J$30,'Main Budget'!$E$30,0)</f>
        <v>0</v>
      </c>
      <c r="L228" s="20">
        <f>IF(DAY(A228)='Main Budget'!$J$31,'Main Budget'!$E$31,0)</f>
        <v>0</v>
      </c>
      <c r="M228" s="20">
        <f>IF(DAY(A228)='Main Budget'!$J$27,'Main Budget'!$E$27,0)</f>
        <v>0</v>
      </c>
      <c r="O228" s="228">
        <f>B228+(SUM(H228:M228)+(SUM(D228:E228)))</f>
        <v>100</v>
      </c>
      <c r="P228" s="228">
        <f>C228+F228+G228+N228</f>
        <v>100</v>
      </c>
      <c r="Q228" s="252">
        <f>O228+P228</f>
        <v>200</v>
      </c>
      <c r="S228" s="231" t="str">
        <f>TEXT(A228,"dddd")</f>
        <v>Saturday</v>
      </c>
    </row>
    <row r="229" spans="1:19" x14ac:dyDescent="0.25">
      <c r="A229" s="226">
        <v>46250</v>
      </c>
      <c r="B229" s="227">
        <f>O228</f>
        <v>100</v>
      </c>
      <c r="C229" s="228">
        <f>P228</f>
        <v>100</v>
      </c>
      <c r="D229" s="228">
        <f>IF(OR(DAY(A229+2)=1,DAY(A229+2)=15),-SUM('Main Budget'!$H$26:$H$31),0)</f>
        <v>0</v>
      </c>
      <c r="E229" s="228">
        <f>IF(DAY(A229+2)=22,-SUM('Main Budget'!$F$26:$F$31),0)</f>
        <v>0</v>
      </c>
      <c r="F229" s="228">
        <f>IF(D229&gt;0,-'Main Budget'!$H$25+0.15,0)</f>
        <v>0</v>
      </c>
      <c r="G229" s="228">
        <f>IF(E229&gt;0,-'Main Budget'!$F$25+0.81,0)</f>
        <v>0</v>
      </c>
      <c r="H229" s="227">
        <f>IF(DAY(A229)='Main Budget'!$J$26,'Main Budget'!$E$26,0)</f>
        <v>0</v>
      </c>
      <c r="I229" s="227">
        <f>IF(DAY(A229)='Main Budget'!$J$28,'Main Budget'!$E$28,0)</f>
        <v>0</v>
      </c>
      <c r="J229" s="227">
        <f>IF(DAY(A229)='Main Budget'!$J$29,'Main Budget'!$E$29,0)</f>
        <v>0</v>
      </c>
      <c r="K229" s="20">
        <f>IF(DAY(A229)='Main Budget'!$J$30,'Main Budget'!$E$30,0)</f>
        <v>0</v>
      </c>
      <c r="L229" s="20">
        <f>IF(DAY(A229)='Main Budget'!$J$31,'Main Budget'!$E$31,0)</f>
        <v>0</v>
      </c>
      <c r="M229" s="20">
        <f>IF(DAY(A229)='Main Budget'!$J$27,'Main Budget'!$E$27,0)</f>
        <v>0</v>
      </c>
      <c r="O229" s="228">
        <f>B229+(SUM(H229:M229)+(SUM(D229:E229)))</f>
        <v>100</v>
      </c>
      <c r="P229" s="228">
        <f>C229+F229+G229+N229</f>
        <v>100</v>
      </c>
      <c r="Q229" s="252">
        <f>O229+P229</f>
        <v>200</v>
      </c>
      <c r="S229" s="231" t="str">
        <f>TEXT(A229,"dddd")</f>
        <v>Sunday</v>
      </c>
    </row>
    <row r="230" spans="1:19" x14ac:dyDescent="0.25">
      <c r="A230" s="226">
        <v>46251</v>
      </c>
      <c r="B230" s="227">
        <f>O229</f>
        <v>100</v>
      </c>
      <c r="C230" s="228">
        <f>P229</f>
        <v>100</v>
      </c>
      <c r="D230" s="228">
        <f>IF(OR(DAY(A230+2)=1,DAY(A230+2)=15),-SUM('Main Budget'!$H$26:$H$31),0)</f>
        <v>0</v>
      </c>
      <c r="E230" s="228">
        <f>IF(DAY(A230+2)=22,-SUM('Main Budget'!$F$26:$F$31),0)</f>
        <v>0</v>
      </c>
      <c r="F230" s="228">
        <f>IF(D230&gt;0,-'Main Budget'!$H$25+0.15,0)</f>
        <v>0</v>
      </c>
      <c r="G230" s="228">
        <f>IF(E230&gt;0,-'Main Budget'!$F$25+0.81,0)</f>
        <v>0</v>
      </c>
      <c r="H230" s="227">
        <f>IF(DAY(A230)='Main Budget'!$J$26,'Main Budget'!$E$26,0)</f>
        <v>0</v>
      </c>
      <c r="I230" s="227">
        <f>IF(DAY(A230)='Main Budget'!$J$28,'Main Budget'!$E$28,0)</f>
        <v>0</v>
      </c>
      <c r="J230" s="227">
        <f>IF(DAY(A230)='Main Budget'!$J$29,'Main Budget'!$E$29,0)</f>
        <v>0</v>
      </c>
      <c r="K230" s="20">
        <f>IF(DAY(A230)='Main Budget'!$J$30,'Main Budget'!$E$30,0)</f>
        <v>0</v>
      </c>
      <c r="L230" s="20">
        <f>IF(DAY(A230)='Main Budget'!$J$31,'Main Budget'!$E$31,0)</f>
        <v>0</v>
      </c>
      <c r="M230" s="20">
        <f>IF(DAY(A230)='Main Budget'!$J$27,'Main Budget'!$E$27,0)</f>
        <v>0</v>
      </c>
      <c r="O230" s="228">
        <f>B230+(SUM(H230:M230)+(SUM(D230:E230)))</f>
        <v>100</v>
      </c>
      <c r="P230" s="228">
        <f>C230+F230+G230+N230</f>
        <v>100</v>
      </c>
      <c r="Q230" s="252">
        <f>O230+P230</f>
        <v>200</v>
      </c>
      <c r="S230" s="231" t="str">
        <f>TEXT(A230,"dddd")</f>
        <v>Monday</v>
      </c>
    </row>
    <row r="231" spans="1:19" x14ac:dyDescent="0.25">
      <c r="A231" s="226">
        <v>46252</v>
      </c>
      <c r="B231" s="227">
        <f>O230</f>
        <v>100</v>
      </c>
      <c r="C231" s="228">
        <f>P230</f>
        <v>100</v>
      </c>
      <c r="D231" s="228">
        <f>IF(OR(DAY(A231+2)=1,DAY(A231+2)=15),-SUM('Main Budget'!$H$26:$H$31),0)</f>
        <v>0</v>
      </c>
      <c r="E231" s="228">
        <f>IF(DAY(A231+2)=22,-SUM('Main Budget'!$F$26:$F$31),0)</f>
        <v>0</v>
      </c>
      <c r="F231" s="228">
        <f>IF(D231&gt;0,-'Main Budget'!$H$25+0.15,0)</f>
        <v>0</v>
      </c>
      <c r="G231" s="228">
        <f>IF(E231&gt;0,-'Main Budget'!$F$25+0.81,0)</f>
        <v>0</v>
      </c>
      <c r="H231" s="227">
        <f>IF(DAY(A231)='Main Budget'!$J$26,'Main Budget'!$E$26,0)</f>
        <v>0</v>
      </c>
      <c r="I231" s="227">
        <f>IF(DAY(A231)='Main Budget'!$J$28,'Main Budget'!$E$28,0)</f>
        <v>0</v>
      </c>
      <c r="J231" s="227">
        <f>IF(DAY(A231)='Main Budget'!$J$29,'Main Budget'!$E$29,0)</f>
        <v>0</v>
      </c>
      <c r="K231" s="20">
        <f>IF(DAY(A231)='Main Budget'!$J$30,'Main Budget'!$E$30,0)</f>
        <v>0</v>
      </c>
      <c r="L231" s="20">
        <f>IF(DAY(A231)='Main Budget'!$J$31,'Main Budget'!$E$31,0)</f>
        <v>0</v>
      </c>
      <c r="M231" s="20">
        <f>IF(DAY(A231)='Main Budget'!$J$27,'Main Budget'!$E$27,0)</f>
        <v>0</v>
      </c>
      <c r="O231" s="228">
        <f>B231+(SUM(H231:M231)+(SUM(D231:E231)))</f>
        <v>100</v>
      </c>
      <c r="P231" s="228">
        <f>C231+F231+G231+N231</f>
        <v>100</v>
      </c>
      <c r="Q231" s="252">
        <f>O231+P231</f>
        <v>200</v>
      </c>
      <c r="S231" s="231" t="str">
        <f>TEXT(A231,"dddd")</f>
        <v>Tuesday</v>
      </c>
    </row>
    <row r="232" spans="1:19" x14ac:dyDescent="0.25">
      <c r="A232" s="226">
        <v>46253</v>
      </c>
      <c r="B232" s="227">
        <f>O231</f>
        <v>100</v>
      </c>
      <c r="C232" s="228">
        <f>P231</f>
        <v>100</v>
      </c>
      <c r="D232" s="228">
        <f>IF(OR(DAY(A232+2)=1,DAY(A232+2)=15),-SUM('Main Budget'!$H$26:$H$31),0)</f>
        <v>0</v>
      </c>
      <c r="E232" s="228">
        <f>IF(DAY(A232+2)=22,-SUM('Main Budget'!$F$26:$F$31),0)</f>
        <v>0</v>
      </c>
      <c r="F232" s="228">
        <f>IF(D232&gt;0,-'Main Budget'!$H$25+0.15,0)</f>
        <v>0</v>
      </c>
      <c r="G232" s="228">
        <f>IF(E232&gt;0,-'Main Budget'!$F$25+0.81,0)</f>
        <v>0</v>
      </c>
      <c r="H232" s="227">
        <f>IF(DAY(A232)='Main Budget'!$J$26,'Main Budget'!$E$26,0)</f>
        <v>0</v>
      </c>
      <c r="I232" s="227">
        <f>IF(DAY(A232)='Main Budget'!$J$28,'Main Budget'!$E$28,0)</f>
        <v>0</v>
      </c>
      <c r="J232" s="227">
        <f>IF(DAY(A232)='Main Budget'!$J$29,'Main Budget'!$E$29,0)</f>
        <v>0</v>
      </c>
      <c r="K232" s="20">
        <f>IF(DAY(A232)='Main Budget'!$J$30,'Main Budget'!$E$30,0)</f>
        <v>0</v>
      </c>
      <c r="L232" s="20">
        <f>IF(DAY(A232)='Main Budget'!$J$31,'Main Budget'!$E$31,0)</f>
        <v>0</v>
      </c>
      <c r="M232" s="20">
        <f>IF(DAY(A232)='Main Budget'!$J$27,'Main Budget'!$E$27,0)</f>
        <v>0</v>
      </c>
      <c r="O232" s="228">
        <f>B232+(SUM(H232:M232)+(SUM(D232:E232)))</f>
        <v>100</v>
      </c>
      <c r="P232" s="228">
        <f>C232+F232+G232+N232</f>
        <v>100</v>
      </c>
      <c r="Q232" s="252">
        <f>O232+P232</f>
        <v>200</v>
      </c>
      <c r="S232" s="231" t="str">
        <f>TEXT(A232,"dddd")</f>
        <v>Wednesday</v>
      </c>
    </row>
    <row r="233" spans="1:19" x14ac:dyDescent="0.25">
      <c r="A233" s="226">
        <v>46254</v>
      </c>
      <c r="B233" s="227">
        <f>O232</f>
        <v>100</v>
      </c>
      <c r="C233" s="228">
        <f>P232</f>
        <v>100</v>
      </c>
      <c r="D233" s="228">
        <f>IF(OR(DAY(A233+2)=1,DAY(A233+2)=15),-SUM('Main Budget'!$H$26:$H$31),0)</f>
        <v>0</v>
      </c>
      <c r="E233" s="228">
        <f>IF(DAY(A233+2)=22,-SUM('Main Budget'!$F$26:$F$31),0)</f>
        <v>0</v>
      </c>
      <c r="F233" s="228">
        <f>IF(D233&gt;0,-'Main Budget'!$H$25+0.15,0)</f>
        <v>0</v>
      </c>
      <c r="G233" s="228">
        <f>IF(E233&gt;0,-'Main Budget'!$F$25+0.81,0)</f>
        <v>0</v>
      </c>
      <c r="H233" s="227">
        <f>IF(DAY(A233)='Main Budget'!$J$26,'Main Budget'!$E$26,0)</f>
        <v>0</v>
      </c>
      <c r="I233" s="227">
        <f>IF(DAY(A233)='Main Budget'!$J$28,'Main Budget'!$E$28,0)</f>
        <v>0</v>
      </c>
      <c r="J233" s="227">
        <f>IF(DAY(A233)='Main Budget'!$J$29,'Main Budget'!$E$29,0)</f>
        <v>0</v>
      </c>
      <c r="K233" s="20">
        <f>IF(DAY(A233)='Main Budget'!$J$30,'Main Budget'!$E$30,0)</f>
        <v>0</v>
      </c>
      <c r="L233" s="20">
        <f>IF(DAY(A233)='Main Budget'!$J$31,'Main Budget'!$E$31,0)</f>
        <v>0</v>
      </c>
      <c r="M233" s="20">
        <f>IF(DAY(A233)='Main Budget'!$J$27,'Main Budget'!$E$27,0)</f>
        <v>0</v>
      </c>
      <c r="O233" s="228">
        <f>B233+(SUM(H233:M233)+(SUM(D233:E233)))</f>
        <v>100</v>
      </c>
      <c r="P233" s="228">
        <f>C233+F233+G233+N233</f>
        <v>100</v>
      </c>
      <c r="Q233" s="252">
        <f>O233+P233</f>
        <v>200</v>
      </c>
      <c r="S233" s="231" t="str">
        <f>TEXT(A233,"dddd")</f>
        <v>Thursday</v>
      </c>
    </row>
    <row r="234" spans="1:19" x14ac:dyDescent="0.25">
      <c r="A234" s="226">
        <v>46255</v>
      </c>
      <c r="B234" s="227">
        <f>O233</f>
        <v>100</v>
      </c>
      <c r="C234" s="228">
        <f>P233</f>
        <v>100</v>
      </c>
      <c r="D234" s="228">
        <f>IF(OR(DAY(A234+2)=1,DAY(A234+2)=15),-SUM('Main Budget'!$H$26:$H$31),0)</f>
        <v>0</v>
      </c>
      <c r="E234" s="228">
        <f>IF(DAY(A234+2)=22,-SUM('Main Budget'!$F$26:$F$31),0)</f>
        <v>0</v>
      </c>
      <c r="F234" s="228">
        <f>IF(D234&gt;0,-'Main Budget'!$H$25+0.15,0)</f>
        <v>0</v>
      </c>
      <c r="G234" s="228">
        <f>IF(E234&gt;0,-'Main Budget'!$F$25+0.81,0)</f>
        <v>0</v>
      </c>
      <c r="H234" s="227">
        <f>IF(DAY(A234)='Main Budget'!$J$26,'Main Budget'!$E$26,0)</f>
        <v>0</v>
      </c>
      <c r="I234" s="227">
        <f>IF(DAY(A234)='Main Budget'!$J$28,'Main Budget'!$E$28,0)</f>
        <v>0</v>
      </c>
      <c r="J234" s="227">
        <f>IF(DAY(A234)='Main Budget'!$J$29,'Main Budget'!$E$29,0)</f>
        <v>0</v>
      </c>
      <c r="K234" s="20">
        <f>IF(DAY(A234)='Main Budget'!$J$30,'Main Budget'!$E$30,0)</f>
        <v>0</v>
      </c>
      <c r="L234" s="20">
        <f>IF(DAY(A234)='Main Budget'!$J$31,'Main Budget'!$E$31,0)</f>
        <v>0</v>
      </c>
      <c r="M234" s="20">
        <f>IF(DAY(A234)='Main Budget'!$J$27,'Main Budget'!$E$27,0)</f>
        <v>0</v>
      </c>
      <c r="O234" s="228">
        <f>B234+(SUM(H234:M234)+(SUM(D234:E234)))</f>
        <v>100</v>
      </c>
      <c r="P234" s="228">
        <f>C234+F234+G234+N234</f>
        <v>100</v>
      </c>
      <c r="Q234" s="252">
        <f>O234+P234</f>
        <v>200</v>
      </c>
      <c r="S234" s="231" t="str">
        <f>TEXT(A234,"dddd")</f>
        <v>Friday</v>
      </c>
    </row>
    <row r="235" spans="1:19" x14ac:dyDescent="0.25">
      <c r="A235" s="226">
        <v>46256</v>
      </c>
      <c r="B235" s="227">
        <f>O234</f>
        <v>100</v>
      </c>
      <c r="C235" s="228">
        <f>P234</f>
        <v>100</v>
      </c>
      <c r="D235" s="228">
        <f>IF(OR(DAY(A235+2)=1,DAY(A235+2)=15),-SUM('Main Budget'!$H$26:$H$31),0)</f>
        <v>0</v>
      </c>
      <c r="E235" s="228">
        <f>IF(DAY(A235+2)=22,-SUM('Main Budget'!$F$26:$F$31),0)</f>
        <v>0</v>
      </c>
      <c r="F235" s="228">
        <f>IF(D235&gt;0,-'Main Budget'!$H$25+0.15,0)</f>
        <v>0</v>
      </c>
      <c r="G235" s="228">
        <f>IF(E235&gt;0,-'Main Budget'!$F$25+0.81,0)</f>
        <v>0</v>
      </c>
      <c r="H235" s="227">
        <f>IF(DAY(A235)='Main Budget'!$J$26,'Main Budget'!$E$26,0)</f>
        <v>0</v>
      </c>
      <c r="I235" s="227">
        <f>IF(DAY(A235)='Main Budget'!$J$28,'Main Budget'!$E$28,0)</f>
        <v>0</v>
      </c>
      <c r="J235" s="227">
        <f>IF(DAY(A235)='Main Budget'!$J$29,'Main Budget'!$E$29,0)</f>
        <v>0</v>
      </c>
      <c r="K235" s="20">
        <f>IF(DAY(A235)='Main Budget'!$J$30,'Main Budget'!$E$30,0)</f>
        <v>0</v>
      </c>
      <c r="L235" s="20">
        <f>IF(DAY(A235)='Main Budget'!$J$31,'Main Budget'!$E$31,0)</f>
        <v>0</v>
      </c>
      <c r="M235" s="20">
        <f>IF(DAY(A235)='Main Budget'!$J$27,'Main Budget'!$E$27,0)</f>
        <v>0</v>
      </c>
      <c r="O235" s="228">
        <f>B235+(SUM(H235:M235)+(SUM(D235:E235)))</f>
        <v>100</v>
      </c>
      <c r="P235" s="228">
        <f>C235+F235+G235+N235</f>
        <v>100</v>
      </c>
      <c r="Q235" s="252">
        <f>O235+P235</f>
        <v>200</v>
      </c>
      <c r="S235" s="231" t="str">
        <f>TEXT(A235,"dddd")</f>
        <v>Saturday</v>
      </c>
    </row>
    <row r="236" spans="1:19" x14ac:dyDescent="0.25">
      <c r="A236" s="226">
        <v>46257</v>
      </c>
      <c r="B236" s="227">
        <f>O235</f>
        <v>100</v>
      </c>
      <c r="C236" s="228">
        <f>P235</f>
        <v>100</v>
      </c>
      <c r="D236" s="228">
        <f>IF(OR(DAY(A236+2)=1,DAY(A236+2)=15),-SUM('Main Budget'!$H$26:$H$31),0)</f>
        <v>0</v>
      </c>
      <c r="E236" s="228">
        <f>IF(DAY(A236+2)=22,-SUM('Main Budget'!$F$26:$F$31),0)</f>
        <v>0</v>
      </c>
      <c r="F236" s="228">
        <f>IF(D236&gt;0,-'Main Budget'!$H$25+0.15,0)</f>
        <v>0</v>
      </c>
      <c r="G236" s="228">
        <f>IF(E236&gt;0,-'Main Budget'!$F$25+0.81,0)</f>
        <v>0</v>
      </c>
      <c r="H236" s="227">
        <f>IF(DAY(A236)='Main Budget'!$J$26,'Main Budget'!$E$26,0)</f>
        <v>0</v>
      </c>
      <c r="I236" s="227">
        <f>IF(DAY(A236)='Main Budget'!$J$28,'Main Budget'!$E$28,0)</f>
        <v>0</v>
      </c>
      <c r="J236" s="227">
        <f>IF(DAY(A236)='Main Budget'!$J$29,'Main Budget'!$E$29,0)</f>
        <v>0</v>
      </c>
      <c r="K236" s="20">
        <f>IF(DAY(A236)='Main Budget'!$J$30,'Main Budget'!$E$30,0)</f>
        <v>0</v>
      </c>
      <c r="L236" s="20">
        <f>IF(DAY(A236)='Main Budget'!$J$31,'Main Budget'!$E$31,0)</f>
        <v>0</v>
      </c>
      <c r="M236" s="20">
        <f>IF(DAY(A236)='Main Budget'!$J$27,'Main Budget'!$E$27,0)</f>
        <v>0</v>
      </c>
      <c r="O236" s="228">
        <f>B236+(SUM(H236:M236)+(SUM(D236:E236)))</f>
        <v>100</v>
      </c>
      <c r="P236" s="228">
        <f>C236+F236+G236+N236</f>
        <v>100</v>
      </c>
      <c r="Q236" s="252">
        <f>O236+P236</f>
        <v>200</v>
      </c>
      <c r="S236" s="231" t="str">
        <f>TEXT(A236,"dddd")</f>
        <v>Sunday</v>
      </c>
    </row>
    <row r="237" spans="1:19" x14ac:dyDescent="0.25">
      <c r="A237" s="226">
        <v>46258</v>
      </c>
      <c r="B237" s="227">
        <f>O236</f>
        <v>100</v>
      </c>
      <c r="C237" s="228">
        <f>P236</f>
        <v>100</v>
      </c>
      <c r="D237" s="228">
        <f>IF(OR(DAY(A237+2)=1,DAY(A237+2)=15),-SUM('Main Budget'!$H$26:$H$31),0)</f>
        <v>0</v>
      </c>
      <c r="E237" s="228">
        <f>IF(DAY(A237+2)=22,-SUM('Main Budget'!$F$26:$F$31),0)</f>
        <v>0</v>
      </c>
      <c r="F237" s="228">
        <f>IF(D237&gt;0,-'Main Budget'!$H$25+0.15,0)</f>
        <v>0</v>
      </c>
      <c r="G237" s="228">
        <f>IF(E237&gt;0,-'Main Budget'!$F$25+0.81,0)</f>
        <v>0</v>
      </c>
      <c r="H237" s="227">
        <f>IF(DAY(A237)='Main Budget'!$J$26,'Main Budget'!$E$26,0)</f>
        <v>0</v>
      </c>
      <c r="I237" s="227">
        <f>IF(DAY(A237)='Main Budget'!$J$28,'Main Budget'!$E$28,0)</f>
        <v>0</v>
      </c>
      <c r="J237" s="227">
        <f>IF(DAY(A237)='Main Budget'!$J$29,'Main Budget'!$E$29,0)</f>
        <v>0</v>
      </c>
      <c r="K237" s="20">
        <f>IF(DAY(A237)='Main Budget'!$J$30,'Main Budget'!$E$30,0)</f>
        <v>0</v>
      </c>
      <c r="L237" s="20">
        <f>IF(DAY(A237)='Main Budget'!$J$31,'Main Budget'!$E$31,0)</f>
        <v>0</v>
      </c>
      <c r="M237" s="20">
        <f>IF(DAY(A237)='Main Budget'!$J$27,'Main Budget'!$E$27,0)</f>
        <v>0</v>
      </c>
      <c r="O237" s="228">
        <f>B237+(SUM(H237:M237)+(SUM(D237:E237)))</f>
        <v>100</v>
      </c>
      <c r="P237" s="228">
        <f>C237+F237+G237+N237</f>
        <v>100</v>
      </c>
      <c r="Q237" s="252">
        <f>O237+P237</f>
        <v>200</v>
      </c>
      <c r="S237" s="231" t="str">
        <f>TEXT(A237,"dddd")</f>
        <v>Monday</v>
      </c>
    </row>
    <row r="238" spans="1:19" x14ac:dyDescent="0.25">
      <c r="A238" s="226">
        <v>46259</v>
      </c>
      <c r="B238" s="227">
        <f>O237</f>
        <v>100</v>
      </c>
      <c r="C238" s="228">
        <f>P237</f>
        <v>100</v>
      </c>
      <c r="D238" s="228">
        <f>IF(OR(DAY(A238+2)=1,DAY(A238+2)=15),-SUM('Main Budget'!$H$26:$H$31),0)</f>
        <v>0</v>
      </c>
      <c r="E238" s="228">
        <f>IF(DAY(A238+2)=22,-SUM('Main Budget'!$F$26:$F$31),0)</f>
        <v>0</v>
      </c>
      <c r="F238" s="228">
        <f>IF(D238&gt;0,-'Main Budget'!$H$25+0.15,0)</f>
        <v>0</v>
      </c>
      <c r="G238" s="228">
        <f>IF(E238&gt;0,-'Main Budget'!$F$25+0.81,0)</f>
        <v>0</v>
      </c>
      <c r="H238" s="227">
        <f>IF(DAY(A238)='Main Budget'!$J$26,'Main Budget'!$E$26,0)</f>
        <v>0</v>
      </c>
      <c r="I238" s="227">
        <f>IF(DAY(A238)='Main Budget'!$J$28,'Main Budget'!$E$28,0)</f>
        <v>0</v>
      </c>
      <c r="J238" s="227">
        <f>IF(DAY(A238)='Main Budget'!$J$29,'Main Budget'!$E$29,0)</f>
        <v>0</v>
      </c>
      <c r="K238" s="20">
        <f>IF(DAY(A238)='Main Budget'!$J$30,'Main Budget'!$E$30,0)</f>
        <v>0</v>
      </c>
      <c r="L238" s="20">
        <f>IF(DAY(A238)='Main Budget'!$J$31,'Main Budget'!$E$31,0)</f>
        <v>0</v>
      </c>
      <c r="M238" s="20">
        <f>IF(DAY(A238)='Main Budget'!$J$27,'Main Budget'!$E$27,0)</f>
        <v>0</v>
      </c>
      <c r="O238" s="228">
        <f>B238+(SUM(H238:M238)+(SUM(D238:E238)))</f>
        <v>100</v>
      </c>
      <c r="P238" s="228">
        <f>C238+F238+G238+N238</f>
        <v>100</v>
      </c>
      <c r="Q238" s="252">
        <f>O238+P238</f>
        <v>200</v>
      </c>
      <c r="S238" s="231" t="str">
        <f>TEXT(A238,"dddd")</f>
        <v>Tuesday</v>
      </c>
    </row>
    <row r="239" spans="1:19" x14ac:dyDescent="0.25">
      <c r="A239" s="226">
        <v>46260</v>
      </c>
      <c r="B239" s="227">
        <f>O238</f>
        <v>100</v>
      </c>
      <c r="C239" s="228">
        <f>P238</f>
        <v>100</v>
      </c>
      <c r="D239" s="228">
        <f>IF(OR(DAY(A239+2)=1,DAY(A239+2)=15),-SUM('Main Budget'!$H$26:$H$31),0)</f>
        <v>0</v>
      </c>
      <c r="E239" s="228">
        <f>IF(DAY(A239+2)=22,-SUM('Main Budget'!$F$26:$F$31),0)</f>
        <v>0</v>
      </c>
      <c r="F239" s="228">
        <f>IF(D239&gt;0,-'Main Budget'!$H$25+0.15,0)</f>
        <v>0</v>
      </c>
      <c r="G239" s="228">
        <f>IF(E239&gt;0,-'Main Budget'!$F$25+0.81,0)</f>
        <v>0</v>
      </c>
      <c r="H239" s="227">
        <f>IF(DAY(A239)='Main Budget'!$J$26,'Main Budget'!$E$26,0)</f>
        <v>0</v>
      </c>
      <c r="I239" s="227">
        <f>IF(DAY(A239)='Main Budget'!$J$28,'Main Budget'!$E$28,0)</f>
        <v>0</v>
      </c>
      <c r="J239" s="227">
        <f>IF(DAY(A239)='Main Budget'!$J$29,'Main Budget'!$E$29,0)</f>
        <v>0</v>
      </c>
      <c r="K239" s="20">
        <f>IF(DAY(A239)='Main Budget'!$J$30,'Main Budget'!$E$30,0)</f>
        <v>0</v>
      </c>
      <c r="L239" s="20">
        <f>IF(DAY(A239)='Main Budget'!$J$31,'Main Budget'!$E$31,0)</f>
        <v>0</v>
      </c>
      <c r="M239" s="20">
        <f>IF(DAY(A239)='Main Budget'!$J$27,'Main Budget'!$E$27,0)</f>
        <v>0</v>
      </c>
      <c r="O239" s="228">
        <f>B239+(SUM(H239:M239)+(SUM(D239:E239)))</f>
        <v>100</v>
      </c>
      <c r="P239" s="228">
        <f>C239+F239+G239+N239</f>
        <v>100</v>
      </c>
      <c r="Q239" s="252">
        <f>O239+P239</f>
        <v>200</v>
      </c>
      <c r="S239" s="231" t="str">
        <f>TEXT(A239,"dddd")</f>
        <v>Wednesday</v>
      </c>
    </row>
    <row r="240" spans="1:19" x14ac:dyDescent="0.25">
      <c r="A240" s="226">
        <v>46261</v>
      </c>
      <c r="B240" s="227">
        <f>O239</f>
        <v>100</v>
      </c>
      <c r="C240" s="228">
        <f>P239</f>
        <v>100</v>
      </c>
      <c r="D240" s="228">
        <f>IF(OR(DAY(A240+2)=1,DAY(A240+2)=15),-SUM('Main Budget'!$H$26:$H$31),0)</f>
        <v>0</v>
      </c>
      <c r="E240" s="228">
        <f>IF(DAY(A240+2)=22,-SUM('Main Budget'!$F$26:$F$31),0)</f>
        <v>0</v>
      </c>
      <c r="F240" s="228">
        <f>IF(D240&gt;0,-'Main Budget'!$H$25+0.15,0)</f>
        <v>0</v>
      </c>
      <c r="G240" s="228">
        <f>IF(E240&gt;0,-'Main Budget'!$F$25+0.81,0)</f>
        <v>0</v>
      </c>
      <c r="H240" s="227">
        <f>IF(DAY(A240)='Main Budget'!$J$26,'Main Budget'!$E$26,0)</f>
        <v>0</v>
      </c>
      <c r="I240" s="227">
        <f>IF(DAY(A240)='Main Budget'!$J$28,'Main Budget'!$E$28,0)</f>
        <v>0</v>
      </c>
      <c r="J240" s="227">
        <f>IF(DAY(A240)='Main Budget'!$J$29,'Main Budget'!$E$29,0)</f>
        <v>0</v>
      </c>
      <c r="K240" s="20">
        <f>IF(DAY(A240)='Main Budget'!$J$30,'Main Budget'!$E$30,0)</f>
        <v>0</v>
      </c>
      <c r="L240" s="20">
        <f>IF(DAY(A240)='Main Budget'!$J$31,'Main Budget'!$E$31,0)</f>
        <v>0</v>
      </c>
      <c r="M240" s="20">
        <f>IF(DAY(A240)='Main Budget'!$J$27,'Main Budget'!$E$27,0)</f>
        <v>0</v>
      </c>
      <c r="O240" s="228">
        <f>B240+(SUM(H240:M240)+(SUM(D240:E240)))</f>
        <v>100</v>
      </c>
      <c r="P240" s="228">
        <f>C240+F240+G240+N240</f>
        <v>100</v>
      </c>
      <c r="Q240" s="252">
        <f>O240+P240</f>
        <v>200</v>
      </c>
      <c r="S240" s="231" t="str">
        <f>TEXT(A240,"dddd")</f>
        <v>Thursday</v>
      </c>
    </row>
    <row r="241" spans="1:19" x14ac:dyDescent="0.25">
      <c r="A241" s="226">
        <v>46262</v>
      </c>
      <c r="B241" s="227">
        <f>O240</f>
        <v>100</v>
      </c>
      <c r="C241" s="228">
        <f>P240</f>
        <v>100</v>
      </c>
      <c r="D241" s="228">
        <f>IF(OR(DAY(A241+2)=1,DAY(A241+2)=15),-SUM('Main Budget'!$H$26:$H$31),0)</f>
        <v>0</v>
      </c>
      <c r="E241" s="228">
        <f>IF(DAY(A241+2)=22,-SUM('Main Budget'!$F$26:$F$31),0)</f>
        <v>0</v>
      </c>
      <c r="F241" s="228">
        <f>IF(D241&gt;0,-'Main Budget'!$H$25+0.15,0)</f>
        <v>0</v>
      </c>
      <c r="G241" s="228">
        <f>IF(E241&gt;0,-'Main Budget'!$F$25+0.81,0)</f>
        <v>0</v>
      </c>
      <c r="H241" s="227">
        <f>IF(DAY(A241)='Main Budget'!$J$26,'Main Budget'!$E$26,0)</f>
        <v>0</v>
      </c>
      <c r="I241" s="227">
        <f>IF(DAY(A241)='Main Budget'!$J$28,'Main Budget'!$E$28,0)</f>
        <v>0</v>
      </c>
      <c r="J241" s="227">
        <f>IF(DAY(A241)='Main Budget'!$J$29,'Main Budget'!$E$29,0)</f>
        <v>0</v>
      </c>
      <c r="K241" s="20">
        <f>IF(DAY(A241)='Main Budget'!$J$30,'Main Budget'!$E$30,0)</f>
        <v>0</v>
      </c>
      <c r="L241" s="20">
        <f>IF(DAY(A241)='Main Budget'!$J$31,'Main Budget'!$E$31,0)</f>
        <v>0</v>
      </c>
      <c r="M241" s="20">
        <f>IF(DAY(A241)='Main Budget'!$J$27,'Main Budget'!$E$27,0)</f>
        <v>0</v>
      </c>
      <c r="O241" s="228">
        <f>B241+(SUM(H241:M241)+(SUM(D241:E241)))</f>
        <v>100</v>
      </c>
      <c r="P241" s="228">
        <f>C241+F241+G241+N241</f>
        <v>100</v>
      </c>
      <c r="Q241" s="252">
        <f>O241+P241</f>
        <v>200</v>
      </c>
      <c r="S241" s="231" t="str">
        <f>TEXT(A241,"dddd")</f>
        <v>Friday</v>
      </c>
    </row>
    <row r="242" spans="1:19" x14ac:dyDescent="0.25">
      <c r="A242" s="226">
        <v>46263</v>
      </c>
      <c r="B242" s="227">
        <f>O241</f>
        <v>100</v>
      </c>
      <c r="C242" s="228">
        <f>P241</f>
        <v>100</v>
      </c>
      <c r="D242" s="228">
        <f>IF(OR(DAY(A242+2)=1,DAY(A242+2)=15),-SUM('Main Budget'!$H$26:$H$31),0)</f>
        <v>0</v>
      </c>
      <c r="E242" s="228">
        <f>IF(DAY(A242+2)=22,-SUM('Main Budget'!$F$26:$F$31),0)</f>
        <v>0</v>
      </c>
      <c r="F242" s="228">
        <f>IF(D242&gt;0,-'Main Budget'!$H$25+0.15,0)</f>
        <v>0</v>
      </c>
      <c r="G242" s="228">
        <f>IF(E242&gt;0,-'Main Budget'!$F$25+0.81,0)</f>
        <v>0</v>
      </c>
      <c r="H242" s="227">
        <f>IF(DAY(A242)='Main Budget'!$J$26,'Main Budget'!$E$26,0)</f>
        <v>0</v>
      </c>
      <c r="I242" s="227">
        <f>IF(DAY(A242)='Main Budget'!$J$28,'Main Budget'!$E$28,0)</f>
        <v>0</v>
      </c>
      <c r="J242" s="227">
        <f>IF(DAY(A242)='Main Budget'!$J$29,'Main Budget'!$E$29,0)</f>
        <v>0</v>
      </c>
      <c r="K242" s="20">
        <f>IF(DAY(A242)='Main Budget'!$J$30,'Main Budget'!$E$30,0)</f>
        <v>0</v>
      </c>
      <c r="L242" s="20">
        <f>IF(DAY(A242)='Main Budget'!$J$31,'Main Budget'!$E$31,0)</f>
        <v>0</v>
      </c>
      <c r="M242" s="20">
        <f>IF(DAY(A242)='Main Budget'!$J$27,'Main Budget'!$E$27,0)</f>
        <v>0</v>
      </c>
      <c r="O242" s="228">
        <f>B242+(SUM(H242:M242)+(SUM(D242:E242)))</f>
        <v>100</v>
      </c>
      <c r="P242" s="228">
        <f>C242+F242+G242+N242</f>
        <v>100</v>
      </c>
      <c r="Q242" s="252">
        <f>O242+P242</f>
        <v>200</v>
      </c>
      <c r="S242" s="231" t="str">
        <f>TEXT(A242,"dddd")</f>
        <v>Saturday</v>
      </c>
    </row>
    <row r="243" spans="1:19" x14ac:dyDescent="0.25">
      <c r="A243" s="226">
        <v>46264</v>
      </c>
      <c r="B243" s="227">
        <f>O242</f>
        <v>100</v>
      </c>
      <c r="C243" s="228">
        <f>P242</f>
        <v>100</v>
      </c>
      <c r="D243" s="228">
        <f>IF(OR(DAY(A243+2)=1,DAY(A243+2)=15),-SUM('Main Budget'!$H$26:$H$31),0)</f>
        <v>0</v>
      </c>
      <c r="E243" s="228">
        <f>IF(DAY(A243+2)=22,-SUM('Main Budget'!$F$26:$F$31),0)</f>
        <v>0</v>
      </c>
      <c r="F243" s="228">
        <f>IF(D243&gt;0,-'Main Budget'!$H$25+0.15,0)</f>
        <v>0</v>
      </c>
      <c r="G243" s="228">
        <f>IF(E243&gt;0,-'Main Budget'!$F$25+0.81,0)</f>
        <v>0</v>
      </c>
      <c r="H243" s="227">
        <f>IF(DAY(A243)='Main Budget'!$J$26,'Main Budget'!$E$26,0)</f>
        <v>0</v>
      </c>
      <c r="I243" s="227">
        <f>IF(DAY(A243)='Main Budget'!$J$28,'Main Budget'!$E$28,0)</f>
        <v>0</v>
      </c>
      <c r="J243" s="227">
        <f>IF(DAY(A243)='Main Budget'!$J$29,'Main Budget'!$E$29,0)</f>
        <v>0</v>
      </c>
      <c r="K243" s="20">
        <f>IF(DAY(A243)='Main Budget'!$J$30,'Main Budget'!$E$30,0)</f>
        <v>0</v>
      </c>
      <c r="L243" s="20">
        <f>IF(DAY(A243)='Main Budget'!$J$31,'Main Budget'!$E$31,0)</f>
        <v>0</v>
      </c>
      <c r="M243" s="20">
        <f>IF(DAY(A243)='Main Budget'!$J$27,'Main Budget'!$E$27,0)</f>
        <v>0</v>
      </c>
      <c r="O243" s="228">
        <f>B243+(SUM(H243:M243)+(SUM(D243:E243)))</f>
        <v>100</v>
      </c>
      <c r="P243" s="228">
        <f>C243+F243+G243+N243</f>
        <v>100</v>
      </c>
      <c r="Q243" s="252">
        <f>O243+P243</f>
        <v>200</v>
      </c>
      <c r="S243" s="231" t="str">
        <f>TEXT(A243,"dddd")</f>
        <v>Sunday</v>
      </c>
    </row>
    <row r="244" spans="1:19" x14ac:dyDescent="0.25">
      <c r="A244" s="226">
        <v>46265</v>
      </c>
      <c r="B244" s="227">
        <f>O243</f>
        <v>100</v>
      </c>
      <c r="C244" s="228">
        <f>P243</f>
        <v>100</v>
      </c>
      <c r="D244" s="228">
        <f>IF(OR(DAY(A244+2)=1,DAY(A244+2)=15),-SUM('Main Budget'!$H$26:$H$31),0)</f>
        <v>0</v>
      </c>
      <c r="E244" s="228">
        <f>IF(DAY(A244+2)=22,-SUM('Main Budget'!$F$26:$F$31),0)</f>
        <v>0</v>
      </c>
      <c r="F244" s="228">
        <f>IF(D244&gt;0,-'Main Budget'!$H$25+0.15,0)</f>
        <v>0</v>
      </c>
      <c r="G244" s="228">
        <f>IF(E244&gt;0,-'Main Budget'!$F$25+0.81,0)</f>
        <v>0</v>
      </c>
      <c r="H244" s="227">
        <f>IF(DAY(A244)='Main Budget'!$J$26,'Main Budget'!$E$26,0)</f>
        <v>0</v>
      </c>
      <c r="I244" s="227">
        <f>IF(DAY(A244)='Main Budget'!$J$28,'Main Budget'!$E$28,0)</f>
        <v>0</v>
      </c>
      <c r="J244" s="227">
        <f>IF(DAY(A244)='Main Budget'!$J$29,'Main Budget'!$E$29,0)</f>
        <v>0</v>
      </c>
      <c r="K244" s="20">
        <f>IF(DAY(A244)='Main Budget'!$J$30,'Main Budget'!$E$30,0)</f>
        <v>0</v>
      </c>
      <c r="L244" s="20">
        <f>IF(DAY(A244)='Main Budget'!$J$31,'Main Budget'!$E$31,0)</f>
        <v>0</v>
      </c>
      <c r="M244" s="20">
        <f>IF(DAY(A244)='Main Budget'!$J$27,'Main Budget'!$E$27,0)</f>
        <v>0</v>
      </c>
      <c r="O244" s="228">
        <f>B244+(SUM(H244:M244)+(SUM(D244:E244)))</f>
        <v>100</v>
      </c>
      <c r="P244" s="228">
        <f>C244+F244+G244+N244</f>
        <v>100</v>
      </c>
      <c r="Q244" s="252">
        <f>O244+P244</f>
        <v>200</v>
      </c>
      <c r="S244" s="231" t="str">
        <f>TEXT(A244,"dddd")</f>
        <v>Monday</v>
      </c>
    </row>
    <row r="245" spans="1:19" x14ac:dyDescent="0.25">
      <c r="A245" s="226">
        <v>46266</v>
      </c>
      <c r="B245" s="227">
        <f>O244</f>
        <v>100</v>
      </c>
      <c r="C245" s="228">
        <f>P244</f>
        <v>100</v>
      </c>
      <c r="D245" s="228">
        <f>IF(OR(DAY(A245+2)=1,DAY(A245+2)=15),-SUM('Main Budget'!$H$26:$H$31),0)</f>
        <v>0</v>
      </c>
      <c r="E245" s="228">
        <f>IF(DAY(A245+2)=22,-SUM('Main Budget'!$F$26:$F$31),0)</f>
        <v>0</v>
      </c>
      <c r="F245" s="228">
        <f>IF(D245&gt;0,-'Main Budget'!$H$25+0.15,0)</f>
        <v>0</v>
      </c>
      <c r="G245" s="228">
        <f>IF(E245&gt;0,-'Main Budget'!$F$25+0.81,0)</f>
        <v>0</v>
      </c>
      <c r="H245" s="227">
        <f>IF(DAY(A245)='Main Budget'!$J$26,'Main Budget'!$E$26,0)</f>
        <v>0</v>
      </c>
      <c r="I245" s="227">
        <f>IF(DAY(A245)='Main Budget'!$J$28,'Main Budget'!$E$28,0)</f>
        <v>0</v>
      </c>
      <c r="J245" s="227">
        <f>IF(DAY(A245)='Main Budget'!$J$29,'Main Budget'!$E$29,0)</f>
        <v>0</v>
      </c>
      <c r="K245" s="20">
        <f>IF(DAY(A245)='Main Budget'!$J$30,'Main Budget'!$E$30,0)</f>
        <v>0</v>
      </c>
      <c r="L245" s="20">
        <f>IF(DAY(A245)='Main Budget'!$J$31,'Main Budget'!$E$31,0)</f>
        <v>0</v>
      </c>
      <c r="M245" s="20">
        <f>IF(DAY(A245)='Main Budget'!$J$27,'Main Budget'!$E$27,0)</f>
        <v>0</v>
      </c>
      <c r="O245" s="228">
        <f>B245+(SUM(H245:M245)+(SUM(D245:E245)))</f>
        <v>100</v>
      </c>
      <c r="P245" s="228">
        <f>C245+F245+G245+N245</f>
        <v>100</v>
      </c>
      <c r="Q245" s="252">
        <f>O245+P245</f>
        <v>200</v>
      </c>
      <c r="S245" s="231" t="str">
        <f>TEXT(A245,"dddd")</f>
        <v>Tuesday</v>
      </c>
    </row>
    <row r="246" spans="1:19" x14ac:dyDescent="0.25">
      <c r="A246" s="226">
        <v>46267</v>
      </c>
      <c r="B246" s="227">
        <f>O245</f>
        <v>100</v>
      </c>
      <c r="C246" s="228">
        <f>P245</f>
        <v>100</v>
      </c>
      <c r="D246" s="228">
        <f>IF(OR(DAY(A246+2)=1,DAY(A246+2)=15),-SUM('Main Budget'!$H$26:$H$31),0)</f>
        <v>0</v>
      </c>
      <c r="E246" s="228">
        <f>IF(DAY(A246+2)=22,-SUM('Main Budget'!$F$26:$F$31),0)</f>
        <v>0</v>
      </c>
      <c r="F246" s="228">
        <f>IF(D246&gt;0,-'Main Budget'!$H$25+0.15,0)</f>
        <v>0</v>
      </c>
      <c r="G246" s="228">
        <f>IF(E246&gt;0,-'Main Budget'!$F$25+0.81,0)</f>
        <v>0</v>
      </c>
      <c r="H246" s="227">
        <f>IF(DAY(A246)='Main Budget'!$J$26,'Main Budget'!$E$26,0)</f>
        <v>0</v>
      </c>
      <c r="I246" s="227">
        <f>IF(DAY(A246)='Main Budget'!$J$28,'Main Budget'!$E$28,0)</f>
        <v>0</v>
      </c>
      <c r="J246" s="227">
        <f>IF(DAY(A246)='Main Budget'!$J$29,'Main Budget'!$E$29,0)</f>
        <v>0</v>
      </c>
      <c r="K246" s="20">
        <f>IF(DAY(A246)='Main Budget'!$J$30,'Main Budget'!$E$30,0)</f>
        <v>0</v>
      </c>
      <c r="L246" s="20">
        <f>IF(DAY(A246)='Main Budget'!$J$31,'Main Budget'!$E$31,0)</f>
        <v>0</v>
      </c>
      <c r="M246" s="20">
        <f>IF(DAY(A246)='Main Budget'!$J$27,'Main Budget'!$E$27,0)</f>
        <v>0</v>
      </c>
      <c r="O246" s="228">
        <f>B246+(SUM(H246:M246)+(SUM(D246:E246)))</f>
        <v>100</v>
      </c>
      <c r="P246" s="228">
        <f>C246+F246+G246+N246</f>
        <v>100</v>
      </c>
      <c r="Q246" s="252">
        <f>O246+P246</f>
        <v>200</v>
      </c>
      <c r="S246" s="231" t="str">
        <f>TEXT(A246,"dddd")</f>
        <v>Wednesday</v>
      </c>
    </row>
    <row r="247" spans="1:19" x14ac:dyDescent="0.25">
      <c r="A247" s="226">
        <v>46268</v>
      </c>
      <c r="B247" s="227">
        <f>O246</f>
        <v>100</v>
      </c>
      <c r="C247" s="228">
        <f>P246</f>
        <v>100</v>
      </c>
      <c r="D247" s="228">
        <f>IF(OR(DAY(A247+2)=1,DAY(A247+2)=15),-SUM('Main Budget'!$H$26:$H$31),0)</f>
        <v>0</v>
      </c>
      <c r="E247" s="228">
        <f>IF(DAY(A247+2)=22,-SUM('Main Budget'!$F$26:$F$31),0)</f>
        <v>0</v>
      </c>
      <c r="F247" s="228">
        <f>IF(D247&gt;0,-'Main Budget'!$H$25+0.15,0)</f>
        <v>0</v>
      </c>
      <c r="G247" s="228">
        <f>IF(E247&gt;0,-'Main Budget'!$F$25+0.81,0)</f>
        <v>0</v>
      </c>
      <c r="H247" s="227">
        <f>IF(DAY(A247)='Main Budget'!$J$26,'Main Budget'!$E$26,0)</f>
        <v>0</v>
      </c>
      <c r="I247" s="227">
        <f>IF(DAY(A247)='Main Budget'!$J$28,'Main Budget'!$E$28,0)</f>
        <v>0</v>
      </c>
      <c r="J247" s="227">
        <f>IF(DAY(A247)='Main Budget'!$J$29,'Main Budget'!$E$29,0)</f>
        <v>0</v>
      </c>
      <c r="K247" s="20">
        <f>IF(DAY(A247)='Main Budget'!$J$30,'Main Budget'!$E$30,0)</f>
        <v>0</v>
      </c>
      <c r="L247" s="20">
        <f>IF(DAY(A247)='Main Budget'!$J$31,'Main Budget'!$E$31,0)</f>
        <v>0</v>
      </c>
      <c r="M247" s="20">
        <f>IF(DAY(A247)='Main Budget'!$J$27,'Main Budget'!$E$27,0)</f>
        <v>0</v>
      </c>
      <c r="O247" s="228">
        <f>B247+(SUM(H247:M247)+(SUM(D247:E247)))</f>
        <v>100</v>
      </c>
      <c r="P247" s="228">
        <f>C247+F247+G247+N247</f>
        <v>100</v>
      </c>
      <c r="Q247" s="252">
        <f>O247+P247</f>
        <v>200</v>
      </c>
      <c r="S247" s="231" t="str">
        <f>TEXT(A247,"dddd")</f>
        <v>Thursday</v>
      </c>
    </row>
    <row r="248" spans="1:19" x14ac:dyDescent="0.25">
      <c r="A248" s="226">
        <v>46269</v>
      </c>
      <c r="B248" s="227">
        <f>O247</f>
        <v>100</v>
      </c>
      <c r="C248" s="228">
        <f>P247</f>
        <v>100</v>
      </c>
      <c r="D248" s="228">
        <f>IF(OR(DAY(A248+2)=1,DAY(A248+2)=15),-SUM('Main Budget'!$H$26:$H$31),0)</f>
        <v>0</v>
      </c>
      <c r="E248" s="228">
        <f>IF(DAY(A248+2)=22,-SUM('Main Budget'!$F$26:$F$31),0)</f>
        <v>0</v>
      </c>
      <c r="F248" s="228">
        <f>IF(D248&gt;0,-'Main Budget'!$H$25+0.15,0)</f>
        <v>0</v>
      </c>
      <c r="G248" s="228">
        <f>IF(E248&gt;0,-'Main Budget'!$F$25+0.81,0)</f>
        <v>0</v>
      </c>
      <c r="H248" s="227">
        <f>IF(DAY(A248)='Main Budget'!$J$26,'Main Budget'!$E$26,0)</f>
        <v>0</v>
      </c>
      <c r="I248" s="227">
        <f>IF(DAY(A248)='Main Budget'!$J$28,'Main Budget'!$E$28,0)</f>
        <v>0</v>
      </c>
      <c r="J248" s="227">
        <f>IF(DAY(A248)='Main Budget'!$J$29,'Main Budget'!$E$29,0)</f>
        <v>0</v>
      </c>
      <c r="K248" s="20">
        <f>IF(DAY(A248)='Main Budget'!$J$30,'Main Budget'!$E$30,0)</f>
        <v>0</v>
      </c>
      <c r="L248" s="20">
        <f>IF(DAY(A248)='Main Budget'!$J$31,'Main Budget'!$E$31,0)</f>
        <v>0</v>
      </c>
      <c r="M248" s="20">
        <f>IF(DAY(A248)='Main Budget'!$J$27,'Main Budget'!$E$27,0)</f>
        <v>0</v>
      </c>
      <c r="O248" s="228">
        <f>B248+(SUM(H248:M248)+(SUM(D248:E248)))</f>
        <v>100</v>
      </c>
      <c r="P248" s="228">
        <f>C248+F248+G248+N248</f>
        <v>100</v>
      </c>
      <c r="Q248" s="252">
        <f>O248+P248</f>
        <v>200</v>
      </c>
      <c r="S248" s="231" t="str">
        <f>TEXT(A248,"dddd")</f>
        <v>Friday</v>
      </c>
    </row>
    <row r="249" spans="1:19" x14ac:dyDescent="0.25">
      <c r="A249" s="226">
        <v>46270</v>
      </c>
      <c r="B249" s="227">
        <f>O248</f>
        <v>100</v>
      </c>
      <c r="C249" s="228">
        <f>P248</f>
        <v>100</v>
      </c>
      <c r="D249" s="228">
        <f>IF(OR(DAY(A249+2)=1,DAY(A249+2)=15),-SUM('Main Budget'!$H$26:$H$31),0)</f>
        <v>0</v>
      </c>
      <c r="E249" s="228">
        <f>IF(DAY(A249+2)=22,-SUM('Main Budget'!$F$26:$F$31),0)</f>
        <v>0</v>
      </c>
      <c r="F249" s="228">
        <f>IF(D249&gt;0,-'Main Budget'!$H$25+0.15,0)</f>
        <v>0</v>
      </c>
      <c r="G249" s="228">
        <f>IF(E249&gt;0,-'Main Budget'!$F$25+0.81,0)</f>
        <v>0</v>
      </c>
      <c r="H249" s="227">
        <f>IF(DAY(A249)='Main Budget'!$J$26,'Main Budget'!$E$26,0)</f>
        <v>0</v>
      </c>
      <c r="I249" s="227">
        <f>IF(DAY(A249)='Main Budget'!$J$28,'Main Budget'!$E$28,0)</f>
        <v>0</v>
      </c>
      <c r="J249" s="227">
        <f>IF(DAY(A249)='Main Budget'!$J$29,'Main Budget'!$E$29,0)</f>
        <v>0</v>
      </c>
      <c r="K249" s="20">
        <f>IF(DAY(A249)='Main Budget'!$J$30,'Main Budget'!$E$30,0)</f>
        <v>0</v>
      </c>
      <c r="L249" s="20">
        <f>IF(DAY(A249)='Main Budget'!$J$31,'Main Budget'!$E$31,0)</f>
        <v>0</v>
      </c>
      <c r="M249" s="20">
        <f>IF(DAY(A249)='Main Budget'!$J$27,'Main Budget'!$E$27,0)</f>
        <v>0</v>
      </c>
      <c r="O249" s="228">
        <f>B249+(SUM(H249:M249)+(SUM(D249:E249)))</f>
        <v>100</v>
      </c>
      <c r="P249" s="228">
        <f>C249+F249+G249+N249</f>
        <v>100</v>
      </c>
      <c r="Q249" s="252">
        <f>O249+P249</f>
        <v>200</v>
      </c>
      <c r="S249" s="231" t="str">
        <f>TEXT(A249,"dddd")</f>
        <v>Saturday</v>
      </c>
    </row>
    <row r="250" spans="1:19" x14ac:dyDescent="0.25">
      <c r="A250" s="226">
        <v>46271</v>
      </c>
      <c r="B250" s="227">
        <f>O249</f>
        <v>100</v>
      </c>
      <c r="C250" s="228">
        <f>P249</f>
        <v>100</v>
      </c>
      <c r="D250" s="228">
        <f>IF(OR(DAY(A250+2)=1,DAY(A250+2)=15),-SUM('Main Budget'!$H$26:$H$31),0)</f>
        <v>0</v>
      </c>
      <c r="E250" s="228">
        <f>IF(DAY(A250+2)=22,-SUM('Main Budget'!$F$26:$F$31),0)</f>
        <v>0</v>
      </c>
      <c r="F250" s="228">
        <f>IF(D250&gt;0,-'Main Budget'!$H$25+0.15,0)</f>
        <v>0</v>
      </c>
      <c r="G250" s="228">
        <f>IF(E250&gt;0,-'Main Budget'!$F$25+0.81,0)</f>
        <v>0</v>
      </c>
      <c r="H250" s="227">
        <f>IF(DAY(A250)='Main Budget'!$J$26,'Main Budget'!$E$26,0)</f>
        <v>0</v>
      </c>
      <c r="I250" s="227">
        <f>IF(DAY(A250)='Main Budget'!$J$28,'Main Budget'!$E$28,0)</f>
        <v>0</v>
      </c>
      <c r="J250" s="227">
        <f>IF(DAY(A250)='Main Budget'!$J$29,'Main Budget'!$E$29,0)</f>
        <v>0</v>
      </c>
      <c r="K250" s="20">
        <f>IF(DAY(A250)='Main Budget'!$J$30,'Main Budget'!$E$30,0)</f>
        <v>0</v>
      </c>
      <c r="L250" s="20">
        <f>IF(DAY(A250)='Main Budget'!$J$31,'Main Budget'!$E$31,0)</f>
        <v>0</v>
      </c>
      <c r="M250" s="20">
        <f>IF(DAY(A250)='Main Budget'!$J$27,'Main Budget'!$E$27,0)</f>
        <v>0</v>
      </c>
      <c r="O250" s="228">
        <f>B250+(SUM(H250:M250)+(SUM(D250:E250)))</f>
        <v>100</v>
      </c>
      <c r="P250" s="228">
        <f>C250+F250+G250+N250</f>
        <v>100</v>
      </c>
      <c r="Q250" s="252">
        <f>O250+P250</f>
        <v>200</v>
      </c>
      <c r="S250" s="231" t="str">
        <f>TEXT(A250,"dddd")</f>
        <v>Sunday</v>
      </c>
    </row>
    <row r="251" spans="1:19" x14ac:dyDescent="0.25">
      <c r="A251" s="226">
        <v>46272</v>
      </c>
      <c r="B251" s="227">
        <f>O250</f>
        <v>100</v>
      </c>
      <c r="C251" s="228">
        <f>P250</f>
        <v>100</v>
      </c>
      <c r="D251" s="228">
        <f>IF(OR(DAY(A251+2)=1,DAY(A251+2)=15),-SUM('Main Budget'!$H$26:$H$31),0)</f>
        <v>0</v>
      </c>
      <c r="E251" s="228">
        <f>IF(DAY(A251+2)=22,-SUM('Main Budget'!$F$26:$F$31),0)</f>
        <v>0</v>
      </c>
      <c r="F251" s="228">
        <f>IF(D251&gt;0,-'Main Budget'!$H$25+0.15,0)</f>
        <v>0</v>
      </c>
      <c r="G251" s="228">
        <f>IF(E251&gt;0,-'Main Budget'!$F$25+0.81,0)</f>
        <v>0</v>
      </c>
      <c r="H251" s="227">
        <f>IF(DAY(A251)='Main Budget'!$J$26,'Main Budget'!$E$26,0)</f>
        <v>0</v>
      </c>
      <c r="I251" s="227">
        <f>IF(DAY(A251)='Main Budget'!$J$28,'Main Budget'!$E$28,0)</f>
        <v>0</v>
      </c>
      <c r="J251" s="227">
        <f>IF(DAY(A251)='Main Budget'!$J$29,'Main Budget'!$E$29,0)</f>
        <v>0</v>
      </c>
      <c r="K251" s="20">
        <f>IF(DAY(A251)='Main Budget'!$J$30,'Main Budget'!$E$30,0)</f>
        <v>0</v>
      </c>
      <c r="L251" s="20">
        <f>IF(DAY(A251)='Main Budget'!$J$31,'Main Budget'!$E$31,0)</f>
        <v>0</v>
      </c>
      <c r="M251" s="20">
        <f>IF(DAY(A251)='Main Budget'!$J$27,'Main Budget'!$E$27,0)</f>
        <v>0</v>
      </c>
      <c r="O251" s="228">
        <f>B251+(SUM(H251:M251)+(SUM(D251:E251)))</f>
        <v>100</v>
      </c>
      <c r="P251" s="228">
        <f>C251+F251+G251+N251</f>
        <v>100</v>
      </c>
      <c r="Q251" s="252">
        <f>O251+P251</f>
        <v>200</v>
      </c>
      <c r="S251" s="231" t="str">
        <f>TEXT(A251,"dddd")</f>
        <v>Monday</v>
      </c>
    </row>
    <row r="252" spans="1:19" x14ac:dyDescent="0.25">
      <c r="A252" s="226">
        <v>46273</v>
      </c>
      <c r="B252" s="227">
        <f>O251</f>
        <v>100</v>
      </c>
      <c r="C252" s="228">
        <f>P251</f>
        <v>100</v>
      </c>
      <c r="D252" s="228">
        <f>IF(OR(DAY(A252+2)=1,DAY(A252+2)=15),-SUM('Main Budget'!$H$26:$H$31),0)</f>
        <v>0</v>
      </c>
      <c r="E252" s="228">
        <f>IF(DAY(A252+2)=22,-SUM('Main Budget'!$F$26:$F$31),0)</f>
        <v>0</v>
      </c>
      <c r="F252" s="228">
        <f>IF(D252&gt;0,-'Main Budget'!$H$25+0.15,0)</f>
        <v>0</v>
      </c>
      <c r="G252" s="228">
        <f>IF(E252&gt;0,-'Main Budget'!$F$25+0.81,0)</f>
        <v>0</v>
      </c>
      <c r="H252" s="227">
        <f>IF(DAY(A252)='Main Budget'!$J$26,'Main Budget'!$E$26,0)</f>
        <v>0</v>
      </c>
      <c r="I252" s="227">
        <f>IF(DAY(A252)='Main Budget'!$J$28,'Main Budget'!$E$28,0)</f>
        <v>0</v>
      </c>
      <c r="J252" s="227">
        <f>IF(DAY(A252)='Main Budget'!$J$29,'Main Budget'!$E$29,0)</f>
        <v>0</v>
      </c>
      <c r="K252" s="20">
        <f>IF(DAY(A252)='Main Budget'!$J$30,'Main Budget'!$E$30,0)</f>
        <v>0</v>
      </c>
      <c r="L252" s="20">
        <f>IF(DAY(A252)='Main Budget'!$J$31,'Main Budget'!$E$31,0)</f>
        <v>0</v>
      </c>
      <c r="M252" s="20">
        <f>IF(DAY(A252)='Main Budget'!$J$27,'Main Budget'!$E$27,0)</f>
        <v>0</v>
      </c>
      <c r="O252" s="228">
        <f>B252+(SUM(H252:M252)+(SUM(D252:E252)))</f>
        <v>100</v>
      </c>
      <c r="P252" s="228">
        <f>C252+F252+G252+N252</f>
        <v>100</v>
      </c>
      <c r="Q252" s="252">
        <f>O252+P252</f>
        <v>200</v>
      </c>
      <c r="S252" s="231" t="str">
        <f>TEXT(A252,"dddd")</f>
        <v>Tuesday</v>
      </c>
    </row>
    <row r="253" spans="1:19" x14ac:dyDescent="0.25">
      <c r="A253" s="226">
        <v>46274</v>
      </c>
      <c r="B253" s="227">
        <f>O252</f>
        <v>100</v>
      </c>
      <c r="C253" s="228">
        <f>P252</f>
        <v>100</v>
      </c>
      <c r="D253" s="228">
        <f>IF(OR(DAY(A253+2)=1,DAY(A253+2)=15),-SUM('Main Budget'!$H$26:$H$31),0)</f>
        <v>0</v>
      </c>
      <c r="E253" s="228">
        <f>IF(DAY(A253+2)=22,-SUM('Main Budget'!$F$26:$F$31),0)</f>
        <v>0</v>
      </c>
      <c r="F253" s="228">
        <f>IF(D253&gt;0,-'Main Budget'!$H$25+0.15,0)</f>
        <v>0</v>
      </c>
      <c r="G253" s="228">
        <f>IF(E253&gt;0,-'Main Budget'!$F$25+0.81,0)</f>
        <v>0</v>
      </c>
      <c r="H253" s="227">
        <f>IF(DAY(A253)='Main Budget'!$J$26,'Main Budget'!$E$26,0)</f>
        <v>0</v>
      </c>
      <c r="I253" s="227">
        <f>IF(DAY(A253)='Main Budget'!$J$28,'Main Budget'!$E$28,0)</f>
        <v>0</v>
      </c>
      <c r="J253" s="227">
        <f>IF(DAY(A253)='Main Budget'!$J$29,'Main Budget'!$E$29,0)</f>
        <v>0</v>
      </c>
      <c r="K253" s="20">
        <f>IF(DAY(A253)='Main Budget'!$J$30,'Main Budget'!$E$30,0)</f>
        <v>0</v>
      </c>
      <c r="L253" s="20">
        <f>IF(DAY(A253)='Main Budget'!$J$31,'Main Budget'!$E$31,0)</f>
        <v>0</v>
      </c>
      <c r="M253" s="20">
        <f>IF(DAY(A253)='Main Budget'!$J$27,'Main Budget'!$E$27,0)</f>
        <v>0</v>
      </c>
      <c r="O253" s="228">
        <f>B253+(SUM(H253:M253)+(SUM(D253:E253)))</f>
        <v>100</v>
      </c>
      <c r="P253" s="228">
        <f>C253+F253+G253+N253</f>
        <v>100</v>
      </c>
      <c r="Q253" s="252">
        <f>O253+P253</f>
        <v>200</v>
      </c>
      <c r="S253" s="231" t="str">
        <f>TEXT(A253,"dddd")</f>
        <v>Wednesday</v>
      </c>
    </row>
    <row r="254" spans="1:19" x14ac:dyDescent="0.25">
      <c r="A254" s="226">
        <v>46275</v>
      </c>
      <c r="B254" s="227">
        <f>O253</f>
        <v>100</v>
      </c>
      <c r="C254" s="228">
        <f>P253</f>
        <v>100</v>
      </c>
      <c r="D254" s="228">
        <f>IF(OR(DAY(A254+2)=1,DAY(A254+2)=15),-SUM('Main Budget'!$H$26:$H$31),0)</f>
        <v>0</v>
      </c>
      <c r="E254" s="228">
        <f>IF(DAY(A254+2)=22,-SUM('Main Budget'!$F$26:$F$31),0)</f>
        <v>0</v>
      </c>
      <c r="F254" s="228">
        <f>IF(D254&gt;0,-'Main Budget'!$H$25+0.15,0)</f>
        <v>0</v>
      </c>
      <c r="G254" s="228">
        <f>IF(E254&gt;0,-'Main Budget'!$F$25+0.81,0)</f>
        <v>0</v>
      </c>
      <c r="H254" s="227">
        <f>IF(DAY(A254)='Main Budget'!$J$26,'Main Budget'!$E$26,0)</f>
        <v>0</v>
      </c>
      <c r="I254" s="227">
        <f>IF(DAY(A254)='Main Budget'!$J$28,'Main Budget'!$E$28,0)</f>
        <v>0</v>
      </c>
      <c r="J254" s="227">
        <f>IF(DAY(A254)='Main Budget'!$J$29,'Main Budget'!$E$29,0)</f>
        <v>0</v>
      </c>
      <c r="K254" s="20">
        <f>IF(DAY(A254)='Main Budget'!$J$30,'Main Budget'!$E$30,0)</f>
        <v>0</v>
      </c>
      <c r="L254" s="20">
        <f>IF(DAY(A254)='Main Budget'!$J$31,'Main Budget'!$E$31,0)</f>
        <v>0</v>
      </c>
      <c r="M254" s="20">
        <f>IF(DAY(A254)='Main Budget'!$J$27,'Main Budget'!$E$27,0)</f>
        <v>0</v>
      </c>
      <c r="O254" s="228">
        <f>B254+(SUM(H254:M254)+(SUM(D254:E254)))</f>
        <v>100</v>
      </c>
      <c r="P254" s="228">
        <f>C254+F254+G254+N254</f>
        <v>100</v>
      </c>
      <c r="Q254" s="252">
        <f>O254+P254</f>
        <v>200</v>
      </c>
      <c r="S254" s="231" t="str">
        <f>TEXT(A254,"dddd")</f>
        <v>Thursday</v>
      </c>
    </row>
    <row r="255" spans="1:19" x14ac:dyDescent="0.25">
      <c r="A255" s="226">
        <v>46276</v>
      </c>
      <c r="B255" s="227">
        <f>O254</f>
        <v>100</v>
      </c>
      <c r="C255" s="228">
        <f>P254</f>
        <v>100</v>
      </c>
      <c r="D255" s="228">
        <f>IF(OR(DAY(A255+2)=1,DAY(A255+2)=15),-SUM('Main Budget'!$H$26:$H$31),0)</f>
        <v>0</v>
      </c>
      <c r="E255" s="228">
        <f>IF(DAY(A255+2)=22,-SUM('Main Budget'!$F$26:$F$31),0)</f>
        <v>0</v>
      </c>
      <c r="F255" s="228">
        <f>IF(D255&gt;0,-'Main Budget'!$H$25+0.15,0)</f>
        <v>0</v>
      </c>
      <c r="G255" s="228">
        <f>IF(E255&gt;0,-'Main Budget'!$F$25+0.81,0)</f>
        <v>0</v>
      </c>
      <c r="H255" s="227">
        <f>IF(DAY(A255)='Main Budget'!$J$26,'Main Budget'!$E$26,0)</f>
        <v>0</v>
      </c>
      <c r="I255" s="227">
        <f>IF(DAY(A255)='Main Budget'!$J$28,'Main Budget'!$E$28,0)</f>
        <v>0</v>
      </c>
      <c r="J255" s="227">
        <f>IF(DAY(A255)='Main Budget'!$J$29,'Main Budget'!$E$29,0)</f>
        <v>0</v>
      </c>
      <c r="K255" s="20">
        <f>IF(DAY(A255)='Main Budget'!$J$30,'Main Budget'!$E$30,0)</f>
        <v>0</v>
      </c>
      <c r="L255" s="20">
        <f>IF(DAY(A255)='Main Budget'!$J$31,'Main Budget'!$E$31,0)</f>
        <v>0</v>
      </c>
      <c r="M255" s="20">
        <f>IF(DAY(A255)='Main Budget'!$J$27,'Main Budget'!$E$27,0)</f>
        <v>0</v>
      </c>
      <c r="O255" s="228">
        <f>B255+(SUM(H255:M255)+(SUM(D255:E255)))</f>
        <v>100</v>
      </c>
      <c r="P255" s="228">
        <f>C255+F255+G255+N255</f>
        <v>100</v>
      </c>
      <c r="Q255" s="252">
        <f>O255+P255</f>
        <v>200</v>
      </c>
      <c r="S255" s="231" t="str">
        <f>TEXT(A255,"dddd")</f>
        <v>Friday</v>
      </c>
    </row>
    <row r="256" spans="1:19" x14ac:dyDescent="0.25">
      <c r="A256" s="226">
        <v>46277</v>
      </c>
      <c r="B256" s="227">
        <f>O255</f>
        <v>100</v>
      </c>
      <c r="C256" s="228">
        <f>P255</f>
        <v>100</v>
      </c>
      <c r="D256" s="228">
        <f>IF(OR(DAY(A256+2)=1,DAY(A256+2)=15),-SUM('Main Budget'!$H$26:$H$31),0)</f>
        <v>0</v>
      </c>
      <c r="E256" s="228">
        <f>IF(DAY(A256+2)=22,-SUM('Main Budget'!$F$26:$F$31),0)</f>
        <v>0</v>
      </c>
      <c r="F256" s="228">
        <f>IF(D256&gt;0,-'Main Budget'!$H$25+0.15,0)</f>
        <v>0</v>
      </c>
      <c r="G256" s="228">
        <f>IF(E256&gt;0,-'Main Budget'!$F$25+0.81,0)</f>
        <v>0</v>
      </c>
      <c r="H256" s="227">
        <f>IF(DAY(A256)='Main Budget'!$J$26,'Main Budget'!$E$26,0)</f>
        <v>0</v>
      </c>
      <c r="I256" s="227">
        <f>IF(DAY(A256)='Main Budget'!$J$28,'Main Budget'!$E$28,0)</f>
        <v>0</v>
      </c>
      <c r="J256" s="227">
        <f>IF(DAY(A256)='Main Budget'!$J$29,'Main Budget'!$E$29,0)</f>
        <v>0</v>
      </c>
      <c r="K256" s="20">
        <f>IF(DAY(A256)='Main Budget'!$J$30,'Main Budget'!$E$30,0)</f>
        <v>0</v>
      </c>
      <c r="L256" s="20">
        <f>IF(DAY(A256)='Main Budget'!$J$31,'Main Budget'!$E$31,0)</f>
        <v>0</v>
      </c>
      <c r="M256" s="20">
        <f>IF(DAY(A256)='Main Budget'!$J$27,'Main Budget'!$E$27,0)</f>
        <v>0</v>
      </c>
      <c r="O256" s="228">
        <f>B256+(SUM(H256:M256)+(SUM(D256:E256)))</f>
        <v>100</v>
      </c>
      <c r="P256" s="228">
        <f>C256+F256+G256+N256</f>
        <v>100</v>
      </c>
      <c r="Q256" s="252">
        <f>O256+P256</f>
        <v>200</v>
      </c>
      <c r="S256" s="231" t="str">
        <f>TEXT(A256,"dddd")</f>
        <v>Saturday</v>
      </c>
    </row>
    <row r="257" spans="1:19" x14ac:dyDescent="0.25">
      <c r="A257" s="226">
        <v>46278</v>
      </c>
      <c r="B257" s="227">
        <f>O256</f>
        <v>100</v>
      </c>
      <c r="C257" s="228">
        <f>P256</f>
        <v>100</v>
      </c>
      <c r="D257" s="228">
        <f>IF(OR(DAY(A257+2)=1,DAY(A257+2)=15),-SUM('Main Budget'!$H$26:$H$31),0)</f>
        <v>0</v>
      </c>
      <c r="E257" s="228">
        <f>IF(DAY(A257+2)=22,-SUM('Main Budget'!$F$26:$F$31),0)</f>
        <v>0</v>
      </c>
      <c r="F257" s="228">
        <f>IF(D257&gt;0,-'Main Budget'!$H$25+0.15,0)</f>
        <v>0</v>
      </c>
      <c r="G257" s="228">
        <f>IF(E257&gt;0,-'Main Budget'!$F$25+0.81,0)</f>
        <v>0</v>
      </c>
      <c r="H257" s="227">
        <f>IF(DAY(A257)='Main Budget'!$J$26,'Main Budget'!$E$26,0)</f>
        <v>0</v>
      </c>
      <c r="I257" s="227">
        <f>IF(DAY(A257)='Main Budget'!$J$28,'Main Budget'!$E$28,0)</f>
        <v>0</v>
      </c>
      <c r="J257" s="227">
        <f>IF(DAY(A257)='Main Budget'!$J$29,'Main Budget'!$E$29,0)</f>
        <v>0</v>
      </c>
      <c r="K257" s="20">
        <f>IF(DAY(A257)='Main Budget'!$J$30,'Main Budget'!$E$30,0)</f>
        <v>0</v>
      </c>
      <c r="L257" s="20">
        <f>IF(DAY(A257)='Main Budget'!$J$31,'Main Budget'!$E$31,0)</f>
        <v>0</v>
      </c>
      <c r="M257" s="20">
        <f>IF(DAY(A257)='Main Budget'!$J$27,'Main Budget'!$E$27,0)</f>
        <v>0</v>
      </c>
      <c r="O257" s="228">
        <f>B257+(SUM(H257:M257)+(SUM(D257:E257)))</f>
        <v>100</v>
      </c>
      <c r="P257" s="228">
        <f>C257+F257+G257+N257</f>
        <v>100</v>
      </c>
      <c r="Q257" s="252">
        <f>O257+P257</f>
        <v>200</v>
      </c>
      <c r="S257" s="231" t="str">
        <f>TEXT(A257,"dddd")</f>
        <v>Sunday</v>
      </c>
    </row>
    <row r="258" spans="1:19" x14ac:dyDescent="0.25">
      <c r="A258" s="226">
        <v>46279</v>
      </c>
      <c r="B258" s="227">
        <f>O257</f>
        <v>100</v>
      </c>
      <c r="C258" s="228">
        <f>P257</f>
        <v>100</v>
      </c>
      <c r="D258" s="228">
        <f>IF(OR(DAY(A258+2)=1,DAY(A258+2)=15),-SUM('Main Budget'!$H$26:$H$31),0)</f>
        <v>0</v>
      </c>
      <c r="E258" s="228">
        <f>IF(DAY(A258+2)=22,-SUM('Main Budget'!$F$26:$F$31),0)</f>
        <v>0</v>
      </c>
      <c r="F258" s="228">
        <f>IF(D258&gt;0,-'Main Budget'!$H$25+0.15,0)</f>
        <v>0</v>
      </c>
      <c r="G258" s="228">
        <f>IF(E258&gt;0,-'Main Budget'!$F$25+0.81,0)</f>
        <v>0</v>
      </c>
      <c r="H258" s="227">
        <f>IF(DAY(A258)='Main Budget'!$J$26,'Main Budget'!$E$26,0)</f>
        <v>0</v>
      </c>
      <c r="I258" s="227">
        <f>IF(DAY(A258)='Main Budget'!$J$28,'Main Budget'!$E$28,0)</f>
        <v>0</v>
      </c>
      <c r="J258" s="227">
        <f>IF(DAY(A258)='Main Budget'!$J$29,'Main Budget'!$E$29,0)</f>
        <v>0</v>
      </c>
      <c r="K258" s="20">
        <f>IF(DAY(A258)='Main Budget'!$J$30,'Main Budget'!$E$30,0)</f>
        <v>0</v>
      </c>
      <c r="L258" s="20">
        <f>IF(DAY(A258)='Main Budget'!$J$31,'Main Budget'!$E$31,0)</f>
        <v>0</v>
      </c>
      <c r="M258" s="20">
        <f>IF(DAY(A258)='Main Budget'!$J$27,'Main Budget'!$E$27,0)</f>
        <v>0</v>
      </c>
      <c r="O258" s="228">
        <f>B258+(SUM(H258:M258)+(SUM(D258:E258)))</f>
        <v>100</v>
      </c>
      <c r="P258" s="228">
        <f>C258+F258+G258+N258</f>
        <v>100</v>
      </c>
      <c r="Q258" s="252">
        <f>O258+P258</f>
        <v>200</v>
      </c>
      <c r="S258" s="231" t="str">
        <f>TEXT(A258,"dddd")</f>
        <v>Monday</v>
      </c>
    </row>
    <row r="259" spans="1:19" x14ac:dyDescent="0.25">
      <c r="A259" s="226">
        <v>46280</v>
      </c>
      <c r="B259" s="227">
        <f>O258</f>
        <v>100</v>
      </c>
      <c r="C259" s="228">
        <f>P258</f>
        <v>100</v>
      </c>
      <c r="D259" s="228">
        <f>IF(OR(DAY(A259+2)=1,DAY(A259+2)=15),-SUM('Main Budget'!$H$26:$H$31),0)</f>
        <v>0</v>
      </c>
      <c r="E259" s="228">
        <f>IF(DAY(A259+2)=22,-SUM('Main Budget'!$F$26:$F$31),0)</f>
        <v>0</v>
      </c>
      <c r="F259" s="228">
        <f>IF(D259&gt;0,-'Main Budget'!$H$25+0.15,0)</f>
        <v>0</v>
      </c>
      <c r="G259" s="228">
        <f>IF(E259&gt;0,-'Main Budget'!$F$25+0.81,0)</f>
        <v>0</v>
      </c>
      <c r="H259" s="227">
        <f>IF(DAY(A259)='Main Budget'!$J$26,'Main Budget'!$E$26,0)</f>
        <v>0</v>
      </c>
      <c r="I259" s="227">
        <f>IF(DAY(A259)='Main Budget'!$J$28,'Main Budget'!$E$28,0)</f>
        <v>0</v>
      </c>
      <c r="J259" s="227">
        <f>IF(DAY(A259)='Main Budget'!$J$29,'Main Budget'!$E$29,0)</f>
        <v>0</v>
      </c>
      <c r="K259" s="20">
        <f>IF(DAY(A259)='Main Budget'!$J$30,'Main Budget'!$E$30,0)</f>
        <v>0</v>
      </c>
      <c r="L259" s="20">
        <f>IF(DAY(A259)='Main Budget'!$J$31,'Main Budget'!$E$31,0)</f>
        <v>0</v>
      </c>
      <c r="M259" s="20">
        <f>IF(DAY(A259)='Main Budget'!$J$27,'Main Budget'!$E$27,0)</f>
        <v>0</v>
      </c>
      <c r="O259" s="228">
        <f>B259+(SUM(H259:M259)+(SUM(D259:E259)))</f>
        <v>100</v>
      </c>
      <c r="P259" s="228">
        <f>C259+F259+G259+N259</f>
        <v>100</v>
      </c>
      <c r="Q259" s="252">
        <f>O259+P259</f>
        <v>200</v>
      </c>
      <c r="S259" s="231" t="str">
        <f>TEXT(A259,"dddd")</f>
        <v>Tuesday</v>
      </c>
    </row>
    <row r="260" spans="1:19" x14ac:dyDescent="0.25">
      <c r="A260" s="226">
        <v>46281</v>
      </c>
      <c r="B260" s="227">
        <f>O259</f>
        <v>100</v>
      </c>
      <c r="C260" s="228">
        <f>P259</f>
        <v>100</v>
      </c>
      <c r="D260" s="228">
        <f>IF(OR(DAY(A260+2)=1,DAY(A260+2)=15),-SUM('Main Budget'!$H$26:$H$31),0)</f>
        <v>0</v>
      </c>
      <c r="E260" s="228">
        <f>IF(DAY(A260+2)=22,-SUM('Main Budget'!$F$26:$F$31),0)</f>
        <v>0</v>
      </c>
      <c r="F260" s="228">
        <f>IF(D260&gt;0,-'Main Budget'!$H$25+0.15,0)</f>
        <v>0</v>
      </c>
      <c r="G260" s="228">
        <f>IF(E260&gt;0,-'Main Budget'!$F$25+0.81,0)</f>
        <v>0</v>
      </c>
      <c r="H260" s="227">
        <f>IF(DAY(A260)='Main Budget'!$J$26,'Main Budget'!$E$26,0)</f>
        <v>0</v>
      </c>
      <c r="I260" s="227">
        <f>IF(DAY(A260)='Main Budget'!$J$28,'Main Budget'!$E$28,0)</f>
        <v>0</v>
      </c>
      <c r="J260" s="227">
        <f>IF(DAY(A260)='Main Budget'!$J$29,'Main Budget'!$E$29,0)</f>
        <v>0</v>
      </c>
      <c r="K260" s="20">
        <f>IF(DAY(A260)='Main Budget'!$J$30,'Main Budget'!$E$30,0)</f>
        <v>0</v>
      </c>
      <c r="L260" s="20">
        <f>IF(DAY(A260)='Main Budget'!$J$31,'Main Budget'!$E$31,0)</f>
        <v>0</v>
      </c>
      <c r="M260" s="20">
        <f>IF(DAY(A260)='Main Budget'!$J$27,'Main Budget'!$E$27,0)</f>
        <v>0</v>
      </c>
      <c r="O260" s="228">
        <f>B260+(SUM(H260:M260)+(SUM(D260:E260)))</f>
        <v>100</v>
      </c>
      <c r="P260" s="228">
        <f>C260+F260+G260+N260</f>
        <v>100</v>
      </c>
      <c r="Q260" s="252">
        <f>O260+P260</f>
        <v>200</v>
      </c>
      <c r="S260" s="231" t="str">
        <f>TEXT(A260,"dddd")</f>
        <v>Wednesday</v>
      </c>
    </row>
    <row r="261" spans="1:19" x14ac:dyDescent="0.25">
      <c r="A261" s="226">
        <v>46282</v>
      </c>
      <c r="B261" s="227">
        <f>O260</f>
        <v>100</v>
      </c>
      <c r="C261" s="228">
        <f>P260</f>
        <v>100</v>
      </c>
      <c r="D261" s="228">
        <f>IF(OR(DAY(A261+2)=1,DAY(A261+2)=15),-SUM('Main Budget'!$H$26:$H$31),0)</f>
        <v>0</v>
      </c>
      <c r="E261" s="228">
        <f>IF(DAY(A261+2)=22,-SUM('Main Budget'!$F$26:$F$31),0)</f>
        <v>0</v>
      </c>
      <c r="F261" s="228">
        <f>IF(D261&gt;0,-'Main Budget'!$H$25+0.15,0)</f>
        <v>0</v>
      </c>
      <c r="G261" s="228">
        <f>IF(E261&gt;0,-'Main Budget'!$F$25+0.81,0)</f>
        <v>0</v>
      </c>
      <c r="H261" s="227">
        <f>IF(DAY(A261)='Main Budget'!$J$26,'Main Budget'!$E$26,0)</f>
        <v>0</v>
      </c>
      <c r="I261" s="227">
        <f>IF(DAY(A261)='Main Budget'!$J$28,'Main Budget'!$E$28,0)</f>
        <v>0</v>
      </c>
      <c r="J261" s="227">
        <f>IF(DAY(A261)='Main Budget'!$J$29,'Main Budget'!$E$29,0)</f>
        <v>0</v>
      </c>
      <c r="K261" s="20">
        <f>IF(DAY(A261)='Main Budget'!$J$30,'Main Budget'!$E$30,0)</f>
        <v>0</v>
      </c>
      <c r="L261" s="20">
        <f>IF(DAY(A261)='Main Budget'!$J$31,'Main Budget'!$E$31,0)</f>
        <v>0</v>
      </c>
      <c r="M261" s="20">
        <f>IF(DAY(A261)='Main Budget'!$J$27,'Main Budget'!$E$27,0)</f>
        <v>0</v>
      </c>
      <c r="O261" s="228">
        <f>B261+(SUM(H261:M261)+(SUM(D261:E261)))</f>
        <v>100</v>
      </c>
      <c r="P261" s="228">
        <f>C261+F261+G261+N261</f>
        <v>100</v>
      </c>
      <c r="Q261" s="252">
        <f>O261+P261</f>
        <v>200</v>
      </c>
      <c r="S261" s="231" t="str">
        <f>TEXT(A261,"dddd")</f>
        <v>Thursday</v>
      </c>
    </row>
    <row r="262" spans="1:19" x14ac:dyDescent="0.25">
      <c r="A262" s="226">
        <v>46283</v>
      </c>
      <c r="B262" s="227">
        <f>O261</f>
        <v>100</v>
      </c>
      <c r="C262" s="228">
        <f>P261</f>
        <v>100</v>
      </c>
      <c r="D262" s="228">
        <f>IF(OR(DAY(A262+2)=1,DAY(A262+2)=15),-SUM('Main Budget'!$H$26:$H$31),0)</f>
        <v>0</v>
      </c>
      <c r="E262" s="228">
        <f>IF(DAY(A262+2)=22,-SUM('Main Budget'!$F$26:$F$31),0)</f>
        <v>0</v>
      </c>
      <c r="F262" s="228">
        <f>IF(D262&gt;0,-'Main Budget'!$H$25+0.15,0)</f>
        <v>0</v>
      </c>
      <c r="G262" s="228">
        <f>IF(E262&gt;0,-'Main Budget'!$F$25+0.81,0)</f>
        <v>0</v>
      </c>
      <c r="H262" s="227">
        <f>IF(DAY(A262)='Main Budget'!$J$26,'Main Budget'!$E$26,0)</f>
        <v>0</v>
      </c>
      <c r="I262" s="227">
        <f>IF(DAY(A262)='Main Budget'!$J$28,'Main Budget'!$E$28,0)</f>
        <v>0</v>
      </c>
      <c r="J262" s="227">
        <f>IF(DAY(A262)='Main Budget'!$J$29,'Main Budget'!$E$29,0)</f>
        <v>0</v>
      </c>
      <c r="K262" s="20">
        <f>IF(DAY(A262)='Main Budget'!$J$30,'Main Budget'!$E$30,0)</f>
        <v>0</v>
      </c>
      <c r="L262" s="20">
        <f>IF(DAY(A262)='Main Budget'!$J$31,'Main Budget'!$E$31,0)</f>
        <v>0</v>
      </c>
      <c r="M262" s="20">
        <f>IF(DAY(A262)='Main Budget'!$J$27,'Main Budget'!$E$27,0)</f>
        <v>0</v>
      </c>
      <c r="O262" s="228">
        <f>B262+(SUM(H262:M262)+(SUM(D262:E262)))</f>
        <v>100</v>
      </c>
      <c r="P262" s="228">
        <f>C262+F262+G262+N262</f>
        <v>100</v>
      </c>
      <c r="Q262" s="252">
        <f>O262+P262</f>
        <v>200</v>
      </c>
      <c r="S262" s="231" t="str">
        <f>TEXT(A262,"dddd")</f>
        <v>Friday</v>
      </c>
    </row>
    <row r="263" spans="1:19" x14ac:dyDescent="0.25">
      <c r="A263" s="226">
        <v>46284</v>
      </c>
      <c r="B263" s="227">
        <f>O262</f>
        <v>100</v>
      </c>
      <c r="C263" s="228">
        <f>P262</f>
        <v>100</v>
      </c>
      <c r="D263" s="228">
        <f>IF(OR(DAY(A263+2)=1,DAY(A263+2)=15),-SUM('Main Budget'!$H$26:$H$31),0)</f>
        <v>0</v>
      </c>
      <c r="E263" s="228">
        <f>IF(DAY(A263+2)=22,-SUM('Main Budget'!$F$26:$F$31),0)</f>
        <v>0</v>
      </c>
      <c r="F263" s="228">
        <f>IF(D263&gt;0,-'Main Budget'!$H$25+0.15,0)</f>
        <v>0</v>
      </c>
      <c r="G263" s="228">
        <f>IF(E263&gt;0,-'Main Budget'!$F$25+0.81,0)</f>
        <v>0</v>
      </c>
      <c r="H263" s="227">
        <f>IF(DAY(A263)='Main Budget'!$J$26,'Main Budget'!$E$26,0)</f>
        <v>0</v>
      </c>
      <c r="I263" s="227">
        <f>IF(DAY(A263)='Main Budget'!$J$28,'Main Budget'!$E$28,0)</f>
        <v>0</v>
      </c>
      <c r="J263" s="227">
        <f>IF(DAY(A263)='Main Budget'!$J$29,'Main Budget'!$E$29,0)</f>
        <v>0</v>
      </c>
      <c r="K263" s="20">
        <f>IF(DAY(A263)='Main Budget'!$J$30,'Main Budget'!$E$30,0)</f>
        <v>0</v>
      </c>
      <c r="L263" s="20">
        <f>IF(DAY(A263)='Main Budget'!$J$31,'Main Budget'!$E$31,0)</f>
        <v>0</v>
      </c>
      <c r="M263" s="20">
        <f>IF(DAY(A263)='Main Budget'!$J$27,'Main Budget'!$E$27,0)</f>
        <v>0</v>
      </c>
      <c r="O263" s="228">
        <f>B263+(SUM(H263:M263)+(SUM(D263:E263)))</f>
        <v>100</v>
      </c>
      <c r="P263" s="228">
        <f>C263+F263+G263+N263</f>
        <v>100</v>
      </c>
      <c r="Q263" s="252">
        <f>O263+P263</f>
        <v>200</v>
      </c>
      <c r="S263" s="231" t="str">
        <f>TEXT(A263,"dddd")</f>
        <v>Saturday</v>
      </c>
    </row>
    <row r="264" spans="1:19" x14ac:dyDescent="0.25">
      <c r="A264" s="226">
        <v>46285</v>
      </c>
      <c r="B264" s="227">
        <f>O263</f>
        <v>100</v>
      </c>
      <c r="C264" s="228">
        <f>P263</f>
        <v>100</v>
      </c>
      <c r="D264" s="228">
        <f>IF(OR(DAY(A264+2)=1,DAY(A264+2)=15),-SUM('Main Budget'!$H$26:$H$31),0)</f>
        <v>0</v>
      </c>
      <c r="E264" s="228">
        <f>IF(DAY(A264+2)=22,-SUM('Main Budget'!$F$26:$F$31),0)</f>
        <v>0</v>
      </c>
      <c r="F264" s="228">
        <f>IF(D264&gt;0,-'Main Budget'!$H$25+0.15,0)</f>
        <v>0</v>
      </c>
      <c r="G264" s="228">
        <f>IF(E264&gt;0,-'Main Budget'!$F$25+0.81,0)</f>
        <v>0</v>
      </c>
      <c r="H264" s="227">
        <f>IF(DAY(A264)='Main Budget'!$J$26,'Main Budget'!$E$26,0)</f>
        <v>0</v>
      </c>
      <c r="I264" s="227">
        <f>IF(DAY(A264)='Main Budget'!$J$28,'Main Budget'!$E$28,0)</f>
        <v>0</v>
      </c>
      <c r="J264" s="227">
        <f>IF(DAY(A264)='Main Budget'!$J$29,'Main Budget'!$E$29,0)</f>
        <v>0</v>
      </c>
      <c r="K264" s="20">
        <f>IF(DAY(A264)='Main Budget'!$J$30,'Main Budget'!$E$30,0)</f>
        <v>0</v>
      </c>
      <c r="L264" s="20">
        <f>IF(DAY(A264)='Main Budget'!$J$31,'Main Budget'!$E$31,0)</f>
        <v>0</v>
      </c>
      <c r="M264" s="20">
        <f>IF(DAY(A264)='Main Budget'!$J$27,'Main Budget'!$E$27,0)</f>
        <v>0</v>
      </c>
      <c r="O264" s="228">
        <f>B264+(SUM(H264:M264)+(SUM(D264:E264)))</f>
        <v>100</v>
      </c>
      <c r="P264" s="228">
        <f>C264+F264+G264+N264</f>
        <v>100</v>
      </c>
      <c r="Q264" s="252">
        <f>O264+P264</f>
        <v>200</v>
      </c>
      <c r="S264" s="231" t="str">
        <f>TEXT(A264,"dddd")</f>
        <v>Sunday</v>
      </c>
    </row>
    <row r="265" spans="1:19" x14ac:dyDescent="0.25">
      <c r="A265" s="226">
        <v>46286</v>
      </c>
      <c r="B265" s="227">
        <f>O264</f>
        <v>100</v>
      </c>
      <c r="C265" s="228">
        <f>P264</f>
        <v>100</v>
      </c>
      <c r="D265" s="228">
        <f>IF(OR(DAY(A265+2)=1,DAY(A265+2)=15),-SUM('Main Budget'!$H$26:$H$31),0)</f>
        <v>0</v>
      </c>
      <c r="E265" s="228">
        <f>IF(DAY(A265+2)=22,-SUM('Main Budget'!$F$26:$F$31),0)</f>
        <v>0</v>
      </c>
      <c r="F265" s="228">
        <f>IF(D265&gt;0,-'Main Budget'!$H$25+0.15,0)</f>
        <v>0</v>
      </c>
      <c r="G265" s="228">
        <f>IF(E265&gt;0,-'Main Budget'!$F$25+0.81,0)</f>
        <v>0</v>
      </c>
      <c r="H265" s="227">
        <f>IF(DAY(A265)='Main Budget'!$J$26,'Main Budget'!$E$26,0)</f>
        <v>0</v>
      </c>
      <c r="I265" s="227">
        <f>IF(DAY(A265)='Main Budget'!$J$28,'Main Budget'!$E$28,0)</f>
        <v>0</v>
      </c>
      <c r="J265" s="227">
        <f>IF(DAY(A265)='Main Budget'!$J$29,'Main Budget'!$E$29,0)</f>
        <v>0</v>
      </c>
      <c r="K265" s="20">
        <f>IF(DAY(A265)='Main Budget'!$J$30,'Main Budget'!$E$30,0)</f>
        <v>0</v>
      </c>
      <c r="L265" s="20">
        <f>IF(DAY(A265)='Main Budget'!$J$31,'Main Budget'!$E$31,0)</f>
        <v>0</v>
      </c>
      <c r="M265" s="20">
        <f>IF(DAY(A265)='Main Budget'!$J$27,'Main Budget'!$E$27,0)</f>
        <v>0</v>
      </c>
      <c r="O265" s="228">
        <f>B265+(SUM(H265:M265)+(SUM(D265:E265)))</f>
        <v>100</v>
      </c>
      <c r="P265" s="228">
        <f>C265+F265+G265+N265</f>
        <v>100</v>
      </c>
      <c r="Q265" s="252">
        <f>O265+P265</f>
        <v>200</v>
      </c>
      <c r="S265" s="231" t="str">
        <f>TEXT(A265,"dddd")</f>
        <v>Monday</v>
      </c>
    </row>
    <row r="266" spans="1:19" x14ac:dyDescent="0.25">
      <c r="A266" s="226">
        <v>46287</v>
      </c>
      <c r="B266" s="227">
        <f>O265</f>
        <v>100</v>
      </c>
      <c r="C266" s="228">
        <f>P265</f>
        <v>100</v>
      </c>
      <c r="D266" s="228">
        <f>IF(OR(DAY(A266+2)=1,DAY(A266+2)=15),-SUM('Main Budget'!$H$26:$H$31),0)</f>
        <v>0</v>
      </c>
      <c r="E266" s="228">
        <f>IF(DAY(A266+2)=22,-SUM('Main Budget'!$F$26:$F$31),0)</f>
        <v>0</v>
      </c>
      <c r="F266" s="228">
        <f>IF(D266&gt;0,-'Main Budget'!$H$25+0.15,0)</f>
        <v>0</v>
      </c>
      <c r="G266" s="228">
        <f>IF(E266&gt;0,-'Main Budget'!$F$25+0.81,0)</f>
        <v>0</v>
      </c>
      <c r="H266" s="227">
        <f>IF(DAY(A266)='Main Budget'!$J$26,'Main Budget'!$E$26,0)</f>
        <v>0</v>
      </c>
      <c r="I266" s="227">
        <f>IF(DAY(A266)='Main Budget'!$J$28,'Main Budget'!$E$28,0)</f>
        <v>0</v>
      </c>
      <c r="J266" s="227">
        <f>IF(DAY(A266)='Main Budget'!$J$29,'Main Budget'!$E$29,0)</f>
        <v>0</v>
      </c>
      <c r="K266" s="20">
        <f>IF(DAY(A266)='Main Budget'!$J$30,'Main Budget'!$E$30,0)</f>
        <v>0</v>
      </c>
      <c r="L266" s="20">
        <f>IF(DAY(A266)='Main Budget'!$J$31,'Main Budget'!$E$31,0)</f>
        <v>0</v>
      </c>
      <c r="M266" s="20">
        <f>IF(DAY(A266)='Main Budget'!$J$27,'Main Budget'!$E$27,0)</f>
        <v>0</v>
      </c>
      <c r="O266" s="228">
        <f>B266+(SUM(H266:M266)+(SUM(D266:E266)))</f>
        <v>100</v>
      </c>
      <c r="P266" s="228">
        <f>C266+F266+G266+N266</f>
        <v>100</v>
      </c>
      <c r="Q266" s="252">
        <f>O266+P266</f>
        <v>200</v>
      </c>
      <c r="S266" s="231" t="str">
        <f>TEXT(A266,"dddd")</f>
        <v>Tuesday</v>
      </c>
    </row>
    <row r="267" spans="1:19" x14ac:dyDescent="0.25">
      <c r="A267" s="226">
        <v>46288</v>
      </c>
      <c r="B267" s="227">
        <f>O266</f>
        <v>100</v>
      </c>
      <c r="C267" s="228">
        <f>P266</f>
        <v>100</v>
      </c>
      <c r="D267" s="228">
        <f>IF(OR(DAY(A267+2)=1,DAY(A267+2)=15),-SUM('Main Budget'!$H$26:$H$31),0)</f>
        <v>0</v>
      </c>
      <c r="E267" s="228">
        <f>IF(DAY(A267+2)=22,-SUM('Main Budget'!$F$26:$F$31),0)</f>
        <v>0</v>
      </c>
      <c r="F267" s="228">
        <f>IF(D267&gt;0,-'Main Budget'!$H$25+0.15,0)</f>
        <v>0</v>
      </c>
      <c r="G267" s="228">
        <f>IF(E267&gt;0,-'Main Budget'!$F$25+0.81,0)</f>
        <v>0</v>
      </c>
      <c r="H267" s="227">
        <f>IF(DAY(A267)='Main Budget'!$J$26,'Main Budget'!$E$26,0)</f>
        <v>0</v>
      </c>
      <c r="I267" s="227">
        <f>IF(DAY(A267)='Main Budget'!$J$28,'Main Budget'!$E$28,0)</f>
        <v>0</v>
      </c>
      <c r="J267" s="227">
        <f>IF(DAY(A267)='Main Budget'!$J$29,'Main Budget'!$E$29,0)</f>
        <v>0</v>
      </c>
      <c r="K267" s="20">
        <f>IF(DAY(A267)='Main Budget'!$J$30,'Main Budget'!$E$30,0)</f>
        <v>0</v>
      </c>
      <c r="L267" s="20">
        <f>IF(DAY(A267)='Main Budget'!$J$31,'Main Budget'!$E$31,0)</f>
        <v>0</v>
      </c>
      <c r="M267" s="20">
        <f>IF(DAY(A267)='Main Budget'!$J$27,'Main Budget'!$E$27,0)</f>
        <v>0</v>
      </c>
      <c r="O267" s="228">
        <f>B267+(SUM(H267:M267)+(SUM(D267:E267)))</f>
        <v>100</v>
      </c>
      <c r="P267" s="228">
        <f>C267+F267+G267+N267</f>
        <v>100</v>
      </c>
      <c r="Q267" s="252">
        <f>O267+P267</f>
        <v>200</v>
      </c>
      <c r="S267" s="231" t="str">
        <f>TEXT(A267,"dddd")</f>
        <v>Wednesday</v>
      </c>
    </row>
    <row r="268" spans="1:19" x14ac:dyDescent="0.25">
      <c r="A268" s="226">
        <v>46289</v>
      </c>
      <c r="B268" s="227">
        <f>O267</f>
        <v>100</v>
      </c>
      <c r="C268" s="228">
        <f>P267</f>
        <v>100</v>
      </c>
      <c r="D268" s="228">
        <f>IF(OR(DAY(A268+2)=1,DAY(A268+2)=15),-SUM('Main Budget'!$H$26:$H$31),0)</f>
        <v>0</v>
      </c>
      <c r="E268" s="228">
        <f>IF(DAY(A268+2)=22,-SUM('Main Budget'!$F$26:$F$31),0)</f>
        <v>0</v>
      </c>
      <c r="F268" s="228">
        <f>IF(D268&gt;0,-'Main Budget'!$H$25+0.15,0)</f>
        <v>0</v>
      </c>
      <c r="G268" s="228">
        <f>IF(E268&gt;0,-'Main Budget'!$F$25+0.81,0)</f>
        <v>0</v>
      </c>
      <c r="H268" s="227">
        <f>IF(DAY(A268)='Main Budget'!$J$26,'Main Budget'!$E$26,0)</f>
        <v>0</v>
      </c>
      <c r="I268" s="227">
        <f>IF(DAY(A268)='Main Budget'!$J$28,'Main Budget'!$E$28,0)</f>
        <v>0</v>
      </c>
      <c r="J268" s="227">
        <f>IF(DAY(A268)='Main Budget'!$J$29,'Main Budget'!$E$29,0)</f>
        <v>0</v>
      </c>
      <c r="K268" s="20">
        <f>IF(DAY(A268)='Main Budget'!$J$30,'Main Budget'!$E$30,0)</f>
        <v>0</v>
      </c>
      <c r="L268" s="20">
        <f>IF(DAY(A268)='Main Budget'!$J$31,'Main Budget'!$E$31,0)</f>
        <v>0</v>
      </c>
      <c r="M268" s="20">
        <f>IF(DAY(A268)='Main Budget'!$J$27,'Main Budget'!$E$27,0)</f>
        <v>0</v>
      </c>
      <c r="O268" s="228">
        <f>B268+(SUM(H268:M268)+(SUM(D268:E268)))</f>
        <v>100</v>
      </c>
      <c r="P268" s="228">
        <f>C268+F268+G268+N268</f>
        <v>100</v>
      </c>
      <c r="Q268" s="252">
        <f>O268+P268</f>
        <v>200</v>
      </c>
      <c r="S268" s="231" t="str">
        <f>TEXT(A268,"dddd")</f>
        <v>Thursday</v>
      </c>
    </row>
    <row r="269" spans="1:19" x14ac:dyDescent="0.25">
      <c r="A269" s="226">
        <v>46290</v>
      </c>
      <c r="B269" s="227">
        <f>O268</f>
        <v>100</v>
      </c>
      <c r="C269" s="228">
        <f>P268</f>
        <v>100</v>
      </c>
      <c r="D269" s="228">
        <f>IF(OR(DAY(A269+2)=1,DAY(A269+2)=15),-SUM('Main Budget'!$H$26:$H$31),0)</f>
        <v>0</v>
      </c>
      <c r="E269" s="228">
        <f>IF(DAY(A269+2)=22,-SUM('Main Budget'!$F$26:$F$31),0)</f>
        <v>0</v>
      </c>
      <c r="F269" s="228">
        <f>IF(D269&gt;0,-'Main Budget'!$H$25+0.15,0)</f>
        <v>0</v>
      </c>
      <c r="G269" s="228">
        <f>IF(E269&gt;0,-'Main Budget'!$F$25+0.81,0)</f>
        <v>0</v>
      </c>
      <c r="H269" s="227">
        <f>IF(DAY(A269)='Main Budget'!$J$26,'Main Budget'!$E$26,0)</f>
        <v>0</v>
      </c>
      <c r="I269" s="227">
        <f>IF(DAY(A269)='Main Budget'!$J$28,'Main Budget'!$E$28,0)</f>
        <v>0</v>
      </c>
      <c r="J269" s="227">
        <f>IF(DAY(A269)='Main Budget'!$J$29,'Main Budget'!$E$29,0)</f>
        <v>0</v>
      </c>
      <c r="K269" s="20">
        <f>IF(DAY(A269)='Main Budget'!$J$30,'Main Budget'!$E$30,0)</f>
        <v>0</v>
      </c>
      <c r="L269" s="20">
        <f>IF(DAY(A269)='Main Budget'!$J$31,'Main Budget'!$E$31,0)</f>
        <v>0</v>
      </c>
      <c r="M269" s="20">
        <f>IF(DAY(A269)='Main Budget'!$J$27,'Main Budget'!$E$27,0)</f>
        <v>0</v>
      </c>
      <c r="O269" s="228">
        <f>B269+(SUM(H269:M269)+(SUM(D269:E269)))</f>
        <v>100</v>
      </c>
      <c r="P269" s="228">
        <f>C269+F269+G269+N269</f>
        <v>100</v>
      </c>
      <c r="Q269" s="252">
        <f>O269+P269</f>
        <v>200</v>
      </c>
      <c r="S269" s="231" t="str">
        <f>TEXT(A269,"dddd")</f>
        <v>Friday</v>
      </c>
    </row>
    <row r="270" spans="1:19" x14ac:dyDescent="0.25">
      <c r="A270" s="226">
        <v>46291</v>
      </c>
      <c r="B270" s="227">
        <f>O269</f>
        <v>100</v>
      </c>
      <c r="C270" s="228">
        <f>P269</f>
        <v>100</v>
      </c>
      <c r="D270" s="228">
        <f>IF(OR(DAY(A270+2)=1,DAY(A270+2)=15),-SUM('Main Budget'!$H$26:$H$31),0)</f>
        <v>0</v>
      </c>
      <c r="E270" s="228">
        <f>IF(DAY(A270+2)=22,-SUM('Main Budget'!$F$26:$F$31),0)</f>
        <v>0</v>
      </c>
      <c r="F270" s="228">
        <f>IF(D270&gt;0,-'Main Budget'!$H$25+0.15,0)</f>
        <v>0</v>
      </c>
      <c r="G270" s="228">
        <f>IF(E270&gt;0,-'Main Budget'!$F$25+0.81,0)</f>
        <v>0</v>
      </c>
      <c r="H270" s="227">
        <f>IF(DAY(A270)='Main Budget'!$J$26,'Main Budget'!$E$26,0)</f>
        <v>0</v>
      </c>
      <c r="I270" s="227">
        <f>IF(DAY(A270)='Main Budget'!$J$28,'Main Budget'!$E$28,0)</f>
        <v>0</v>
      </c>
      <c r="J270" s="227">
        <f>IF(DAY(A270)='Main Budget'!$J$29,'Main Budget'!$E$29,0)</f>
        <v>0</v>
      </c>
      <c r="K270" s="20">
        <f>IF(DAY(A270)='Main Budget'!$J$30,'Main Budget'!$E$30,0)</f>
        <v>0</v>
      </c>
      <c r="L270" s="20">
        <f>IF(DAY(A270)='Main Budget'!$J$31,'Main Budget'!$E$31,0)</f>
        <v>0</v>
      </c>
      <c r="M270" s="20">
        <f>IF(DAY(A270)='Main Budget'!$J$27,'Main Budget'!$E$27,0)</f>
        <v>0</v>
      </c>
      <c r="O270" s="228">
        <f>B270+(SUM(H270:M270)+(SUM(D270:E270)))</f>
        <v>100</v>
      </c>
      <c r="P270" s="228">
        <f>C270+F270+G270+N270</f>
        <v>100</v>
      </c>
      <c r="Q270" s="252">
        <f>O270+P270</f>
        <v>200</v>
      </c>
      <c r="S270" s="231" t="str">
        <f>TEXT(A270,"dddd")</f>
        <v>Saturday</v>
      </c>
    </row>
    <row r="271" spans="1:19" x14ac:dyDescent="0.25">
      <c r="A271" s="226">
        <v>46292</v>
      </c>
      <c r="B271" s="227">
        <f>O270</f>
        <v>100</v>
      </c>
      <c r="C271" s="228">
        <f>P270</f>
        <v>100</v>
      </c>
      <c r="D271" s="228">
        <f>IF(OR(DAY(A271+2)=1,DAY(A271+2)=15),-SUM('Main Budget'!$H$26:$H$31),0)</f>
        <v>0</v>
      </c>
      <c r="E271" s="228">
        <f>IF(DAY(A271+2)=22,-SUM('Main Budget'!$F$26:$F$31),0)</f>
        <v>0</v>
      </c>
      <c r="F271" s="228">
        <f>IF(D271&gt;0,-'Main Budget'!$H$25+0.15,0)</f>
        <v>0</v>
      </c>
      <c r="G271" s="228">
        <f>IF(E271&gt;0,-'Main Budget'!$F$25+0.81,0)</f>
        <v>0</v>
      </c>
      <c r="H271" s="227">
        <f>IF(DAY(A271)='Main Budget'!$J$26,'Main Budget'!$E$26,0)</f>
        <v>0</v>
      </c>
      <c r="I271" s="227">
        <f>IF(DAY(A271)='Main Budget'!$J$28,'Main Budget'!$E$28,0)</f>
        <v>0</v>
      </c>
      <c r="J271" s="227">
        <f>IF(DAY(A271)='Main Budget'!$J$29,'Main Budget'!$E$29,0)</f>
        <v>0</v>
      </c>
      <c r="K271" s="20">
        <f>IF(DAY(A271)='Main Budget'!$J$30,'Main Budget'!$E$30,0)</f>
        <v>0</v>
      </c>
      <c r="L271" s="20">
        <f>IF(DAY(A271)='Main Budget'!$J$31,'Main Budget'!$E$31,0)</f>
        <v>0</v>
      </c>
      <c r="M271" s="20">
        <f>IF(DAY(A271)='Main Budget'!$J$27,'Main Budget'!$E$27,0)</f>
        <v>0</v>
      </c>
      <c r="O271" s="228">
        <f>B271+(SUM(H271:M271)+(SUM(D271:E271)))</f>
        <v>100</v>
      </c>
      <c r="P271" s="228">
        <f>C271+F271+G271+N271</f>
        <v>100</v>
      </c>
      <c r="Q271" s="252">
        <f>O271+P271</f>
        <v>200</v>
      </c>
      <c r="S271" s="231" t="str">
        <f>TEXT(A271,"dddd")</f>
        <v>Sunday</v>
      </c>
    </row>
    <row r="272" spans="1:19" x14ac:dyDescent="0.25">
      <c r="A272" s="226">
        <v>46293</v>
      </c>
      <c r="B272" s="227">
        <f>O271</f>
        <v>100</v>
      </c>
      <c r="C272" s="228">
        <f>P271</f>
        <v>100</v>
      </c>
      <c r="D272" s="228">
        <f>IF(OR(DAY(A272+2)=1,DAY(A272+2)=15),-SUM('Main Budget'!$H$26:$H$31),0)</f>
        <v>0</v>
      </c>
      <c r="E272" s="228">
        <f>IF(DAY(A272+2)=22,-SUM('Main Budget'!$F$26:$F$31),0)</f>
        <v>0</v>
      </c>
      <c r="F272" s="228">
        <f>IF(D272&gt;0,-'Main Budget'!$H$25+0.15,0)</f>
        <v>0</v>
      </c>
      <c r="G272" s="228">
        <f>IF(E272&gt;0,-'Main Budget'!$F$25+0.81,0)</f>
        <v>0</v>
      </c>
      <c r="H272" s="227">
        <f>IF(DAY(A272)='Main Budget'!$J$26,'Main Budget'!$E$26,0)</f>
        <v>0</v>
      </c>
      <c r="I272" s="227">
        <f>IF(DAY(A272)='Main Budget'!$J$28,'Main Budget'!$E$28,0)</f>
        <v>0</v>
      </c>
      <c r="J272" s="227">
        <f>IF(DAY(A272)='Main Budget'!$J$29,'Main Budget'!$E$29,0)</f>
        <v>0</v>
      </c>
      <c r="K272" s="20">
        <f>IF(DAY(A272)='Main Budget'!$J$30,'Main Budget'!$E$30,0)</f>
        <v>0</v>
      </c>
      <c r="L272" s="20">
        <f>IF(DAY(A272)='Main Budget'!$J$31,'Main Budget'!$E$31,0)</f>
        <v>0</v>
      </c>
      <c r="M272" s="20">
        <f>IF(DAY(A272)='Main Budget'!$J$27,'Main Budget'!$E$27,0)</f>
        <v>0</v>
      </c>
      <c r="O272" s="228">
        <f>B272+(SUM(H272:M272)+(SUM(D272:E272)))</f>
        <v>100</v>
      </c>
      <c r="P272" s="228">
        <f>C272+F272+G272+N272</f>
        <v>100</v>
      </c>
      <c r="Q272" s="252">
        <f>O272+P272</f>
        <v>200</v>
      </c>
      <c r="S272" s="231" t="str">
        <f>TEXT(A272,"dddd")</f>
        <v>Monday</v>
      </c>
    </row>
    <row r="273" spans="1:19" x14ac:dyDescent="0.25">
      <c r="A273" s="226">
        <v>46294</v>
      </c>
      <c r="B273" s="227">
        <f>O272</f>
        <v>100</v>
      </c>
      <c r="C273" s="228">
        <f>P272</f>
        <v>100</v>
      </c>
      <c r="D273" s="228">
        <f>IF(OR(DAY(A273+2)=1,DAY(A273+2)=15),-SUM('Main Budget'!$H$26:$H$31),0)</f>
        <v>0</v>
      </c>
      <c r="E273" s="228">
        <f>IF(DAY(A273+2)=22,-SUM('Main Budget'!$F$26:$F$31),0)</f>
        <v>0</v>
      </c>
      <c r="F273" s="228">
        <f>IF(D273&gt;0,-'Main Budget'!$H$25+0.15,0)</f>
        <v>0</v>
      </c>
      <c r="G273" s="228">
        <f>IF(E273&gt;0,-'Main Budget'!$F$25+0.81,0)</f>
        <v>0</v>
      </c>
      <c r="H273" s="227">
        <f>IF(DAY(A273)='Main Budget'!$J$26,'Main Budget'!$E$26,0)</f>
        <v>0</v>
      </c>
      <c r="I273" s="227">
        <f>IF(DAY(A273)='Main Budget'!$J$28,'Main Budget'!$E$28,0)</f>
        <v>0</v>
      </c>
      <c r="J273" s="227">
        <f>IF(DAY(A273)='Main Budget'!$J$29,'Main Budget'!$E$29,0)</f>
        <v>0</v>
      </c>
      <c r="K273" s="20">
        <f>IF(DAY(A273)='Main Budget'!$J$30,'Main Budget'!$E$30,0)</f>
        <v>0</v>
      </c>
      <c r="L273" s="20">
        <f>IF(DAY(A273)='Main Budget'!$J$31,'Main Budget'!$E$31,0)</f>
        <v>0</v>
      </c>
      <c r="M273" s="20">
        <f>IF(DAY(A273)='Main Budget'!$J$27,'Main Budget'!$E$27,0)</f>
        <v>0</v>
      </c>
      <c r="O273" s="228">
        <f>B273+(SUM(H273:M273)+(SUM(D273:E273)))</f>
        <v>100</v>
      </c>
      <c r="P273" s="228">
        <f>C273+F273+G273+N273</f>
        <v>100</v>
      </c>
      <c r="Q273" s="252">
        <f>O273+P273</f>
        <v>200</v>
      </c>
      <c r="S273" s="231" t="str">
        <f>TEXT(A273,"dddd")</f>
        <v>Tuesday</v>
      </c>
    </row>
    <row r="274" spans="1:19" x14ac:dyDescent="0.25">
      <c r="A274" s="226">
        <v>46295</v>
      </c>
      <c r="B274" s="227">
        <f>O273</f>
        <v>100</v>
      </c>
      <c r="C274" s="228">
        <f>P273</f>
        <v>100</v>
      </c>
      <c r="D274" s="228">
        <f>IF(OR(DAY(A274+2)=1,DAY(A274+2)=15),-SUM('Main Budget'!$H$26:$H$31),0)</f>
        <v>0</v>
      </c>
      <c r="E274" s="228">
        <f>IF(DAY(A274+2)=22,-SUM('Main Budget'!$F$26:$F$31),0)</f>
        <v>0</v>
      </c>
      <c r="F274" s="228">
        <f>IF(D274&gt;0,-'Main Budget'!$H$25+0.15,0)</f>
        <v>0</v>
      </c>
      <c r="G274" s="228">
        <f>IF(E274&gt;0,-'Main Budget'!$F$25+0.81,0)</f>
        <v>0</v>
      </c>
      <c r="H274" s="227">
        <f>IF(DAY(A274)='Main Budget'!$J$26,'Main Budget'!$E$26,0)</f>
        <v>0</v>
      </c>
      <c r="I274" s="227">
        <f>IF(DAY(A274)='Main Budget'!$J$28,'Main Budget'!$E$28,0)</f>
        <v>0</v>
      </c>
      <c r="J274" s="227">
        <f>IF(DAY(A274)='Main Budget'!$J$29,'Main Budget'!$E$29,0)</f>
        <v>0</v>
      </c>
      <c r="K274" s="20">
        <f>IF(DAY(A274)='Main Budget'!$J$30,'Main Budget'!$E$30,0)</f>
        <v>0</v>
      </c>
      <c r="L274" s="20">
        <f>IF(DAY(A274)='Main Budget'!$J$31,'Main Budget'!$E$31,0)</f>
        <v>0</v>
      </c>
      <c r="M274" s="20">
        <f>IF(DAY(A274)='Main Budget'!$J$27,'Main Budget'!$E$27,0)</f>
        <v>0</v>
      </c>
      <c r="O274" s="228">
        <f>B274+(SUM(H274:M274)+(SUM(D274:E274)))</f>
        <v>100</v>
      </c>
      <c r="P274" s="228">
        <f>C274+F274+G274+N274</f>
        <v>100</v>
      </c>
      <c r="Q274" s="252">
        <f>O274+P274</f>
        <v>200</v>
      </c>
      <c r="S274" s="231" t="str">
        <f>TEXT(A274,"dddd")</f>
        <v>Wednesday</v>
      </c>
    </row>
    <row r="275" spans="1:19" x14ac:dyDescent="0.25">
      <c r="A275" s="226">
        <v>46296</v>
      </c>
      <c r="B275" s="227">
        <f>O274</f>
        <v>100</v>
      </c>
      <c r="C275" s="228">
        <f>P274</f>
        <v>100</v>
      </c>
      <c r="D275" s="228">
        <f>IF(OR(DAY(A275+2)=1,DAY(A275+2)=15),-SUM('Main Budget'!$H$26:$H$31),0)</f>
        <v>0</v>
      </c>
      <c r="E275" s="228">
        <f>IF(DAY(A275+2)=22,-SUM('Main Budget'!$F$26:$F$31),0)</f>
        <v>0</v>
      </c>
      <c r="F275" s="228">
        <f>IF(D275&gt;0,-'Main Budget'!$H$25+0.15,0)</f>
        <v>0</v>
      </c>
      <c r="G275" s="228">
        <f>IF(E275&gt;0,-'Main Budget'!$F$25+0.81,0)</f>
        <v>0</v>
      </c>
      <c r="H275" s="227">
        <f>IF(DAY(A275)='Main Budget'!$J$26,'Main Budget'!$E$26,0)</f>
        <v>0</v>
      </c>
      <c r="I275" s="227">
        <f>IF(DAY(A275)='Main Budget'!$J$28,'Main Budget'!$E$28,0)</f>
        <v>0</v>
      </c>
      <c r="J275" s="227">
        <f>IF(DAY(A275)='Main Budget'!$J$29,'Main Budget'!$E$29,0)</f>
        <v>0</v>
      </c>
      <c r="K275" s="20">
        <f>IF(DAY(A275)='Main Budget'!$J$30,'Main Budget'!$E$30,0)</f>
        <v>0</v>
      </c>
      <c r="L275" s="20">
        <f>IF(DAY(A275)='Main Budget'!$J$31,'Main Budget'!$E$31,0)</f>
        <v>0</v>
      </c>
      <c r="M275" s="20">
        <f>IF(DAY(A275)='Main Budget'!$J$27,'Main Budget'!$E$27,0)</f>
        <v>0</v>
      </c>
      <c r="O275" s="228">
        <f>B275+(SUM(H275:M275)+(SUM(D275:E275)))</f>
        <v>100</v>
      </c>
      <c r="P275" s="228">
        <f>C275+F275+G275+N275</f>
        <v>100</v>
      </c>
      <c r="Q275" s="252">
        <f>O275+P275</f>
        <v>200</v>
      </c>
      <c r="S275" s="231" t="str">
        <f>TEXT(A275,"dddd")</f>
        <v>Thursday</v>
      </c>
    </row>
    <row r="276" spans="1:19" x14ac:dyDescent="0.25">
      <c r="A276" s="226">
        <v>46297</v>
      </c>
      <c r="B276" s="227">
        <f>O275</f>
        <v>100</v>
      </c>
      <c r="C276" s="228">
        <f>P275</f>
        <v>100</v>
      </c>
      <c r="D276" s="228">
        <f>IF(OR(DAY(A276+2)=1,DAY(A276+2)=15),-SUM('Main Budget'!$H$26:$H$31),0)</f>
        <v>0</v>
      </c>
      <c r="E276" s="228">
        <f>IF(DAY(A276+2)=22,-SUM('Main Budget'!$F$26:$F$31),0)</f>
        <v>0</v>
      </c>
      <c r="F276" s="228">
        <f>IF(D276&gt;0,-'Main Budget'!$H$25+0.15,0)</f>
        <v>0</v>
      </c>
      <c r="G276" s="228">
        <f>IF(E276&gt;0,-'Main Budget'!$F$25+0.81,0)</f>
        <v>0</v>
      </c>
      <c r="H276" s="227">
        <f>IF(DAY(A276)='Main Budget'!$J$26,'Main Budget'!$E$26,0)</f>
        <v>0</v>
      </c>
      <c r="I276" s="227">
        <f>IF(DAY(A276)='Main Budget'!$J$28,'Main Budget'!$E$28,0)</f>
        <v>0</v>
      </c>
      <c r="J276" s="227">
        <f>IF(DAY(A276)='Main Budget'!$J$29,'Main Budget'!$E$29,0)</f>
        <v>0</v>
      </c>
      <c r="K276" s="20">
        <f>IF(DAY(A276)='Main Budget'!$J$30,'Main Budget'!$E$30,0)</f>
        <v>0</v>
      </c>
      <c r="L276" s="20">
        <f>IF(DAY(A276)='Main Budget'!$J$31,'Main Budget'!$E$31,0)</f>
        <v>0</v>
      </c>
      <c r="M276" s="20">
        <f>IF(DAY(A276)='Main Budget'!$J$27,'Main Budget'!$E$27,0)</f>
        <v>0</v>
      </c>
      <c r="O276" s="228">
        <f>B276+(SUM(H276:M276)+(SUM(D276:E276)))</f>
        <v>100</v>
      </c>
      <c r="P276" s="228">
        <f>C276+F276+G276+N276</f>
        <v>100</v>
      </c>
      <c r="Q276" s="252">
        <f>O276+P276</f>
        <v>200</v>
      </c>
      <c r="S276" s="231" t="str">
        <f>TEXT(A276,"dddd")</f>
        <v>Friday</v>
      </c>
    </row>
    <row r="277" spans="1:19" x14ac:dyDescent="0.25">
      <c r="A277" s="226">
        <v>46298</v>
      </c>
      <c r="B277" s="227">
        <f>O276</f>
        <v>100</v>
      </c>
      <c r="C277" s="228">
        <f>P276</f>
        <v>100</v>
      </c>
      <c r="D277" s="228">
        <f>IF(OR(DAY(A277+2)=1,DAY(A277+2)=15),-SUM('Main Budget'!$H$26:$H$31),0)</f>
        <v>0</v>
      </c>
      <c r="E277" s="228">
        <f>IF(DAY(A277+2)=22,-SUM('Main Budget'!$F$26:$F$31),0)</f>
        <v>0</v>
      </c>
      <c r="F277" s="228">
        <f>IF(D277&gt;0,-'Main Budget'!$H$25+0.15,0)</f>
        <v>0</v>
      </c>
      <c r="G277" s="228">
        <f>IF(E277&gt;0,-'Main Budget'!$F$25+0.81,0)</f>
        <v>0</v>
      </c>
      <c r="H277" s="227">
        <f>IF(DAY(A277)='Main Budget'!$J$26,'Main Budget'!$E$26,0)</f>
        <v>0</v>
      </c>
      <c r="I277" s="227">
        <f>IF(DAY(A277)='Main Budget'!$J$28,'Main Budget'!$E$28,0)</f>
        <v>0</v>
      </c>
      <c r="J277" s="227">
        <f>IF(DAY(A277)='Main Budget'!$J$29,'Main Budget'!$E$29,0)</f>
        <v>0</v>
      </c>
      <c r="K277" s="20">
        <f>IF(DAY(A277)='Main Budget'!$J$30,'Main Budget'!$E$30,0)</f>
        <v>0</v>
      </c>
      <c r="L277" s="20">
        <f>IF(DAY(A277)='Main Budget'!$J$31,'Main Budget'!$E$31,0)</f>
        <v>0</v>
      </c>
      <c r="M277" s="20">
        <f>IF(DAY(A277)='Main Budget'!$J$27,'Main Budget'!$E$27,0)</f>
        <v>0</v>
      </c>
      <c r="O277" s="228">
        <f>B277+(SUM(H277:M277)+(SUM(D277:E277)))</f>
        <v>100</v>
      </c>
      <c r="P277" s="228">
        <f>C277+F277+G277+N277</f>
        <v>100</v>
      </c>
      <c r="Q277" s="252">
        <f>O277+P277</f>
        <v>200</v>
      </c>
      <c r="S277" s="231" t="str">
        <f>TEXT(A277,"dddd")</f>
        <v>Saturday</v>
      </c>
    </row>
    <row r="278" spans="1:19" x14ac:dyDescent="0.25">
      <c r="A278" s="226">
        <v>46299</v>
      </c>
      <c r="B278" s="227">
        <f>O277</f>
        <v>100</v>
      </c>
      <c r="C278" s="228">
        <f>P277</f>
        <v>100</v>
      </c>
      <c r="D278" s="228">
        <f>IF(OR(DAY(A278+2)=1,DAY(A278+2)=15),-SUM('Main Budget'!$H$26:$H$31),0)</f>
        <v>0</v>
      </c>
      <c r="E278" s="228">
        <f>IF(DAY(A278+2)=22,-SUM('Main Budget'!$F$26:$F$31),0)</f>
        <v>0</v>
      </c>
      <c r="F278" s="228">
        <f>IF(D278&gt;0,-'Main Budget'!$H$25+0.15,0)</f>
        <v>0</v>
      </c>
      <c r="G278" s="228">
        <f>IF(E278&gt;0,-'Main Budget'!$F$25+0.81,0)</f>
        <v>0</v>
      </c>
      <c r="H278" s="227">
        <f>IF(DAY(A278)='Main Budget'!$J$26,'Main Budget'!$E$26,0)</f>
        <v>0</v>
      </c>
      <c r="I278" s="227">
        <f>IF(DAY(A278)='Main Budget'!$J$28,'Main Budget'!$E$28,0)</f>
        <v>0</v>
      </c>
      <c r="J278" s="227">
        <f>IF(DAY(A278)='Main Budget'!$J$29,'Main Budget'!$E$29,0)</f>
        <v>0</v>
      </c>
      <c r="K278" s="20">
        <f>IF(DAY(A278)='Main Budget'!$J$30,'Main Budget'!$E$30,0)</f>
        <v>0</v>
      </c>
      <c r="L278" s="20">
        <f>IF(DAY(A278)='Main Budget'!$J$31,'Main Budget'!$E$31,0)</f>
        <v>0</v>
      </c>
      <c r="M278" s="20">
        <f>IF(DAY(A278)='Main Budget'!$J$27,'Main Budget'!$E$27,0)</f>
        <v>0</v>
      </c>
      <c r="O278" s="228">
        <f>B278+(SUM(H278:M278)+(SUM(D278:E278)))</f>
        <v>100</v>
      </c>
      <c r="P278" s="228">
        <f>C278+F278+G278+N278</f>
        <v>100</v>
      </c>
      <c r="Q278" s="252">
        <f>O278+P278</f>
        <v>200</v>
      </c>
      <c r="S278" s="231" t="str">
        <f>TEXT(A278,"dddd")</f>
        <v>Sunday</v>
      </c>
    </row>
    <row r="279" spans="1:19" x14ac:dyDescent="0.25">
      <c r="A279" s="226">
        <v>46300</v>
      </c>
      <c r="B279" s="227">
        <f>O278</f>
        <v>100</v>
      </c>
      <c r="C279" s="228">
        <f>P278</f>
        <v>100</v>
      </c>
      <c r="D279" s="228">
        <f>IF(OR(DAY(A279+2)=1,DAY(A279+2)=15),-SUM('Main Budget'!$H$26:$H$31),0)</f>
        <v>0</v>
      </c>
      <c r="E279" s="228">
        <f>IF(DAY(A279+2)=22,-SUM('Main Budget'!$F$26:$F$31),0)</f>
        <v>0</v>
      </c>
      <c r="F279" s="228">
        <f>IF(D279&gt;0,-'Main Budget'!$H$25+0.15,0)</f>
        <v>0</v>
      </c>
      <c r="G279" s="228">
        <f>IF(E279&gt;0,-'Main Budget'!$F$25+0.81,0)</f>
        <v>0</v>
      </c>
      <c r="H279" s="227">
        <f>IF(DAY(A279)='Main Budget'!$J$26,'Main Budget'!$E$26,0)</f>
        <v>0</v>
      </c>
      <c r="I279" s="227">
        <f>IF(DAY(A279)='Main Budget'!$J$28,'Main Budget'!$E$28,0)</f>
        <v>0</v>
      </c>
      <c r="J279" s="227">
        <f>IF(DAY(A279)='Main Budget'!$J$29,'Main Budget'!$E$29,0)</f>
        <v>0</v>
      </c>
      <c r="K279" s="20">
        <f>IF(DAY(A279)='Main Budget'!$J$30,'Main Budget'!$E$30,0)</f>
        <v>0</v>
      </c>
      <c r="L279" s="20">
        <f>IF(DAY(A279)='Main Budget'!$J$31,'Main Budget'!$E$31,0)</f>
        <v>0</v>
      </c>
      <c r="M279" s="20">
        <f>IF(DAY(A279)='Main Budget'!$J$27,'Main Budget'!$E$27,0)</f>
        <v>0</v>
      </c>
      <c r="O279" s="228">
        <f>B279+(SUM(H279:M279)+(SUM(D279:E279)))</f>
        <v>100</v>
      </c>
      <c r="P279" s="228">
        <f>C279+F279+G279+N279</f>
        <v>100</v>
      </c>
      <c r="Q279" s="252">
        <f>O279+P279</f>
        <v>200</v>
      </c>
      <c r="S279" s="231" t="str">
        <f>TEXT(A279,"dddd")</f>
        <v>Monday</v>
      </c>
    </row>
    <row r="280" spans="1:19" x14ac:dyDescent="0.25">
      <c r="A280" s="226">
        <v>46301</v>
      </c>
      <c r="B280" s="227">
        <f>O279</f>
        <v>100</v>
      </c>
      <c r="C280" s="228">
        <f>P279</f>
        <v>100</v>
      </c>
      <c r="D280" s="228">
        <f>IF(OR(DAY(A280+2)=1,DAY(A280+2)=15),-SUM('Main Budget'!$H$26:$H$31),0)</f>
        <v>0</v>
      </c>
      <c r="E280" s="228">
        <f>IF(DAY(A280+2)=22,-SUM('Main Budget'!$F$26:$F$31),0)</f>
        <v>0</v>
      </c>
      <c r="F280" s="228">
        <f>IF(D280&gt;0,-'Main Budget'!$H$25+0.15,0)</f>
        <v>0</v>
      </c>
      <c r="G280" s="228">
        <f>IF(E280&gt;0,-'Main Budget'!$F$25+0.81,0)</f>
        <v>0</v>
      </c>
      <c r="H280" s="227">
        <f>IF(DAY(A280)='Main Budget'!$J$26,'Main Budget'!$E$26,0)</f>
        <v>0</v>
      </c>
      <c r="I280" s="227">
        <f>IF(DAY(A280)='Main Budget'!$J$28,'Main Budget'!$E$28,0)</f>
        <v>0</v>
      </c>
      <c r="J280" s="227">
        <f>IF(DAY(A280)='Main Budget'!$J$29,'Main Budget'!$E$29,0)</f>
        <v>0</v>
      </c>
      <c r="K280" s="20">
        <f>IF(DAY(A280)='Main Budget'!$J$30,'Main Budget'!$E$30,0)</f>
        <v>0</v>
      </c>
      <c r="L280" s="20">
        <f>IF(DAY(A280)='Main Budget'!$J$31,'Main Budget'!$E$31,0)</f>
        <v>0</v>
      </c>
      <c r="M280" s="20">
        <f>IF(DAY(A280)='Main Budget'!$J$27,'Main Budget'!$E$27,0)</f>
        <v>0</v>
      </c>
      <c r="O280" s="228">
        <f>B280+(SUM(H280:M280)+(SUM(D280:E280)))</f>
        <v>100</v>
      </c>
      <c r="P280" s="228">
        <f>C280+F280+G280+N280</f>
        <v>100</v>
      </c>
      <c r="Q280" s="252">
        <f>O280+P280</f>
        <v>200</v>
      </c>
      <c r="S280" s="231" t="str">
        <f>TEXT(A280,"dddd")</f>
        <v>Tuesday</v>
      </c>
    </row>
    <row r="281" spans="1:19" x14ac:dyDescent="0.25">
      <c r="A281" s="226">
        <v>46302</v>
      </c>
      <c r="B281" s="227">
        <f>O280</f>
        <v>100</v>
      </c>
      <c r="C281" s="228">
        <f>P280</f>
        <v>100</v>
      </c>
      <c r="D281" s="228">
        <f>IF(OR(DAY(A281+2)=1,DAY(A281+2)=15),-SUM('Main Budget'!$H$26:$H$31),0)</f>
        <v>0</v>
      </c>
      <c r="E281" s="228">
        <f>IF(DAY(A281+2)=22,-SUM('Main Budget'!$F$26:$F$31),0)</f>
        <v>0</v>
      </c>
      <c r="F281" s="228">
        <f>IF(D281&gt;0,-'Main Budget'!$H$25+0.15,0)</f>
        <v>0</v>
      </c>
      <c r="G281" s="228">
        <f>IF(E281&gt;0,-'Main Budget'!$F$25+0.81,0)</f>
        <v>0</v>
      </c>
      <c r="H281" s="227">
        <f>IF(DAY(A281)='Main Budget'!$J$26,'Main Budget'!$E$26,0)</f>
        <v>0</v>
      </c>
      <c r="I281" s="227">
        <f>IF(DAY(A281)='Main Budget'!$J$28,'Main Budget'!$E$28,0)</f>
        <v>0</v>
      </c>
      <c r="J281" s="227">
        <f>IF(DAY(A281)='Main Budget'!$J$29,'Main Budget'!$E$29,0)</f>
        <v>0</v>
      </c>
      <c r="K281" s="20">
        <f>IF(DAY(A281)='Main Budget'!$J$30,'Main Budget'!$E$30,0)</f>
        <v>0</v>
      </c>
      <c r="L281" s="20">
        <f>IF(DAY(A281)='Main Budget'!$J$31,'Main Budget'!$E$31,0)</f>
        <v>0</v>
      </c>
      <c r="M281" s="20">
        <f>IF(DAY(A281)='Main Budget'!$J$27,'Main Budget'!$E$27,0)</f>
        <v>0</v>
      </c>
      <c r="O281" s="228">
        <f>B281+(SUM(H281:M281)+(SUM(D281:E281)))</f>
        <v>100</v>
      </c>
      <c r="P281" s="228">
        <f>C281+F281+G281+N281</f>
        <v>100</v>
      </c>
      <c r="Q281" s="252">
        <f>O281+P281</f>
        <v>200</v>
      </c>
      <c r="S281" s="231" t="str">
        <f>TEXT(A281,"dddd")</f>
        <v>Wednesday</v>
      </c>
    </row>
    <row r="282" spans="1:19" x14ac:dyDescent="0.25">
      <c r="A282" s="226">
        <v>46303</v>
      </c>
      <c r="B282" s="227">
        <f>O281</f>
        <v>100</v>
      </c>
      <c r="C282" s="228">
        <f>P281</f>
        <v>100</v>
      </c>
      <c r="D282" s="228">
        <f>IF(OR(DAY(A282+2)=1,DAY(A282+2)=15),-SUM('Main Budget'!$H$26:$H$31),0)</f>
        <v>0</v>
      </c>
      <c r="E282" s="228">
        <f>IF(DAY(A282+2)=22,-SUM('Main Budget'!$F$26:$F$31),0)</f>
        <v>0</v>
      </c>
      <c r="F282" s="228">
        <f>IF(D282&gt;0,-'Main Budget'!$H$25+0.15,0)</f>
        <v>0</v>
      </c>
      <c r="G282" s="228">
        <f>IF(E282&gt;0,-'Main Budget'!$F$25+0.81,0)</f>
        <v>0</v>
      </c>
      <c r="H282" s="227">
        <f>IF(DAY(A282)='Main Budget'!$J$26,'Main Budget'!$E$26,0)</f>
        <v>0</v>
      </c>
      <c r="I282" s="227">
        <f>IF(DAY(A282)='Main Budget'!$J$28,'Main Budget'!$E$28,0)</f>
        <v>0</v>
      </c>
      <c r="J282" s="227">
        <f>IF(DAY(A282)='Main Budget'!$J$29,'Main Budget'!$E$29,0)</f>
        <v>0</v>
      </c>
      <c r="K282" s="20">
        <f>IF(DAY(A282)='Main Budget'!$J$30,'Main Budget'!$E$30,0)</f>
        <v>0</v>
      </c>
      <c r="L282" s="20">
        <f>IF(DAY(A282)='Main Budget'!$J$31,'Main Budget'!$E$31,0)</f>
        <v>0</v>
      </c>
      <c r="M282" s="20">
        <f>IF(DAY(A282)='Main Budget'!$J$27,'Main Budget'!$E$27,0)</f>
        <v>0</v>
      </c>
      <c r="O282" s="228">
        <f>B282+(SUM(H282:M282)+(SUM(D282:E282)))</f>
        <v>100</v>
      </c>
      <c r="P282" s="228">
        <f>C282+F282+G282+N282</f>
        <v>100</v>
      </c>
      <c r="Q282" s="252">
        <f>O282+P282</f>
        <v>200</v>
      </c>
      <c r="S282" s="231" t="str">
        <f>TEXT(A282,"dddd")</f>
        <v>Thursday</v>
      </c>
    </row>
    <row r="283" spans="1:19" x14ac:dyDescent="0.25">
      <c r="A283" s="226">
        <v>46304</v>
      </c>
      <c r="B283" s="227">
        <f>O282</f>
        <v>100</v>
      </c>
      <c r="C283" s="228">
        <f>P282</f>
        <v>100</v>
      </c>
      <c r="D283" s="228">
        <f>IF(OR(DAY(A283+2)=1,DAY(A283+2)=15),-SUM('Main Budget'!$H$26:$H$31),0)</f>
        <v>0</v>
      </c>
      <c r="E283" s="228">
        <f>IF(DAY(A283+2)=22,-SUM('Main Budget'!$F$26:$F$31),0)</f>
        <v>0</v>
      </c>
      <c r="F283" s="228">
        <f>IF(D283&gt;0,-'Main Budget'!$H$25+0.15,0)</f>
        <v>0</v>
      </c>
      <c r="G283" s="228">
        <f>IF(E283&gt;0,-'Main Budget'!$F$25+0.81,0)</f>
        <v>0</v>
      </c>
      <c r="H283" s="227">
        <f>IF(DAY(A283)='Main Budget'!$J$26,'Main Budget'!$E$26,0)</f>
        <v>0</v>
      </c>
      <c r="I283" s="227">
        <f>IF(DAY(A283)='Main Budget'!$J$28,'Main Budget'!$E$28,0)</f>
        <v>0</v>
      </c>
      <c r="J283" s="227">
        <f>IF(DAY(A283)='Main Budget'!$J$29,'Main Budget'!$E$29,0)</f>
        <v>0</v>
      </c>
      <c r="K283" s="20">
        <f>IF(DAY(A283)='Main Budget'!$J$30,'Main Budget'!$E$30,0)</f>
        <v>0</v>
      </c>
      <c r="L283" s="20">
        <f>IF(DAY(A283)='Main Budget'!$J$31,'Main Budget'!$E$31,0)</f>
        <v>0</v>
      </c>
      <c r="M283" s="20">
        <f>IF(DAY(A283)='Main Budget'!$J$27,'Main Budget'!$E$27,0)</f>
        <v>0</v>
      </c>
      <c r="O283" s="228">
        <f>B283+(SUM(H283:M283)+(SUM(D283:E283)))</f>
        <v>100</v>
      </c>
      <c r="P283" s="228">
        <f>C283+F283+G283+N283</f>
        <v>100</v>
      </c>
      <c r="Q283" s="252">
        <f>O283+P283</f>
        <v>200</v>
      </c>
      <c r="S283" s="231" t="str">
        <f>TEXT(A283,"dddd")</f>
        <v>Friday</v>
      </c>
    </row>
    <row r="284" spans="1:19" x14ac:dyDescent="0.25">
      <c r="A284" s="226">
        <v>46305</v>
      </c>
      <c r="B284" s="227">
        <f>O283</f>
        <v>100</v>
      </c>
      <c r="C284" s="228">
        <f>P283</f>
        <v>100</v>
      </c>
      <c r="D284" s="228">
        <f>IF(OR(DAY(A284+2)=1,DAY(A284+2)=15),-SUM('Main Budget'!$H$26:$H$31),0)</f>
        <v>0</v>
      </c>
      <c r="E284" s="228">
        <f>IF(DAY(A284+2)=22,-SUM('Main Budget'!$F$26:$F$31),0)</f>
        <v>0</v>
      </c>
      <c r="F284" s="228">
        <f>IF(D284&gt;0,-'Main Budget'!$H$25+0.15,0)</f>
        <v>0</v>
      </c>
      <c r="G284" s="228">
        <f>IF(E284&gt;0,-'Main Budget'!$F$25+0.81,0)</f>
        <v>0</v>
      </c>
      <c r="H284" s="227">
        <f>IF(DAY(A284)='Main Budget'!$J$26,'Main Budget'!$E$26,0)</f>
        <v>0</v>
      </c>
      <c r="I284" s="227">
        <f>IF(DAY(A284)='Main Budget'!$J$28,'Main Budget'!$E$28,0)</f>
        <v>0</v>
      </c>
      <c r="J284" s="227">
        <f>IF(DAY(A284)='Main Budget'!$J$29,'Main Budget'!$E$29,0)</f>
        <v>0</v>
      </c>
      <c r="K284" s="20">
        <f>IF(DAY(A284)='Main Budget'!$J$30,'Main Budget'!$E$30,0)</f>
        <v>0</v>
      </c>
      <c r="L284" s="20">
        <f>IF(DAY(A284)='Main Budget'!$J$31,'Main Budget'!$E$31,0)</f>
        <v>0</v>
      </c>
      <c r="M284" s="20">
        <f>IF(DAY(A284)='Main Budget'!$J$27,'Main Budget'!$E$27,0)</f>
        <v>0</v>
      </c>
      <c r="O284" s="228">
        <f>B284+(SUM(H284:M284)+(SUM(D284:E284)))</f>
        <v>100</v>
      </c>
      <c r="P284" s="228">
        <f>C284+F284+G284+N284</f>
        <v>100</v>
      </c>
      <c r="Q284" s="252">
        <f>O284+P284</f>
        <v>200</v>
      </c>
      <c r="S284" s="231" t="str">
        <f>TEXT(A284,"dddd")</f>
        <v>Saturday</v>
      </c>
    </row>
    <row r="285" spans="1:19" x14ac:dyDescent="0.25">
      <c r="A285" s="226">
        <v>46306</v>
      </c>
      <c r="B285" s="227">
        <f>O284</f>
        <v>100</v>
      </c>
      <c r="C285" s="228">
        <f>P284</f>
        <v>100</v>
      </c>
      <c r="D285" s="228">
        <f>IF(OR(DAY(A285+2)=1,DAY(A285+2)=15),-SUM('Main Budget'!$H$26:$H$31),0)</f>
        <v>0</v>
      </c>
      <c r="E285" s="228">
        <f>IF(DAY(A285+2)=22,-SUM('Main Budget'!$F$26:$F$31),0)</f>
        <v>0</v>
      </c>
      <c r="F285" s="228">
        <f>IF(D285&gt;0,-'Main Budget'!$H$25+0.15,0)</f>
        <v>0</v>
      </c>
      <c r="G285" s="228">
        <f>IF(E285&gt;0,-'Main Budget'!$F$25+0.81,0)</f>
        <v>0</v>
      </c>
      <c r="H285" s="227">
        <f>IF(DAY(A285)='Main Budget'!$J$26,'Main Budget'!$E$26,0)</f>
        <v>0</v>
      </c>
      <c r="I285" s="227">
        <f>IF(DAY(A285)='Main Budget'!$J$28,'Main Budget'!$E$28,0)</f>
        <v>0</v>
      </c>
      <c r="J285" s="227">
        <f>IF(DAY(A285)='Main Budget'!$J$29,'Main Budget'!$E$29,0)</f>
        <v>0</v>
      </c>
      <c r="K285" s="20">
        <f>IF(DAY(A285)='Main Budget'!$J$30,'Main Budget'!$E$30,0)</f>
        <v>0</v>
      </c>
      <c r="L285" s="20">
        <f>IF(DAY(A285)='Main Budget'!$J$31,'Main Budget'!$E$31,0)</f>
        <v>0</v>
      </c>
      <c r="M285" s="20">
        <f>IF(DAY(A285)='Main Budget'!$J$27,'Main Budget'!$E$27,0)</f>
        <v>0</v>
      </c>
      <c r="O285" s="228">
        <f>B285+(SUM(H285:M285)+(SUM(D285:E285)))</f>
        <v>100</v>
      </c>
      <c r="P285" s="228">
        <f>C285+F285+G285+N285</f>
        <v>100</v>
      </c>
      <c r="Q285" s="252">
        <f>O285+P285</f>
        <v>200</v>
      </c>
      <c r="S285" s="231" t="str">
        <f>TEXT(A285,"dddd")</f>
        <v>Sunday</v>
      </c>
    </row>
    <row r="286" spans="1:19" x14ac:dyDescent="0.25">
      <c r="A286" s="226">
        <v>46307</v>
      </c>
      <c r="B286" s="227">
        <f>O285</f>
        <v>100</v>
      </c>
      <c r="C286" s="228">
        <f>P285</f>
        <v>100</v>
      </c>
      <c r="D286" s="228">
        <f>IF(OR(DAY(A286+2)=1,DAY(A286+2)=15),-SUM('Main Budget'!$H$26:$H$31),0)</f>
        <v>0</v>
      </c>
      <c r="E286" s="228">
        <f>IF(DAY(A286+2)=22,-SUM('Main Budget'!$F$26:$F$31),0)</f>
        <v>0</v>
      </c>
      <c r="F286" s="228">
        <f>IF(D286&gt;0,-'Main Budget'!$H$25+0.15,0)</f>
        <v>0</v>
      </c>
      <c r="G286" s="228">
        <f>IF(E286&gt;0,-'Main Budget'!$F$25+0.81,0)</f>
        <v>0</v>
      </c>
      <c r="H286" s="227">
        <f>IF(DAY(A286)='Main Budget'!$J$26,'Main Budget'!$E$26,0)</f>
        <v>0</v>
      </c>
      <c r="I286" s="227">
        <f>IF(DAY(A286)='Main Budget'!$J$28,'Main Budget'!$E$28,0)</f>
        <v>0</v>
      </c>
      <c r="J286" s="227">
        <f>IF(DAY(A286)='Main Budget'!$J$29,'Main Budget'!$E$29,0)</f>
        <v>0</v>
      </c>
      <c r="K286" s="20">
        <f>IF(DAY(A286)='Main Budget'!$J$30,'Main Budget'!$E$30,0)</f>
        <v>0</v>
      </c>
      <c r="L286" s="20">
        <f>IF(DAY(A286)='Main Budget'!$J$31,'Main Budget'!$E$31,0)</f>
        <v>0</v>
      </c>
      <c r="M286" s="20">
        <f>IF(DAY(A286)='Main Budget'!$J$27,'Main Budget'!$E$27,0)</f>
        <v>0</v>
      </c>
      <c r="O286" s="228">
        <f>B286+(SUM(H286:M286)+(SUM(D286:E286)))</f>
        <v>100</v>
      </c>
      <c r="P286" s="228">
        <f>C286+F286+G286+N286</f>
        <v>100</v>
      </c>
      <c r="Q286" s="252">
        <f>O286+P286</f>
        <v>200</v>
      </c>
      <c r="S286" s="231" t="str">
        <f>TEXT(A286,"dddd")</f>
        <v>Monday</v>
      </c>
    </row>
    <row r="287" spans="1:19" x14ac:dyDescent="0.25">
      <c r="A287" s="226">
        <v>46308</v>
      </c>
      <c r="B287" s="227">
        <f>O286</f>
        <v>100</v>
      </c>
      <c r="C287" s="228">
        <f>P286</f>
        <v>100</v>
      </c>
      <c r="D287" s="228">
        <f>IF(OR(DAY(A287+2)=1,DAY(A287+2)=15),-SUM('Main Budget'!$H$26:$H$31),0)</f>
        <v>0</v>
      </c>
      <c r="E287" s="228">
        <f>IF(DAY(A287+2)=22,-SUM('Main Budget'!$F$26:$F$31),0)</f>
        <v>0</v>
      </c>
      <c r="F287" s="228">
        <f>IF(D287&gt;0,-'Main Budget'!$H$25+0.15,0)</f>
        <v>0</v>
      </c>
      <c r="G287" s="228">
        <f>IF(E287&gt;0,-'Main Budget'!$F$25+0.81,0)</f>
        <v>0</v>
      </c>
      <c r="H287" s="227">
        <f>IF(DAY(A287)='Main Budget'!$J$26,'Main Budget'!$E$26,0)</f>
        <v>0</v>
      </c>
      <c r="I287" s="227">
        <f>IF(DAY(A287)='Main Budget'!$J$28,'Main Budget'!$E$28,0)</f>
        <v>0</v>
      </c>
      <c r="J287" s="227">
        <f>IF(DAY(A287)='Main Budget'!$J$29,'Main Budget'!$E$29,0)</f>
        <v>0</v>
      </c>
      <c r="K287" s="20">
        <f>IF(DAY(A287)='Main Budget'!$J$30,'Main Budget'!$E$30,0)</f>
        <v>0</v>
      </c>
      <c r="L287" s="20">
        <f>IF(DAY(A287)='Main Budget'!$J$31,'Main Budget'!$E$31,0)</f>
        <v>0</v>
      </c>
      <c r="M287" s="20">
        <f>IF(DAY(A287)='Main Budget'!$J$27,'Main Budget'!$E$27,0)</f>
        <v>0</v>
      </c>
      <c r="O287" s="228">
        <f>B287+(SUM(H287:M287)+(SUM(D287:E287)))</f>
        <v>100</v>
      </c>
      <c r="P287" s="228">
        <f>C287+F287+G287+N287</f>
        <v>100</v>
      </c>
      <c r="Q287" s="252">
        <f>O287+P287</f>
        <v>200</v>
      </c>
      <c r="S287" s="231" t="str">
        <f>TEXT(A287,"dddd")</f>
        <v>Tuesday</v>
      </c>
    </row>
    <row r="288" spans="1:19" x14ac:dyDescent="0.25">
      <c r="A288" s="226">
        <v>46309</v>
      </c>
      <c r="B288" s="227">
        <f>O287</f>
        <v>100</v>
      </c>
      <c r="C288" s="228">
        <f>P287</f>
        <v>100</v>
      </c>
      <c r="D288" s="228">
        <f>IF(OR(DAY(A288+2)=1,DAY(A288+2)=15),-SUM('Main Budget'!$H$26:$H$31),0)</f>
        <v>0</v>
      </c>
      <c r="E288" s="228">
        <f>IF(DAY(A288+2)=22,-SUM('Main Budget'!$F$26:$F$31),0)</f>
        <v>0</v>
      </c>
      <c r="F288" s="228">
        <f>IF(D288&gt;0,-'Main Budget'!$H$25+0.15,0)</f>
        <v>0</v>
      </c>
      <c r="G288" s="228">
        <f>IF(E288&gt;0,-'Main Budget'!$F$25+0.81,0)</f>
        <v>0</v>
      </c>
      <c r="H288" s="227">
        <f>IF(DAY(A288)='Main Budget'!$J$26,'Main Budget'!$E$26,0)</f>
        <v>0</v>
      </c>
      <c r="I288" s="227">
        <f>IF(DAY(A288)='Main Budget'!$J$28,'Main Budget'!$E$28,0)</f>
        <v>0</v>
      </c>
      <c r="J288" s="227">
        <f>IF(DAY(A288)='Main Budget'!$J$29,'Main Budget'!$E$29,0)</f>
        <v>0</v>
      </c>
      <c r="K288" s="20">
        <f>IF(DAY(A288)='Main Budget'!$J$30,'Main Budget'!$E$30,0)</f>
        <v>0</v>
      </c>
      <c r="L288" s="20">
        <f>IF(DAY(A288)='Main Budget'!$J$31,'Main Budget'!$E$31,0)</f>
        <v>0</v>
      </c>
      <c r="M288" s="20">
        <f>IF(DAY(A288)='Main Budget'!$J$27,'Main Budget'!$E$27,0)</f>
        <v>0</v>
      </c>
      <c r="O288" s="228">
        <f>B288+(SUM(H288:M288)+(SUM(D288:E288)))</f>
        <v>100</v>
      </c>
      <c r="P288" s="228">
        <f>C288+F288+G288+N288</f>
        <v>100</v>
      </c>
      <c r="Q288" s="252">
        <f>O288+P288</f>
        <v>200</v>
      </c>
      <c r="S288" s="231" t="str">
        <f>TEXT(A288,"dddd")</f>
        <v>Wednesday</v>
      </c>
    </row>
    <row r="289" spans="1:19" x14ac:dyDescent="0.25">
      <c r="A289" s="226">
        <v>46310</v>
      </c>
      <c r="B289" s="227">
        <f>O288</f>
        <v>100</v>
      </c>
      <c r="C289" s="228">
        <f>P288</f>
        <v>100</v>
      </c>
      <c r="D289" s="228">
        <f>IF(OR(DAY(A289+2)=1,DAY(A289+2)=15),-SUM('Main Budget'!$H$26:$H$31),0)</f>
        <v>0</v>
      </c>
      <c r="E289" s="228">
        <f>IF(DAY(A289+2)=22,-SUM('Main Budget'!$F$26:$F$31),0)</f>
        <v>0</v>
      </c>
      <c r="F289" s="228">
        <f>IF(D289&gt;0,-'Main Budget'!$H$25+0.15,0)</f>
        <v>0</v>
      </c>
      <c r="G289" s="228">
        <f>IF(E289&gt;0,-'Main Budget'!$F$25+0.81,0)</f>
        <v>0</v>
      </c>
      <c r="H289" s="227">
        <f>IF(DAY(A289)='Main Budget'!$J$26,'Main Budget'!$E$26,0)</f>
        <v>0</v>
      </c>
      <c r="I289" s="227">
        <f>IF(DAY(A289)='Main Budget'!$J$28,'Main Budget'!$E$28,0)</f>
        <v>0</v>
      </c>
      <c r="J289" s="227">
        <f>IF(DAY(A289)='Main Budget'!$J$29,'Main Budget'!$E$29,0)</f>
        <v>0</v>
      </c>
      <c r="K289" s="20">
        <f>IF(DAY(A289)='Main Budget'!$J$30,'Main Budget'!$E$30,0)</f>
        <v>0</v>
      </c>
      <c r="L289" s="20">
        <f>IF(DAY(A289)='Main Budget'!$J$31,'Main Budget'!$E$31,0)</f>
        <v>0</v>
      </c>
      <c r="M289" s="20">
        <f>IF(DAY(A289)='Main Budget'!$J$27,'Main Budget'!$E$27,0)</f>
        <v>0</v>
      </c>
      <c r="O289" s="228">
        <f>B289+(SUM(H289:M289)+(SUM(D289:E289)))</f>
        <v>100</v>
      </c>
      <c r="P289" s="228">
        <f>C289+F289+G289+N289</f>
        <v>100</v>
      </c>
      <c r="Q289" s="252">
        <f>O289+P289</f>
        <v>200</v>
      </c>
      <c r="S289" s="231" t="str">
        <f>TEXT(A289,"dddd")</f>
        <v>Thursday</v>
      </c>
    </row>
    <row r="290" spans="1:19" x14ac:dyDescent="0.25">
      <c r="A290" s="226">
        <v>46311</v>
      </c>
      <c r="B290" s="227">
        <f>O289</f>
        <v>100</v>
      </c>
      <c r="C290" s="228">
        <f>P289</f>
        <v>100</v>
      </c>
      <c r="D290" s="228">
        <f>IF(OR(DAY(A290+2)=1,DAY(A290+2)=15),-SUM('Main Budget'!$H$26:$H$31),0)</f>
        <v>0</v>
      </c>
      <c r="E290" s="228">
        <f>IF(DAY(A290+2)=22,-SUM('Main Budget'!$F$26:$F$31),0)</f>
        <v>0</v>
      </c>
      <c r="F290" s="228">
        <f>IF(D290&gt;0,-'Main Budget'!$H$25+0.15,0)</f>
        <v>0</v>
      </c>
      <c r="G290" s="228">
        <f>IF(E290&gt;0,-'Main Budget'!$F$25+0.81,0)</f>
        <v>0</v>
      </c>
      <c r="H290" s="227">
        <f>IF(DAY(A290)='Main Budget'!$J$26,'Main Budget'!$E$26,0)</f>
        <v>0</v>
      </c>
      <c r="I290" s="227">
        <f>IF(DAY(A290)='Main Budget'!$J$28,'Main Budget'!$E$28,0)</f>
        <v>0</v>
      </c>
      <c r="J290" s="227">
        <f>IF(DAY(A290)='Main Budget'!$J$29,'Main Budget'!$E$29,0)</f>
        <v>0</v>
      </c>
      <c r="K290" s="20">
        <f>IF(DAY(A290)='Main Budget'!$J$30,'Main Budget'!$E$30,0)</f>
        <v>0</v>
      </c>
      <c r="L290" s="20">
        <f>IF(DAY(A290)='Main Budget'!$J$31,'Main Budget'!$E$31,0)</f>
        <v>0</v>
      </c>
      <c r="M290" s="20">
        <f>IF(DAY(A290)='Main Budget'!$J$27,'Main Budget'!$E$27,0)</f>
        <v>0</v>
      </c>
      <c r="O290" s="228">
        <f>B290+(SUM(H290:M290)+(SUM(D290:E290)))</f>
        <v>100</v>
      </c>
      <c r="P290" s="228">
        <f>C290+F290+G290+N290</f>
        <v>100</v>
      </c>
      <c r="Q290" s="252">
        <f>O290+P290</f>
        <v>200</v>
      </c>
      <c r="S290" s="231" t="str">
        <f>TEXT(A290,"dddd")</f>
        <v>Friday</v>
      </c>
    </row>
    <row r="291" spans="1:19" x14ac:dyDescent="0.25">
      <c r="A291" s="226">
        <v>46312</v>
      </c>
      <c r="B291" s="227">
        <f>O290</f>
        <v>100</v>
      </c>
      <c r="C291" s="228">
        <f>P290</f>
        <v>100</v>
      </c>
      <c r="D291" s="228">
        <f>IF(OR(DAY(A291+2)=1,DAY(A291+2)=15),-SUM('Main Budget'!$H$26:$H$31),0)</f>
        <v>0</v>
      </c>
      <c r="E291" s="228">
        <f>IF(DAY(A291+2)=22,-SUM('Main Budget'!$F$26:$F$31),0)</f>
        <v>0</v>
      </c>
      <c r="F291" s="228">
        <f>IF(D291&gt;0,-'Main Budget'!$H$25+0.15,0)</f>
        <v>0</v>
      </c>
      <c r="G291" s="228">
        <f>IF(E291&gt;0,-'Main Budget'!$F$25+0.81,0)</f>
        <v>0</v>
      </c>
      <c r="H291" s="227">
        <f>IF(DAY(A291)='Main Budget'!$J$26,'Main Budget'!$E$26,0)</f>
        <v>0</v>
      </c>
      <c r="I291" s="227">
        <f>IF(DAY(A291)='Main Budget'!$J$28,'Main Budget'!$E$28,0)</f>
        <v>0</v>
      </c>
      <c r="J291" s="227">
        <f>IF(DAY(A291)='Main Budget'!$J$29,'Main Budget'!$E$29,0)</f>
        <v>0</v>
      </c>
      <c r="K291" s="20">
        <f>IF(DAY(A291)='Main Budget'!$J$30,'Main Budget'!$E$30,0)</f>
        <v>0</v>
      </c>
      <c r="L291" s="20">
        <f>IF(DAY(A291)='Main Budget'!$J$31,'Main Budget'!$E$31,0)</f>
        <v>0</v>
      </c>
      <c r="M291" s="20">
        <f>IF(DAY(A291)='Main Budget'!$J$27,'Main Budget'!$E$27,0)</f>
        <v>0</v>
      </c>
      <c r="O291" s="228">
        <f>B291+(SUM(H291:M291)+(SUM(D291:E291)))</f>
        <v>100</v>
      </c>
      <c r="P291" s="228">
        <f>C291+F291+G291+N291</f>
        <v>100</v>
      </c>
      <c r="Q291" s="252">
        <f>O291+P291</f>
        <v>200</v>
      </c>
      <c r="S291" s="231" t="str">
        <f>TEXT(A291,"dddd")</f>
        <v>Saturday</v>
      </c>
    </row>
    <row r="292" spans="1:19" x14ac:dyDescent="0.25">
      <c r="A292" s="226">
        <v>46313</v>
      </c>
      <c r="B292" s="227">
        <f>O291</f>
        <v>100</v>
      </c>
      <c r="C292" s="228">
        <f>P291</f>
        <v>100</v>
      </c>
      <c r="D292" s="228">
        <f>IF(OR(DAY(A292+2)=1,DAY(A292+2)=15),-SUM('Main Budget'!$H$26:$H$31),0)</f>
        <v>0</v>
      </c>
      <c r="E292" s="228">
        <f>IF(DAY(A292+2)=22,-SUM('Main Budget'!$F$26:$F$31),0)</f>
        <v>0</v>
      </c>
      <c r="F292" s="228">
        <f>IF(D292&gt;0,-'Main Budget'!$H$25+0.15,0)</f>
        <v>0</v>
      </c>
      <c r="G292" s="228">
        <f>IF(E292&gt;0,-'Main Budget'!$F$25+0.81,0)</f>
        <v>0</v>
      </c>
      <c r="H292" s="227">
        <f>IF(DAY(A292)='Main Budget'!$J$26,'Main Budget'!$E$26,0)</f>
        <v>0</v>
      </c>
      <c r="I292" s="227">
        <f>IF(DAY(A292)='Main Budget'!$J$28,'Main Budget'!$E$28,0)</f>
        <v>0</v>
      </c>
      <c r="J292" s="227">
        <f>IF(DAY(A292)='Main Budget'!$J$29,'Main Budget'!$E$29,0)</f>
        <v>0</v>
      </c>
      <c r="K292" s="20">
        <f>IF(DAY(A292)='Main Budget'!$J$30,'Main Budget'!$E$30,0)</f>
        <v>0</v>
      </c>
      <c r="L292" s="20">
        <f>IF(DAY(A292)='Main Budget'!$J$31,'Main Budget'!$E$31,0)</f>
        <v>0</v>
      </c>
      <c r="M292" s="20">
        <f>IF(DAY(A292)='Main Budget'!$J$27,'Main Budget'!$E$27,0)</f>
        <v>0</v>
      </c>
      <c r="O292" s="228">
        <f>B292+(SUM(H292:M292)+(SUM(D292:E292)))</f>
        <v>100</v>
      </c>
      <c r="P292" s="228">
        <f>C292+F292+G292+N292</f>
        <v>100</v>
      </c>
      <c r="Q292" s="252">
        <f>O292+P292</f>
        <v>200</v>
      </c>
      <c r="S292" s="231" t="str">
        <f>TEXT(A292,"dddd")</f>
        <v>Sunday</v>
      </c>
    </row>
    <row r="293" spans="1:19" x14ac:dyDescent="0.25">
      <c r="A293" s="226">
        <v>46314</v>
      </c>
      <c r="B293" s="227">
        <f>O292</f>
        <v>100</v>
      </c>
      <c r="C293" s="228">
        <f>P292</f>
        <v>100</v>
      </c>
      <c r="D293" s="228">
        <f>IF(OR(DAY(A293+2)=1,DAY(A293+2)=15),-SUM('Main Budget'!$H$26:$H$31),0)</f>
        <v>0</v>
      </c>
      <c r="E293" s="228">
        <f>IF(DAY(A293+2)=22,-SUM('Main Budget'!$F$26:$F$31),0)</f>
        <v>0</v>
      </c>
      <c r="F293" s="228">
        <f>IF(D293&gt;0,-'Main Budget'!$H$25+0.15,0)</f>
        <v>0</v>
      </c>
      <c r="G293" s="228">
        <f>IF(E293&gt;0,-'Main Budget'!$F$25+0.81,0)</f>
        <v>0</v>
      </c>
      <c r="H293" s="227">
        <f>IF(DAY(A293)='Main Budget'!$J$26,'Main Budget'!$E$26,0)</f>
        <v>0</v>
      </c>
      <c r="I293" s="227">
        <f>IF(DAY(A293)='Main Budget'!$J$28,'Main Budget'!$E$28,0)</f>
        <v>0</v>
      </c>
      <c r="J293" s="227">
        <f>IF(DAY(A293)='Main Budget'!$J$29,'Main Budget'!$E$29,0)</f>
        <v>0</v>
      </c>
      <c r="K293" s="20">
        <f>IF(DAY(A293)='Main Budget'!$J$30,'Main Budget'!$E$30,0)</f>
        <v>0</v>
      </c>
      <c r="L293" s="20">
        <f>IF(DAY(A293)='Main Budget'!$J$31,'Main Budget'!$E$31,0)</f>
        <v>0</v>
      </c>
      <c r="M293" s="20">
        <f>IF(DAY(A293)='Main Budget'!$J$27,'Main Budget'!$E$27,0)</f>
        <v>0</v>
      </c>
      <c r="O293" s="228">
        <f>B293+(SUM(H293:M293)+(SUM(D293:E293)))</f>
        <v>100</v>
      </c>
      <c r="P293" s="228">
        <f>C293+F293+G293+N293</f>
        <v>100</v>
      </c>
      <c r="Q293" s="252">
        <f>O293+P293</f>
        <v>200</v>
      </c>
      <c r="S293" s="231" t="str">
        <f>TEXT(A293,"dddd")</f>
        <v>Monday</v>
      </c>
    </row>
    <row r="294" spans="1:19" x14ac:dyDescent="0.25">
      <c r="A294" s="226">
        <v>46315</v>
      </c>
      <c r="B294" s="227">
        <f>O293</f>
        <v>100</v>
      </c>
      <c r="C294" s="228">
        <f>P293</f>
        <v>100</v>
      </c>
      <c r="D294" s="228">
        <f>IF(OR(DAY(A294+2)=1,DAY(A294+2)=15),-SUM('Main Budget'!$H$26:$H$31),0)</f>
        <v>0</v>
      </c>
      <c r="E294" s="228">
        <f>IF(DAY(A294+2)=22,-SUM('Main Budget'!$F$26:$F$31),0)</f>
        <v>0</v>
      </c>
      <c r="F294" s="228">
        <f>IF(D294&gt;0,-'Main Budget'!$H$25+0.15,0)</f>
        <v>0</v>
      </c>
      <c r="G294" s="228">
        <f>IF(E294&gt;0,-'Main Budget'!$F$25+0.81,0)</f>
        <v>0</v>
      </c>
      <c r="H294" s="227">
        <f>IF(DAY(A294)='Main Budget'!$J$26,'Main Budget'!$E$26,0)</f>
        <v>0</v>
      </c>
      <c r="I294" s="227">
        <f>IF(DAY(A294)='Main Budget'!$J$28,'Main Budget'!$E$28,0)</f>
        <v>0</v>
      </c>
      <c r="J294" s="227">
        <f>IF(DAY(A294)='Main Budget'!$J$29,'Main Budget'!$E$29,0)</f>
        <v>0</v>
      </c>
      <c r="K294" s="20">
        <f>IF(DAY(A294)='Main Budget'!$J$30,'Main Budget'!$E$30,0)</f>
        <v>0</v>
      </c>
      <c r="L294" s="20">
        <f>IF(DAY(A294)='Main Budget'!$J$31,'Main Budget'!$E$31,0)</f>
        <v>0</v>
      </c>
      <c r="M294" s="20">
        <f>IF(DAY(A294)='Main Budget'!$J$27,'Main Budget'!$E$27,0)</f>
        <v>0</v>
      </c>
      <c r="O294" s="228">
        <f>B294+(SUM(H294:M294)+(SUM(D294:E294)))</f>
        <v>100</v>
      </c>
      <c r="P294" s="228">
        <f>C294+F294+G294+N294</f>
        <v>100</v>
      </c>
      <c r="Q294" s="252">
        <f>O294+P294</f>
        <v>200</v>
      </c>
      <c r="S294" s="231" t="str">
        <f>TEXT(A294,"dddd")</f>
        <v>Tuesday</v>
      </c>
    </row>
    <row r="295" spans="1:19" x14ac:dyDescent="0.25">
      <c r="A295" s="226">
        <v>46316</v>
      </c>
      <c r="B295" s="227">
        <f>O294</f>
        <v>100</v>
      </c>
      <c r="C295" s="228">
        <f>P294</f>
        <v>100</v>
      </c>
      <c r="D295" s="228">
        <f>IF(OR(DAY(A295+2)=1,DAY(A295+2)=15),-SUM('Main Budget'!$H$26:$H$31),0)</f>
        <v>0</v>
      </c>
      <c r="E295" s="228">
        <f>IF(DAY(A295+2)=22,-SUM('Main Budget'!$F$26:$F$31),0)</f>
        <v>0</v>
      </c>
      <c r="F295" s="228">
        <f>IF(D295&gt;0,-'Main Budget'!$H$25+0.15,0)</f>
        <v>0</v>
      </c>
      <c r="G295" s="228">
        <f>IF(E295&gt;0,-'Main Budget'!$F$25+0.81,0)</f>
        <v>0</v>
      </c>
      <c r="H295" s="227">
        <f>IF(DAY(A295)='Main Budget'!$J$26,'Main Budget'!$E$26,0)</f>
        <v>0</v>
      </c>
      <c r="I295" s="227">
        <f>IF(DAY(A295)='Main Budget'!$J$28,'Main Budget'!$E$28,0)</f>
        <v>0</v>
      </c>
      <c r="J295" s="227">
        <f>IF(DAY(A295)='Main Budget'!$J$29,'Main Budget'!$E$29,0)</f>
        <v>0</v>
      </c>
      <c r="K295" s="20">
        <f>IF(DAY(A295)='Main Budget'!$J$30,'Main Budget'!$E$30,0)</f>
        <v>0</v>
      </c>
      <c r="L295" s="20">
        <f>IF(DAY(A295)='Main Budget'!$J$31,'Main Budget'!$E$31,0)</f>
        <v>0</v>
      </c>
      <c r="M295" s="20">
        <f>IF(DAY(A295)='Main Budget'!$J$27,'Main Budget'!$E$27,0)</f>
        <v>0</v>
      </c>
      <c r="O295" s="228">
        <f>B295+(SUM(H295:M295)+(SUM(D295:E295)))</f>
        <v>100</v>
      </c>
      <c r="P295" s="228">
        <f>C295+F295+G295+N295</f>
        <v>100</v>
      </c>
      <c r="Q295" s="252">
        <f>O295+P295</f>
        <v>200</v>
      </c>
      <c r="S295" s="231" t="str">
        <f>TEXT(A295,"dddd")</f>
        <v>Wednesday</v>
      </c>
    </row>
    <row r="296" spans="1:19" x14ac:dyDescent="0.25">
      <c r="A296" s="226">
        <v>46317</v>
      </c>
      <c r="B296" s="227">
        <f>O295</f>
        <v>100</v>
      </c>
      <c r="C296" s="228">
        <f>P295</f>
        <v>100</v>
      </c>
      <c r="D296" s="228">
        <f>IF(OR(DAY(A296+2)=1,DAY(A296+2)=15),-SUM('Main Budget'!$H$26:$H$31),0)</f>
        <v>0</v>
      </c>
      <c r="E296" s="228">
        <f>IF(DAY(A296+2)=22,-SUM('Main Budget'!$F$26:$F$31),0)</f>
        <v>0</v>
      </c>
      <c r="F296" s="228">
        <f>IF(D296&gt;0,-'Main Budget'!$H$25+0.15,0)</f>
        <v>0</v>
      </c>
      <c r="G296" s="228">
        <f>IF(E296&gt;0,-'Main Budget'!$F$25+0.81,0)</f>
        <v>0</v>
      </c>
      <c r="H296" s="227">
        <f>IF(DAY(A296)='Main Budget'!$J$26,'Main Budget'!$E$26,0)</f>
        <v>0</v>
      </c>
      <c r="I296" s="227">
        <f>IF(DAY(A296)='Main Budget'!$J$28,'Main Budget'!$E$28,0)</f>
        <v>0</v>
      </c>
      <c r="J296" s="227">
        <f>IF(DAY(A296)='Main Budget'!$J$29,'Main Budget'!$E$29,0)</f>
        <v>0</v>
      </c>
      <c r="K296" s="20">
        <f>IF(DAY(A296)='Main Budget'!$J$30,'Main Budget'!$E$30,0)</f>
        <v>0</v>
      </c>
      <c r="L296" s="20">
        <f>IF(DAY(A296)='Main Budget'!$J$31,'Main Budget'!$E$31,0)</f>
        <v>0</v>
      </c>
      <c r="M296" s="20">
        <f>IF(DAY(A296)='Main Budget'!$J$27,'Main Budget'!$E$27,0)</f>
        <v>0</v>
      </c>
      <c r="O296" s="228">
        <f>B296+(SUM(H296:M296)+(SUM(D296:E296)))</f>
        <v>100</v>
      </c>
      <c r="P296" s="228">
        <f>C296+F296+G296+N296</f>
        <v>100</v>
      </c>
      <c r="Q296" s="252">
        <f>O296+P296</f>
        <v>200</v>
      </c>
      <c r="S296" s="231" t="str">
        <f>TEXT(A296,"dddd")</f>
        <v>Thursday</v>
      </c>
    </row>
    <row r="297" spans="1:19" x14ac:dyDescent="0.25">
      <c r="A297" s="226">
        <v>46318</v>
      </c>
      <c r="B297" s="227">
        <f>O296</f>
        <v>100</v>
      </c>
      <c r="C297" s="228">
        <f>P296</f>
        <v>100</v>
      </c>
      <c r="D297" s="228">
        <f>IF(OR(DAY(A297+2)=1,DAY(A297+2)=15),-SUM('Main Budget'!$H$26:$H$31),0)</f>
        <v>0</v>
      </c>
      <c r="E297" s="228">
        <f>IF(DAY(A297+2)=22,-SUM('Main Budget'!$F$26:$F$31),0)</f>
        <v>0</v>
      </c>
      <c r="F297" s="228">
        <f>IF(D297&gt;0,-'Main Budget'!$H$25+0.15,0)</f>
        <v>0</v>
      </c>
      <c r="G297" s="228">
        <f>IF(E297&gt;0,-'Main Budget'!$F$25+0.81,0)</f>
        <v>0</v>
      </c>
      <c r="H297" s="227">
        <f>IF(DAY(A297)='Main Budget'!$J$26,'Main Budget'!$E$26,0)</f>
        <v>0</v>
      </c>
      <c r="I297" s="227">
        <f>IF(DAY(A297)='Main Budget'!$J$28,'Main Budget'!$E$28,0)</f>
        <v>0</v>
      </c>
      <c r="J297" s="227">
        <f>IF(DAY(A297)='Main Budget'!$J$29,'Main Budget'!$E$29,0)</f>
        <v>0</v>
      </c>
      <c r="K297" s="20">
        <f>IF(DAY(A297)='Main Budget'!$J$30,'Main Budget'!$E$30,0)</f>
        <v>0</v>
      </c>
      <c r="L297" s="20">
        <f>IF(DAY(A297)='Main Budget'!$J$31,'Main Budget'!$E$31,0)</f>
        <v>0</v>
      </c>
      <c r="M297" s="20">
        <f>IF(DAY(A297)='Main Budget'!$J$27,'Main Budget'!$E$27,0)</f>
        <v>0</v>
      </c>
      <c r="O297" s="228">
        <f>B297+(SUM(H297:M297)+(SUM(D297:E297)))</f>
        <v>100</v>
      </c>
      <c r="P297" s="228">
        <f>C297+F297+G297+N297</f>
        <v>100</v>
      </c>
      <c r="Q297" s="252">
        <f>O297+P297</f>
        <v>200</v>
      </c>
      <c r="S297" s="231" t="str">
        <f>TEXT(A297,"dddd")</f>
        <v>Friday</v>
      </c>
    </row>
    <row r="298" spans="1:19" x14ac:dyDescent="0.25">
      <c r="A298" s="226">
        <v>46319</v>
      </c>
      <c r="B298" s="227">
        <f>O297</f>
        <v>100</v>
      </c>
      <c r="C298" s="228">
        <f>P297</f>
        <v>100</v>
      </c>
      <c r="D298" s="228">
        <f>IF(OR(DAY(A298+2)=1,DAY(A298+2)=15),-SUM('Main Budget'!$H$26:$H$31),0)</f>
        <v>0</v>
      </c>
      <c r="E298" s="228">
        <f>IF(DAY(A298+2)=22,-SUM('Main Budget'!$F$26:$F$31),0)</f>
        <v>0</v>
      </c>
      <c r="F298" s="228">
        <f>IF(D298&gt;0,-'Main Budget'!$H$25+0.15,0)</f>
        <v>0</v>
      </c>
      <c r="G298" s="228">
        <f>IF(E298&gt;0,-'Main Budget'!$F$25+0.81,0)</f>
        <v>0</v>
      </c>
      <c r="H298" s="227">
        <f>IF(DAY(A298)='Main Budget'!$J$26,'Main Budget'!$E$26,0)</f>
        <v>0</v>
      </c>
      <c r="I298" s="227">
        <f>IF(DAY(A298)='Main Budget'!$J$28,'Main Budget'!$E$28,0)</f>
        <v>0</v>
      </c>
      <c r="J298" s="227">
        <f>IF(DAY(A298)='Main Budget'!$J$29,'Main Budget'!$E$29,0)</f>
        <v>0</v>
      </c>
      <c r="K298" s="20">
        <f>IF(DAY(A298)='Main Budget'!$J$30,'Main Budget'!$E$30,0)</f>
        <v>0</v>
      </c>
      <c r="L298" s="20">
        <f>IF(DAY(A298)='Main Budget'!$J$31,'Main Budget'!$E$31,0)</f>
        <v>0</v>
      </c>
      <c r="M298" s="20">
        <f>IF(DAY(A298)='Main Budget'!$J$27,'Main Budget'!$E$27,0)</f>
        <v>0</v>
      </c>
      <c r="O298" s="228">
        <f>B298+(SUM(H298:M298)+(SUM(D298:E298)))</f>
        <v>100</v>
      </c>
      <c r="P298" s="228">
        <f>C298+F298+G298+N298</f>
        <v>100</v>
      </c>
      <c r="Q298" s="252">
        <f>O298+P298</f>
        <v>200</v>
      </c>
      <c r="S298" s="231" t="str">
        <f>TEXT(A298,"dddd")</f>
        <v>Saturday</v>
      </c>
    </row>
    <row r="299" spans="1:19" x14ac:dyDescent="0.25">
      <c r="A299" s="226">
        <v>46320</v>
      </c>
      <c r="B299" s="227">
        <f>O298</f>
        <v>100</v>
      </c>
      <c r="C299" s="228">
        <f>P298</f>
        <v>100</v>
      </c>
      <c r="D299" s="228">
        <f>IF(OR(DAY(A299+2)=1,DAY(A299+2)=15),-SUM('Main Budget'!$H$26:$H$31),0)</f>
        <v>0</v>
      </c>
      <c r="E299" s="228">
        <f>IF(DAY(A299+2)=22,-SUM('Main Budget'!$F$26:$F$31),0)</f>
        <v>0</v>
      </c>
      <c r="F299" s="228">
        <f>IF(D299&gt;0,-'Main Budget'!$H$25+0.15,0)</f>
        <v>0</v>
      </c>
      <c r="G299" s="228">
        <f>IF(E299&gt;0,-'Main Budget'!$F$25+0.81,0)</f>
        <v>0</v>
      </c>
      <c r="H299" s="227">
        <f>IF(DAY(A299)='Main Budget'!$J$26,'Main Budget'!$E$26,0)</f>
        <v>0</v>
      </c>
      <c r="I299" s="227">
        <f>IF(DAY(A299)='Main Budget'!$J$28,'Main Budget'!$E$28,0)</f>
        <v>0</v>
      </c>
      <c r="J299" s="227">
        <f>IF(DAY(A299)='Main Budget'!$J$29,'Main Budget'!$E$29,0)</f>
        <v>0</v>
      </c>
      <c r="K299" s="20">
        <f>IF(DAY(A299)='Main Budget'!$J$30,'Main Budget'!$E$30,0)</f>
        <v>0</v>
      </c>
      <c r="L299" s="20">
        <f>IF(DAY(A299)='Main Budget'!$J$31,'Main Budget'!$E$31,0)</f>
        <v>0</v>
      </c>
      <c r="M299" s="20">
        <f>IF(DAY(A299)='Main Budget'!$J$27,'Main Budget'!$E$27,0)</f>
        <v>0</v>
      </c>
      <c r="O299" s="228">
        <f>B299+(SUM(H299:M299)+(SUM(D299:E299)))</f>
        <v>100</v>
      </c>
      <c r="P299" s="228">
        <f>C299+F299+G299+N299</f>
        <v>100</v>
      </c>
      <c r="Q299" s="252">
        <f>O299+P299</f>
        <v>200</v>
      </c>
      <c r="S299" s="231" t="str">
        <f>TEXT(A299,"dddd")</f>
        <v>Sunday</v>
      </c>
    </row>
    <row r="300" spans="1:19" x14ac:dyDescent="0.25">
      <c r="A300" s="226">
        <v>46321</v>
      </c>
      <c r="B300" s="227">
        <f>O299</f>
        <v>100</v>
      </c>
      <c r="C300" s="228">
        <f>P299</f>
        <v>100</v>
      </c>
      <c r="D300" s="228">
        <f>IF(OR(DAY(A300+2)=1,DAY(A300+2)=15),-SUM('Main Budget'!$H$26:$H$31),0)</f>
        <v>0</v>
      </c>
      <c r="E300" s="228">
        <f>IF(DAY(A300+2)=22,-SUM('Main Budget'!$F$26:$F$31),0)</f>
        <v>0</v>
      </c>
      <c r="F300" s="228">
        <f>IF(D300&gt;0,-'Main Budget'!$H$25+0.15,0)</f>
        <v>0</v>
      </c>
      <c r="G300" s="228">
        <f>IF(E300&gt;0,-'Main Budget'!$F$25+0.81,0)</f>
        <v>0</v>
      </c>
      <c r="H300" s="227">
        <f>IF(DAY(A300)='Main Budget'!$J$26,'Main Budget'!$E$26,0)</f>
        <v>0</v>
      </c>
      <c r="I300" s="227">
        <f>IF(DAY(A300)='Main Budget'!$J$28,'Main Budget'!$E$28,0)</f>
        <v>0</v>
      </c>
      <c r="J300" s="227">
        <f>IF(DAY(A300)='Main Budget'!$J$29,'Main Budget'!$E$29,0)</f>
        <v>0</v>
      </c>
      <c r="K300" s="20">
        <f>IF(DAY(A300)='Main Budget'!$J$30,'Main Budget'!$E$30,0)</f>
        <v>0</v>
      </c>
      <c r="L300" s="20">
        <f>IF(DAY(A300)='Main Budget'!$J$31,'Main Budget'!$E$31,0)</f>
        <v>0</v>
      </c>
      <c r="M300" s="20">
        <f>IF(DAY(A300)='Main Budget'!$J$27,'Main Budget'!$E$27,0)</f>
        <v>0</v>
      </c>
      <c r="O300" s="228">
        <f>B300+(SUM(H300:M300)+(SUM(D300:E300)))</f>
        <v>100</v>
      </c>
      <c r="P300" s="228">
        <f>C300+F300+G300+N300</f>
        <v>100</v>
      </c>
      <c r="Q300" s="252">
        <f>O300+P300</f>
        <v>200</v>
      </c>
      <c r="S300" s="231" t="str">
        <f>TEXT(A300,"dddd")</f>
        <v>Monday</v>
      </c>
    </row>
    <row r="301" spans="1:19" x14ac:dyDescent="0.25">
      <c r="A301" s="226">
        <v>46322</v>
      </c>
      <c r="B301" s="227">
        <f>O300</f>
        <v>100</v>
      </c>
      <c r="C301" s="228">
        <f>P300</f>
        <v>100</v>
      </c>
      <c r="D301" s="228">
        <f>IF(OR(DAY(A301+2)=1,DAY(A301+2)=15),-SUM('Main Budget'!$H$26:$H$31),0)</f>
        <v>0</v>
      </c>
      <c r="E301" s="228">
        <f>IF(DAY(A301+2)=22,-SUM('Main Budget'!$F$26:$F$31),0)</f>
        <v>0</v>
      </c>
      <c r="F301" s="228">
        <f>IF(D301&gt;0,-'Main Budget'!$H$25+0.15,0)</f>
        <v>0</v>
      </c>
      <c r="G301" s="228">
        <f>IF(E301&gt;0,-'Main Budget'!$F$25+0.81,0)</f>
        <v>0</v>
      </c>
      <c r="H301" s="227">
        <f>IF(DAY(A301)='Main Budget'!$J$26,'Main Budget'!$E$26,0)</f>
        <v>0</v>
      </c>
      <c r="I301" s="227">
        <f>IF(DAY(A301)='Main Budget'!$J$28,'Main Budget'!$E$28,0)</f>
        <v>0</v>
      </c>
      <c r="J301" s="227">
        <f>IF(DAY(A301)='Main Budget'!$J$29,'Main Budget'!$E$29,0)</f>
        <v>0</v>
      </c>
      <c r="K301" s="20">
        <f>IF(DAY(A301)='Main Budget'!$J$30,'Main Budget'!$E$30,0)</f>
        <v>0</v>
      </c>
      <c r="L301" s="20">
        <f>IF(DAY(A301)='Main Budget'!$J$31,'Main Budget'!$E$31,0)</f>
        <v>0</v>
      </c>
      <c r="M301" s="20">
        <f>IF(DAY(A301)='Main Budget'!$J$27,'Main Budget'!$E$27,0)</f>
        <v>0</v>
      </c>
      <c r="O301" s="228">
        <f>B301+(SUM(H301:M301)+(SUM(D301:E301)))</f>
        <v>100</v>
      </c>
      <c r="P301" s="228">
        <f>C301+F301+G301+N301</f>
        <v>100</v>
      </c>
      <c r="Q301" s="252">
        <f>O301+P301</f>
        <v>200</v>
      </c>
      <c r="S301" s="231" t="str">
        <f>TEXT(A301,"dddd")</f>
        <v>Tuesday</v>
      </c>
    </row>
    <row r="302" spans="1:19" x14ac:dyDescent="0.25">
      <c r="A302" s="226">
        <v>46323</v>
      </c>
      <c r="B302" s="227">
        <f>O301</f>
        <v>100</v>
      </c>
      <c r="C302" s="228">
        <f>P301</f>
        <v>100</v>
      </c>
      <c r="D302" s="228">
        <f>IF(OR(DAY(A302+2)=1,DAY(A302+2)=15),-SUM('Main Budget'!$H$26:$H$31),0)</f>
        <v>0</v>
      </c>
      <c r="E302" s="228">
        <f>IF(DAY(A302+2)=22,-SUM('Main Budget'!$F$26:$F$31),0)</f>
        <v>0</v>
      </c>
      <c r="F302" s="228">
        <f>IF(D302&gt;0,-'Main Budget'!$H$25+0.15,0)</f>
        <v>0</v>
      </c>
      <c r="G302" s="228">
        <f>IF(E302&gt;0,-'Main Budget'!$F$25+0.81,0)</f>
        <v>0</v>
      </c>
      <c r="H302" s="227">
        <f>IF(DAY(A302)='Main Budget'!$J$26,'Main Budget'!$E$26,0)</f>
        <v>0</v>
      </c>
      <c r="I302" s="227">
        <f>IF(DAY(A302)='Main Budget'!$J$28,'Main Budget'!$E$28,0)</f>
        <v>0</v>
      </c>
      <c r="J302" s="227">
        <f>IF(DAY(A302)='Main Budget'!$J$29,'Main Budget'!$E$29,0)</f>
        <v>0</v>
      </c>
      <c r="K302" s="20">
        <f>IF(DAY(A302)='Main Budget'!$J$30,'Main Budget'!$E$30,0)</f>
        <v>0</v>
      </c>
      <c r="L302" s="20">
        <f>IF(DAY(A302)='Main Budget'!$J$31,'Main Budget'!$E$31,0)</f>
        <v>0</v>
      </c>
      <c r="M302" s="20">
        <f>IF(DAY(A302)='Main Budget'!$J$27,'Main Budget'!$E$27,0)</f>
        <v>0</v>
      </c>
      <c r="O302" s="228">
        <f>B302+(SUM(H302:M302)+(SUM(D302:E302)))</f>
        <v>100</v>
      </c>
      <c r="P302" s="228">
        <f>C302+F302+G302+N302</f>
        <v>100</v>
      </c>
      <c r="Q302" s="252">
        <f>O302+P302</f>
        <v>200</v>
      </c>
      <c r="S302" s="231" t="str">
        <f>TEXT(A302,"dddd")</f>
        <v>Wednesday</v>
      </c>
    </row>
    <row r="303" spans="1:19" x14ac:dyDescent="0.25">
      <c r="A303" s="226">
        <v>46324</v>
      </c>
      <c r="B303" s="227">
        <f>O302</f>
        <v>100</v>
      </c>
      <c r="C303" s="228">
        <f>P302</f>
        <v>100</v>
      </c>
      <c r="D303" s="228">
        <f>IF(OR(DAY(A303+2)=1,DAY(A303+2)=15),-SUM('Main Budget'!$H$26:$H$31),0)</f>
        <v>0</v>
      </c>
      <c r="E303" s="228">
        <f>IF(DAY(A303+2)=22,-SUM('Main Budget'!$F$26:$F$31),0)</f>
        <v>0</v>
      </c>
      <c r="F303" s="228">
        <f>IF(D303&gt;0,-'Main Budget'!$H$25+0.15,0)</f>
        <v>0</v>
      </c>
      <c r="G303" s="228">
        <f>IF(E303&gt;0,-'Main Budget'!$F$25+0.81,0)</f>
        <v>0</v>
      </c>
      <c r="H303" s="227">
        <f>IF(DAY(A303)='Main Budget'!$J$26,'Main Budget'!$E$26,0)</f>
        <v>0</v>
      </c>
      <c r="I303" s="227">
        <f>IF(DAY(A303)='Main Budget'!$J$28,'Main Budget'!$E$28,0)</f>
        <v>0</v>
      </c>
      <c r="J303" s="227">
        <f>IF(DAY(A303)='Main Budget'!$J$29,'Main Budget'!$E$29,0)</f>
        <v>0</v>
      </c>
      <c r="K303" s="20">
        <f>IF(DAY(A303)='Main Budget'!$J$30,'Main Budget'!$E$30,0)</f>
        <v>0</v>
      </c>
      <c r="L303" s="20">
        <f>IF(DAY(A303)='Main Budget'!$J$31,'Main Budget'!$E$31,0)</f>
        <v>0</v>
      </c>
      <c r="M303" s="20">
        <f>IF(DAY(A303)='Main Budget'!$J$27,'Main Budget'!$E$27,0)</f>
        <v>0</v>
      </c>
      <c r="O303" s="228">
        <f>B303+(SUM(H303:M303)+(SUM(D303:E303)))</f>
        <v>100</v>
      </c>
      <c r="P303" s="228">
        <f>C303+F303+G303+N303</f>
        <v>100</v>
      </c>
      <c r="Q303" s="252">
        <f>O303+P303</f>
        <v>200</v>
      </c>
      <c r="S303" s="231" t="str">
        <f>TEXT(A303,"dddd")</f>
        <v>Thursday</v>
      </c>
    </row>
    <row r="304" spans="1:19" x14ac:dyDescent="0.25">
      <c r="A304" s="226">
        <v>46325</v>
      </c>
      <c r="B304" s="227">
        <f>O303</f>
        <v>100</v>
      </c>
      <c r="C304" s="228">
        <f>P303</f>
        <v>100</v>
      </c>
      <c r="D304" s="228">
        <f>IF(OR(DAY(A304+2)=1,DAY(A304+2)=15),-SUM('Main Budget'!$H$26:$H$31),0)</f>
        <v>0</v>
      </c>
      <c r="E304" s="228">
        <f>IF(DAY(A304+2)=22,-SUM('Main Budget'!$F$26:$F$31),0)</f>
        <v>0</v>
      </c>
      <c r="F304" s="228">
        <f>IF(D304&gt;0,-'Main Budget'!$H$25+0.15,0)</f>
        <v>0</v>
      </c>
      <c r="G304" s="228">
        <f>IF(E304&gt;0,-'Main Budget'!$F$25+0.81,0)</f>
        <v>0</v>
      </c>
      <c r="H304" s="227">
        <f>IF(DAY(A304)='Main Budget'!$J$26,'Main Budget'!$E$26,0)</f>
        <v>0</v>
      </c>
      <c r="I304" s="227">
        <f>IF(DAY(A304)='Main Budget'!$J$28,'Main Budget'!$E$28,0)</f>
        <v>0</v>
      </c>
      <c r="J304" s="227">
        <f>IF(DAY(A304)='Main Budget'!$J$29,'Main Budget'!$E$29,0)</f>
        <v>0</v>
      </c>
      <c r="K304" s="20">
        <f>IF(DAY(A304)='Main Budget'!$J$30,'Main Budget'!$E$30,0)</f>
        <v>0</v>
      </c>
      <c r="L304" s="20">
        <f>IF(DAY(A304)='Main Budget'!$J$31,'Main Budget'!$E$31,0)</f>
        <v>0</v>
      </c>
      <c r="M304" s="20">
        <f>IF(DAY(A304)='Main Budget'!$J$27,'Main Budget'!$E$27,0)</f>
        <v>0</v>
      </c>
      <c r="O304" s="228">
        <f>B304+(SUM(H304:M304)+(SUM(D304:E304)))</f>
        <v>100</v>
      </c>
      <c r="P304" s="228">
        <f>C304+F304+G304+N304</f>
        <v>100</v>
      </c>
      <c r="Q304" s="252">
        <f>O304+P304</f>
        <v>200</v>
      </c>
      <c r="S304" s="231" t="str">
        <f>TEXT(A304,"dddd")</f>
        <v>Friday</v>
      </c>
    </row>
    <row r="305" spans="1:19" x14ac:dyDescent="0.25">
      <c r="A305" s="226">
        <v>46326</v>
      </c>
      <c r="B305" s="227">
        <f>O304</f>
        <v>100</v>
      </c>
      <c r="C305" s="228">
        <f>P304</f>
        <v>100</v>
      </c>
      <c r="D305" s="228">
        <f>IF(OR(DAY(A305+2)=1,DAY(A305+2)=15),-SUM('Main Budget'!$H$26:$H$31),0)</f>
        <v>0</v>
      </c>
      <c r="E305" s="228">
        <f>IF(DAY(A305+2)=22,-SUM('Main Budget'!$F$26:$F$31),0)</f>
        <v>0</v>
      </c>
      <c r="F305" s="228">
        <f>IF(D305&gt;0,-'Main Budget'!$H$25+0.15,0)</f>
        <v>0</v>
      </c>
      <c r="G305" s="228">
        <f>IF(E305&gt;0,-'Main Budget'!$F$25+0.81,0)</f>
        <v>0</v>
      </c>
      <c r="H305" s="227">
        <f>IF(DAY(A305)='Main Budget'!$J$26,'Main Budget'!$E$26,0)</f>
        <v>0</v>
      </c>
      <c r="I305" s="227">
        <f>IF(DAY(A305)='Main Budget'!$J$28,'Main Budget'!$E$28,0)</f>
        <v>0</v>
      </c>
      <c r="J305" s="227">
        <f>IF(DAY(A305)='Main Budget'!$J$29,'Main Budget'!$E$29,0)</f>
        <v>0</v>
      </c>
      <c r="K305" s="20">
        <f>IF(DAY(A305)='Main Budget'!$J$30,'Main Budget'!$E$30,0)</f>
        <v>0</v>
      </c>
      <c r="L305" s="20">
        <f>IF(DAY(A305)='Main Budget'!$J$31,'Main Budget'!$E$31,0)</f>
        <v>0</v>
      </c>
      <c r="M305" s="20">
        <f>IF(DAY(A305)='Main Budget'!$J$27,'Main Budget'!$E$27,0)</f>
        <v>0</v>
      </c>
      <c r="O305" s="228">
        <f>B305+(SUM(H305:M305)+(SUM(D305:E305)))</f>
        <v>100</v>
      </c>
      <c r="P305" s="228">
        <f>C305+F305+G305+N305</f>
        <v>100</v>
      </c>
      <c r="Q305" s="252">
        <f>O305+P305</f>
        <v>200</v>
      </c>
      <c r="S305" s="231" t="str">
        <f>TEXT(A305,"dddd")</f>
        <v>Saturday</v>
      </c>
    </row>
    <row r="306" spans="1:19" x14ac:dyDescent="0.25">
      <c r="A306" s="226">
        <v>46327</v>
      </c>
      <c r="B306" s="227">
        <f>O305</f>
        <v>100</v>
      </c>
      <c r="C306" s="228">
        <f>P305</f>
        <v>100</v>
      </c>
      <c r="D306" s="228">
        <f>IF(OR(DAY(A306+2)=1,DAY(A306+2)=15),-SUM('Main Budget'!$H$26:$H$31),0)</f>
        <v>0</v>
      </c>
      <c r="E306" s="228">
        <f>IF(DAY(A306+2)=22,-SUM('Main Budget'!$F$26:$F$31),0)</f>
        <v>0</v>
      </c>
      <c r="F306" s="228">
        <f>IF(D306&gt;0,-'Main Budget'!$H$25+0.15,0)</f>
        <v>0</v>
      </c>
      <c r="G306" s="228">
        <f>IF(E306&gt;0,-'Main Budget'!$F$25+0.81,0)</f>
        <v>0</v>
      </c>
      <c r="H306" s="227">
        <f>IF(DAY(A306)='Main Budget'!$J$26,'Main Budget'!$E$26,0)</f>
        <v>0</v>
      </c>
      <c r="I306" s="227">
        <f>IF(DAY(A306)='Main Budget'!$J$28,'Main Budget'!$E$28,0)</f>
        <v>0</v>
      </c>
      <c r="J306" s="227">
        <f>IF(DAY(A306)='Main Budget'!$J$29,'Main Budget'!$E$29,0)</f>
        <v>0</v>
      </c>
      <c r="K306" s="20">
        <f>IF(DAY(A306)='Main Budget'!$J$30,'Main Budget'!$E$30,0)</f>
        <v>0</v>
      </c>
      <c r="L306" s="20">
        <f>IF(DAY(A306)='Main Budget'!$J$31,'Main Budget'!$E$31,0)</f>
        <v>0</v>
      </c>
      <c r="M306" s="20">
        <f>IF(DAY(A306)='Main Budget'!$J$27,'Main Budget'!$E$27,0)</f>
        <v>0</v>
      </c>
      <c r="O306" s="228">
        <f>B306+(SUM(H306:M306)+(SUM(D306:E306)))</f>
        <v>100</v>
      </c>
      <c r="P306" s="228">
        <f>C306+F306+G306+N306</f>
        <v>100</v>
      </c>
      <c r="Q306" s="252">
        <f>O306+P306</f>
        <v>200</v>
      </c>
      <c r="S306" s="231" t="str">
        <f>TEXT(A306,"dddd")</f>
        <v>Sunday</v>
      </c>
    </row>
    <row r="307" spans="1:19" x14ac:dyDescent="0.25">
      <c r="A307" s="226">
        <v>46328</v>
      </c>
      <c r="B307" s="227">
        <f>O306</f>
        <v>100</v>
      </c>
      <c r="C307" s="228">
        <f>P306</f>
        <v>100</v>
      </c>
      <c r="D307" s="228">
        <f>IF(OR(DAY(A307+2)=1,DAY(A307+2)=15),-SUM('Main Budget'!$H$26:$H$31),0)</f>
        <v>0</v>
      </c>
      <c r="E307" s="228">
        <f>IF(DAY(A307+2)=22,-SUM('Main Budget'!$F$26:$F$31),0)</f>
        <v>0</v>
      </c>
      <c r="F307" s="228">
        <f>IF(D307&gt;0,-'Main Budget'!$H$25+0.15,0)</f>
        <v>0</v>
      </c>
      <c r="G307" s="228">
        <f>IF(E307&gt;0,-'Main Budget'!$F$25+0.81,0)</f>
        <v>0</v>
      </c>
      <c r="H307" s="227">
        <f>IF(DAY(A307)='Main Budget'!$J$26,'Main Budget'!$E$26,0)</f>
        <v>0</v>
      </c>
      <c r="I307" s="227">
        <f>IF(DAY(A307)='Main Budget'!$J$28,'Main Budget'!$E$28,0)</f>
        <v>0</v>
      </c>
      <c r="J307" s="227">
        <f>IF(DAY(A307)='Main Budget'!$J$29,'Main Budget'!$E$29,0)</f>
        <v>0</v>
      </c>
      <c r="K307" s="20">
        <f>IF(DAY(A307)='Main Budget'!$J$30,'Main Budget'!$E$30,0)</f>
        <v>0</v>
      </c>
      <c r="L307" s="20">
        <f>IF(DAY(A307)='Main Budget'!$J$31,'Main Budget'!$E$31,0)</f>
        <v>0</v>
      </c>
      <c r="M307" s="20">
        <f>IF(DAY(A307)='Main Budget'!$J$27,'Main Budget'!$E$27,0)</f>
        <v>0</v>
      </c>
      <c r="O307" s="228">
        <f>B307+(SUM(H307:M307)+(SUM(D307:E307)))</f>
        <v>100</v>
      </c>
      <c r="P307" s="228">
        <f>C307+F307+G307+N307</f>
        <v>100</v>
      </c>
      <c r="Q307" s="252">
        <f>O307+P307</f>
        <v>200</v>
      </c>
      <c r="S307" s="231" t="str">
        <f>TEXT(A307,"dddd")</f>
        <v>Monday</v>
      </c>
    </row>
    <row r="308" spans="1:19" x14ac:dyDescent="0.25">
      <c r="A308" s="226">
        <v>46329</v>
      </c>
      <c r="B308" s="227">
        <f>O307</f>
        <v>100</v>
      </c>
      <c r="C308" s="228">
        <f>P307</f>
        <v>100</v>
      </c>
      <c r="D308" s="228">
        <f>IF(OR(DAY(A308+2)=1,DAY(A308+2)=15),-SUM('Main Budget'!$H$26:$H$31),0)</f>
        <v>0</v>
      </c>
      <c r="E308" s="228">
        <f>IF(DAY(A308+2)=22,-SUM('Main Budget'!$F$26:$F$31),0)</f>
        <v>0</v>
      </c>
      <c r="F308" s="228">
        <f>IF(D308&gt;0,-'Main Budget'!$H$25+0.15,0)</f>
        <v>0</v>
      </c>
      <c r="G308" s="228">
        <f>IF(E308&gt;0,-'Main Budget'!$F$25+0.81,0)</f>
        <v>0</v>
      </c>
      <c r="H308" s="227">
        <f>IF(DAY(A308)='Main Budget'!$J$26,'Main Budget'!$E$26,0)</f>
        <v>0</v>
      </c>
      <c r="I308" s="227">
        <f>IF(DAY(A308)='Main Budget'!$J$28,'Main Budget'!$E$28,0)</f>
        <v>0</v>
      </c>
      <c r="J308" s="227">
        <f>IF(DAY(A308)='Main Budget'!$J$29,'Main Budget'!$E$29,0)</f>
        <v>0</v>
      </c>
      <c r="K308" s="20">
        <f>IF(DAY(A308)='Main Budget'!$J$30,'Main Budget'!$E$30,0)</f>
        <v>0</v>
      </c>
      <c r="L308" s="20">
        <f>IF(DAY(A308)='Main Budget'!$J$31,'Main Budget'!$E$31,0)</f>
        <v>0</v>
      </c>
      <c r="M308" s="20">
        <f>IF(DAY(A308)='Main Budget'!$J$27,'Main Budget'!$E$27,0)</f>
        <v>0</v>
      </c>
      <c r="O308" s="228">
        <f>B308+(SUM(H308:M308)+(SUM(D308:E308)))</f>
        <v>100</v>
      </c>
      <c r="P308" s="228">
        <f>C308+F308+G308+N308</f>
        <v>100</v>
      </c>
      <c r="Q308" s="252">
        <f>O308+P308</f>
        <v>200</v>
      </c>
      <c r="S308" s="231" t="str">
        <f>TEXT(A308,"dddd")</f>
        <v>Tuesday</v>
      </c>
    </row>
    <row r="309" spans="1:19" x14ac:dyDescent="0.25">
      <c r="A309" s="226">
        <v>46330</v>
      </c>
      <c r="B309" s="227">
        <f>O308</f>
        <v>100</v>
      </c>
      <c r="C309" s="228">
        <f>P308</f>
        <v>100</v>
      </c>
      <c r="D309" s="228">
        <f>IF(OR(DAY(A309+2)=1,DAY(A309+2)=15),-SUM('Main Budget'!$H$26:$H$31),0)</f>
        <v>0</v>
      </c>
      <c r="E309" s="228">
        <f>IF(DAY(A309+2)=22,-SUM('Main Budget'!$F$26:$F$31),0)</f>
        <v>0</v>
      </c>
      <c r="F309" s="228">
        <f>IF(D309&gt;0,-'Main Budget'!$H$25+0.15,0)</f>
        <v>0</v>
      </c>
      <c r="G309" s="228">
        <f>IF(E309&gt;0,-'Main Budget'!$F$25+0.81,0)</f>
        <v>0</v>
      </c>
      <c r="H309" s="227">
        <f>IF(DAY(A309)='Main Budget'!$J$26,'Main Budget'!$E$26,0)</f>
        <v>0</v>
      </c>
      <c r="I309" s="227">
        <f>IF(DAY(A309)='Main Budget'!$J$28,'Main Budget'!$E$28,0)</f>
        <v>0</v>
      </c>
      <c r="J309" s="227">
        <f>IF(DAY(A309)='Main Budget'!$J$29,'Main Budget'!$E$29,0)</f>
        <v>0</v>
      </c>
      <c r="K309" s="20">
        <f>IF(DAY(A309)='Main Budget'!$J$30,'Main Budget'!$E$30,0)</f>
        <v>0</v>
      </c>
      <c r="L309" s="20">
        <f>IF(DAY(A309)='Main Budget'!$J$31,'Main Budget'!$E$31,0)</f>
        <v>0</v>
      </c>
      <c r="M309" s="20">
        <f>IF(DAY(A309)='Main Budget'!$J$27,'Main Budget'!$E$27,0)</f>
        <v>0</v>
      </c>
      <c r="O309" s="228">
        <f>B309+(SUM(H309:M309)+(SUM(D309:E309)))</f>
        <v>100</v>
      </c>
      <c r="P309" s="228">
        <f>C309+F309+G309+N309</f>
        <v>100</v>
      </c>
      <c r="Q309" s="252">
        <f>O309+P309</f>
        <v>200</v>
      </c>
      <c r="S309" s="231" t="str">
        <f>TEXT(A309,"dddd")</f>
        <v>Wednesday</v>
      </c>
    </row>
    <row r="310" spans="1:19" x14ac:dyDescent="0.25">
      <c r="A310" s="226">
        <v>46331</v>
      </c>
      <c r="B310" s="227">
        <f>O309</f>
        <v>100</v>
      </c>
      <c r="C310" s="228">
        <f>P309</f>
        <v>100</v>
      </c>
      <c r="D310" s="228">
        <f>IF(OR(DAY(A310+2)=1,DAY(A310+2)=15),-SUM('Main Budget'!$H$26:$H$31),0)</f>
        <v>0</v>
      </c>
      <c r="E310" s="228">
        <f>IF(DAY(A310+2)=22,-SUM('Main Budget'!$F$26:$F$31),0)</f>
        <v>0</v>
      </c>
      <c r="F310" s="228">
        <f>IF(D310&gt;0,-'Main Budget'!$H$25+0.15,0)</f>
        <v>0</v>
      </c>
      <c r="G310" s="228">
        <f>IF(E310&gt;0,-'Main Budget'!$F$25+0.81,0)</f>
        <v>0</v>
      </c>
      <c r="H310" s="227">
        <f>IF(DAY(A310)='Main Budget'!$J$26,'Main Budget'!$E$26,0)</f>
        <v>0</v>
      </c>
      <c r="I310" s="227">
        <f>IF(DAY(A310)='Main Budget'!$J$28,'Main Budget'!$E$28,0)</f>
        <v>0</v>
      </c>
      <c r="J310" s="227">
        <f>IF(DAY(A310)='Main Budget'!$J$29,'Main Budget'!$E$29,0)</f>
        <v>0</v>
      </c>
      <c r="K310" s="20">
        <f>IF(DAY(A310)='Main Budget'!$J$30,'Main Budget'!$E$30,0)</f>
        <v>0</v>
      </c>
      <c r="L310" s="20">
        <f>IF(DAY(A310)='Main Budget'!$J$31,'Main Budget'!$E$31,0)</f>
        <v>0</v>
      </c>
      <c r="M310" s="20">
        <f>IF(DAY(A310)='Main Budget'!$J$27,'Main Budget'!$E$27,0)</f>
        <v>0</v>
      </c>
      <c r="O310" s="228">
        <f>B310+(SUM(H310:M310)+(SUM(D310:E310)))</f>
        <v>100</v>
      </c>
      <c r="P310" s="228">
        <f>C310+F310+G310+N310</f>
        <v>100</v>
      </c>
      <c r="Q310" s="252">
        <f>O310+P310</f>
        <v>200</v>
      </c>
      <c r="S310" s="231" t="str">
        <f>TEXT(A310,"dddd")</f>
        <v>Thursday</v>
      </c>
    </row>
    <row r="311" spans="1:19" x14ac:dyDescent="0.25">
      <c r="A311" s="226">
        <v>46332</v>
      </c>
      <c r="B311" s="227">
        <f>O310</f>
        <v>100</v>
      </c>
      <c r="C311" s="228">
        <f>P310</f>
        <v>100</v>
      </c>
      <c r="D311" s="228">
        <f>IF(OR(DAY(A311+2)=1,DAY(A311+2)=15),-SUM('Main Budget'!$H$26:$H$31),0)</f>
        <v>0</v>
      </c>
      <c r="E311" s="228">
        <f>IF(DAY(A311+2)=22,-SUM('Main Budget'!$F$26:$F$31),0)</f>
        <v>0</v>
      </c>
      <c r="F311" s="228">
        <f>IF(D311&gt;0,-'Main Budget'!$H$25+0.15,0)</f>
        <v>0</v>
      </c>
      <c r="G311" s="228">
        <f>IF(E311&gt;0,-'Main Budget'!$F$25+0.81,0)</f>
        <v>0</v>
      </c>
      <c r="H311" s="227">
        <f>IF(DAY(A311)='Main Budget'!$J$26,'Main Budget'!$E$26,0)</f>
        <v>0</v>
      </c>
      <c r="I311" s="227">
        <f>IF(DAY(A311)='Main Budget'!$J$28,'Main Budget'!$E$28,0)</f>
        <v>0</v>
      </c>
      <c r="J311" s="227">
        <f>IF(DAY(A311)='Main Budget'!$J$29,'Main Budget'!$E$29,0)</f>
        <v>0</v>
      </c>
      <c r="K311" s="20">
        <f>IF(DAY(A311)='Main Budget'!$J$30,'Main Budget'!$E$30,0)</f>
        <v>0</v>
      </c>
      <c r="L311" s="20">
        <f>IF(DAY(A311)='Main Budget'!$J$31,'Main Budget'!$E$31,0)</f>
        <v>0</v>
      </c>
      <c r="M311" s="20">
        <f>IF(DAY(A311)='Main Budget'!$J$27,'Main Budget'!$E$27,0)</f>
        <v>0</v>
      </c>
      <c r="O311" s="228">
        <f>B311+(SUM(H311:M311)+(SUM(D311:E311)))</f>
        <v>100</v>
      </c>
      <c r="P311" s="228">
        <f>C311+F311+G311+N311</f>
        <v>100</v>
      </c>
      <c r="Q311" s="252">
        <f>O311+P311</f>
        <v>200</v>
      </c>
      <c r="S311" s="231" t="str">
        <f>TEXT(A311,"dddd")</f>
        <v>Friday</v>
      </c>
    </row>
    <row r="312" spans="1:19" x14ac:dyDescent="0.25">
      <c r="A312" s="226">
        <v>46333</v>
      </c>
      <c r="B312" s="227">
        <f>O311</f>
        <v>100</v>
      </c>
      <c r="C312" s="228">
        <f>P311</f>
        <v>100</v>
      </c>
      <c r="D312" s="228">
        <f>IF(OR(DAY(A312+2)=1,DAY(A312+2)=15),-SUM('Main Budget'!$H$26:$H$31),0)</f>
        <v>0</v>
      </c>
      <c r="E312" s="228">
        <f>IF(DAY(A312+2)=22,-SUM('Main Budget'!$F$26:$F$31),0)</f>
        <v>0</v>
      </c>
      <c r="F312" s="228">
        <f>IF(D312&gt;0,-'Main Budget'!$H$25+0.15,0)</f>
        <v>0</v>
      </c>
      <c r="G312" s="228">
        <f>IF(E312&gt;0,-'Main Budget'!$F$25+0.81,0)</f>
        <v>0</v>
      </c>
      <c r="H312" s="227">
        <f>IF(DAY(A312)='Main Budget'!$J$26,'Main Budget'!$E$26,0)</f>
        <v>0</v>
      </c>
      <c r="I312" s="227">
        <f>IF(DAY(A312)='Main Budget'!$J$28,'Main Budget'!$E$28,0)</f>
        <v>0</v>
      </c>
      <c r="J312" s="227">
        <f>IF(DAY(A312)='Main Budget'!$J$29,'Main Budget'!$E$29,0)</f>
        <v>0</v>
      </c>
      <c r="K312" s="20">
        <f>IF(DAY(A312)='Main Budget'!$J$30,'Main Budget'!$E$30,0)</f>
        <v>0</v>
      </c>
      <c r="L312" s="20">
        <f>IF(DAY(A312)='Main Budget'!$J$31,'Main Budget'!$E$31,0)</f>
        <v>0</v>
      </c>
      <c r="M312" s="20">
        <f>IF(DAY(A312)='Main Budget'!$J$27,'Main Budget'!$E$27,0)</f>
        <v>0</v>
      </c>
      <c r="O312" s="228">
        <f>B312+(SUM(H312:M312)+(SUM(D312:E312)))</f>
        <v>100</v>
      </c>
      <c r="P312" s="228">
        <f>C312+F312+G312+N312</f>
        <v>100</v>
      </c>
      <c r="Q312" s="252">
        <f>O312+P312</f>
        <v>200</v>
      </c>
      <c r="S312" s="231" t="str">
        <f>TEXT(A312,"dddd")</f>
        <v>Saturday</v>
      </c>
    </row>
    <row r="313" spans="1:19" x14ac:dyDescent="0.25">
      <c r="A313" s="226">
        <v>46334</v>
      </c>
      <c r="B313" s="227">
        <f>O312</f>
        <v>100</v>
      </c>
      <c r="C313" s="228">
        <f>P312</f>
        <v>100</v>
      </c>
      <c r="D313" s="228">
        <f>IF(OR(DAY(A313+2)=1,DAY(A313+2)=15),-SUM('Main Budget'!$H$26:$H$31),0)</f>
        <v>0</v>
      </c>
      <c r="E313" s="228">
        <f>IF(DAY(A313+2)=22,-SUM('Main Budget'!$F$26:$F$31),0)</f>
        <v>0</v>
      </c>
      <c r="F313" s="228">
        <f>IF(D313&gt;0,-'Main Budget'!$H$25+0.15,0)</f>
        <v>0</v>
      </c>
      <c r="G313" s="228">
        <f>IF(E313&gt;0,-'Main Budget'!$F$25+0.81,0)</f>
        <v>0</v>
      </c>
      <c r="H313" s="227">
        <f>IF(DAY(A313)='Main Budget'!$J$26,'Main Budget'!$E$26,0)</f>
        <v>0</v>
      </c>
      <c r="I313" s="227">
        <f>IF(DAY(A313)='Main Budget'!$J$28,'Main Budget'!$E$28,0)</f>
        <v>0</v>
      </c>
      <c r="J313" s="227">
        <f>IF(DAY(A313)='Main Budget'!$J$29,'Main Budget'!$E$29,0)</f>
        <v>0</v>
      </c>
      <c r="K313" s="20">
        <f>IF(DAY(A313)='Main Budget'!$J$30,'Main Budget'!$E$30,0)</f>
        <v>0</v>
      </c>
      <c r="L313" s="20">
        <f>IF(DAY(A313)='Main Budget'!$J$31,'Main Budget'!$E$31,0)</f>
        <v>0</v>
      </c>
      <c r="M313" s="20">
        <f>IF(DAY(A313)='Main Budget'!$J$27,'Main Budget'!$E$27,0)</f>
        <v>0</v>
      </c>
      <c r="O313" s="228">
        <f>B313+(SUM(H313:M313)+(SUM(D313:E313)))</f>
        <v>100</v>
      </c>
      <c r="P313" s="228">
        <f>C313+F313+G313+N313</f>
        <v>100</v>
      </c>
      <c r="Q313" s="252">
        <f>O313+P313</f>
        <v>200</v>
      </c>
      <c r="S313" s="231" t="str">
        <f>TEXT(A313,"dddd")</f>
        <v>Sunday</v>
      </c>
    </row>
    <row r="314" spans="1:19" x14ac:dyDescent="0.25">
      <c r="A314" s="226">
        <v>46335</v>
      </c>
      <c r="B314" s="227">
        <f>O313</f>
        <v>100</v>
      </c>
      <c r="C314" s="228">
        <f>P313</f>
        <v>100</v>
      </c>
      <c r="D314" s="228">
        <f>IF(OR(DAY(A314+2)=1,DAY(A314+2)=15),-SUM('Main Budget'!$H$26:$H$31),0)</f>
        <v>0</v>
      </c>
      <c r="E314" s="228">
        <f>IF(DAY(A314+2)=22,-SUM('Main Budget'!$F$26:$F$31),0)</f>
        <v>0</v>
      </c>
      <c r="F314" s="228">
        <f>IF(D314&gt;0,-'Main Budget'!$H$25+0.15,0)</f>
        <v>0</v>
      </c>
      <c r="G314" s="228">
        <f>IF(E314&gt;0,-'Main Budget'!$F$25+0.81,0)</f>
        <v>0</v>
      </c>
      <c r="H314" s="227">
        <f>IF(DAY(A314)='Main Budget'!$J$26,'Main Budget'!$E$26,0)</f>
        <v>0</v>
      </c>
      <c r="I314" s="227">
        <f>IF(DAY(A314)='Main Budget'!$J$28,'Main Budget'!$E$28,0)</f>
        <v>0</v>
      </c>
      <c r="J314" s="227">
        <f>IF(DAY(A314)='Main Budget'!$J$29,'Main Budget'!$E$29,0)</f>
        <v>0</v>
      </c>
      <c r="K314" s="20">
        <f>IF(DAY(A314)='Main Budget'!$J$30,'Main Budget'!$E$30,0)</f>
        <v>0</v>
      </c>
      <c r="L314" s="20">
        <f>IF(DAY(A314)='Main Budget'!$J$31,'Main Budget'!$E$31,0)</f>
        <v>0</v>
      </c>
      <c r="M314" s="20">
        <f>IF(DAY(A314)='Main Budget'!$J$27,'Main Budget'!$E$27,0)</f>
        <v>0</v>
      </c>
      <c r="O314" s="228">
        <f>B314+(SUM(H314:M314)+(SUM(D314:E314)))</f>
        <v>100</v>
      </c>
      <c r="P314" s="228">
        <f>C314+F314+G314+N314</f>
        <v>100</v>
      </c>
      <c r="Q314" s="252">
        <f>O314+P314</f>
        <v>200</v>
      </c>
      <c r="S314" s="231" t="str">
        <f>TEXT(A314,"dddd")</f>
        <v>Monday</v>
      </c>
    </row>
    <row r="315" spans="1:19" x14ac:dyDescent="0.25">
      <c r="A315" s="226">
        <v>46336</v>
      </c>
      <c r="B315" s="227">
        <f>O314</f>
        <v>100</v>
      </c>
      <c r="C315" s="228">
        <f>P314</f>
        <v>100</v>
      </c>
      <c r="D315" s="228">
        <f>IF(OR(DAY(A315+2)=1,DAY(A315+2)=15),-SUM('Main Budget'!$H$26:$H$31),0)</f>
        <v>0</v>
      </c>
      <c r="E315" s="228">
        <f>IF(DAY(A315+2)=22,-SUM('Main Budget'!$F$26:$F$31),0)</f>
        <v>0</v>
      </c>
      <c r="F315" s="228">
        <f>IF(D315&gt;0,-'Main Budget'!$H$25+0.15,0)</f>
        <v>0</v>
      </c>
      <c r="G315" s="228">
        <f>IF(E315&gt;0,-'Main Budget'!$F$25+0.81,0)</f>
        <v>0</v>
      </c>
      <c r="H315" s="227">
        <f>IF(DAY(A315)='Main Budget'!$J$26,'Main Budget'!$E$26,0)</f>
        <v>0</v>
      </c>
      <c r="I315" s="227">
        <f>IF(DAY(A315)='Main Budget'!$J$28,'Main Budget'!$E$28,0)</f>
        <v>0</v>
      </c>
      <c r="J315" s="227">
        <f>IF(DAY(A315)='Main Budget'!$J$29,'Main Budget'!$E$29,0)</f>
        <v>0</v>
      </c>
      <c r="K315" s="20">
        <f>IF(DAY(A315)='Main Budget'!$J$30,'Main Budget'!$E$30,0)</f>
        <v>0</v>
      </c>
      <c r="L315" s="20">
        <f>IF(DAY(A315)='Main Budget'!$J$31,'Main Budget'!$E$31,0)</f>
        <v>0</v>
      </c>
      <c r="M315" s="20">
        <f>IF(DAY(A315)='Main Budget'!$J$27,'Main Budget'!$E$27,0)</f>
        <v>0</v>
      </c>
      <c r="O315" s="228">
        <f>B315+(SUM(H315:M315)+(SUM(D315:E315)))</f>
        <v>100</v>
      </c>
      <c r="P315" s="228">
        <f>C315+F315+G315+N315</f>
        <v>100</v>
      </c>
      <c r="Q315" s="252">
        <f>O315+P315</f>
        <v>200</v>
      </c>
      <c r="S315" s="231" t="str">
        <f>TEXT(A315,"dddd")</f>
        <v>Tuesday</v>
      </c>
    </row>
    <row r="316" spans="1:19" x14ac:dyDescent="0.25">
      <c r="A316" s="226">
        <v>46337</v>
      </c>
      <c r="B316" s="227">
        <f>O315</f>
        <v>100</v>
      </c>
      <c r="C316" s="228">
        <f>P315</f>
        <v>100</v>
      </c>
      <c r="D316" s="228">
        <f>IF(OR(DAY(A316+2)=1,DAY(A316+2)=15),-SUM('Main Budget'!$H$26:$H$31),0)</f>
        <v>0</v>
      </c>
      <c r="E316" s="228">
        <f>IF(DAY(A316+2)=22,-SUM('Main Budget'!$F$26:$F$31),0)</f>
        <v>0</v>
      </c>
      <c r="F316" s="228">
        <f>IF(D316&gt;0,-'Main Budget'!$H$25+0.15,0)</f>
        <v>0</v>
      </c>
      <c r="G316" s="228">
        <f>IF(E316&gt;0,-'Main Budget'!$F$25+0.81,0)</f>
        <v>0</v>
      </c>
      <c r="H316" s="227">
        <f>IF(DAY(A316)='Main Budget'!$J$26,'Main Budget'!$E$26,0)</f>
        <v>0</v>
      </c>
      <c r="I316" s="227">
        <f>IF(DAY(A316)='Main Budget'!$J$28,'Main Budget'!$E$28,0)</f>
        <v>0</v>
      </c>
      <c r="J316" s="227">
        <f>IF(DAY(A316)='Main Budget'!$J$29,'Main Budget'!$E$29,0)</f>
        <v>0</v>
      </c>
      <c r="K316" s="20">
        <f>IF(DAY(A316)='Main Budget'!$J$30,'Main Budget'!$E$30,0)</f>
        <v>0</v>
      </c>
      <c r="L316" s="20">
        <f>IF(DAY(A316)='Main Budget'!$J$31,'Main Budget'!$E$31,0)</f>
        <v>0</v>
      </c>
      <c r="M316" s="20">
        <f>IF(DAY(A316)='Main Budget'!$J$27,'Main Budget'!$E$27,0)</f>
        <v>0</v>
      </c>
      <c r="O316" s="228">
        <f>B316+(SUM(H316:M316)+(SUM(D316:E316)))</f>
        <v>100</v>
      </c>
      <c r="P316" s="228">
        <f>C316+F316+G316+N316</f>
        <v>100</v>
      </c>
      <c r="Q316" s="252">
        <f>O316+P316</f>
        <v>200</v>
      </c>
      <c r="S316" s="231" t="str">
        <f>TEXT(A316,"dddd")</f>
        <v>Wednesday</v>
      </c>
    </row>
    <row r="317" spans="1:19" x14ac:dyDescent="0.25">
      <c r="A317" s="226">
        <v>46338</v>
      </c>
      <c r="B317" s="227">
        <f>O316</f>
        <v>100</v>
      </c>
      <c r="C317" s="228">
        <f>P316</f>
        <v>100</v>
      </c>
      <c r="D317" s="228">
        <f>IF(OR(DAY(A317+2)=1,DAY(A317+2)=15),-SUM('Main Budget'!$H$26:$H$31),0)</f>
        <v>0</v>
      </c>
      <c r="E317" s="228">
        <f>IF(DAY(A317+2)=22,-SUM('Main Budget'!$F$26:$F$31),0)</f>
        <v>0</v>
      </c>
      <c r="F317" s="228">
        <f>IF(D317&gt;0,-'Main Budget'!$H$25+0.15,0)</f>
        <v>0</v>
      </c>
      <c r="G317" s="228">
        <f>IF(E317&gt;0,-'Main Budget'!$F$25+0.81,0)</f>
        <v>0</v>
      </c>
      <c r="H317" s="227">
        <f>IF(DAY(A317)='Main Budget'!$J$26,'Main Budget'!$E$26,0)</f>
        <v>0</v>
      </c>
      <c r="I317" s="227">
        <f>IF(DAY(A317)='Main Budget'!$J$28,'Main Budget'!$E$28,0)</f>
        <v>0</v>
      </c>
      <c r="J317" s="227">
        <f>IF(DAY(A317)='Main Budget'!$J$29,'Main Budget'!$E$29,0)</f>
        <v>0</v>
      </c>
      <c r="K317" s="20">
        <f>IF(DAY(A317)='Main Budget'!$J$30,'Main Budget'!$E$30,0)</f>
        <v>0</v>
      </c>
      <c r="L317" s="20">
        <f>IF(DAY(A317)='Main Budget'!$J$31,'Main Budget'!$E$31,0)</f>
        <v>0</v>
      </c>
      <c r="M317" s="20">
        <f>IF(DAY(A317)='Main Budget'!$J$27,'Main Budget'!$E$27,0)</f>
        <v>0</v>
      </c>
      <c r="O317" s="228">
        <f>B317+(SUM(H317:M317)+(SUM(D317:E317)))</f>
        <v>100</v>
      </c>
      <c r="P317" s="228">
        <f>C317+F317+G317+N317</f>
        <v>100</v>
      </c>
      <c r="Q317" s="252">
        <f>O317+P317</f>
        <v>200</v>
      </c>
      <c r="S317" s="231" t="str">
        <f>TEXT(A317,"dddd")</f>
        <v>Thursday</v>
      </c>
    </row>
    <row r="318" spans="1:19" x14ac:dyDescent="0.25">
      <c r="A318" s="226">
        <v>46339</v>
      </c>
      <c r="B318" s="227">
        <f>O317</f>
        <v>100</v>
      </c>
      <c r="C318" s="228">
        <f>P317</f>
        <v>100</v>
      </c>
      <c r="D318" s="228">
        <f>IF(OR(DAY(A318+2)=1,DAY(A318+2)=15),-SUM('Main Budget'!$H$26:$H$31),0)</f>
        <v>0</v>
      </c>
      <c r="E318" s="228">
        <f>IF(DAY(A318+2)=22,-SUM('Main Budget'!$F$26:$F$31),0)</f>
        <v>0</v>
      </c>
      <c r="F318" s="228">
        <f>IF(D318&gt;0,-'Main Budget'!$H$25+0.15,0)</f>
        <v>0</v>
      </c>
      <c r="G318" s="228">
        <f>IF(E318&gt;0,-'Main Budget'!$F$25+0.81,0)</f>
        <v>0</v>
      </c>
      <c r="H318" s="227">
        <f>IF(DAY(A318)='Main Budget'!$J$26,'Main Budget'!$E$26,0)</f>
        <v>0</v>
      </c>
      <c r="I318" s="227">
        <f>IF(DAY(A318)='Main Budget'!$J$28,'Main Budget'!$E$28,0)</f>
        <v>0</v>
      </c>
      <c r="J318" s="227">
        <f>IF(DAY(A318)='Main Budget'!$J$29,'Main Budget'!$E$29,0)</f>
        <v>0</v>
      </c>
      <c r="K318" s="20">
        <f>IF(DAY(A318)='Main Budget'!$J$30,'Main Budget'!$E$30,0)</f>
        <v>0</v>
      </c>
      <c r="L318" s="20">
        <f>IF(DAY(A318)='Main Budget'!$J$31,'Main Budget'!$E$31,0)</f>
        <v>0</v>
      </c>
      <c r="M318" s="20">
        <f>IF(DAY(A318)='Main Budget'!$J$27,'Main Budget'!$E$27,0)</f>
        <v>0</v>
      </c>
      <c r="O318" s="228">
        <f>B318+(SUM(H318:M318)+(SUM(D318:E318)))</f>
        <v>100</v>
      </c>
      <c r="P318" s="228">
        <f>C318+F318+G318+N318</f>
        <v>100</v>
      </c>
      <c r="Q318" s="252">
        <f>O318+P318</f>
        <v>200</v>
      </c>
      <c r="S318" s="231" t="str">
        <f>TEXT(A318,"dddd")</f>
        <v>Friday</v>
      </c>
    </row>
    <row r="319" spans="1:19" x14ac:dyDescent="0.25">
      <c r="A319" s="226">
        <v>46340</v>
      </c>
      <c r="B319" s="227">
        <f>O318</f>
        <v>100</v>
      </c>
      <c r="C319" s="228">
        <f>P318</f>
        <v>100</v>
      </c>
      <c r="D319" s="228">
        <f>IF(OR(DAY(A319+2)=1,DAY(A319+2)=15),-SUM('Main Budget'!$H$26:$H$31),0)</f>
        <v>0</v>
      </c>
      <c r="E319" s="228">
        <f>IF(DAY(A319+2)=22,-SUM('Main Budget'!$F$26:$F$31),0)</f>
        <v>0</v>
      </c>
      <c r="F319" s="228">
        <f>IF(D319&gt;0,-'Main Budget'!$H$25+0.15,0)</f>
        <v>0</v>
      </c>
      <c r="G319" s="228">
        <f>IF(E319&gt;0,-'Main Budget'!$F$25+0.81,0)</f>
        <v>0</v>
      </c>
      <c r="H319" s="227">
        <f>IF(DAY(A319)='Main Budget'!$J$26,'Main Budget'!$E$26,0)</f>
        <v>0</v>
      </c>
      <c r="I319" s="227">
        <f>IF(DAY(A319)='Main Budget'!$J$28,'Main Budget'!$E$28,0)</f>
        <v>0</v>
      </c>
      <c r="J319" s="227">
        <f>IF(DAY(A319)='Main Budget'!$J$29,'Main Budget'!$E$29,0)</f>
        <v>0</v>
      </c>
      <c r="K319" s="20">
        <f>IF(DAY(A319)='Main Budget'!$J$30,'Main Budget'!$E$30,0)</f>
        <v>0</v>
      </c>
      <c r="L319" s="20">
        <f>IF(DAY(A319)='Main Budget'!$J$31,'Main Budget'!$E$31,0)</f>
        <v>0</v>
      </c>
      <c r="M319" s="20">
        <f>IF(DAY(A319)='Main Budget'!$J$27,'Main Budget'!$E$27,0)</f>
        <v>0</v>
      </c>
      <c r="O319" s="228">
        <f>B319+(SUM(H319:M319)+(SUM(D319:E319)))</f>
        <v>100</v>
      </c>
      <c r="P319" s="228">
        <f>C319+F319+G319+N319</f>
        <v>100</v>
      </c>
      <c r="Q319" s="252">
        <f>O319+P319</f>
        <v>200</v>
      </c>
      <c r="S319" s="231" t="str">
        <f>TEXT(A319,"dddd")</f>
        <v>Saturday</v>
      </c>
    </row>
    <row r="320" spans="1:19" x14ac:dyDescent="0.25">
      <c r="A320" s="226">
        <v>46341</v>
      </c>
      <c r="B320" s="227">
        <f>O319</f>
        <v>100</v>
      </c>
      <c r="C320" s="228">
        <f>P319</f>
        <v>100</v>
      </c>
      <c r="D320" s="228">
        <f>IF(OR(DAY(A320+2)=1,DAY(A320+2)=15),-SUM('Main Budget'!$H$26:$H$31),0)</f>
        <v>0</v>
      </c>
      <c r="E320" s="228">
        <f>IF(DAY(A320+2)=22,-SUM('Main Budget'!$F$26:$F$31),0)</f>
        <v>0</v>
      </c>
      <c r="F320" s="228">
        <f>IF(D320&gt;0,-'Main Budget'!$H$25+0.15,0)</f>
        <v>0</v>
      </c>
      <c r="G320" s="228">
        <f>IF(E320&gt;0,-'Main Budget'!$F$25+0.81,0)</f>
        <v>0</v>
      </c>
      <c r="H320" s="227">
        <f>IF(DAY(A320)='Main Budget'!$J$26,'Main Budget'!$E$26,0)</f>
        <v>0</v>
      </c>
      <c r="I320" s="227">
        <f>IF(DAY(A320)='Main Budget'!$J$28,'Main Budget'!$E$28,0)</f>
        <v>0</v>
      </c>
      <c r="J320" s="227">
        <f>IF(DAY(A320)='Main Budget'!$J$29,'Main Budget'!$E$29,0)</f>
        <v>0</v>
      </c>
      <c r="K320" s="20">
        <f>IF(DAY(A320)='Main Budget'!$J$30,'Main Budget'!$E$30,0)</f>
        <v>0</v>
      </c>
      <c r="L320" s="20">
        <f>IF(DAY(A320)='Main Budget'!$J$31,'Main Budget'!$E$31,0)</f>
        <v>0</v>
      </c>
      <c r="M320" s="20">
        <f>IF(DAY(A320)='Main Budget'!$J$27,'Main Budget'!$E$27,0)</f>
        <v>0</v>
      </c>
      <c r="O320" s="228">
        <f>B320+(SUM(H320:M320)+(SUM(D320:E320)))</f>
        <v>100</v>
      </c>
      <c r="P320" s="228">
        <f>C320+F320+G320+N320</f>
        <v>100</v>
      </c>
      <c r="Q320" s="252">
        <f>O320+P320</f>
        <v>200</v>
      </c>
      <c r="S320" s="231" t="str">
        <f>TEXT(A320,"dddd")</f>
        <v>Sunday</v>
      </c>
    </row>
    <row r="321" spans="1:19" x14ac:dyDescent="0.25">
      <c r="A321" s="226">
        <v>46342</v>
      </c>
      <c r="B321" s="227">
        <f>O320</f>
        <v>100</v>
      </c>
      <c r="C321" s="228">
        <f>P320</f>
        <v>100</v>
      </c>
      <c r="D321" s="228">
        <f>IF(OR(DAY(A321+2)=1,DAY(A321+2)=15),-SUM('Main Budget'!$H$26:$H$31),0)</f>
        <v>0</v>
      </c>
      <c r="E321" s="228">
        <f>IF(DAY(A321+2)=22,-SUM('Main Budget'!$F$26:$F$31),0)</f>
        <v>0</v>
      </c>
      <c r="F321" s="228">
        <f>IF(D321&gt;0,-'Main Budget'!$H$25+0.15,0)</f>
        <v>0</v>
      </c>
      <c r="G321" s="228">
        <f>IF(E321&gt;0,-'Main Budget'!$F$25+0.81,0)</f>
        <v>0</v>
      </c>
      <c r="H321" s="227">
        <f>IF(DAY(A321)='Main Budget'!$J$26,'Main Budget'!$E$26,0)</f>
        <v>0</v>
      </c>
      <c r="I321" s="227">
        <f>IF(DAY(A321)='Main Budget'!$J$28,'Main Budget'!$E$28,0)</f>
        <v>0</v>
      </c>
      <c r="J321" s="227">
        <f>IF(DAY(A321)='Main Budget'!$J$29,'Main Budget'!$E$29,0)</f>
        <v>0</v>
      </c>
      <c r="K321" s="20">
        <f>IF(DAY(A321)='Main Budget'!$J$30,'Main Budget'!$E$30,0)</f>
        <v>0</v>
      </c>
      <c r="L321" s="20">
        <f>IF(DAY(A321)='Main Budget'!$J$31,'Main Budget'!$E$31,0)</f>
        <v>0</v>
      </c>
      <c r="M321" s="20">
        <f>IF(DAY(A321)='Main Budget'!$J$27,'Main Budget'!$E$27,0)</f>
        <v>0</v>
      </c>
      <c r="O321" s="228">
        <f>B321+(SUM(H321:M321)+(SUM(D321:E321)))</f>
        <v>100</v>
      </c>
      <c r="P321" s="228">
        <f>C321+F321+G321+N321</f>
        <v>100</v>
      </c>
      <c r="Q321" s="252">
        <f>O321+P321</f>
        <v>200</v>
      </c>
      <c r="S321" s="231" t="str">
        <f>TEXT(A321,"dddd")</f>
        <v>Monday</v>
      </c>
    </row>
    <row r="322" spans="1:19" x14ac:dyDescent="0.25">
      <c r="A322" s="226">
        <v>46343</v>
      </c>
      <c r="B322" s="227">
        <f>O321</f>
        <v>100</v>
      </c>
      <c r="C322" s="228">
        <f>P321</f>
        <v>100</v>
      </c>
      <c r="D322" s="228">
        <f>IF(OR(DAY(A322+2)=1,DAY(A322+2)=15),-SUM('Main Budget'!$H$26:$H$31),0)</f>
        <v>0</v>
      </c>
      <c r="E322" s="228">
        <f>IF(DAY(A322+2)=22,-SUM('Main Budget'!$F$26:$F$31),0)</f>
        <v>0</v>
      </c>
      <c r="F322" s="228">
        <f>IF(D322&gt;0,-'Main Budget'!$H$25+0.15,0)</f>
        <v>0</v>
      </c>
      <c r="G322" s="228">
        <f>IF(E322&gt;0,-'Main Budget'!$F$25+0.81,0)</f>
        <v>0</v>
      </c>
      <c r="H322" s="227">
        <f>IF(DAY(A322)='Main Budget'!$J$26,'Main Budget'!$E$26,0)</f>
        <v>0</v>
      </c>
      <c r="I322" s="227">
        <f>IF(DAY(A322)='Main Budget'!$J$28,'Main Budget'!$E$28,0)</f>
        <v>0</v>
      </c>
      <c r="J322" s="227">
        <f>IF(DAY(A322)='Main Budget'!$J$29,'Main Budget'!$E$29,0)</f>
        <v>0</v>
      </c>
      <c r="K322" s="20">
        <f>IF(DAY(A322)='Main Budget'!$J$30,'Main Budget'!$E$30,0)</f>
        <v>0</v>
      </c>
      <c r="L322" s="20">
        <f>IF(DAY(A322)='Main Budget'!$J$31,'Main Budget'!$E$31,0)</f>
        <v>0</v>
      </c>
      <c r="M322" s="20">
        <f>IF(DAY(A322)='Main Budget'!$J$27,'Main Budget'!$E$27,0)</f>
        <v>0</v>
      </c>
      <c r="O322" s="228">
        <f>B322+(SUM(H322:M322)+(SUM(D322:E322)))</f>
        <v>100</v>
      </c>
      <c r="P322" s="228">
        <f>C322+F322+G322+N322</f>
        <v>100</v>
      </c>
      <c r="Q322" s="252">
        <f>O322+P322</f>
        <v>200</v>
      </c>
      <c r="S322" s="231" t="str">
        <f>TEXT(A322,"dddd")</f>
        <v>Tuesday</v>
      </c>
    </row>
    <row r="323" spans="1:19" x14ac:dyDescent="0.25">
      <c r="A323" s="226">
        <v>46344</v>
      </c>
      <c r="B323" s="227">
        <f>O322</f>
        <v>100</v>
      </c>
      <c r="C323" s="228">
        <f>P322</f>
        <v>100</v>
      </c>
      <c r="D323" s="228">
        <f>IF(OR(DAY(A323+2)=1,DAY(A323+2)=15),-SUM('Main Budget'!$H$26:$H$31),0)</f>
        <v>0</v>
      </c>
      <c r="E323" s="228">
        <f>IF(DAY(A323+2)=22,-SUM('Main Budget'!$F$26:$F$31),0)</f>
        <v>0</v>
      </c>
      <c r="F323" s="228">
        <f>IF(D323&gt;0,-'Main Budget'!$H$25+0.15,0)</f>
        <v>0</v>
      </c>
      <c r="G323" s="228">
        <f>IF(E323&gt;0,-'Main Budget'!$F$25+0.81,0)</f>
        <v>0</v>
      </c>
      <c r="H323" s="227">
        <f>IF(DAY(A323)='Main Budget'!$J$26,'Main Budget'!$E$26,0)</f>
        <v>0</v>
      </c>
      <c r="I323" s="227">
        <f>IF(DAY(A323)='Main Budget'!$J$28,'Main Budget'!$E$28,0)</f>
        <v>0</v>
      </c>
      <c r="J323" s="227">
        <f>IF(DAY(A323)='Main Budget'!$J$29,'Main Budget'!$E$29,0)</f>
        <v>0</v>
      </c>
      <c r="K323" s="20">
        <f>IF(DAY(A323)='Main Budget'!$J$30,'Main Budget'!$E$30,0)</f>
        <v>0</v>
      </c>
      <c r="L323" s="20">
        <f>IF(DAY(A323)='Main Budget'!$J$31,'Main Budget'!$E$31,0)</f>
        <v>0</v>
      </c>
      <c r="M323" s="20">
        <f>IF(DAY(A323)='Main Budget'!$J$27,'Main Budget'!$E$27,0)</f>
        <v>0</v>
      </c>
      <c r="O323" s="228">
        <f>B323+(SUM(H323:M323)+(SUM(D323:E323)))</f>
        <v>100</v>
      </c>
      <c r="P323" s="228">
        <f>C323+F323+G323+N323</f>
        <v>100</v>
      </c>
      <c r="Q323" s="252">
        <f>O323+P323</f>
        <v>200</v>
      </c>
      <c r="S323" s="231" t="str">
        <f>TEXT(A323,"dddd")</f>
        <v>Wednesday</v>
      </c>
    </row>
    <row r="324" spans="1:19" x14ac:dyDescent="0.25">
      <c r="A324" s="226">
        <v>46345</v>
      </c>
      <c r="B324" s="227">
        <f>O323</f>
        <v>100</v>
      </c>
      <c r="C324" s="228">
        <f>P323</f>
        <v>100</v>
      </c>
      <c r="D324" s="228">
        <f>IF(OR(DAY(A324+2)=1,DAY(A324+2)=15),-SUM('Main Budget'!$H$26:$H$31),0)</f>
        <v>0</v>
      </c>
      <c r="E324" s="228">
        <f>IF(DAY(A324+2)=22,-SUM('Main Budget'!$F$26:$F$31),0)</f>
        <v>0</v>
      </c>
      <c r="F324" s="228">
        <f>IF(D324&gt;0,-'Main Budget'!$H$25+0.15,0)</f>
        <v>0</v>
      </c>
      <c r="G324" s="228">
        <f>IF(E324&gt;0,-'Main Budget'!$F$25+0.81,0)</f>
        <v>0</v>
      </c>
      <c r="H324" s="227">
        <f>IF(DAY(A324)='Main Budget'!$J$26,'Main Budget'!$E$26,0)</f>
        <v>0</v>
      </c>
      <c r="I324" s="227">
        <f>IF(DAY(A324)='Main Budget'!$J$28,'Main Budget'!$E$28,0)</f>
        <v>0</v>
      </c>
      <c r="J324" s="227">
        <f>IF(DAY(A324)='Main Budget'!$J$29,'Main Budget'!$E$29,0)</f>
        <v>0</v>
      </c>
      <c r="K324" s="20">
        <f>IF(DAY(A324)='Main Budget'!$J$30,'Main Budget'!$E$30,0)</f>
        <v>0</v>
      </c>
      <c r="L324" s="20">
        <f>IF(DAY(A324)='Main Budget'!$J$31,'Main Budget'!$E$31,0)</f>
        <v>0</v>
      </c>
      <c r="M324" s="20">
        <f>IF(DAY(A324)='Main Budget'!$J$27,'Main Budget'!$E$27,0)</f>
        <v>0</v>
      </c>
      <c r="O324" s="228">
        <f>B324+(SUM(H324:M324)+(SUM(D324:E324)))</f>
        <v>100</v>
      </c>
      <c r="P324" s="228">
        <f>C324+F324+G324+N324</f>
        <v>100</v>
      </c>
      <c r="Q324" s="252">
        <f>O324+P324</f>
        <v>200</v>
      </c>
      <c r="S324" s="231" t="str">
        <f>TEXT(A324,"dddd")</f>
        <v>Thursday</v>
      </c>
    </row>
    <row r="325" spans="1:19" x14ac:dyDescent="0.25">
      <c r="A325" s="226">
        <v>46346</v>
      </c>
      <c r="B325" s="227">
        <f>O324</f>
        <v>100</v>
      </c>
      <c r="C325" s="228">
        <f>P324</f>
        <v>100</v>
      </c>
      <c r="D325" s="228">
        <f>IF(OR(DAY(A325+2)=1,DAY(A325+2)=15),-SUM('Main Budget'!$H$26:$H$31),0)</f>
        <v>0</v>
      </c>
      <c r="E325" s="228">
        <f>IF(DAY(A325+2)=22,-SUM('Main Budget'!$F$26:$F$31),0)</f>
        <v>0</v>
      </c>
      <c r="F325" s="228">
        <f>IF(D325&gt;0,-'Main Budget'!$H$25+0.15,0)</f>
        <v>0</v>
      </c>
      <c r="G325" s="228">
        <f>IF(E325&gt;0,-'Main Budget'!$F$25+0.81,0)</f>
        <v>0</v>
      </c>
      <c r="H325" s="227">
        <f>IF(DAY(A325)='Main Budget'!$J$26,'Main Budget'!$E$26,0)</f>
        <v>0</v>
      </c>
      <c r="I325" s="227">
        <f>IF(DAY(A325)='Main Budget'!$J$28,'Main Budget'!$E$28,0)</f>
        <v>0</v>
      </c>
      <c r="J325" s="227">
        <f>IF(DAY(A325)='Main Budget'!$J$29,'Main Budget'!$E$29,0)</f>
        <v>0</v>
      </c>
      <c r="K325" s="20">
        <f>IF(DAY(A325)='Main Budget'!$J$30,'Main Budget'!$E$30,0)</f>
        <v>0</v>
      </c>
      <c r="L325" s="20">
        <f>IF(DAY(A325)='Main Budget'!$J$31,'Main Budget'!$E$31,0)</f>
        <v>0</v>
      </c>
      <c r="M325" s="20">
        <f>IF(DAY(A325)='Main Budget'!$J$27,'Main Budget'!$E$27,0)</f>
        <v>0</v>
      </c>
      <c r="O325" s="228">
        <f>B325+(SUM(H325:M325)+(SUM(D325:E325)))</f>
        <v>100</v>
      </c>
      <c r="P325" s="228">
        <f>C325+F325+G325+N325</f>
        <v>100</v>
      </c>
      <c r="Q325" s="252">
        <f>O325+P325</f>
        <v>200</v>
      </c>
      <c r="S325" s="231" t="str">
        <f>TEXT(A325,"dddd")</f>
        <v>Friday</v>
      </c>
    </row>
    <row r="326" spans="1:19" x14ac:dyDescent="0.25">
      <c r="A326" s="226">
        <v>46347</v>
      </c>
      <c r="B326" s="227">
        <f>O325</f>
        <v>100</v>
      </c>
      <c r="C326" s="228">
        <f>P325</f>
        <v>100</v>
      </c>
      <c r="D326" s="228">
        <f>IF(OR(DAY(A326+2)=1,DAY(A326+2)=15),-SUM('Main Budget'!$H$26:$H$31),0)</f>
        <v>0</v>
      </c>
      <c r="E326" s="228">
        <f>IF(DAY(A326+2)=22,-SUM('Main Budget'!$F$26:$F$31),0)</f>
        <v>0</v>
      </c>
      <c r="F326" s="228">
        <f>IF(D326&gt;0,-'Main Budget'!$H$25+0.15,0)</f>
        <v>0</v>
      </c>
      <c r="G326" s="228">
        <f>IF(E326&gt;0,-'Main Budget'!$F$25+0.81,0)</f>
        <v>0</v>
      </c>
      <c r="H326" s="227">
        <f>IF(DAY(A326)='Main Budget'!$J$26,'Main Budget'!$E$26,0)</f>
        <v>0</v>
      </c>
      <c r="I326" s="227">
        <f>IF(DAY(A326)='Main Budget'!$J$28,'Main Budget'!$E$28,0)</f>
        <v>0</v>
      </c>
      <c r="J326" s="227">
        <f>IF(DAY(A326)='Main Budget'!$J$29,'Main Budget'!$E$29,0)</f>
        <v>0</v>
      </c>
      <c r="K326" s="20">
        <f>IF(DAY(A326)='Main Budget'!$J$30,'Main Budget'!$E$30,0)</f>
        <v>0</v>
      </c>
      <c r="L326" s="20">
        <f>IF(DAY(A326)='Main Budget'!$J$31,'Main Budget'!$E$31,0)</f>
        <v>0</v>
      </c>
      <c r="M326" s="20">
        <f>IF(DAY(A326)='Main Budget'!$J$27,'Main Budget'!$E$27,0)</f>
        <v>0</v>
      </c>
      <c r="O326" s="228">
        <f>B326+(SUM(H326:M326)+(SUM(D326:E326)))</f>
        <v>100</v>
      </c>
      <c r="P326" s="228">
        <f>C326+F326+G326+N326</f>
        <v>100</v>
      </c>
      <c r="Q326" s="252">
        <f>O326+P326</f>
        <v>200</v>
      </c>
      <c r="S326" s="231" t="str">
        <f>TEXT(A326,"dddd")</f>
        <v>Saturday</v>
      </c>
    </row>
    <row r="327" spans="1:19" x14ac:dyDescent="0.25">
      <c r="A327" s="226">
        <v>46348</v>
      </c>
      <c r="B327" s="227">
        <f>O326</f>
        <v>100</v>
      </c>
      <c r="C327" s="228">
        <f>P326</f>
        <v>100</v>
      </c>
      <c r="D327" s="228">
        <f>IF(OR(DAY(A327+2)=1,DAY(A327+2)=15),-SUM('Main Budget'!$H$26:$H$31),0)</f>
        <v>0</v>
      </c>
      <c r="E327" s="228">
        <f>IF(DAY(A327+2)=22,-SUM('Main Budget'!$F$26:$F$31),0)</f>
        <v>0</v>
      </c>
      <c r="F327" s="228">
        <f>IF(D327&gt;0,-'Main Budget'!$H$25+0.15,0)</f>
        <v>0</v>
      </c>
      <c r="G327" s="228">
        <f>IF(E327&gt;0,-'Main Budget'!$F$25+0.81,0)</f>
        <v>0</v>
      </c>
      <c r="H327" s="227">
        <f>IF(DAY(A327)='Main Budget'!$J$26,'Main Budget'!$E$26,0)</f>
        <v>0</v>
      </c>
      <c r="I327" s="227">
        <f>IF(DAY(A327)='Main Budget'!$J$28,'Main Budget'!$E$28,0)</f>
        <v>0</v>
      </c>
      <c r="J327" s="227">
        <f>IF(DAY(A327)='Main Budget'!$J$29,'Main Budget'!$E$29,0)</f>
        <v>0</v>
      </c>
      <c r="K327" s="20">
        <f>IF(DAY(A327)='Main Budget'!$J$30,'Main Budget'!$E$30,0)</f>
        <v>0</v>
      </c>
      <c r="L327" s="20">
        <f>IF(DAY(A327)='Main Budget'!$J$31,'Main Budget'!$E$31,0)</f>
        <v>0</v>
      </c>
      <c r="M327" s="20">
        <f>IF(DAY(A327)='Main Budget'!$J$27,'Main Budget'!$E$27,0)</f>
        <v>0</v>
      </c>
      <c r="O327" s="228">
        <f>B327+(SUM(H327:M327)+(SUM(D327:E327)))</f>
        <v>100</v>
      </c>
      <c r="P327" s="228">
        <f>C327+F327+G327+N327</f>
        <v>100</v>
      </c>
      <c r="Q327" s="252">
        <f>O327+P327</f>
        <v>200</v>
      </c>
      <c r="S327" s="231" t="str">
        <f>TEXT(A327,"dddd")</f>
        <v>Sunday</v>
      </c>
    </row>
    <row r="328" spans="1:19" x14ac:dyDescent="0.25">
      <c r="A328" s="226">
        <v>46349</v>
      </c>
      <c r="B328" s="227">
        <f>O327</f>
        <v>100</v>
      </c>
      <c r="C328" s="228">
        <f>P327</f>
        <v>100</v>
      </c>
      <c r="D328" s="228">
        <f>IF(OR(DAY(A328+2)=1,DAY(A328+2)=15),-SUM('Main Budget'!$H$26:$H$31),0)</f>
        <v>0</v>
      </c>
      <c r="E328" s="228">
        <f>IF(DAY(A328+2)=22,-SUM('Main Budget'!$F$26:$F$31),0)</f>
        <v>0</v>
      </c>
      <c r="F328" s="228">
        <f>IF(D328&gt;0,-'Main Budget'!$H$25+0.15,0)</f>
        <v>0</v>
      </c>
      <c r="G328" s="228">
        <f>IF(E328&gt;0,-'Main Budget'!$F$25+0.81,0)</f>
        <v>0</v>
      </c>
      <c r="H328" s="227">
        <f>IF(DAY(A328)='Main Budget'!$J$26,'Main Budget'!$E$26,0)</f>
        <v>0</v>
      </c>
      <c r="I328" s="227">
        <f>IF(DAY(A328)='Main Budget'!$J$28,'Main Budget'!$E$28,0)</f>
        <v>0</v>
      </c>
      <c r="J328" s="227">
        <f>IF(DAY(A328)='Main Budget'!$J$29,'Main Budget'!$E$29,0)</f>
        <v>0</v>
      </c>
      <c r="K328" s="20">
        <f>IF(DAY(A328)='Main Budget'!$J$30,'Main Budget'!$E$30,0)</f>
        <v>0</v>
      </c>
      <c r="L328" s="20">
        <f>IF(DAY(A328)='Main Budget'!$J$31,'Main Budget'!$E$31,0)</f>
        <v>0</v>
      </c>
      <c r="M328" s="20">
        <f>IF(DAY(A328)='Main Budget'!$J$27,'Main Budget'!$E$27,0)</f>
        <v>0</v>
      </c>
      <c r="O328" s="228">
        <f>B328+(SUM(H328:M328)+(SUM(D328:E328)))</f>
        <v>100</v>
      </c>
      <c r="P328" s="228">
        <f>C328+F328+G328+N328</f>
        <v>100</v>
      </c>
      <c r="Q328" s="252">
        <f>O328+P328</f>
        <v>200</v>
      </c>
      <c r="S328" s="231" t="str">
        <f>TEXT(A328,"dddd")</f>
        <v>Monday</v>
      </c>
    </row>
    <row r="329" spans="1:19" x14ac:dyDescent="0.25">
      <c r="A329" s="226">
        <v>46350</v>
      </c>
      <c r="B329" s="227">
        <f>O328</f>
        <v>100</v>
      </c>
      <c r="C329" s="228">
        <f>P328</f>
        <v>100</v>
      </c>
      <c r="D329" s="228">
        <f>IF(OR(DAY(A329+2)=1,DAY(A329+2)=15),-SUM('Main Budget'!$H$26:$H$31),0)</f>
        <v>0</v>
      </c>
      <c r="E329" s="228">
        <f>IF(DAY(A329+2)=22,-SUM('Main Budget'!$F$26:$F$31),0)</f>
        <v>0</v>
      </c>
      <c r="F329" s="228">
        <f>IF(D329&gt;0,-'Main Budget'!$H$25+0.15,0)</f>
        <v>0</v>
      </c>
      <c r="G329" s="228">
        <f>IF(E329&gt;0,-'Main Budget'!$F$25+0.81,0)</f>
        <v>0</v>
      </c>
      <c r="H329" s="227">
        <f>IF(DAY(A329)='Main Budget'!$J$26,'Main Budget'!$E$26,0)</f>
        <v>0</v>
      </c>
      <c r="I329" s="227">
        <f>IF(DAY(A329)='Main Budget'!$J$28,'Main Budget'!$E$28,0)</f>
        <v>0</v>
      </c>
      <c r="J329" s="227">
        <f>IF(DAY(A329)='Main Budget'!$J$29,'Main Budget'!$E$29,0)</f>
        <v>0</v>
      </c>
      <c r="K329" s="20">
        <f>IF(DAY(A329)='Main Budget'!$J$30,'Main Budget'!$E$30,0)</f>
        <v>0</v>
      </c>
      <c r="L329" s="20">
        <f>IF(DAY(A329)='Main Budget'!$J$31,'Main Budget'!$E$31,0)</f>
        <v>0</v>
      </c>
      <c r="M329" s="20">
        <f>IF(DAY(A329)='Main Budget'!$J$27,'Main Budget'!$E$27,0)</f>
        <v>0</v>
      </c>
      <c r="O329" s="228">
        <f>B329+(SUM(H329:M329)+(SUM(D329:E329)))</f>
        <v>100</v>
      </c>
      <c r="P329" s="228">
        <f>C329+F329+G329+N329</f>
        <v>100</v>
      </c>
      <c r="Q329" s="252">
        <f>O329+P329</f>
        <v>200</v>
      </c>
      <c r="S329" s="231" t="str">
        <f>TEXT(A329,"dddd")</f>
        <v>Tuesday</v>
      </c>
    </row>
    <row r="330" spans="1:19" x14ac:dyDescent="0.25">
      <c r="A330" s="226">
        <v>46351</v>
      </c>
      <c r="B330" s="227">
        <f>O329</f>
        <v>100</v>
      </c>
      <c r="C330" s="228">
        <f>P329</f>
        <v>100</v>
      </c>
      <c r="D330" s="228">
        <f>IF(OR(DAY(A330+2)=1,DAY(A330+2)=15),-SUM('Main Budget'!$H$26:$H$31),0)</f>
        <v>0</v>
      </c>
      <c r="E330" s="228">
        <f>IF(DAY(A330+2)=22,-SUM('Main Budget'!$F$26:$F$31),0)</f>
        <v>0</v>
      </c>
      <c r="F330" s="228">
        <f>IF(D330&gt;0,-'Main Budget'!$H$25+0.15,0)</f>
        <v>0</v>
      </c>
      <c r="G330" s="228">
        <f>IF(E330&gt;0,-'Main Budget'!$F$25+0.81,0)</f>
        <v>0</v>
      </c>
      <c r="H330" s="227">
        <f>IF(DAY(A330)='Main Budget'!$J$26,'Main Budget'!$E$26,0)</f>
        <v>0</v>
      </c>
      <c r="I330" s="227">
        <f>IF(DAY(A330)='Main Budget'!$J$28,'Main Budget'!$E$28,0)</f>
        <v>0</v>
      </c>
      <c r="J330" s="227">
        <f>IF(DAY(A330)='Main Budget'!$J$29,'Main Budget'!$E$29,0)</f>
        <v>0</v>
      </c>
      <c r="K330" s="20">
        <f>IF(DAY(A330)='Main Budget'!$J$30,'Main Budget'!$E$30,0)</f>
        <v>0</v>
      </c>
      <c r="L330" s="20">
        <f>IF(DAY(A330)='Main Budget'!$J$31,'Main Budget'!$E$31,0)</f>
        <v>0</v>
      </c>
      <c r="M330" s="20">
        <f>IF(DAY(A330)='Main Budget'!$J$27,'Main Budget'!$E$27,0)</f>
        <v>0</v>
      </c>
      <c r="O330" s="228">
        <f>B330+(SUM(H330:M330)+(SUM(D330:E330)))</f>
        <v>100</v>
      </c>
      <c r="P330" s="228">
        <f>C330+F330+G330+N330</f>
        <v>100</v>
      </c>
      <c r="Q330" s="252">
        <f>O330+P330</f>
        <v>200</v>
      </c>
      <c r="S330" s="231" t="str">
        <f>TEXT(A330,"dddd")</f>
        <v>Wednesday</v>
      </c>
    </row>
    <row r="331" spans="1:19" x14ac:dyDescent="0.25">
      <c r="A331" s="226">
        <v>46352</v>
      </c>
      <c r="B331" s="227">
        <f>O330</f>
        <v>100</v>
      </c>
      <c r="C331" s="228">
        <f>P330</f>
        <v>100</v>
      </c>
      <c r="D331" s="228">
        <f>IF(OR(DAY(A331+2)=1,DAY(A331+2)=15),-SUM('Main Budget'!$H$26:$H$31),0)</f>
        <v>0</v>
      </c>
      <c r="E331" s="228">
        <f>IF(DAY(A331+2)=22,-SUM('Main Budget'!$F$26:$F$31),0)</f>
        <v>0</v>
      </c>
      <c r="F331" s="228">
        <f>IF(D331&gt;0,-'Main Budget'!$H$25+0.15,0)</f>
        <v>0</v>
      </c>
      <c r="G331" s="228">
        <f>IF(E331&gt;0,-'Main Budget'!$F$25+0.81,0)</f>
        <v>0</v>
      </c>
      <c r="H331" s="227">
        <f>IF(DAY(A331)='Main Budget'!$J$26,'Main Budget'!$E$26,0)</f>
        <v>0</v>
      </c>
      <c r="I331" s="227">
        <f>IF(DAY(A331)='Main Budget'!$J$28,'Main Budget'!$E$28,0)</f>
        <v>0</v>
      </c>
      <c r="J331" s="227">
        <f>IF(DAY(A331)='Main Budget'!$J$29,'Main Budget'!$E$29,0)</f>
        <v>0</v>
      </c>
      <c r="K331" s="20">
        <f>IF(DAY(A331)='Main Budget'!$J$30,'Main Budget'!$E$30,0)</f>
        <v>0</v>
      </c>
      <c r="L331" s="20">
        <f>IF(DAY(A331)='Main Budget'!$J$31,'Main Budget'!$E$31,0)</f>
        <v>0</v>
      </c>
      <c r="M331" s="20">
        <f>IF(DAY(A331)='Main Budget'!$J$27,'Main Budget'!$E$27,0)</f>
        <v>0</v>
      </c>
      <c r="O331" s="228">
        <f>B331+(SUM(H331:M331)+(SUM(D331:E331)))</f>
        <v>100</v>
      </c>
      <c r="P331" s="228">
        <f>C331+F331+G331+N331</f>
        <v>100</v>
      </c>
      <c r="Q331" s="252">
        <f>O331+P331</f>
        <v>200</v>
      </c>
      <c r="S331" s="231" t="str">
        <f>TEXT(A331,"dddd")</f>
        <v>Thursday</v>
      </c>
    </row>
    <row r="332" spans="1:19" x14ac:dyDescent="0.25">
      <c r="A332" s="226">
        <v>46353</v>
      </c>
      <c r="B332" s="227">
        <f>O331</f>
        <v>100</v>
      </c>
      <c r="C332" s="228">
        <f>P331</f>
        <v>100</v>
      </c>
      <c r="D332" s="228">
        <f>IF(OR(DAY(A332+2)=1,DAY(A332+2)=15),-SUM('Main Budget'!$H$26:$H$31),0)</f>
        <v>0</v>
      </c>
      <c r="E332" s="228">
        <f>IF(DAY(A332+2)=22,-SUM('Main Budget'!$F$26:$F$31),0)</f>
        <v>0</v>
      </c>
      <c r="F332" s="228">
        <f>IF(D332&gt;0,-'Main Budget'!$H$25+0.15,0)</f>
        <v>0</v>
      </c>
      <c r="G332" s="228">
        <f>IF(E332&gt;0,-'Main Budget'!$F$25+0.81,0)</f>
        <v>0</v>
      </c>
      <c r="H332" s="227">
        <f>IF(DAY(A332)='Main Budget'!$J$26,'Main Budget'!$E$26,0)</f>
        <v>0</v>
      </c>
      <c r="I332" s="227">
        <f>IF(DAY(A332)='Main Budget'!$J$28,'Main Budget'!$E$28,0)</f>
        <v>0</v>
      </c>
      <c r="J332" s="227">
        <f>IF(DAY(A332)='Main Budget'!$J$29,'Main Budget'!$E$29,0)</f>
        <v>0</v>
      </c>
      <c r="K332" s="20">
        <f>IF(DAY(A332)='Main Budget'!$J$30,'Main Budget'!$E$30,0)</f>
        <v>0</v>
      </c>
      <c r="L332" s="20">
        <f>IF(DAY(A332)='Main Budget'!$J$31,'Main Budget'!$E$31,0)</f>
        <v>0</v>
      </c>
      <c r="M332" s="20">
        <f>IF(DAY(A332)='Main Budget'!$J$27,'Main Budget'!$E$27,0)</f>
        <v>0</v>
      </c>
      <c r="O332" s="228">
        <f>B332+(SUM(H332:M332)+(SUM(D332:E332)))</f>
        <v>100</v>
      </c>
      <c r="P332" s="228">
        <f>C332+F332+G332+N332</f>
        <v>100</v>
      </c>
      <c r="Q332" s="252">
        <f>O332+P332</f>
        <v>200</v>
      </c>
      <c r="S332" s="231" t="str">
        <f>TEXT(A332,"dddd")</f>
        <v>Friday</v>
      </c>
    </row>
    <row r="333" spans="1:19" x14ac:dyDescent="0.25">
      <c r="A333" s="226">
        <v>46354</v>
      </c>
      <c r="B333" s="227">
        <f>O332</f>
        <v>100</v>
      </c>
      <c r="C333" s="228">
        <f>P332</f>
        <v>100</v>
      </c>
      <c r="D333" s="228">
        <f>IF(OR(DAY(A333+2)=1,DAY(A333+2)=15),-SUM('Main Budget'!$H$26:$H$31),0)</f>
        <v>0</v>
      </c>
      <c r="E333" s="228">
        <f>IF(DAY(A333+2)=22,-SUM('Main Budget'!$F$26:$F$31),0)</f>
        <v>0</v>
      </c>
      <c r="F333" s="228">
        <f>IF(D333&gt;0,-'Main Budget'!$H$25+0.15,0)</f>
        <v>0</v>
      </c>
      <c r="G333" s="228">
        <f>IF(E333&gt;0,-'Main Budget'!$F$25+0.81,0)</f>
        <v>0</v>
      </c>
      <c r="H333" s="227">
        <f>IF(DAY(A333)='Main Budget'!$J$26,'Main Budget'!$E$26,0)</f>
        <v>0</v>
      </c>
      <c r="I333" s="227">
        <f>IF(DAY(A333)='Main Budget'!$J$28,'Main Budget'!$E$28,0)</f>
        <v>0</v>
      </c>
      <c r="J333" s="227">
        <f>IF(DAY(A333)='Main Budget'!$J$29,'Main Budget'!$E$29,0)</f>
        <v>0</v>
      </c>
      <c r="K333" s="20">
        <f>IF(DAY(A333)='Main Budget'!$J$30,'Main Budget'!$E$30,0)</f>
        <v>0</v>
      </c>
      <c r="L333" s="20">
        <f>IF(DAY(A333)='Main Budget'!$J$31,'Main Budget'!$E$31,0)</f>
        <v>0</v>
      </c>
      <c r="M333" s="20">
        <f>IF(DAY(A333)='Main Budget'!$J$27,'Main Budget'!$E$27,0)</f>
        <v>0</v>
      </c>
      <c r="O333" s="228">
        <f>B333+(SUM(H333:M333)+(SUM(D333:E333)))</f>
        <v>100</v>
      </c>
      <c r="P333" s="228">
        <f>C333+F333+G333+N333</f>
        <v>100</v>
      </c>
      <c r="Q333" s="252">
        <f>O333+P333</f>
        <v>200</v>
      </c>
      <c r="S333" s="231" t="str">
        <f>TEXT(A333,"dddd")</f>
        <v>Saturday</v>
      </c>
    </row>
    <row r="334" spans="1:19" x14ac:dyDescent="0.25">
      <c r="A334" s="226">
        <v>46355</v>
      </c>
      <c r="B334" s="227">
        <f>O333</f>
        <v>100</v>
      </c>
      <c r="C334" s="228">
        <f>P333</f>
        <v>100</v>
      </c>
      <c r="D334" s="228">
        <f>IF(OR(DAY(A334+2)=1,DAY(A334+2)=15),-SUM('Main Budget'!$H$26:$H$31),0)</f>
        <v>0</v>
      </c>
      <c r="E334" s="228">
        <f>IF(DAY(A334+2)=22,-SUM('Main Budget'!$F$26:$F$31),0)</f>
        <v>0</v>
      </c>
      <c r="F334" s="228">
        <f>IF(D334&gt;0,-'Main Budget'!$H$25+0.15,0)</f>
        <v>0</v>
      </c>
      <c r="G334" s="228">
        <f>IF(E334&gt;0,-'Main Budget'!$F$25+0.81,0)</f>
        <v>0</v>
      </c>
      <c r="H334" s="227">
        <f>IF(DAY(A334)='Main Budget'!$J$26,'Main Budget'!$E$26,0)</f>
        <v>0</v>
      </c>
      <c r="I334" s="227">
        <f>IF(DAY(A334)='Main Budget'!$J$28,'Main Budget'!$E$28,0)</f>
        <v>0</v>
      </c>
      <c r="J334" s="227">
        <f>IF(DAY(A334)='Main Budget'!$J$29,'Main Budget'!$E$29,0)</f>
        <v>0</v>
      </c>
      <c r="K334" s="20">
        <f>IF(DAY(A334)='Main Budget'!$J$30,'Main Budget'!$E$30,0)</f>
        <v>0</v>
      </c>
      <c r="L334" s="20">
        <f>IF(DAY(A334)='Main Budget'!$J$31,'Main Budget'!$E$31,0)</f>
        <v>0</v>
      </c>
      <c r="M334" s="20">
        <f>IF(DAY(A334)='Main Budget'!$J$27,'Main Budget'!$E$27,0)</f>
        <v>0</v>
      </c>
      <c r="O334" s="228">
        <f>B334+(SUM(H334:M334)+(SUM(D334:E334)))</f>
        <v>100</v>
      </c>
      <c r="P334" s="228">
        <f>C334+F334+G334+N334</f>
        <v>100</v>
      </c>
      <c r="Q334" s="252">
        <f>O334+P334</f>
        <v>200</v>
      </c>
      <c r="S334" s="231" t="str">
        <f>TEXT(A334,"dddd")</f>
        <v>Sunday</v>
      </c>
    </row>
    <row r="335" spans="1:19" x14ac:dyDescent="0.25">
      <c r="A335" s="226">
        <v>46356</v>
      </c>
      <c r="B335" s="227">
        <f>O334</f>
        <v>100</v>
      </c>
      <c r="C335" s="228">
        <f>P334</f>
        <v>100</v>
      </c>
      <c r="D335" s="228">
        <f>IF(OR(DAY(A335+2)=1,DAY(A335+2)=15),-SUM('Main Budget'!$H$26:$H$31),0)</f>
        <v>0</v>
      </c>
      <c r="E335" s="228">
        <f>IF(DAY(A335+2)=22,-SUM('Main Budget'!$F$26:$F$31),0)</f>
        <v>0</v>
      </c>
      <c r="F335" s="228">
        <f>IF(D335&gt;0,-'Main Budget'!$H$25+0.15,0)</f>
        <v>0</v>
      </c>
      <c r="G335" s="228">
        <f>IF(E335&gt;0,-'Main Budget'!$F$25+0.81,0)</f>
        <v>0</v>
      </c>
      <c r="H335" s="227">
        <f>IF(DAY(A335)='Main Budget'!$J$26,'Main Budget'!$E$26,0)</f>
        <v>0</v>
      </c>
      <c r="I335" s="227">
        <f>IF(DAY(A335)='Main Budget'!$J$28,'Main Budget'!$E$28,0)</f>
        <v>0</v>
      </c>
      <c r="J335" s="227">
        <f>IF(DAY(A335)='Main Budget'!$J$29,'Main Budget'!$E$29,0)</f>
        <v>0</v>
      </c>
      <c r="K335" s="20">
        <f>IF(DAY(A335)='Main Budget'!$J$30,'Main Budget'!$E$30,0)</f>
        <v>0</v>
      </c>
      <c r="L335" s="20">
        <f>IF(DAY(A335)='Main Budget'!$J$31,'Main Budget'!$E$31,0)</f>
        <v>0</v>
      </c>
      <c r="M335" s="20">
        <f>IF(DAY(A335)='Main Budget'!$J$27,'Main Budget'!$E$27,0)</f>
        <v>0</v>
      </c>
      <c r="O335" s="228">
        <f>B335+(SUM(H335:M335)+(SUM(D335:E335)))</f>
        <v>100</v>
      </c>
      <c r="P335" s="228">
        <f>C335+F335+G335+N335</f>
        <v>100</v>
      </c>
      <c r="Q335" s="252">
        <f>O335+P335</f>
        <v>200</v>
      </c>
      <c r="S335" s="231" t="str">
        <f>TEXT(A335,"dddd")</f>
        <v>Monday</v>
      </c>
    </row>
    <row r="336" spans="1:19" x14ac:dyDescent="0.25">
      <c r="A336" s="226">
        <v>46357</v>
      </c>
      <c r="B336" s="227">
        <f>O335</f>
        <v>100</v>
      </c>
      <c r="C336" s="228">
        <f>P335</f>
        <v>100</v>
      </c>
      <c r="D336" s="228">
        <f>IF(OR(DAY(A336+2)=1,DAY(A336+2)=15),-SUM('Main Budget'!$H$26:$H$31),0)</f>
        <v>0</v>
      </c>
      <c r="E336" s="228">
        <f>IF(DAY(A336+2)=22,-SUM('Main Budget'!$F$26:$F$31),0)</f>
        <v>0</v>
      </c>
      <c r="F336" s="228">
        <f>IF(D336&gt;0,-'Main Budget'!$H$25+0.15,0)</f>
        <v>0</v>
      </c>
      <c r="G336" s="228">
        <f>IF(E336&gt;0,-'Main Budget'!$F$25+0.81,0)</f>
        <v>0</v>
      </c>
      <c r="H336" s="227">
        <f>IF(DAY(A336)='Main Budget'!$J$26,'Main Budget'!$E$26,0)</f>
        <v>0</v>
      </c>
      <c r="I336" s="227">
        <f>IF(DAY(A336)='Main Budget'!$J$28,'Main Budget'!$E$28,0)</f>
        <v>0</v>
      </c>
      <c r="J336" s="227">
        <f>IF(DAY(A336)='Main Budget'!$J$29,'Main Budget'!$E$29,0)</f>
        <v>0</v>
      </c>
      <c r="K336" s="20">
        <f>IF(DAY(A336)='Main Budget'!$J$30,'Main Budget'!$E$30,0)</f>
        <v>0</v>
      </c>
      <c r="L336" s="20">
        <f>IF(DAY(A336)='Main Budget'!$J$31,'Main Budget'!$E$31,0)</f>
        <v>0</v>
      </c>
      <c r="M336" s="20">
        <f>IF(DAY(A336)='Main Budget'!$J$27,'Main Budget'!$E$27,0)</f>
        <v>0</v>
      </c>
      <c r="O336" s="228">
        <f>B336+(SUM(H336:M336)+(SUM(D336:E336)))</f>
        <v>100</v>
      </c>
      <c r="P336" s="228">
        <f>C336+F336+G336+N336</f>
        <v>100</v>
      </c>
      <c r="Q336" s="252">
        <f>O336+P336</f>
        <v>200</v>
      </c>
      <c r="S336" s="231" t="str">
        <f>TEXT(A336,"dddd")</f>
        <v>Tuesday</v>
      </c>
    </row>
    <row r="337" spans="1:19" x14ac:dyDescent="0.25">
      <c r="A337" s="226">
        <v>46358</v>
      </c>
      <c r="B337" s="227">
        <f>O336</f>
        <v>100</v>
      </c>
      <c r="C337" s="228">
        <f>P336</f>
        <v>100</v>
      </c>
      <c r="D337" s="228">
        <f>IF(OR(DAY(A337+2)=1,DAY(A337+2)=15),-SUM('Main Budget'!$H$26:$H$31),0)</f>
        <v>0</v>
      </c>
      <c r="E337" s="228">
        <f>IF(DAY(A337+2)=22,-SUM('Main Budget'!$F$26:$F$31),0)</f>
        <v>0</v>
      </c>
      <c r="F337" s="228">
        <f>IF(D337&gt;0,-'Main Budget'!$H$25+0.15,0)</f>
        <v>0</v>
      </c>
      <c r="G337" s="228">
        <f>IF(E337&gt;0,-'Main Budget'!$F$25+0.81,0)</f>
        <v>0</v>
      </c>
      <c r="H337" s="227">
        <f>IF(DAY(A337)='Main Budget'!$J$26,'Main Budget'!$E$26,0)</f>
        <v>0</v>
      </c>
      <c r="I337" s="227">
        <f>IF(DAY(A337)='Main Budget'!$J$28,'Main Budget'!$E$28,0)</f>
        <v>0</v>
      </c>
      <c r="J337" s="227">
        <f>IF(DAY(A337)='Main Budget'!$J$29,'Main Budget'!$E$29,0)</f>
        <v>0</v>
      </c>
      <c r="K337" s="20">
        <f>IF(DAY(A337)='Main Budget'!$J$30,'Main Budget'!$E$30,0)</f>
        <v>0</v>
      </c>
      <c r="L337" s="20">
        <f>IF(DAY(A337)='Main Budget'!$J$31,'Main Budget'!$E$31,0)</f>
        <v>0</v>
      </c>
      <c r="M337" s="20">
        <f>IF(DAY(A337)='Main Budget'!$J$27,'Main Budget'!$E$27,0)</f>
        <v>0</v>
      </c>
      <c r="O337" s="228">
        <f>B337+(SUM(H337:M337)+(SUM(D337:E337)))</f>
        <v>100</v>
      </c>
      <c r="P337" s="228">
        <f>C337+F337+G337+N337</f>
        <v>100</v>
      </c>
      <c r="Q337" s="252">
        <f>O337+P337</f>
        <v>200</v>
      </c>
      <c r="S337" s="231" t="str">
        <f>TEXT(A337,"dddd")</f>
        <v>Wednesday</v>
      </c>
    </row>
    <row r="338" spans="1:19" x14ac:dyDescent="0.25">
      <c r="A338" s="226">
        <v>46359</v>
      </c>
      <c r="B338" s="227">
        <f>O337</f>
        <v>100</v>
      </c>
      <c r="C338" s="228">
        <f>P337</f>
        <v>100</v>
      </c>
      <c r="D338" s="228">
        <f>IF(OR(DAY(A338+2)=1,DAY(A338+2)=15),-SUM('Main Budget'!$H$26:$H$31),0)</f>
        <v>0</v>
      </c>
      <c r="E338" s="228">
        <f>IF(DAY(A338+2)=22,-SUM('Main Budget'!$F$26:$F$31),0)</f>
        <v>0</v>
      </c>
      <c r="F338" s="228">
        <f>IF(D338&gt;0,-'Main Budget'!$H$25+0.15,0)</f>
        <v>0</v>
      </c>
      <c r="G338" s="228">
        <f>IF(E338&gt;0,-'Main Budget'!$F$25+0.81,0)</f>
        <v>0</v>
      </c>
      <c r="H338" s="227">
        <f>IF(DAY(A338)='Main Budget'!$J$26,'Main Budget'!$E$26,0)</f>
        <v>0</v>
      </c>
      <c r="I338" s="227">
        <f>IF(DAY(A338)='Main Budget'!$J$28,'Main Budget'!$E$28,0)</f>
        <v>0</v>
      </c>
      <c r="J338" s="227">
        <f>IF(DAY(A338)='Main Budget'!$J$29,'Main Budget'!$E$29,0)</f>
        <v>0</v>
      </c>
      <c r="K338" s="20">
        <f>IF(DAY(A338)='Main Budget'!$J$30,'Main Budget'!$E$30,0)</f>
        <v>0</v>
      </c>
      <c r="L338" s="20">
        <f>IF(DAY(A338)='Main Budget'!$J$31,'Main Budget'!$E$31,0)</f>
        <v>0</v>
      </c>
      <c r="M338" s="20">
        <f>IF(DAY(A338)='Main Budget'!$J$27,'Main Budget'!$E$27,0)</f>
        <v>0</v>
      </c>
      <c r="O338" s="228">
        <f>B338+(SUM(H338:M338)+(SUM(D338:E338)))</f>
        <v>100</v>
      </c>
      <c r="P338" s="228">
        <f>C338+F338+G338+N338</f>
        <v>100</v>
      </c>
      <c r="Q338" s="252">
        <f>O338+P338</f>
        <v>200</v>
      </c>
      <c r="S338" s="231" t="str">
        <f>TEXT(A338,"dddd")</f>
        <v>Thursday</v>
      </c>
    </row>
    <row r="339" spans="1:19" x14ac:dyDescent="0.25">
      <c r="A339" s="226">
        <v>46360</v>
      </c>
      <c r="B339" s="227">
        <f>O338</f>
        <v>100</v>
      </c>
      <c r="C339" s="228">
        <f>P338</f>
        <v>100</v>
      </c>
      <c r="D339" s="228">
        <f>IF(OR(DAY(A339+2)=1,DAY(A339+2)=15),-SUM('Main Budget'!$H$26:$H$31),0)</f>
        <v>0</v>
      </c>
      <c r="E339" s="228">
        <f>IF(DAY(A339+2)=22,-SUM('Main Budget'!$F$26:$F$31),0)</f>
        <v>0</v>
      </c>
      <c r="F339" s="228">
        <f>IF(D339&gt;0,-'Main Budget'!$H$25+0.15,0)</f>
        <v>0</v>
      </c>
      <c r="G339" s="228">
        <f>IF(E339&gt;0,-'Main Budget'!$F$25+0.81,0)</f>
        <v>0</v>
      </c>
      <c r="H339" s="227">
        <f>IF(DAY(A339)='Main Budget'!$J$26,'Main Budget'!$E$26,0)</f>
        <v>0</v>
      </c>
      <c r="I339" s="227">
        <f>IF(DAY(A339)='Main Budget'!$J$28,'Main Budget'!$E$28,0)</f>
        <v>0</v>
      </c>
      <c r="J339" s="227">
        <f>IF(DAY(A339)='Main Budget'!$J$29,'Main Budget'!$E$29,0)</f>
        <v>0</v>
      </c>
      <c r="K339" s="20">
        <f>IF(DAY(A339)='Main Budget'!$J$30,'Main Budget'!$E$30,0)</f>
        <v>0</v>
      </c>
      <c r="L339" s="20">
        <f>IF(DAY(A339)='Main Budget'!$J$31,'Main Budget'!$E$31,0)</f>
        <v>0</v>
      </c>
      <c r="M339" s="20">
        <f>IF(DAY(A339)='Main Budget'!$J$27,'Main Budget'!$E$27,0)</f>
        <v>0</v>
      </c>
      <c r="O339" s="228">
        <f>B339+(SUM(H339:M339)+(SUM(D339:E339)))</f>
        <v>100</v>
      </c>
      <c r="P339" s="228">
        <f>C339+F339+G339+N339</f>
        <v>100</v>
      </c>
      <c r="Q339" s="252">
        <f>O339+P339</f>
        <v>200</v>
      </c>
      <c r="S339" s="231" t="str">
        <f>TEXT(A339,"dddd")</f>
        <v>Friday</v>
      </c>
    </row>
    <row r="340" spans="1:19" x14ac:dyDescent="0.25">
      <c r="A340" s="226">
        <v>46361</v>
      </c>
      <c r="B340" s="227">
        <f>O339</f>
        <v>100</v>
      </c>
      <c r="C340" s="228">
        <f>P339</f>
        <v>100</v>
      </c>
      <c r="D340" s="228">
        <f>IF(OR(DAY(A340+2)=1,DAY(A340+2)=15),-SUM('Main Budget'!$H$26:$H$31),0)</f>
        <v>0</v>
      </c>
      <c r="E340" s="228">
        <f>IF(DAY(A340+2)=22,-SUM('Main Budget'!$F$26:$F$31),0)</f>
        <v>0</v>
      </c>
      <c r="F340" s="228">
        <f>IF(D340&gt;0,-'Main Budget'!$H$25+0.15,0)</f>
        <v>0</v>
      </c>
      <c r="G340" s="228">
        <f>IF(E340&gt;0,-'Main Budget'!$F$25+0.81,0)</f>
        <v>0</v>
      </c>
      <c r="H340" s="227">
        <f>IF(DAY(A340)='Main Budget'!$J$26,'Main Budget'!$E$26,0)</f>
        <v>0</v>
      </c>
      <c r="I340" s="227">
        <f>IF(DAY(A340)='Main Budget'!$J$28,'Main Budget'!$E$28,0)</f>
        <v>0</v>
      </c>
      <c r="J340" s="227">
        <f>IF(DAY(A340)='Main Budget'!$J$29,'Main Budget'!$E$29,0)</f>
        <v>0</v>
      </c>
      <c r="K340" s="20">
        <f>IF(DAY(A340)='Main Budget'!$J$30,'Main Budget'!$E$30,0)</f>
        <v>0</v>
      </c>
      <c r="L340" s="20">
        <f>IF(DAY(A340)='Main Budget'!$J$31,'Main Budget'!$E$31,0)</f>
        <v>0</v>
      </c>
      <c r="M340" s="20">
        <f>IF(DAY(A340)='Main Budget'!$J$27,'Main Budget'!$E$27,0)</f>
        <v>0</v>
      </c>
      <c r="O340" s="228">
        <f>B340+(SUM(H340:M340)+(SUM(D340:E340)))</f>
        <v>100</v>
      </c>
      <c r="P340" s="228">
        <f>C340+F340+G340+N340</f>
        <v>100</v>
      </c>
      <c r="Q340" s="252">
        <f>O340+P340</f>
        <v>200</v>
      </c>
      <c r="S340" s="231" t="str">
        <f>TEXT(A340,"dddd")</f>
        <v>Saturday</v>
      </c>
    </row>
    <row r="341" spans="1:19" x14ac:dyDescent="0.25">
      <c r="A341" s="226">
        <v>46362</v>
      </c>
      <c r="B341" s="227">
        <f>O340</f>
        <v>100</v>
      </c>
      <c r="C341" s="228">
        <f>P340</f>
        <v>100</v>
      </c>
      <c r="D341" s="228">
        <f>IF(OR(DAY(A341+2)=1,DAY(A341+2)=15),-SUM('Main Budget'!$H$26:$H$31),0)</f>
        <v>0</v>
      </c>
      <c r="E341" s="228">
        <f>IF(DAY(A341+2)=22,-SUM('Main Budget'!$F$26:$F$31),0)</f>
        <v>0</v>
      </c>
      <c r="F341" s="228">
        <f>IF(D341&gt;0,-'Main Budget'!$H$25+0.15,0)</f>
        <v>0</v>
      </c>
      <c r="G341" s="228">
        <f>IF(E341&gt;0,-'Main Budget'!$F$25+0.81,0)</f>
        <v>0</v>
      </c>
      <c r="H341" s="227">
        <f>IF(DAY(A341)='Main Budget'!$J$26,'Main Budget'!$E$26,0)</f>
        <v>0</v>
      </c>
      <c r="I341" s="227">
        <f>IF(DAY(A341)='Main Budget'!$J$28,'Main Budget'!$E$28,0)</f>
        <v>0</v>
      </c>
      <c r="J341" s="227">
        <f>IF(DAY(A341)='Main Budget'!$J$29,'Main Budget'!$E$29,0)</f>
        <v>0</v>
      </c>
      <c r="K341" s="20">
        <f>IF(DAY(A341)='Main Budget'!$J$30,'Main Budget'!$E$30,0)</f>
        <v>0</v>
      </c>
      <c r="L341" s="20">
        <f>IF(DAY(A341)='Main Budget'!$J$31,'Main Budget'!$E$31,0)</f>
        <v>0</v>
      </c>
      <c r="M341" s="20">
        <f>IF(DAY(A341)='Main Budget'!$J$27,'Main Budget'!$E$27,0)</f>
        <v>0</v>
      </c>
      <c r="O341" s="228">
        <f>B341+(SUM(H341:M341)+(SUM(D341:E341)))</f>
        <v>100</v>
      </c>
      <c r="P341" s="228">
        <f>C341+F341+G341+N341</f>
        <v>100</v>
      </c>
      <c r="Q341" s="252">
        <f>O341+P341</f>
        <v>200</v>
      </c>
      <c r="S341" s="231" t="str">
        <f>TEXT(A341,"dddd")</f>
        <v>Sunday</v>
      </c>
    </row>
    <row r="342" spans="1:19" x14ac:dyDescent="0.25">
      <c r="A342" s="226">
        <v>46363</v>
      </c>
      <c r="B342" s="227">
        <f>O341</f>
        <v>100</v>
      </c>
      <c r="C342" s="228">
        <f>P341</f>
        <v>100</v>
      </c>
      <c r="D342" s="228">
        <f>IF(OR(DAY(A342+2)=1,DAY(A342+2)=15),-SUM('Main Budget'!$H$26:$H$31),0)</f>
        <v>0</v>
      </c>
      <c r="E342" s="228">
        <f>IF(DAY(A342+2)=22,-SUM('Main Budget'!$F$26:$F$31),0)</f>
        <v>0</v>
      </c>
      <c r="F342" s="228">
        <f>IF(D342&gt;0,-'Main Budget'!$H$25+0.15,0)</f>
        <v>0</v>
      </c>
      <c r="G342" s="228">
        <f>IF(E342&gt;0,-'Main Budget'!$F$25+0.81,0)</f>
        <v>0</v>
      </c>
      <c r="H342" s="227">
        <f>IF(DAY(A342)='Main Budget'!$J$26,'Main Budget'!$E$26,0)</f>
        <v>0</v>
      </c>
      <c r="I342" s="227">
        <f>IF(DAY(A342)='Main Budget'!$J$28,'Main Budget'!$E$28,0)</f>
        <v>0</v>
      </c>
      <c r="J342" s="227">
        <f>IF(DAY(A342)='Main Budget'!$J$29,'Main Budget'!$E$29,0)</f>
        <v>0</v>
      </c>
      <c r="K342" s="20">
        <f>IF(DAY(A342)='Main Budget'!$J$30,'Main Budget'!$E$30,0)</f>
        <v>0</v>
      </c>
      <c r="L342" s="20">
        <f>IF(DAY(A342)='Main Budget'!$J$31,'Main Budget'!$E$31,0)</f>
        <v>0</v>
      </c>
      <c r="M342" s="20">
        <f>IF(DAY(A342)='Main Budget'!$J$27,'Main Budget'!$E$27,0)</f>
        <v>0</v>
      </c>
      <c r="O342" s="228">
        <f>B342+(SUM(H342:M342)+(SUM(D342:E342)))</f>
        <v>100</v>
      </c>
      <c r="P342" s="228">
        <f>C342+F342+G342+N342</f>
        <v>100</v>
      </c>
      <c r="Q342" s="252">
        <f>O342+P342</f>
        <v>200</v>
      </c>
      <c r="S342" s="231" t="str">
        <f>TEXT(A342,"dddd")</f>
        <v>Monday</v>
      </c>
    </row>
    <row r="343" spans="1:19" x14ac:dyDescent="0.25">
      <c r="A343" s="226">
        <v>46364</v>
      </c>
      <c r="B343" s="227">
        <f>O342</f>
        <v>100</v>
      </c>
      <c r="C343" s="228">
        <f>P342</f>
        <v>100</v>
      </c>
      <c r="D343" s="228">
        <f>IF(OR(DAY(A343+2)=1,DAY(A343+2)=15),-SUM('Main Budget'!$H$26:$H$31),0)</f>
        <v>0</v>
      </c>
      <c r="E343" s="228">
        <f>IF(DAY(A343+2)=22,-SUM('Main Budget'!$F$26:$F$31),0)</f>
        <v>0</v>
      </c>
      <c r="F343" s="228">
        <f>IF(D343&gt;0,-'Main Budget'!$H$25+0.15,0)</f>
        <v>0</v>
      </c>
      <c r="G343" s="228">
        <f>IF(E343&gt;0,-'Main Budget'!$F$25+0.81,0)</f>
        <v>0</v>
      </c>
      <c r="H343" s="227">
        <f>IF(DAY(A343)='Main Budget'!$J$26,'Main Budget'!$E$26,0)</f>
        <v>0</v>
      </c>
      <c r="I343" s="227">
        <f>IF(DAY(A343)='Main Budget'!$J$28,'Main Budget'!$E$28,0)</f>
        <v>0</v>
      </c>
      <c r="J343" s="227">
        <f>IF(DAY(A343)='Main Budget'!$J$29,'Main Budget'!$E$29,0)</f>
        <v>0</v>
      </c>
      <c r="K343" s="20">
        <f>IF(DAY(A343)='Main Budget'!$J$30,'Main Budget'!$E$30,0)</f>
        <v>0</v>
      </c>
      <c r="L343" s="20">
        <f>IF(DAY(A343)='Main Budget'!$J$31,'Main Budget'!$E$31,0)</f>
        <v>0</v>
      </c>
      <c r="M343" s="20">
        <f>IF(DAY(A343)='Main Budget'!$J$27,'Main Budget'!$E$27,0)</f>
        <v>0</v>
      </c>
      <c r="O343" s="228">
        <f>B343+(SUM(H343:M343)+(SUM(D343:E343)))</f>
        <v>100</v>
      </c>
      <c r="P343" s="228">
        <f>C343+F343+G343+N343</f>
        <v>100</v>
      </c>
      <c r="Q343" s="252">
        <f>O343+P343</f>
        <v>200</v>
      </c>
      <c r="S343" s="231" t="str">
        <f>TEXT(A343,"dddd")</f>
        <v>Tuesday</v>
      </c>
    </row>
    <row r="344" spans="1:19" x14ac:dyDescent="0.25">
      <c r="A344" s="226">
        <v>46365</v>
      </c>
      <c r="B344" s="227">
        <f>O343</f>
        <v>100</v>
      </c>
      <c r="C344" s="228">
        <f>P343</f>
        <v>100</v>
      </c>
      <c r="D344" s="228">
        <f>IF(OR(DAY(A344+2)=1,DAY(A344+2)=15),-SUM('Main Budget'!$H$26:$H$31),0)</f>
        <v>0</v>
      </c>
      <c r="E344" s="228">
        <f>IF(DAY(A344+2)=22,-SUM('Main Budget'!$F$26:$F$31),0)</f>
        <v>0</v>
      </c>
      <c r="F344" s="228">
        <f>IF(D344&gt;0,-'Main Budget'!$H$25+0.15,0)</f>
        <v>0</v>
      </c>
      <c r="G344" s="228">
        <f>IF(E344&gt;0,-'Main Budget'!$F$25+0.81,0)</f>
        <v>0</v>
      </c>
      <c r="H344" s="227">
        <f>IF(DAY(A344)='Main Budget'!$J$26,'Main Budget'!$E$26,0)</f>
        <v>0</v>
      </c>
      <c r="I344" s="227">
        <f>IF(DAY(A344)='Main Budget'!$J$28,'Main Budget'!$E$28,0)</f>
        <v>0</v>
      </c>
      <c r="J344" s="227">
        <f>IF(DAY(A344)='Main Budget'!$J$29,'Main Budget'!$E$29,0)</f>
        <v>0</v>
      </c>
      <c r="K344" s="20">
        <f>IF(DAY(A344)='Main Budget'!$J$30,'Main Budget'!$E$30,0)</f>
        <v>0</v>
      </c>
      <c r="L344" s="20">
        <f>IF(DAY(A344)='Main Budget'!$J$31,'Main Budget'!$E$31,0)</f>
        <v>0</v>
      </c>
      <c r="M344" s="20">
        <f>IF(DAY(A344)='Main Budget'!$J$27,'Main Budget'!$E$27,0)</f>
        <v>0</v>
      </c>
      <c r="O344" s="228">
        <f>B344+(SUM(H344:M344)+(SUM(D344:E344)))</f>
        <v>100</v>
      </c>
      <c r="P344" s="228">
        <f>C344+F344+G344+N344</f>
        <v>100</v>
      </c>
      <c r="Q344" s="252">
        <f>O344+P344</f>
        <v>200</v>
      </c>
      <c r="S344" s="231" t="str">
        <f>TEXT(A344,"dddd")</f>
        <v>Wednesday</v>
      </c>
    </row>
    <row r="345" spans="1:19" x14ac:dyDescent="0.25">
      <c r="A345" s="226">
        <v>46366</v>
      </c>
      <c r="B345" s="227">
        <f>O344</f>
        <v>100</v>
      </c>
      <c r="C345" s="228">
        <f>P344</f>
        <v>100</v>
      </c>
      <c r="D345" s="228">
        <f>IF(OR(DAY(A345+2)=1,DAY(A345+2)=15),-SUM('Main Budget'!$H$26:$H$31),0)</f>
        <v>0</v>
      </c>
      <c r="E345" s="228">
        <f>IF(DAY(A345+2)=22,-SUM('Main Budget'!$F$26:$F$31),0)</f>
        <v>0</v>
      </c>
      <c r="F345" s="228">
        <f>IF(D345&gt;0,-'Main Budget'!$H$25+0.15,0)</f>
        <v>0</v>
      </c>
      <c r="G345" s="228">
        <f>IF(E345&gt;0,-'Main Budget'!$F$25+0.81,0)</f>
        <v>0</v>
      </c>
      <c r="H345" s="227">
        <f>IF(DAY(A345)='Main Budget'!$J$26,'Main Budget'!$E$26,0)</f>
        <v>0</v>
      </c>
      <c r="I345" s="227">
        <f>IF(DAY(A345)='Main Budget'!$J$28,'Main Budget'!$E$28,0)</f>
        <v>0</v>
      </c>
      <c r="J345" s="227">
        <f>IF(DAY(A345)='Main Budget'!$J$29,'Main Budget'!$E$29,0)</f>
        <v>0</v>
      </c>
      <c r="K345" s="20">
        <f>IF(DAY(A345)='Main Budget'!$J$30,'Main Budget'!$E$30,0)</f>
        <v>0</v>
      </c>
      <c r="L345" s="20">
        <f>IF(DAY(A345)='Main Budget'!$J$31,'Main Budget'!$E$31,0)</f>
        <v>0</v>
      </c>
      <c r="M345" s="20">
        <f>IF(DAY(A345)='Main Budget'!$J$27,'Main Budget'!$E$27,0)</f>
        <v>0</v>
      </c>
      <c r="O345" s="228">
        <f>B345+(SUM(H345:M345)+(SUM(D345:E345)))</f>
        <v>100</v>
      </c>
      <c r="P345" s="228">
        <f>C345+F345+G345+N345</f>
        <v>100</v>
      </c>
      <c r="Q345" s="252">
        <f>O345+P345</f>
        <v>200</v>
      </c>
      <c r="S345" s="231" t="str">
        <f>TEXT(A345,"dddd")</f>
        <v>Thursday</v>
      </c>
    </row>
    <row r="346" spans="1:19" x14ac:dyDescent="0.25">
      <c r="A346" s="226">
        <v>46367</v>
      </c>
      <c r="B346" s="227">
        <f>O345</f>
        <v>100</v>
      </c>
      <c r="C346" s="228">
        <f>P345</f>
        <v>100</v>
      </c>
      <c r="D346" s="228">
        <f>IF(OR(DAY(A346+2)=1,DAY(A346+2)=15),-SUM('Main Budget'!$H$26:$H$31),0)</f>
        <v>0</v>
      </c>
      <c r="E346" s="228">
        <f>IF(DAY(A346+2)=22,-SUM('Main Budget'!$F$26:$F$31),0)</f>
        <v>0</v>
      </c>
      <c r="F346" s="228">
        <f>IF(D346&gt;0,-'Main Budget'!$H$25+0.15,0)</f>
        <v>0</v>
      </c>
      <c r="G346" s="228">
        <f>IF(E346&gt;0,-'Main Budget'!$F$25+0.81,0)</f>
        <v>0</v>
      </c>
      <c r="H346" s="227">
        <f>IF(DAY(A346)='Main Budget'!$J$26,'Main Budget'!$E$26,0)</f>
        <v>0</v>
      </c>
      <c r="I346" s="227">
        <f>IF(DAY(A346)='Main Budget'!$J$28,'Main Budget'!$E$28,0)</f>
        <v>0</v>
      </c>
      <c r="J346" s="227">
        <f>IF(DAY(A346)='Main Budget'!$J$29,'Main Budget'!$E$29,0)</f>
        <v>0</v>
      </c>
      <c r="K346" s="20">
        <f>IF(DAY(A346)='Main Budget'!$J$30,'Main Budget'!$E$30,0)</f>
        <v>0</v>
      </c>
      <c r="L346" s="20">
        <f>IF(DAY(A346)='Main Budget'!$J$31,'Main Budget'!$E$31,0)</f>
        <v>0</v>
      </c>
      <c r="M346" s="20">
        <f>IF(DAY(A346)='Main Budget'!$J$27,'Main Budget'!$E$27,0)</f>
        <v>0</v>
      </c>
      <c r="O346" s="228">
        <f>B346+(SUM(H346:M346)+(SUM(D346:E346)))</f>
        <v>100</v>
      </c>
      <c r="P346" s="228">
        <f>C346+F346+G346+N346</f>
        <v>100</v>
      </c>
      <c r="Q346" s="252">
        <f>O346+P346</f>
        <v>200</v>
      </c>
      <c r="S346" s="231" t="str">
        <f>TEXT(A346,"dddd")</f>
        <v>Friday</v>
      </c>
    </row>
    <row r="347" spans="1:19" x14ac:dyDescent="0.25">
      <c r="A347" s="226">
        <v>46368</v>
      </c>
      <c r="B347" s="227">
        <f>O346</f>
        <v>100</v>
      </c>
      <c r="C347" s="228">
        <f>P346</f>
        <v>100</v>
      </c>
      <c r="D347" s="228">
        <f>IF(OR(DAY(A347+2)=1,DAY(A347+2)=15),-SUM('Main Budget'!$H$26:$H$31),0)</f>
        <v>0</v>
      </c>
      <c r="E347" s="228">
        <f>IF(DAY(A347+2)=22,-SUM('Main Budget'!$F$26:$F$31),0)</f>
        <v>0</v>
      </c>
      <c r="F347" s="228">
        <f>IF(D347&gt;0,-'Main Budget'!$H$25+0.15,0)</f>
        <v>0</v>
      </c>
      <c r="G347" s="228">
        <f>IF(E347&gt;0,-'Main Budget'!$F$25+0.81,0)</f>
        <v>0</v>
      </c>
      <c r="H347" s="227">
        <f>IF(DAY(A347)='Main Budget'!$J$26,'Main Budget'!$E$26,0)</f>
        <v>0</v>
      </c>
      <c r="I347" s="227">
        <f>IF(DAY(A347)='Main Budget'!$J$28,'Main Budget'!$E$28,0)</f>
        <v>0</v>
      </c>
      <c r="J347" s="227">
        <f>IF(DAY(A347)='Main Budget'!$J$29,'Main Budget'!$E$29,0)</f>
        <v>0</v>
      </c>
      <c r="K347" s="20">
        <f>IF(DAY(A347)='Main Budget'!$J$30,'Main Budget'!$E$30,0)</f>
        <v>0</v>
      </c>
      <c r="L347" s="20">
        <f>IF(DAY(A347)='Main Budget'!$J$31,'Main Budget'!$E$31,0)</f>
        <v>0</v>
      </c>
      <c r="M347" s="20">
        <f>IF(DAY(A347)='Main Budget'!$J$27,'Main Budget'!$E$27,0)</f>
        <v>0</v>
      </c>
      <c r="O347" s="228">
        <f>B347+(SUM(H347:M347)+(SUM(D347:E347)))</f>
        <v>100</v>
      </c>
      <c r="P347" s="228">
        <f>C347+F347+G347+N347</f>
        <v>100</v>
      </c>
      <c r="Q347" s="252">
        <f>O347+P347</f>
        <v>200</v>
      </c>
      <c r="S347" s="231" t="str">
        <f>TEXT(A347,"dddd")</f>
        <v>Saturday</v>
      </c>
    </row>
    <row r="348" spans="1:19" x14ac:dyDescent="0.25">
      <c r="A348" s="226">
        <v>46369</v>
      </c>
      <c r="B348" s="227">
        <f>O347</f>
        <v>100</v>
      </c>
      <c r="C348" s="228">
        <f>P347</f>
        <v>100</v>
      </c>
      <c r="D348" s="228">
        <f>IF(OR(DAY(A348+2)=1,DAY(A348+2)=15),-SUM('Main Budget'!$H$26:$H$31),0)</f>
        <v>0</v>
      </c>
      <c r="E348" s="228">
        <f>IF(DAY(A348+2)=22,-SUM('Main Budget'!$F$26:$F$31),0)</f>
        <v>0</v>
      </c>
      <c r="F348" s="228">
        <f>IF(D348&gt;0,-'Main Budget'!$H$25+0.15,0)</f>
        <v>0</v>
      </c>
      <c r="G348" s="228">
        <f>IF(E348&gt;0,-'Main Budget'!$F$25+0.81,0)</f>
        <v>0</v>
      </c>
      <c r="H348" s="227">
        <f>IF(DAY(A348)='Main Budget'!$J$26,'Main Budget'!$E$26,0)</f>
        <v>0</v>
      </c>
      <c r="I348" s="227">
        <f>IF(DAY(A348)='Main Budget'!$J$28,'Main Budget'!$E$28,0)</f>
        <v>0</v>
      </c>
      <c r="J348" s="227">
        <f>IF(DAY(A348)='Main Budget'!$J$29,'Main Budget'!$E$29,0)</f>
        <v>0</v>
      </c>
      <c r="K348" s="20">
        <f>IF(DAY(A348)='Main Budget'!$J$30,'Main Budget'!$E$30,0)</f>
        <v>0</v>
      </c>
      <c r="L348" s="20">
        <f>IF(DAY(A348)='Main Budget'!$J$31,'Main Budget'!$E$31,0)</f>
        <v>0</v>
      </c>
      <c r="M348" s="20">
        <f>IF(DAY(A348)='Main Budget'!$J$27,'Main Budget'!$E$27,0)</f>
        <v>0</v>
      </c>
      <c r="O348" s="228">
        <f>B348+(SUM(H348:M348)+(SUM(D348:E348)))</f>
        <v>100</v>
      </c>
      <c r="P348" s="228">
        <f>C348+F348+G348+N348</f>
        <v>100</v>
      </c>
      <c r="Q348" s="252">
        <f>O348+P348</f>
        <v>200</v>
      </c>
      <c r="S348" s="231" t="str">
        <f>TEXT(A348,"dddd")</f>
        <v>Sunday</v>
      </c>
    </row>
    <row r="349" spans="1:19" x14ac:dyDescent="0.25">
      <c r="A349" s="226">
        <v>46370</v>
      </c>
      <c r="B349" s="227">
        <f>O348</f>
        <v>100</v>
      </c>
      <c r="C349" s="228">
        <f>P348</f>
        <v>100</v>
      </c>
      <c r="D349" s="228">
        <f>IF(OR(DAY(A349+2)=1,DAY(A349+2)=15),-SUM('Main Budget'!$H$26:$H$31),0)</f>
        <v>0</v>
      </c>
      <c r="E349" s="228">
        <f>IF(DAY(A349+2)=22,-SUM('Main Budget'!$F$26:$F$31),0)</f>
        <v>0</v>
      </c>
      <c r="F349" s="228">
        <f>IF(D349&gt;0,-'Main Budget'!$H$25+0.15,0)</f>
        <v>0</v>
      </c>
      <c r="G349" s="228">
        <f>IF(E349&gt;0,-'Main Budget'!$F$25+0.81,0)</f>
        <v>0</v>
      </c>
      <c r="H349" s="227">
        <f>IF(DAY(A349)='Main Budget'!$J$26,'Main Budget'!$E$26,0)</f>
        <v>0</v>
      </c>
      <c r="I349" s="227">
        <f>IF(DAY(A349)='Main Budget'!$J$28,'Main Budget'!$E$28,0)</f>
        <v>0</v>
      </c>
      <c r="J349" s="227">
        <f>IF(DAY(A349)='Main Budget'!$J$29,'Main Budget'!$E$29,0)</f>
        <v>0</v>
      </c>
      <c r="K349" s="20">
        <f>IF(DAY(A349)='Main Budget'!$J$30,'Main Budget'!$E$30,0)</f>
        <v>0</v>
      </c>
      <c r="L349" s="20">
        <f>IF(DAY(A349)='Main Budget'!$J$31,'Main Budget'!$E$31,0)</f>
        <v>0</v>
      </c>
      <c r="M349" s="20">
        <f>IF(DAY(A349)='Main Budget'!$J$27,'Main Budget'!$E$27,0)</f>
        <v>0</v>
      </c>
      <c r="O349" s="228">
        <f>B349+(SUM(H349:M349)+(SUM(D349:E349)))</f>
        <v>100</v>
      </c>
      <c r="P349" s="228">
        <f>C349+F349+G349+N349</f>
        <v>100</v>
      </c>
      <c r="Q349" s="252">
        <f>O349+P349</f>
        <v>200</v>
      </c>
      <c r="S349" s="231" t="str">
        <f>TEXT(A349,"dddd")</f>
        <v>Monday</v>
      </c>
    </row>
    <row r="350" spans="1:19" x14ac:dyDescent="0.25">
      <c r="A350" s="226">
        <v>46371</v>
      </c>
      <c r="B350" s="227">
        <f>O349</f>
        <v>100</v>
      </c>
      <c r="C350" s="228">
        <f>P349</f>
        <v>100</v>
      </c>
      <c r="D350" s="228">
        <f>IF(OR(DAY(A350+2)=1,DAY(A350+2)=15),-SUM('Main Budget'!$H$26:$H$31),0)</f>
        <v>0</v>
      </c>
      <c r="E350" s="228">
        <f>IF(DAY(A350+2)=22,-SUM('Main Budget'!$F$26:$F$31),0)</f>
        <v>0</v>
      </c>
      <c r="F350" s="228">
        <f>IF(D350&gt;0,-'Main Budget'!$H$25+0.15,0)</f>
        <v>0</v>
      </c>
      <c r="G350" s="228">
        <f>IF(E350&gt;0,-'Main Budget'!$F$25+0.81,0)</f>
        <v>0</v>
      </c>
      <c r="H350" s="227">
        <f>IF(DAY(A350)='Main Budget'!$J$26,'Main Budget'!$E$26,0)</f>
        <v>0</v>
      </c>
      <c r="I350" s="227">
        <f>IF(DAY(A350)='Main Budget'!$J$28,'Main Budget'!$E$28,0)</f>
        <v>0</v>
      </c>
      <c r="J350" s="227">
        <f>IF(DAY(A350)='Main Budget'!$J$29,'Main Budget'!$E$29,0)</f>
        <v>0</v>
      </c>
      <c r="K350" s="20">
        <f>IF(DAY(A350)='Main Budget'!$J$30,'Main Budget'!$E$30,0)</f>
        <v>0</v>
      </c>
      <c r="L350" s="20">
        <f>IF(DAY(A350)='Main Budget'!$J$31,'Main Budget'!$E$31,0)</f>
        <v>0</v>
      </c>
      <c r="M350" s="20">
        <f>IF(DAY(A350)='Main Budget'!$J$27,'Main Budget'!$E$27,0)</f>
        <v>0</v>
      </c>
      <c r="O350" s="228">
        <f>B350+(SUM(H350:M350)+(SUM(D350:E350)))</f>
        <v>100</v>
      </c>
      <c r="P350" s="228">
        <f>C350+F350+G350+N350</f>
        <v>100</v>
      </c>
      <c r="Q350" s="252">
        <f>O350+P350</f>
        <v>200</v>
      </c>
      <c r="S350" s="231" t="str">
        <f>TEXT(A350,"dddd")</f>
        <v>Tuesday</v>
      </c>
    </row>
    <row r="351" spans="1:19" x14ac:dyDescent="0.25">
      <c r="A351" s="226">
        <v>46372</v>
      </c>
      <c r="B351" s="227">
        <f>O350</f>
        <v>100</v>
      </c>
      <c r="C351" s="228">
        <f>P350</f>
        <v>100</v>
      </c>
      <c r="D351" s="228">
        <f>IF(OR(DAY(A351+2)=1,DAY(A351+2)=15),-SUM('Main Budget'!$H$26:$H$31),0)</f>
        <v>0</v>
      </c>
      <c r="E351" s="228">
        <f>IF(DAY(A351+2)=22,-SUM('Main Budget'!$F$26:$F$31),0)</f>
        <v>0</v>
      </c>
      <c r="F351" s="228">
        <f>IF(D351&gt;0,-'Main Budget'!$H$25+0.15,0)</f>
        <v>0</v>
      </c>
      <c r="G351" s="228">
        <f>IF(E351&gt;0,-'Main Budget'!$F$25+0.81,0)</f>
        <v>0</v>
      </c>
      <c r="H351" s="227">
        <f>IF(DAY(A351)='Main Budget'!$J$26,'Main Budget'!$E$26,0)</f>
        <v>0</v>
      </c>
      <c r="I351" s="227">
        <f>IF(DAY(A351)='Main Budget'!$J$28,'Main Budget'!$E$28,0)</f>
        <v>0</v>
      </c>
      <c r="J351" s="227">
        <f>IF(DAY(A351)='Main Budget'!$J$29,'Main Budget'!$E$29,0)</f>
        <v>0</v>
      </c>
      <c r="K351" s="20">
        <f>IF(DAY(A351)='Main Budget'!$J$30,'Main Budget'!$E$30,0)</f>
        <v>0</v>
      </c>
      <c r="L351" s="20">
        <f>IF(DAY(A351)='Main Budget'!$J$31,'Main Budget'!$E$31,0)</f>
        <v>0</v>
      </c>
      <c r="M351" s="20">
        <f>IF(DAY(A351)='Main Budget'!$J$27,'Main Budget'!$E$27,0)</f>
        <v>0</v>
      </c>
      <c r="O351" s="228">
        <f>B351+(SUM(H351:M351)+(SUM(D351:E351)))</f>
        <v>100</v>
      </c>
      <c r="P351" s="228">
        <f>C351+F351+G351+N351</f>
        <v>100</v>
      </c>
      <c r="Q351" s="252">
        <f>O351+P351</f>
        <v>200</v>
      </c>
      <c r="S351" s="231" t="str">
        <f>TEXT(A351,"dddd")</f>
        <v>Wednesday</v>
      </c>
    </row>
    <row r="352" spans="1:19" x14ac:dyDescent="0.25">
      <c r="A352" s="226">
        <v>46373</v>
      </c>
      <c r="B352" s="227">
        <f>O351</f>
        <v>100</v>
      </c>
      <c r="C352" s="228">
        <f>P351</f>
        <v>100</v>
      </c>
      <c r="D352" s="228">
        <f>IF(OR(DAY(A352+2)=1,DAY(A352+2)=15),-SUM('Main Budget'!$H$26:$H$31),0)</f>
        <v>0</v>
      </c>
      <c r="E352" s="228">
        <f>IF(DAY(A352+2)=22,-SUM('Main Budget'!$F$26:$F$31),0)</f>
        <v>0</v>
      </c>
      <c r="F352" s="228">
        <f>IF(D352&gt;0,-'Main Budget'!$H$25+0.15,0)</f>
        <v>0</v>
      </c>
      <c r="G352" s="228">
        <f>IF(E352&gt;0,-'Main Budget'!$F$25+0.81,0)</f>
        <v>0</v>
      </c>
      <c r="H352" s="227">
        <f>IF(DAY(A352)='Main Budget'!$J$26,'Main Budget'!$E$26,0)</f>
        <v>0</v>
      </c>
      <c r="I352" s="227">
        <f>IF(DAY(A352)='Main Budget'!$J$28,'Main Budget'!$E$28,0)</f>
        <v>0</v>
      </c>
      <c r="J352" s="227">
        <f>IF(DAY(A352)='Main Budget'!$J$29,'Main Budget'!$E$29,0)</f>
        <v>0</v>
      </c>
      <c r="K352" s="20">
        <f>IF(DAY(A352)='Main Budget'!$J$30,'Main Budget'!$E$30,0)</f>
        <v>0</v>
      </c>
      <c r="L352" s="20">
        <f>IF(DAY(A352)='Main Budget'!$J$31,'Main Budget'!$E$31,0)</f>
        <v>0</v>
      </c>
      <c r="M352" s="20">
        <f>IF(DAY(A352)='Main Budget'!$J$27,'Main Budget'!$E$27,0)</f>
        <v>0</v>
      </c>
      <c r="O352" s="228">
        <f>B352+(SUM(H352:M352)+(SUM(D352:E352)))</f>
        <v>100</v>
      </c>
      <c r="P352" s="228">
        <f>C352+F352+G352+N352</f>
        <v>100</v>
      </c>
      <c r="Q352" s="252">
        <f>O352+P352</f>
        <v>200</v>
      </c>
      <c r="S352" s="231" t="str">
        <f>TEXT(A352,"dddd")</f>
        <v>Thursday</v>
      </c>
    </row>
    <row r="353" spans="1:19" x14ac:dyDescent="0.25">
      <c r="A353" s="226">
        <v>46374</v>
      </c>
      <c r="B353" s="227">
        <f>O352</f>
        <v>100</v>
      </c>
      <c r="C353" s="228">
        <f>P352</f>
        <v>100</v>
      </c>
      <c r="D353" s="228">
        <f>IF(OR(DAY(A353+2)=1,DAY(A353+2)=15),-SUM('Main Budget'!$H$26:$H$31),0)</f>
        <v>0</v>
      </c>
      <c r="E353" s="228">
        <f>IF(DAY(A353+2)=22,-SUM('Main Budget'!$F$26:$F$31),0)</f>
        <v>0</v>
      </c>
      <c r="F353" s="228">
        <f>IF(D353&gt;0,-'Main Budget'!$H$25+0.15,0)</f>
        <v>0</v>
      </c>
      <c r="G353" s="228">
        <f>IF(E353&gt;0,-'Main Budget'!$F$25+0.81,0)</f>
        <v>0</v>
      </c>
      <c r="H353" s="227">
        <f>IF(DAY(A353)='Main Budget'!$J$26,'Main Budget'!$E$26,0)</f>
        <v>0</v>
      </c>
      <c r="I353" s="227">
        <f>IF(DAY(A353)='Main Budget'!$J$28,'Main Budget'!$E$28,0)</f>
        <v>0</v>
      </c>
      <c r="J353" s="227">
        <f>IF(DAY(A353)='Main Budget'!$J$29,'Main Budget'!$E$29,0)</f>
        <v>0</v>
      </c>
      <c r="K353" s="20">
        <f>IF(DAY(A353)='Main Budget'!$J$30,'Main Budget'!$E$30,0)</f>
        <v>0</v>
      </c>
      <c r="L353" s="20">
        <f>IF(DAY(A353)='Main Budget'!$J$31,'Main Budget'!$E$31,0)</f>
        <v>0</v>
      </c>
      <c r="M353" s="20">
        <f>IF(DAY(A353)='Main Budget'!$J$27,'Main Budget'!$E$27,0)</f>
        <v>0</v>
      </c>
      <c r="O353" s="228">
        <f>B353+(SUM(H353:M353)+(SUM(D353:E353)))</f>
        <v>100</v>
      </c>
      <c r="P353" s="228">
        <f>C353+F353+G353+N353</f>
        <v>100</v>
      </c>
      <c r="Q353" s="252">
        <f>O353+P353</f>
        <v>200</v>
      </c>
      <c r="S353" s="231" t="str">
        <f>TEXT(A353,"dddd")</f>
        <v>Friday</v>
      </c>
    </row>
    <row r="354" spans="1:19" x14ac:dyDescent="0.25">
      <c r="A354" s="226">
        <v>46375</v>
      </c>
      <c r="B354" s="227">
        <f>O353</f>
        <v>100</v>
      </c>
      <c r="C354" s="228">
        <f>P353</f>
        <v>100</v>
      </c>
      <c r="D354" s="228">
        <f>IF(OR(DAY(A354+2)=1,DAY(A354+2)=15),-SUM('Main Budget'!$H$26:$H$31),0)</f>
        <v>0</v>
      </c>
      <c r="E354" s="228">
        <f>IF(DAY(A354+2)=22,-SUM('Main Budget'!$F$26:$F$31),0)</f>
        <v>0</v>
      </c>
      <c r="F354" s="228">
        <f>IF(D354&gt;0,-'Main Budget'!$H$25+0.15,0)</f>
        <v>0</v>
      </c>
      <c r="G354" s="228">
        <f>IF(E354&gt;0,-'Main Budget'!$F$25+0.81,0)</f>
        <v>0</v>
      </c>
      <c r="H354" s="227">
        <f>IF(DAY(A354)='Main Budget'!$J$26,'Main Budget'!$E$26,0)</f>
        <v>0</v>
      </c>
      <c r="I354" s="227">
        <f>IF(DAY(A354)='Main Budget'!$J$28,'Main Budget'!$E$28,0)</f>
        <v>0</v>
      </c>
      <c r="J354" s="227">
        <f>IF(DAY(A354)='Main Budget'!$J$29,'Main Budget'!$E$29,0)</f>
        <v>0</v>
      </c>
      <c r="K354" s="20">
        <f>IF(DAY(A354)='Main Budget'!$J$30,'Main Budget'!$E$30,0)</f>
        <v>0</v>
      </c>
      <c r="L354" s="20">
        <f>IF(DAY(A354)='Main Budget'!$J$31,'Main Budget'!$E$31,0)</f>
        <v>0</v>
      </c>
      <c r="M354" s="20">
        <f>IF(DAY(A354)='Main Budget'!$J$27,'Main Budget'!$E$27,0)</f>
        <v>0</v>
      </c>
      <c r="O354" s="228">
        <f>B354+(SUM(H354:M354)+(SUM(D354:E354)))</f>
        <v>100</v>
      </c>
      <c r="P354" s="228">
        <f>C354+F354+G354+N354</f>
        <v>100</v>
      </c>
      <c r="Q354" s="252">
        <f>O354+P354</f>
        <v>200</v>
      </c>
      <c r="S354" s="231" t="str">
        <f>TEXT(A354,"dddd")</f>
        <v>Saturday</v>
      </c>
    </row>
    <row r="355" spans="1:19" x14ac:dyDescent="0.25">
      <c r="A355" s="226">
        <v>46376</v>
      </c>
      <c r="B355" s="227">
        <f>O354</f>
        <v>100</v>
      </c>
      <c r="C355" s="228">
        <f>P354</f>
        <v>100</v>
      </c>
      <c r="D355" s="228">
        <f>IF(OR(DAY(A355+2)=1,DAY(A355+2)=15),-SUM('Main Budget'!$H$26:$H$31),0)</f>
        <v>0</v>
      </c>
      <c r="E355" s="228">
        <f>IF(DAY(A355+2)=22,-SUM('Main Budget'!$F$26:$F$31),0)</f>
        <v>0</v>
      </c>
      <c r="F355" s="228">
        <f>IF(D355&gt;0,-'Main Budget'!$H$25+0.15,0)</f>
        <v>0</v>
      </c>
      <c r="G355" s="228">
        <f>IF(E355&gt;0,-'Main Budget'!$F$25+0.81,0)</f>
        <v>0</v>
      </c>
      <c r="H355" s="227">
        <f>IF(DAY(A355)='Main Budget'!$J$26,'Main Budget'!$E$26,0)</f>
        <v>0</v>
      </c>
      <c r="I355" s="227">
        <f>IF(DAY(A355)='Main Budget'!$J$28,'Main Budget'!$E$28,0)</f>
        <v>0</v>
      </c>
      <c r="J355" s="227">
        <f>IF(DAY(A355)='Main Budget'!$J$29,'Main Budget'!$E$29,0)</f>
        <v>0</v>
      </c>
      <c r="K355" s="20">
        <f>IF(DAY(A355)='Main Budget'!$J$30,'Main Budget'!$E$30,0)</f>
        <v>0</v>
      </c>
      <c r="L355" s="20">
        <f>IF(DAY(A355)='Main Budget'!$J$31,'Main Budget'!$E$31,0)</f>
        <v>0</v>
      </c>
      <c r="M355" s="20">
        <f>IF(DAY(A355)='Main Budget'!$J$27,'Main Budget'!$E$27,0)</f>
        <v>0</v>
      </c>
      <c r="O355" s="228">
        <f>B355+(SUM(H355:M355)+(SUM(D355:E355)))</f>
        <v>100</v>
      </c>
      <c r="P355" s="228">
        <f>C355+F355+G355+N355</f>
        <v>100</v>
      </c>
      <c r="Q355" s="252">
        <f>O355+P355</f>
        <v>200</v>
      </c>
      <c r="S355" s="231" t="str">
        <f>TEXT(A355,"dddd")</f>
        <v>Sunday</v>
      </c>
    </row>
    <row r="356" spans="1:19" x14ac:dyDescent="0.25">
      <c r="A356" s="226">
        <v>46377</v>
      </c>
      <c r="B356" s="227">
        <f>O355</f>
        <v>100</v>
      </c>
      <c r="C356" s="228">
        <f>P355</f>
        <v>100</v>
      </c>
      <c r="D356" s="228">
        <f>IF(OR(DAY(A356+2)=1,DAY(A356+2)=15),-SUM('Main Budget'!$H$26:$H$31),0)</f>
        <v>0</v>
      </c>
      <c r="E356" s="228">
        <f>IF(DAY(A356+2)=22,-SUM('Main Budget'!$F$26:$F$31),0)</f>
        <v>0</v>
      </c>
      <c r="F356" s="228">
        <f>IF(D356&gt;0,-'Main Budget'!$H$25+0.15,0)</f>
        <v>0</v>
      </c>
      <c r="G356" s="228">
        <f>IF(E356&gt;0,-'Main Budget'!$F$25+0.81,0)</f>
        <v>0</v>
      </c>
      <c r="H356" s="227">
        <f>IF(DAY(A356)='Main Budget'!$J$26,'Main Budget'!$E$26,0)</f>
        <v>0</v>
      </c>
      <c r="I356" s="227">
        <f>IF(DAY(A356)='Main Budget'!$J$28,'Main Budget'!$E$28,0)</f>
        <v>0</v>
      </c>
      <c r="J356" s="227">
        <f>IF(DAY(A356)='Main Budget'!$J$29,'Main Budget'!$E$29,0)</f>
        <v>0</v>
      </c>
      <c r="K356" s="20">
        <f>IF(DAY(A356)='Main Budget'!$J$30,'Main Budget'!$E$30,0)</f>
        <v>0</v>
      </c>
      <c r="L356" s="20">
        <f>IF(DAY(A356)='Main Budget'!$J$31,'Main Budget'!$E$31,0)</f>
        <v>0</v>
      </c>
      <c r="M356" s="20">
        <f>IF(DAY(A356)='Main Budget'!$J$27,'Main Budget'!$E$27,0)</f>
        <v>0</v>
      </c>
      <c r="O356" s="228">
        <f>B356+(SUM(H356:M356)+(SUM(D356:E356)))</f>
        <v>100</v>
      </c>
      <c r="P356" s="228">
        <f>C356+F356+G356+N356</f>
        <v>100</v>
      </c>
      <c r="Q356" s="252">
        <f>O356+P356</f>
        <v>200</v>
      </c>
      <c r="S356" s="231" t="str">
        <f>TEXT(A356,"dddd")</f>
        <v>Monday</v>
      </c>
    </row>
    <row r="357" spans="1:19" x14ac:dyDescent="0.25">
      <c r="A357" s="226">
        <v>46378</v>
      </c>
      <c r="B357" s="227">
        <f>O356</f>
        <v>100</v>
      </c>
      <c r="C357" s="228">
        <f>P356</f>
        <v>100</v>
      </c>
      <c r="D357" s="228">
        <f>IF(OR(DAY(A357+2)=1,DAY(A357+2)=15),-SUM('Main Budget'!$H$26:$H$31),0)</f>
        <v>0</v>
      </c>
      <c r="E357" s="228">
        <f>IF(DAY(A357+2)=22,-SUM('Main Budget'!$F$26:$F$31),0)</f>
        <v>0</v>
      </c>
      <c r="F357" s="228">
        <f>IF(D357&gt;0,-'Main Budget'!$H$25+0.15,0)</f>
        <v>0</v>
      </c>
      <c r="G357" s="228">
        <f>IF(E357&gt;0,-'Main Budget'!$F$25+0.81,0)</f>
        <v>0</v>
      </c>
      <c r="H357" s="227">
        <f>IF(DAY(A357)='Main Budget'!$J$26,'Main Budget'!$E$26,0)</f>
        <v>0</v>
      </c>
      <c r="I357" s="227">
        <f>IF(DAY(A357)='Main Budget'!$J$28,'Main Budget'!$E$28,0)</f>
        <v>0</v>
      </c>
      <c r="J357" s="227">
        <f>IF(DAY(A357)='Main Budget'!$J$29,'Main Budget'!$E$29,0)</f>
        <v>0</v>
      </c>
      <c r="K357" s="20">
        <f>IF(DAY(A357)='Main Budget'!$J$30,'Main Budget'!$E$30,0)</f>
        <v>0</v>
      </c>
      <c r="L357" s="20">
        <f>IF(DAY(A357)='Main Budget'!$J$31,'Main Budget'!$E$31,0)</f>
        <v>0</v>
      </c>
      <c r="M357" s="20">
        <f>IF(DAY(A357)='Main Budget'!$J$27,'Main Budget'!$E$27,0)</f>
        <v>0</v>
      </c>
      <c r="O357" s="228">
        <f>B357+(SUM(H357:M357)+(SUM(D357:E357)))</f>
        <v>100</v>
      </c>
      <c r="P357" s="228">
        <f>C357+F357+G357+N357</f>
        <v>100</v>
      </c>
      <c r="Q357" s="252">
        <f>O357+P357</f>
        <v>200</v>
      </c>
      <c r="S357" s="231" t="str">
        <f>TEXT(A357,"dddd")</f>
        <v>Tuesday</v>
      </c>
    </row>
    <row r="358" spans="1:19" x14ac:dyDescent="0.25">
      <c r="A358" s="226">
        <v>46379</v>
      </c>
      <c r="B358" s="227">
        <f>O357</f>
        <v>100</v>
      </c>
      <c r="C358" s="228">
        <f>P357</f>
        <v>100</v>
      </c>
      <c r="D358" s="228">
        <f>IF(OR(DAY(A358+2)=1,DAY(A358+2)=15),-SUM('Main Budget'!$H$26:$H$31),0)</f>
        <v>0</v>
      </c>
      <c r="E358" s="228">
        <f>IF(DAY(A358+2)=22,-SUM('Main Budget'!$F$26:$F$31),0)</f>
        <v>0</v>
      </c>
      <c r="F358" s="228">
        <f>IF(D358&gt;0,-'Main Budget'!$H$25+0.15,0)</f>
        <v>0</v>
      </c>
      <c r="G358" s="228">
        <f>IF(E358&gt;0,-'Main Budget'!$F$25+0.81,0)</f>
        <v>0</v>
      </c>
      <c r="H358" s="227">
        <f>IF(DAY(A358)='Main Budget'!$J$26,'Main Budget'!$E$26,0)</f>
        <v>0</v>
      </c>
      <c r="I358" s="227">
        <f>IF(DAY(A358)='Main Budget'!$J$28,'Main Budget'!$E$28,0)</f>
        <v>0</v>
      </c>
      <c r="J358" s="227">
        <f>IF(DAY(A358)='Main Budget'!$J$29,'Main Budget'!$E$29,0)</f>
        <v>0</v>
      </c>
      <c r="K358" s="20">
        <f>IF(DAY(A358)='Main Budget'!$J$30,'Main Budget'!$E$30,0)</f>
        <v>0</v>
      </c>
      <c r="L358" s="20">
        <f>IF(DAY(A358)='Main Budget'!$J$31,'Main Budget'!$E$31,0)</f>
        <v>0</v>
      </c>
      <c r="M358" s="20">
        <f>IF(DAY(A358)='Main Budget'!$J$27,'Main Budget'!$E$27,0)</f>
        <v>0</v>
      </c>
      <c r="O358" s="228">
        <f>B358+(SUM(H358:M358)+(SUM(D358:E358)))</f>
        <v>100</v>
      </c>
      <c r="P358" s="228">
        <f>C358+F358+G358+N358</f>
        <v>100</v>
      </c>
      <c r="Q358" s="252">
        <f>O358+P358</f>
        <v>200</v>
      </c>
      <c r="S358" s="231" t="str">
        <f>TEXT(A358,"dddd")</f>
        <v>Wednesday</v>
      </c>
    </row>
    <row r="359" spans="1:19" x14ac:dyDescent="0.25">
      <c r="A359" s="226">
        <v>46380</v>
      </c>
      <c r="B359" s="227">
        <f>O358</f>
        <v>100</v>
      </c>
      <c r="C359" s="228">
        <f>P358</f>
        <v>100</v>
      </c>
      <c r="D359" s="228">
        <f>IF(OR(DAY(A359+2)=1,DAY(A359+2)=15),-SUM('Main Budget'!$H$26:$H$31),0)</f>
        <v>0</v>
      </c>
      <c r="E359" s="228">
        <f>IF(DAY(A359+2)=22,-SUM('Main Budget'!$F$26:$F$31),0)</f>
        <v>0</v>
      </c>
      <c r="F359" s="228">
        <f>IF(D359&gt;0,-'Main Budget'!$H$25+0.15,0)</f>
        <v>0</v>
      </c>
      <c r="G359" s="228">
        <f>IF(E359&gt;0,-'Main Budget'!$F$25+0.81,0)</f>
        <v>0</v>
      </c>
      <c r="H359" s="227">
        <f>IF(DAY(A359)='Main Budget'!$J$26,'Main Budget'!$E$26,0)</f>
        <v>0</v>
      </c>
      <c r="I359" s="227">
        <f>IF(DAY(A359)='Main Budget'!$J$28,'Main Budget'!$E$28,0)</f>
        <v>0</v>
      </c>
      <c r="J359" s="227">
        <f>IF(DAY(A359)='Main Budget'!$J$29,'Main Budget'!$E$29,0)</f>
        <v>0</v>
      </c>
      <c r="K359" s="20">
        <f>IF(DAY(A359)='Main Budget'!$J$30,'Main Budget'!$E$30,0)</f>
        <v>0</v>
      </c>
      <c r="L359" s="20">
        <f>IF(DAY(A359)='Main Budget'!$J$31,'Main Budget'!$E$31,0)</f>
        <v>0</v>
      </c>
      <c r="M359" s="20">
        <f>IF(DAY(A359)='Main Budget'!$J$27,'Main Budget'!$E$27,0)</f>
        <v>0</v>
      </c>
      <c r="O359" s="228">
        <f>B359+(SUM(H359:M359)+(SUM(D359:E359)))</f>
        <v>100</v>
      </c>
      <c r="P359" s="228">
        <f>C359+F359+G359+N359</f>
        <v>100</v>
      </c>
      <c r="Q359" s="252">
        <f>O359+P359</f>
        <v>200</v>
      </c>
      <c r="S359" s="231" t="str">
        <f>TEXT(A359,"dddd")</f>
        <v>Thursday</v>
      </c>
    </row>
    <row r="360" spans="1:19" x14ac:dyDescent="0.25">
      <c r="A360" s="226">
        <v>46381</v>
      </c>
      <c r="B360" s="227">
        <f>O359</f>
        <v>100</v>
      </c>
      <c r="C360" s="228">
        <f>P359</f>
        <v>100</v>
      </c>
      <c r="D360" s="228">
        <f>IF(OR(DAY(A360+2)=1,DAY(A360+2)=15),-SUM('Main Budget'!$H$26:$H$31),0)</f>
        <v>0</v>
      </c>
      <c r="E360" s="228">
        <f>IF(DAY(A360+2)=22,-SUM('Main Budget'!$F$26:$F$31),0)</f>
        <v>0</v>
      </c>
      <c r="F360" s="228">
        <f>IF(D360&gt;0,-'Main Budget'!$H$25+0.15,0)</f>
        <v>0</v>
      </c>
      <c r="G360" s="228">
        <f>IF(E360&gt;0,-'Main Budget'!$F$25+0.81,0)</f>
        <v>0</v>
      </c>
      <c r="H360" s="227">
        <f>IF(DAY(A360)='Main Budget'!$J$26,'Main Budget'!$E$26,0)</f>
        <v>0</v>
      </c>
      <c r="I360" s="227">
        <f>IF(DAY(A360)='Main Budget'!$J$28,'Main Budget'!$E$28,0)</f>
        <v>0</v>
      </c>
      <c r="J360" s="227">
        <f>IF(DAY(A360)='Main Budget'!$J$29,'Main Budget'!$E$29,0)</f>
        <v>0</v>
      </c>
      <c r="K360" s="20">
        <f>IF(DAY(A360)='Main Budget'!$J$30,'Main Budget'!$E$30,0)</f>
        <v>0</v>
      </c>
      <c r="L360" s="20">
        <f>IF(DAY(A360)='Main Budget'!$J$31,'Main Budget'!$E$31,0)</f>
        <v>0</v>
      </c>
      <c r="M360" s="20">
        <f>IF(DAY(A360)='Main Budget'!$J$27,'Main Budget'!$E$27,0)</f>
        <v>0</v>
      </c>
      <c r="O360" s="228">
        <f>B360+(SUM(H360:M360)+(SUM(D360:E360)))</f>
        <v>100</v>
      </c>
      <c r="P360" s="228">
        <f>C360+F360+G360+N360</f>
        <v>100</v>
      </c>
      <c r="Q360" s="252">
        <f>O360+P360</f>
        <v>200</v>
      </c>
      <c r="S360" s="231" t="str">
        <f>TEXT(A360,"dddd")</f>
        <v>Friday</v>
      </c>
    </row>
    <row r="361" spans="1:19" x14ac:dyDescent="0.25">
      <c r="A361" s="226">
        <v>46382</v>
      </c>
      <c r="B361" s="227">
        <f>O360</f>
        <v>100</v>
      </c>
      <c r="C361" s="228">
        <f>P360</f>
        <v>100</v>
      </c>
      <c r="D361" s="228">
        <f>IF(OR(DAY(A361+2)=1,DAY(A361+2)=15),-SUM('Main Budget'!$H$26:$H$31),0)</f>
        <v>0</v>
      </c>
      <c r="E361" s="228">
        <f>IF(DAY(A361+2)=22,-SUM('Main Budget'!$F$26:$F$31),0)</f>
        <v>0</v>
      </c>
      <c r="F361" s="228">
        <f>IF(D361&gt;0,-'Main Budget'!$H$25+0.15,0)</f>
        <v>0</v>
      </c>
      <c r="G361" s="228">
        <f>IF(E361&gt;0,-'Main Budget'!$F$25+0.81,0)</f>
        <v>0</v>
      </c>
      <c r="H361" s="227">
        <f>IF(DAY(A361)='Main Budget'!$J$26,'Main Budget'!$E$26,0)</f>
        <v>0</v>
      </c>
      <c r="I361" s="227">
        <f>IF(DAY(A361)='Main Budget'!$J$28,'Main Budget'!$E$28,0)</f>
        <v>0</v>
      </c>
      <c r="J361" s="227">
        <f>IF(DAY(A361)='Main Budget'!$J$29,'Main Budget'!$E$29,0)</f>
        <v>0</v>
      </c>
      <c r="K361" s="20">
        <f>IF(DAY(A361)='Main Budget'!$J$30,'Main Budget'!$E$30,0)</f>
        <v>0</v>
      </c>
      <c r="L361" s="20">
        <f>IF(DAY(A361)='Main Budget'!$J$31,'Main Budget'!$E$31,0)</f>
        <v>0</v>
      </c>
      <c r="M361" s="20">
        <f>IF(DAY(A361)='Main Budget'!$J$27,'Main Budget'!$E$27,0)</f>
        <v>0</v>
      </c>
      <c r="O361" s="228">
        <f>B361+(SUM(H361:M361)+(SUM(D361:E361)))</f>
        <v>100</v>
      </c>
      <c r="P361" s="228">
        <f>C361+F361+G361+N361</f>
        <v>100</v>
      </c>
      <c r="Q361" s="252">
        <f>O361+P361</f>
        <v>200</v>
      </c>
      <c r="S361" s="231" t="str">
        <f>TEXT(A361,"dddd")</f>
        <v>Saturday</v>
      </c>
    </row>
    <row r="362" spans="1:19" x14ac:dyDescent="0.25">
      <c r="A362" s="226">
        <v>46383</v>
      </c>
      <c r="B362" s="227">
        <f>O361</f>
        <v>100</v>
      </c>
      <c r="C362" s="228">
        <f>P361</f>
        <v>100</v>
      </c>
      <c r="D362" s="228">
        <f>IF(OR(DAY(A362+2)=1,DAY(A362+2)=15),-SUM('Main Budget'!$H$26:$H$31),0)</f>
        <v>0</v>
      </c>
      <c r="E362" s="228">
        <f>IF(DAY(A362+2)=22,-SUM('Main Budget'!$F$26:$F$31),0)</f>
        <v>0</v>
      </c>
      <c r="F362" s="228">
        <f>IF(D362&gt;0,-'Main Budget'!$H$25+0.15,0)</f>
        <v>0</v>
      </c>
      <c r="G362" s="228">
        <f>IF(E362&gt;0,-'Main Budget'!$F$25+0.81,0)</f>
        <v>0</v>
      </c>
      <c r="H362" s="227">
        <f>IF(DAY(A362)='Main Budget'!$J$26,'Main Budget'!$E$26,0)</f>
        <v>0</v>
      </c>
      <c r="I362" s="227">
        <f>IF(DAY(A362)='Main Budget'!$J$28,'Main Budget'!$E$28,0)</f>
        <v>0</v>
      </c>
      <c r="J362" s="227">
        <f>IF(DAY(A362)='Main Budget'!$J$29,'Main Budget'!$E$29,0)</f>
        <v>0</v>
      </c>
      <c r="K362" s="20">
        <f>IF(DAY(A362)='Main Budget'!$J$30,'Main Budget'!$E$30,0)</f>
        <v>0</v>
      </c>
      <c r="L362" s="20">
        <f>IF(DAY(A362)='Main Budget'!$J$31,'Main Budget'!$E$31,0)</f>
        <v>0</v>
      </c>
      <c r="M362" s="20">
        <f>IF(DAY(A362)='Main Budget'!$J$27,'Main Budget'!$E$27,0)</f>
        <v>0</v>
      </c>
      <c r="O362" s="228">
        <f>B362+(SUM(H362:M362)+(SUM(D362:E362)))</f>
        <v>100</v>
      </c>
      <c r="P362" s="228">
        <f>C362+F362+G362+N362</f>
        <v>100</v>
      </c>
      <c r="Q362" s="252">
        <f>O362+P362</f>
        <v>200</v>
      </c>
      <c r="S362" s="231" t="str">
        <f>TEXT(A362,"dddd")</f>
        <v>Sunday</v>
      </c>
    </row>
    <row r="363" spans="1:19" x14ac:dyDescent="0.25">
      <c r="A363" s="226">
        <v>46384</v>
      </c>
      <c r="B363" s="227">
        <f>O362</f>
        <v>100</v>
      </c>
      <c r="C363" s="228">
        <f>P362</f>
        <v>100</v>
      </c>
      <c r="D363" s="228">
        <f>IF(OR(DAY(A363+2)=1,DAY(A363+2)=15),-SUM('Main Budget'!$H$26:$H$31),0)</f>
        <v>0</v>
      </c>
      <c r="E363" s="228">
        <f>IF(DAY(A363+2)=22,-SUM('Main Budget'!$F$26:$F$31),0)</f>
        <v>0</v>
      </c>
      <c r="F363" s="228">
        <f>IF(D363&gt;0,-'Main Budget'!$H$25+0.15,0)</f>
        <v>0</v>
      </c>
      <c r="G363" s="228">
        <f>IF(E363&gt;0,-'Main Budget'!$F$25+0.81,0)</f>
        <v>0</v>
      </c>
      <c r="H363" s="227">
        <f>IF(DAY(A363)='Main Budget'!$J$26,'Main Budget'!$E$26,0)</f>
        <v>0</v>
      </c>
      <c r="I363" s="227">
        <f>IF(DAY(A363)='Main Budget'!$J$28,'Main Budget'!$E$28,0)</f>
        <v>0</v>
      </c>
      <c r="J363" s="227">
        <f>IF(DAY(A363)='Main Budget'!$J$29,'Main Budget'!$E$29,0)</f>
        <v>0</v>
      </c>
      <c r="K363" s="20">
        <f>IF(DAY(A363)='Main Budget'!$J$30,'Main Budget'!$E$30,0)</f>
        <v>0</v>
      </c>
      <c r="L363" s="20">
        <f>IF(DAY(A363)='Main Budget'!$J$31,'Main Budget'!$E$31,0)</f>
        <v>0</v>
      </c>
      <c r="M363" s="20">
        <f>IF(DAY(A363)='Main Budget'!$J$27,'Main Budget'!$E$27,0)</f>
        <v>0</v>
      </c>
      <c r="O363" s="228">
        <f>B363+(SUM(H363:M363)+(SUM(D363:E363)))</f>
        <v>100</v>
      </c>
      <c r="P363" s="228">
        <f>C363+F363+G363+N363</f>
        <v>100</v>
      </c>
      <c r="Q363" s="252">
        <f>O363+P363</f>
        <v>200</v>
      </c>
      <c r="S363" s="231" t="str">
        <f>TEXT(A363,"dddd")</f>
        <v>Monday</v>
      </c>
    </row>
    <row r="364" spans="1:19" x14ac:dyDescent="0.25">
      <c r="A364" s="226">
        <v>46385</v>
      </c>
      <c r="B364" s="227">
        <f>O363</f>
        <v>100</v>
      </c>
      <c r="C364" s="228">
        <f>P363</f>
        <v>100</v>
      </c>
      <c r="D364" s="228">
        <f>IF(OR(DAY(A364+2)=1,DAY(A364+2)=15),-SUM('Main Budget'!$H$26:$H$31),0)</f>
        <v>0</v>
      </c>
      <c r="E364" s="228">
        <f>IF(DAY(A364+2)=22,-SUM('Main Budget'!$F$26:$F$31),0)</f>
        <v>0</v>
      </c>
      <c r="F364" s="228">
        <f>IF(D364&gt;0,-'Main Budget'!$H$25+0.15,0)</f>
        <v>0</v>
      </c>
      <c r="G364" s="228">
        <f>IF(E364&gt;0,-'Main Budget'!$F$25+0.81,0)</f>
        <v>0</v>
      </c>
      <c r="H364" s="227">
        <f>IF(DAY(A364)='Main Budget'!$J$26,'Main Budget'!$E$26,0)</f>
        <v>0</v>
      </c>
      <c r="I364" s="227">
        <f>IF(DAY(A364)='Main Budget'!$J$28,'Main Budget'!$E$28,0)</f>
        <v>0</v>
      </c>
      <c r="J364" s="227">
        <f>IF(DAY(A364)='Main Budget'!$J$29,'Main Budget'!$E$29,0)</f>
        <v>0</v>
      </c>
      <c r="K364" s="20">
        <f>IF(DAY(A364)='Main Budget'!$J$30,'Main Budget'!$E$30,0)</f>
        <v>0</v>
      </c>
      <c r="L364" s="20">
        <f>IF(DAY(A364)='Main Budget'!$J$31,'Main Budget'!$E$31,0)</f>
        <v>0</v>
      </c>
      <c r="M364" s="20">
        <f>IF(DAY(A364)='Main Budget'!$J$27,'Main Budget'!$E$27,0)</f>
        <v>0</v>
      </c>
      <c r="O364" s="228">
        <f>B364+(SUM(H364:M364)+(SUM(D364:E364)))</f>
        <v>100</v>
      </c>
      <c r="P364" s="228">
        <f>C364+F364+G364+N364</f>
        <v>100</v>
      </c>
      <c r="Q364" s="252">
        <f>O364+P364</f>
        <v>200</v>
      </c>
      <c r="S364" s="231" t="str">
        <f>TEXT(A364,"dddd")</f>
        <v>Tuesday</v>
      </c>
    </row>
    <row r="365" spans="1:19" x14ac:dyDescent="0.25">
      <c r="A365" s="226">
        <v>46386</v>
      </c>
      <c r="B365" s="227">
        <f>O364</f>
        <v>100</v>
      </c>
      <c r="C365" s="228">
        <f>P364</f>
        <v>100</v>
      </c>
      <c r="D365" s="228">
        <f>IF(OR(DAY(A365+2)=1,DAY(A365+2)=15),-SUM('Main Budget'!$H$26:$H$31),0)</f>
        <v>0</v>
      </c>
      <c r="E365" s="228">
        <f>IF(DAY(A365+2)=22,-SUM('Main Budget'!$F$26:$F$31),0)</f>
        <v>0</v>
      </c>
      <c r="F365" s="228">
        <f>IF(D365&gt;0,-'Main Budget'!$H$25+0.15,0)</f>
        <v>0</v>
      </c>
      <c r="G365" s="228">
        <f>IF(E365&gt;0,-'Main Budget'!$F$25+0.81,0)</f>
        <v>0</v>
      </c>
      <c r="H365" s="227">
        <f>IF(DAY(A365)='Main Budget'!$J$26,'Main Budget'!$E$26,0)</f>
        <v>0</v>
      </c>
      <c r="I365" s="227">
        <f>IF(DAY(A365)='Main Budget'!$J$28,'Main Budget'!$E$28,0)</f>
        <v>0</v>
      </c>
      <c r="J365" s="227">
        <f>IF(DAY(A365)='Main Budget'!$J$29,'Main Budget'!$E$29,0)</f>
        <v>0</v>
      </c>
      <c r="K365" s="20">
        <f>IF(DAY(A365)='Main Budget'!$J$30,'Main Budget'!$E$30,0)</f>
        <v>0</v>
      </c>
      <c r="L365" s="20">
        <f>IF(DAY(A365)='Main Budget'!$J$31,'Main Budget'!$E$31,0)</f>
        <v>0</v>
      </c>
      <c r="M365" s="20">
        <f>IF(DAY(A365)='Main Budget'!$J$27,'Main Budget'!$E$27,0)</f>
        <v>0</v>
      </c>
      <c r="O365" s="228">
        <f>B365+(SUM(H365:M365)+(SUM(D365:E365)))</f>
        <v>100</v>
      </c>
      <c r="P365" s="228">
        <f>C365+F365+G365+N365</f>
        <v>100</v>
      </c>
      <c r="Q365" s="252">
        <f>O365+P365</f>
        <v>200</v>
      </c>
      <c r="S365" s="231" t="str">
        <f>TEXT(A365,"dddd")</f>
        <v>Wednesday</v>
      </c>
    </row>
    <row r="366" spans="1:19" x14ac:dyDescent="0.25">
      <c r="A366" s="226">
        <v>46387</v>
      </c>
      <c r="B366" s="227">
        <f>O365</f>
        <v>100</v>
      </c>
      <c r="C366" s="228">
        <f>P365</f>
        <v>100</v>
      </c>
      <c r="D366" s="228">
        <f>IF(OR(DAY(A366+2)=1,DAY(A366+2)=15),-SUM('Main Budget'!$H$26:$H$31),0)</f>
        <v>0</v>
      </c>
      <c r="E366" s="228">
        <f>IF(DAY(A366+2)=22,-SUM('Main Budget'!$F$26:$F$31),0)</f>
        <v>0</v>
      </c>
      <c r="F366" s="228">
        <f>IF(D366&gt;0,-'Main Budget'!$H$25+0.15,0)</f>
        <v>0</v>
      </c>
      <c r="G366" s="228">
        <f>IF(E366&gt;0,-'Main Budget'!$F$25+0.81,0)</f>
        <v>0</v>
      </c>
      <c r="H366" s="227">
        <f>IF(DAY(A366)='Main Budget'!$J$26,'Main Budget'!$E$26,0)</f>
        <v>0</v>
      </c>
      <c r="I366" s="227">
        <f>IF(DAY(A366)='Main Budget'!$J$28,'Main Budget'!$E$28,0)</f>
        <v>0</v>
      </c>
      <c r="J366" s="227">
        <f>IF(DAY(A366)='Main Budget'!$J$29,'Main Budget'!$E$29,0)</f>
        <v>0</v>
      </c>
      <c r="K366" s="20">
        <f>IF(DAY(A366)='Main Budget'!$J$30,'Main Budget'!$E$30,0)</f>
        <v>0</v>
      </c>
      <c r="L366" s="20">
        <f>IF(DAY(A366)='Main Budget'!$J$31,'Main Budget'!$E$31,0)</f>
        <v>0</v>
      </c>
      <c r="M366" s="20">
        <f>IF(DAY(A366)='Main Budget'!$J$27,'Main Budget'!$E$27,0)</f>
        <v>0</v>
      </c>
      <c r="O366" s="228">
        <f>B366+(SUM(H366:M366)+(SUM(D366:E366)))</f>
        <v>100</v>
      </c>
      <c r="P366" s="228">
        <f>C366+F366+G366+N366</f>
        <v>100</v>
      </c>
      <c r="Q366" s="252">
        <f>O366+P366</f>
        <v>200</v>
      </c>
      <c r="S366" s="231" t="str">
        <f>TEXT(A366,"dddd")</f>
        <v>Thursday</v>
      </c>
    </row>
    <row r="367" spans="1:19" x14ac:dyDescent="0.25">
      <c r="A367" s="226">
        <v>46388</v>
      </c>
      <c r="B367" s="227">
        <f>O366</f>
        <v>100</v>
      </c>
      <c r="C367" s="228">
        <f>P366</f>
        <v>100</v>
      </c>
      <c r="D367" s="228">
        <f>IF(OR(DAY(A367+2)=1,DAY(A367+2)=15),-SUM('Main Budget'!$H$26:$H$31),0)</f>
        <v>0</v>
      </c>
      <c r="E367" s="228">
        <f>IF(DAY(A367+2)=22,-SUM('Main Budget'!$F$26:$F$31),0)</f>
        <v>0</v>
      </c>
      <c r="F367" s="228">
        <f>IF(D367&gt;0,-'Main Budget'!$H$25+0.15,0)</f>
        <v>0</v>
      </c>
      <c r="G367" s="228">
        <f>IF(E367&gt;0,-'Main Budget'!$F$25+0.81,0)</f>
        <v>0</v>
      </c>
      <c r="H367" s="227">
        <f>IF(DAY(A367)='Main Budget'!$J$26,'Main Budget'!$E$26,0)</f>
        <v>0</v>
      </c>
      <c r="I367" s="227">
        <f>IF(DAY(A367)='Main Budget'!$J$28,'Main Budget'!$E$28,0)</f>
        <v>0</v>
      </c>
      <c r="J367" s="227">
        <f>IF(DAY(A367)='Main Budget'!$J$29,'Main Budget'!$E$29,0)</f>
        <v>0</v>
      </c>
      <c r="K367" s="20">
        <f>IF(DAY(A367)='Main Budget'!$J$30,'Main Budget'!$E$30,0)</f>
        <v>0</v>
      </c>
      <c r="L367" s="20">
        <f>IF(DAY(A367)='Main Budget'!$J$31,'Main Budget'!$E$31,0)</f>
        <v>0</v>
      </c>
      <c r="M367" s="20">
        <f>IF(DAY(A367)='Main Budget'!$J$27,'Main Budget'!$E$27,0)</f>
        <v>0</v>
      </c>
      <c r="O367" s="228">
        <f>B367+(SUM(H367:M367)+(SUM(D367:E367)))</f>
        <v>100</v>
      </c>
      <c r="P367" s="228">
        <f>C367+F367+G367+N367</f>
        <v>100</v>
      </c>
      <c r="Q367" s="252">
        <f>O367+P367</f>
        <v>200</v>
      </c>
      <c r="S367" s="231" t="str">
        <f>TEXT(A367,"dddd")</f>
        <v>Friday</v>
      </c>
    </row>
    <row r="368" spans="1:19" x14ac:dyDescent="0.25">
      <c r="A368" s="226">
        <v>46389</v>
      </c>
      <c r="B368" s="227">
        <f>O367</f>
        <v>100</v>
      </c>
      <c r="C368" s="228">
        <f>P367</f>
        <v>100</v>
      </c>
      <c r="D368" s="228">
        <f>IF(OR(DAY(A368+2)=1,DAY(A368+2)=15),-SUM('Main Budget'!$H$26:$H$31),0)</f>
        <v>0</v>
      </c>
      <c r="E368" s="228">
        <f>IF(DAY(A368+2)=22,-SUM('Main Budget'!$F$26:$F$31),0)</f>
        <v>0</v>
      </c>
      <c r="F368" s="228">
        <f>IF(D368&gt;0,-'Main Budget'!$H$25+0.15,0)</f>
        <v>0</v>
      </c>
      <c r="G368" s="228">
        <f>IF(E368&gt;0,-'Main Budget'!$F$25+0.81,0)</f>
        <v>0</v>
      </c>
      <c r="H368" s="227">
        <f>IF(DAY(A368)='Main Budget'!$J$26,'Main Budget'!$E$26,0)</f>
        <v>0</v>
      </c>
      <c r="I368" s="227">
        <f>IF(DAY(A368)='Main Budget'!$J$28,'Main Budget'!$E$28,0)</f>
        <v>0</v>
      </c>
      <c r="J368" s="227">
        <f>IF(DAY(A368)='Main Budget'!$J$29,'Main Budget'!$E$29,0)</f>
        <v>0</v>
      </c>
      <c r="K368" s="20">
        <f>IF(DAY(A368)='Main Budget'!$J$30,'Main Budget'!$E$30,0)</f>
        <v>0</v>
      </c>
      <c r="L368" s="20">
        <f>IF(DAY(A368)='Main Budget'!$J$31,'Main Budget'!$E$31,0)</f>
        <v>0</v>
      </c>
      <c r="M368" s="20">
        <f>IF(DAY(A368)='Main Budget'!$J$27,'Main Budget'!$E$27,0)</f>
        <v>0</v>
      </c>
      <c r="O368" s="228">
        <f>B368+(SUM(H368:M368)+(SUM(D368:E368)))</f>
        <v>100</v>
      </c>
      <c r="P368" s="228">
        <f>C368+F368+G368+N368</f>
        <v>100</v>
      </c>
      <c r="Q368" s="252">
        <f>O368+P368</f>
        <v>200</v>
      </c>
      <c r="S368" s="231" t="str">
        <f>TEXT(A368,"dddd")</f>
        <v>Saturday</v>
      </c>
    </row>
    <row r="369" spans="1:19" x14ac:dyDescent="0.25">
      <c r="A369" s="226">
        <v>46390</v>
      </c>
      <c r="B369" s="227">
        <f>O368</f>
        <v>100</v>
      </c>
      <c r="C369" s="228">
        <f>P368</f>
        <v>100</v>
      </c>
      <c r="D369" s="228">
        <f>IF(OR(DAY(A369+2)=1,DAY(A369+2)=15),-SUM('Main Budget'!$H$26:$H$31),0)</f>
        <v>0</v>
      </c>
      <c r="E369" s="228">
        <f>IF(DAY(A369+2)=22,-SUM('Main Budget'!$F$26:$F$31),0)</f>
        <v>0</v>
      </c>
      <c r="F369" s="228">
        <f>IF(D369&gt;0,-'Main Budget'!$H$25+0.15,0)</f>
        <v>0</v>
      </c>
      <c r="G369" s="228">
        <f>IF(E369&gt;0,-'Main Budget'!$F$25+0.81,0)</f>
        <v>0</v>
      </c>
      <c r="H369" s="227">
        <f>IF(DAY(A369)='Main Budget'!$J$26,'Main Budget'!$E$26,0)</f>
        <v>0</v>
      </c>
      <c r="I369" s="227">
        <f>IF(DAY(A369)='Main Budget'!$J$28,'Main Budget'!$E$28,0)</f>
        <v>0</v>
      </c>
      <c r="J369" s="227">
        <f>IF(DAY(A369)='Main Budget'!$J$29,'Main Budget'!$E$29,0)</f>
        <v>0</v>
      </c>
      <c r="K369" s="20">
        <f>IF(DAY(A369)='Main Budget'!$J$30,'Main Budget'!$E$30,0)</f>
        <v>0</v>
      </c>
      <c r="L369" s="20">
        <f>IF(DAY(A369)='Main Budget'!$J$31,'Main Budget'!$E$31,0)</f>
        <v>0</v>
      </c>
      <c r="M369" s="20">
        <f>IF(DAY(A369)='Main Budget'!$J$27,'Main Budget'!$E$27,0)</f>
        <v>0</v>
      </c>
      <c r="O369" s="228">
        <f>B369+(SUM(H369:M369)+(SUM(D369:E369)))</f>
        <v>100</v>
      </c>
      <c r="P369" s="228">
        <f>C369+F369+G369+N369</f>
        <v>100</v>
      </c>
      <c r="Q369" s="252">
        <f>O369+P369</f>
        <v>200</v>
      </c>
      <c r="S369" s="231" t="str">
        <f>TEXT(A369,"dddd")</f>
        <v>Sunday</v>
      </c>
    </row>
    <row r="370" spans="1:19" x14ac:dyDescent="0.25">
      <c r="A370" s="226">
        <v>46391</v>
      </c>
      <c r="B370" s="227">
        <f>O369</f>
        <v>100</v>
      </c>
      <c r="C370" s="228">
        <f>P369</f>
        <v>100</v>
      </c>
      <c r="D370" s="228">
        <f>IF(OR(DAY(A370+2)=1,DAY(A370+2)=15),-SUM('Main Budget'!$H$26:$H$31),0)</f>
        <v>0</v>
      </c>
      <c r="E370" s="228">
        <f>IF(DAY(A370+2)=22,-SUM('Main Budget'!$F$26:$F$31),0)</f>
        <v>0</v>
      </c>
      <c r="F370" s="228">
        <f>IF(D370&gt;0,-'Main Budget'!$H$25+0.15,0)</f>
        <v>0</v>
      </c>
      <c r="G370" s="228">
        <f>IF(E370&gt;0,-'Main Budget'!$F$25+0.81,0)</f>
        <v>0</v>
      </c>
      <c r="H370" s="227">
        <f>IF(DAY(A370)='Main Budget'!$J$26,'Main Budget'!$E$26,0)</f>
        <v>0</v>
      </c>
      <c r="I370" s="227">
        <f>IF(DAY(A370)='Main Budget'!$J$28,'Main Budget'!$E$28,0)</f>
        <v>0</v>
      </c>
      <c r="J370" s="227">
        <f>IF(DAY(A370)='Main Budget'!$J$29,'Main Budget'!$E$29,0)</f>
        <v>0</v>
      </c>
      <c r="K370" s="20">
        <f>IF(DAY(A370)='Main Budget'!$J$30,'Main Budget'!$E$30,0)</f>
        <v>0</v>
      </c>
      <c r="L370" s="20">
        <f>IF(DAY(A370)='Main Budget'!$J$31,'Main Budget'!$E$31,0)</f>
        <v>0</v>
      </c>
      <c r="M370" s="20">
        <f>IF(DAY(A370)='Main Budget'!$J$27,'Main Budget'!$E$27,0)</f>
        <v>0</v>
      </c>
      <c r="O370" s="228">
        <f>B370+(SUM(H370:M370)+(SUM(D370:E370)))</f>
        <v>100</v>
      </c>
      <c r="P370" s="228">
        <f>C370+F370+G370+N370</f>
        <v>100</v>
      </c>
      <c r="Q370" s="252">
        <f>O370+P370</f>
        <v>200</v>
      </c>
      <c r="S370" s="231" t="str">
        <f>TEXT(A370,"dddd")</f>
        <v>Monday</v>
      </c>
    </row>
    <row r="371" spans="1:19" x14ac:dyDescent="0.25">
      <c r="A371" s="226">
        <v>46392</v>
      </c>
      <c r="B371" s="227">
        <f>O370</f>
        <v>100</v>
      </c>
      <c r="C371" s="228">
        <f>P370</f>
        <v>100</v>
      </c>
      <c r="D371" s="228">
        <f>IF(OR(DAY(A371+2)=1,DAY(A371+2)=15),-SUM('Main Budget'!$H$26:$H$31),0)</f>
        <v>0</v>
      </c>
      <c r="E371" s="228">
        <f>IF(DAY(A371+2)=22,-SUM('Main Budget'!$F$26:$F$31),0)</f>
        <v>0</v>
      </c>
      <c r="F371" s="228">
        <f>IF(D371&gt;0,-'Main Budget'!$H$25+0.15,0)</f>
        <v>0</v>
      </c>
      <c r="G371" s="228">
        <f>IF(E371&gt;0,-'Main Budget'!$F$25+0.81,0)</f>
        <v>0</v>
      </c>
      <c r="H371" s="227">
        <f>IF(DAY(A371)='Main Budget'!$J$26,'Main Budget'!$E$26,0)</f>
        <v>0</v>
      </c>
      <c r="I371" s="227">
        <f>IF(DAY(A371)='Main Budget'!$J$28,'Main Budget'!$E$28,0)</f>
        <v>0</v>
      </c>
      <c r="J371" s="227">
        <f>IF(DAY(A371)='Main Budget'!$J$29,'Main Budget'!$E$29,0)</f>
        <v>0</v>
      </c>
      <c r="K371" s="20">
        <f>IF(DAY(A371)='Main Budget'!$J$30,'Main Budget'!$E$30,0)</f>
        <v>0</v>
      </c>
      <c r="L371" s="20">
        <f>IF(DAY(A371)='Main Budget'!$J$31,'Main Budget'!$E$31,0)</f>
        <v>0</v>
      </c>
      <c r="M371" s="20">
        <f>IF(DAY(A371)='Main Budget'!$J$27,'Main Budget'!$E$27,0)</f>
        <v>0</v>
      </c>
      <c r="O371" s="228">
        <f>B371+(SUM(H371:M371)+(SUM(D371:E371)))</f>
        <v>100</v>
      </c>
      <c r="P371" s="228">
        <f>C371+F371+G371+N371</f>
        <v>100</v>
      </c>
      <c r="Q371" s="252">
        <f>O371+P371</f>
        <v>200</v>
      </c>
      <c r="S371" s="231" t="str">
        <f>TEXT(A371,"dddd")</f>
        <v>Tuesday</v>
      </c>
    </row>
    <row r="372" spans="1:19" x14ac:dyDescent="0.25">
      <c r="A372" s="226">
        <v>46393</v>
      </c>
      <c r="B372" s="227">
        <f>O371</f>
        <v>100</v>
      </c>
      <c r="C372" s="228">
        <f>P371</f>
        <v>100</v>
      </c>
      <c r="D372" s="228">
        <f>IF(OR(DAY(A372+2)=1,DAY(A372+2)=15),-SUM('Main Budget'!$H$26:$H$31),0)</f>
        <v>0</v>
      </c>
      <c r="E372" s="228">
        <f>IF(DAY(A372+2)=22,-SUM('Main Budget'!$F$26:$F$31),0)</f>
        <v>0</v>
      </c>
      <c r="F372" s="228">
        <f>IF(D372&gt;0,-'Main Budget'!$H$25+0.15,0)</f>
        <v>0</v>
      </c>
      <c r="G372" s="228">
        <f>IF(E372&gt;0,-'Main Budget'!$F$25+0.81,0)</f>
        <v>0</v>
      </c>
      <c r="H372" s="227">
        <f>IF(DAY(A372)='Main Budget'!$J$26,'Main Budget'!$E$26,0)</f>
        <v>0</v>
      </c>
      <c r="I372" s="227">
        <f>IF(DAY(A372)='Main Budget'!$J$28,'Main Budget'!$E$28,0)</f>
        <v>0</v>
      </c>
      <c r="J372" s="227">
        <f>IF(DAY(A372)='Main Budget'!$J$29,'Main Budget'!$E$29,0)</f>
        <v>0</v>
      </c>
      <c r="K372" s="20">
        <f>IF(DAY(A372)='Main Budget'!$J$30,'Main Budget'!$E$30,0)</f>
        <v>0</v>
      </c>
      <c r="L372" s="20">
        <f>IF(DAY(A372)='Main Budget'!$J$31,'Main Budget'!$E$31,0)</f>
        <v>0</v>
      </c>
      <c r="M372" s="20">
        <f>IF(DAY(A372)='Main Budget'!$J$27,'Main Budget'!$E$27,0)</f>
        <v>0</v>
      </c>
      <c r="O372" s="228">
        <f>B372+(SUM(H372:M372)+(SUM(D372:E372)))</f>
        <v>100</v>
      </c>
      <c r="P372" s="228">
        <f>C372+F372+G372+N372</f>
        <v>100</v>
      </c>
      <c r="Q372" s="252">
        <f>O372+P372</f>
        <v>200</v>
      </c>
      <c r="S372" s="231" t="str">
        <f>TEXT(A372,"dddd")</f>
        <v>Wednesday</v>
      </c>
    </row>
    <row r="373" spans="1:19" x14ac:dyDescent="0.25">
      <c r="A373" s="226">
        <v>46394</v>
      </c>
      <c r="B373" s="227">
        <f>O372</f>
        <v>100</v>
      </c>
      <c r="C373" s="228">
        <f>P372</f>
        <v>100</v>
      </c>
      <c r="D373" s="228">
        <f>IF(OR(DAY(A373+2)=1,DAY(A373+2)=15),-SUM('Main Budget'!$H$26:$H$31),0)</f>
        <v>0</v>
      </c>
      <c r="E373" s="228">
        <f>IF(DAY(A373+2)=22,-SUM('Main Budget'!$F$26:$F$31),0)</f>
        <v>0</v>
      </c>
      <c r="F373" s="228">
        <f>IF(D373&gt;0,-'Main Budget'!$H$25+0.15,0)</f>
        <v>0</v>
      </c>
      <c r="G373" s="228">
        <f>IF(E373&gt;0,-'Main Budget'!$F$25+0.81,0)</f>
        <v>0</v>
      </c>
      <c r="H373" s="227">
        <f>IF(DAY(A373)='Main Budget'!$J$26,'Main Budget'!$E$26,0)</f>
        <v>0</v>
      </c>
      <c r="I373" s="227">
        <f>IF(DAY(A373)='Main Budget'!$J$28,'Main Budget'!$E$28,0)</f>
        <v>0</v>
      </c>
      <c r="J373" s="227">
        <f>IF(DAY(A373)='Main Budget'!$J$29,'Main Budget'!$E$29,0)</f>
        <v>0</v>
      </c>
      <c r="K373" s="20">
        <f>IF(DAY(A373)='Main Budget'!$J$30,'Main Budget'!$E$30,0)</f>
        <v>0</v>
      </c>
      <c r="L373" s="20">
        <f>IF(DAY(A373)='Main Budget'!$J$31,'Main Budget'!$E$31,0)</f>
        <v>0</v>
      </c>
      <c r="M373" s="20">
        <f>IF(DAY(A373)='Main Budget'!$J$27,'Main Budget'!$E$27,0)</f>
        <v>0</v>
      </c>
      <c r="O373" s="228">
        <f>B373+(SUM(H373:M373)+(SUM(D373:E373)))</f>
        <v>100</v>
      </c>
      <c r="P373" s="228">
        <f>C373+F373+G373+N373</f>
        <v>100</v>
      </c>
      <c r="Q373" s="252">
        <f>O373+P373</f>
        <v>200</v>
      </c>
      <c r="S373" s="231" t="str">
        <f>TEXT(A373,"dddd")</f>
        <v>Thursday</v>
      </c>
    </row>
    <row r="374" spans="1:19" x14ac:dyDescent="0.25">
      <c r="A374" s="226">
        <v>46395</v>
      </c>
      <c r="B374" s="227">
        <f>O373</f>
        <v>100</v>
      </c>
      <c r="C374" s="228">
        <f>P373</f>
        <v>100</v>
      </c>
      <c r="D374" s="228">
        <f>IF(OR(DAY(A374+2)=1,DAY(A374+2)=15),-SUM('Main Budget'!$H$26:$H$31),0)</f>
        <v>0</v>
      </c>
      <c r="E374" s="228">
        <f>IF(DAY(A374+2)=22,-SUM('Main Budget'!$F$26:$F$31),0)</f>
        <v>0</v>
      </c>
      <c r="F374" s="228">
        <f>IF(D374&gt;0,-'Main Budget'!$H$25+0.15,0)</f>
        <v>0</v>
      </c>
      <c r="G374" s="228">
        <f>IF(E374&gt;0,-'Main Budget'!$F$25+0.81,0)</f>
        <v>0</v>
      </c>
      <c r="H374" s="227">
        <f>IF(DAY(A374)='Main Budget'!$J$26,'Main Budget'!$E$26,0)</f>
        <v>0</v>
      </c>
      <c r="I374" s="227">
        <f>IF(DAY(A374)='Main Budget'!$J$28,'Main Budget'!$E$28,0)</f>
        <v>0</v>
      </c>
      <c r="J374" s="227">
        <f>IF(DAY(A374)='Main Budget'!$J$29,'Main Budget'!$E$29,0)</f>
        <v>0</v>
      </c>
      <c r="K374" s="20">
        <f>IF(DAY(A374)='Main Budget'!$J$30,'Main Budget'!$E$30,0)</f>
        <v>0</v>
      </c>
      <c r="L374" s="20">
        <f>IF(DAY(A374)='Main Budget'!$J$31,'Main Budget'!$E$31,0)</f>
        <v>0</v>
      </c>
      <c r="M374" s="20">
        <f>IF(DAY(A374)='Main Budget'!$J$27,'Main Budget'!$E$27,0)</f>
        <v>0</v>
      </c>
      <c r="O374" s="228">
        <f>B374+(SUM(H374:M374)+(SUM(D374:E374)))</f>
        <v>100</v>
      </c>
      <c r="P374" s="228">
        <f>C374+F374+G374+N374</f>
        <v>100</v>
      </c>
      <c r="Q374" s="252">
        <f>O374+P374</f>
        <v>200</v>
      </c>
      <c r="S374" s="231" t="str">
        <f>TEXT(A374,"dddd")</f>
        <v>Friday</v>
      </c>
    </row>
    <row r="375" spans="1:19" x14ac:dyDescent="0.25">
      <c r="A375" s="226">
        <v>46396</v>
      </c>
      <c r="B375" s="227">
        <f>O374</f>
        <v>100</v>
      </c>
      <c r="C375" s="228">
        <f>P374</f>
        <v>100</v>
      </c>
      <c r="D375" s="228">
        <f>IF(OR(DAY(A375+2)=1,DAY(A375+2)=15),-SUM('Main Budget'!$H$26:$H$31),0)</f>
        <v>0</v>
      </c>
      <c r="E375" s="228">
        <f>IF(DAY(A375+2)=22,-SUM('Main Budget'!$F$26:$F$31),0)</f>
        <v>0</v>
      </c>
      <c r="F375" s="228">
        <f>IF(D375&gt;0,-'Main Budget'!$H$25+0.15,0)</f>
        <v>0</v>
      </c>
      <c r="G375" s="228">
        <f>IF(E375&gt;0,-'Main Budget'!$F$25+0.81,0)</f>
        <v>0</v>
      </c>
      <c r="H375" s="227">
        <f>IF(DAY(A375)='Main Budget'!$J$26,'Main Budget'!$E$26,0)</f>
        <v>0</v>
      </c>
      <c r="I375" s="227">
        <f>IF(DAY(A375)='Main Budget'!$J$28,'Main Budget'!$E$28,0)</f>
        <v>0</v>
      </c>
      <c r="J375" s="227">
        <f>IF(DAY(A375)='Main Budget'!$J$29,'Main Budget'!$E$29,0)</f>
        <v>0</v>
      </c>
      <c r="K375" s="20">
        <f>IF(DAY(A375)='Main Budget'!$J$30,'Main Budget'!$E$30,0)</f>
        <v>0</v>
      </c>
      <c r="L375" s="20">
        <f>IF(DAY(A375)='Main Budget'!$J$31,'Main Budget'!$E$31,0)</f>
        <v>0</v>
      </c>
      <c r="M375" s="20">
        <f>IF(DAY(A375)='Main Budget'!$J$27,'Main Budget'!$E$27,0)</f>
        <v>0</v>
      </c>
      <c r="O375" s="228">
        <f>B375+(SUM(H375:M375)+(SUM(D375:E375)))</f>
        <v>100</v>
      </c>
      <c r="P375" s="228">
        <f>C375+F375+G375+N375</f>
        <v>100</v>
      </c>
      <c r="Q375" s="252">
        <f>O375+P375</f>
        <v>200</v>
      </c>
      <c r="S375" s="231" t="str">
        <f>TEXT(A375,"dddd")</f>
        <v>Saturday</v>
      </c>
    </row>
    <row r="376" spans="1:19" x14ac:dyDescent="0.25">
      <c r="A376" s="226">
        <v>46397</v>
      </c>
      <c r="B376" s="227">
        <f>O375</f>
        <v>100</v>
      </c>
      <c r="C376" s="228">
        <f>P375</f>
        <v>100</v>
      </c>
      <c r="D376" s="228">
        <f>IF(OR(DAY(A376+2)=1,DAY(A376+2)=15),-SUM('Main Budget'!$H$26:$H$31),0)</f>
        <v>0</v>
      </c>
      <c r="E376" s="228">
        <f>IF(DAY(A376+2)=22,-SUM('Main Budget'!$F$26:$F$31),0)</f>
        <v>0</v>
      </c>
      <c r="F376" s="228">
        <f>IF(D376&gt;0,-'Main Budget'!$H$25+0.15,0)</f>
        <v>0</v>
      </c>
      <c r="G376" s="228">
        <f>IF(E376&gt;0,-'Main Budget'!$F$25+0.81,0)</f>
        <v>0</v>
      </c>
      <c r="H376" s="227">
        <f>IF(DAY(A376)='Main Budget'!$J$26,'Main Budget'!$E$26,0)</f>
        <v>0</v>
      </c>
      <c r="I376" s="227">
        <f>IF(DAY(A376)='Main Budget'!$J$28,'Main Budget'!$E$28,0)</f>
        <v>0</v>
      </c>
      <c r="J376" s="227">
        <f>IF(DAY(A376)='Main Budget'!$J$29,'Main Budget'!$E$29,0)</f>
        <v>0</v>
      </c>
      <c r="K376" s="20">
        <f>IF(DAY(A376)='Main Budget'!$J$30,'Main Budget'!$E$30,0)</f>
        <v>0</v>
      </c>
      <c r="L376" s="20">
        <f>IF(DAY(A376)='Main Budget'!$J$31,'Main Budget'!$E$31,0)</f>
        <v>0</v>
      </c>
      <c r="M376" s="20">
        <f>IF(DAY(A376)='Main Budget'!$J$27,'Main Budget'!$E$27,0)</f>
        <v>0</v>
      </c>
      <c r="O376" s="228">
        <f>B376+(SUM(H376:M376)+(SUM(D376:E376)))</f>
        <v>100</v>
      </c>
      <c r="P376" s="228">
        <f>C376+F376+G376+N376</f>
        <v>100</v>
      </c>
      <c r="Q376" s="252">
        <f>O376+P376</f>
        <v>200</v>
      </c>
      <c r="S376" s="231" t="str">
        <f>TEXT(A376,"dddd")</f>
        <v>Sunday</v>
      </c>
    </row>
    <row r="377" spans="1:19" x14ac:dyDescent="0.25">
      <c r="A377" s="226">
        <v>46398</v>
      </c>
      <c r="B377" s="227">
        <f>O376</f>
        <v>100</v>
      </c>
      <c r="C377" s="228">
        <f>P376</f>
        <v>100</v>
      </c>
      <c r="D377" s="228">
        <f>IF(OR(DAY(A377+2)=1,DAY(A377+2)=15),-SUM('Main Budget'!$H$26:$H$31),0)</f>
        <v>0</v>
      </c>
      <c r="E377" s="228">
        <f>IF(DAY(A377+2)=22,-SUM('Main Budget'!$F$26:$F$31),0)</f>
        <v>0</v>
      </c>
      <c r="F377" s="228">
        <f>IF(D377&gt;0,-'Main Budget'!$H$25+0.15,0)</f>
        <v>0</v>
      </c>
      <c r="G377" s="228">
        <f>IF(E377&gt;0,-'Main Budget'!$F$25+0.81,0)</f>
        <v>0</v>
      </c>
      <c r="H377" s="227">
        <f>IF(DAY(A377)='Main Budget'!$J$26,'Main Budget'!$E$26,0)</f>
        <v>0</v>
      </c>
      <c r="I377" s="227">
        <f>IF(DAY(A377)='Main Budget'!$J$28,'Main Budget'!$E$28,0)</f>
        <v>0</v>
      </c>
      <c r="J377" s="227">
        <f>IF(DAY(A377)='Main Budget'!$J$29,'Main Budget'!$E$29,0)</f>
        <v>0</v>
      </c>
      <c r="K377" s="20">
        <f>IF(DAY(A377)='Main Budget'!$J$30,'Main Budget'!$E$30,0)</f>
        <v>0</v>
      </c>
      <c r="L377" s="20">
        <f>IF(DAY(A377)='Main Budget'!$J$31,'Main Budget'!$E$31,0)</f>
        <v>0</v>
      </c>
      <c r="M377" s="20">
        <f>IF(DAY(A377)='Main Budget'!$J$27,'Main Budget'!$E$27,0)</f>
        <v>0</v>
      </c>
      <c r="O377" s="228">
        <f>B377+(SUM(H377:M377)+(SUM(D377:E377)))</f>
        <v>100</v>
      </c>
      <c r="P377" s="228">
        <f>C377+F377+G377+N377</f>
        <v>100</v>
      </c>
      <c r="Q377" s="252">
        <f>O377+P377</f>
        <v>200</v>
      </c>
      <c r="S377" s="231" t="str">
        <f>TEXT(A377,"dddd")</f>
        <v>Monday</v>
      </c>
    </row>
    <row r="378" spans="1:19" x14ac:dyDescent="0.25">
      <c r="A378" s="226">
        <v>46399</v>
      </c>
      <c r="B378" s="227">
        <f>O377</f>
        <v>100</v>
      </c>
      <c r="C378" s="228">
        <f>P377</f>
        <v>100</v>
      </c>
      <c r="D378" s="228">
        <f>IF(OR(DAY(A378+2)=1,DAY(A378+2)=15),-SUM('Main Budget'!$H$26:$H$31),0)</f>
        <v>0</v>
      </c>
      <c r="E378" s="228">
        <f>IF(DAY(A378+2)=22,-SUM('Main Budget'!$F$26:$F$31),0)</f>
        <v>0</v>
      </c>
      <c r="F378" s="228">
        <f>IF(D378&gt;0,-'Main Budget'!$H$25+0.15,0)</f>
        <v>0</v>
      </c>
      <c r="G378" s="228">
        <f>IF(E378&gt;0,-'Main Budget'!$F$25+0.81,0)</f>
        <v>0</v>
      </c>
      <c r="H378" s="227">
        <f>IF(DAY(A378)='Main Budget'!$J$26,'Main Budget'!$E$26,0)</f>
        <v>0</v>
      </c>
      <c r="I378" s="227">
        <f>IF(DAY(A378)='Main Budget'!$J$28,'Main Budget'!$E$28,0)</f>
        <v>0</v>
      </c>
      <c r="J378" s="227">
        <f>IF(DAY(A378)='Main Budget'!$J$29,'Main Budget'!$E$29,0)</f>
        <v>0</v>
      </c>
      <c r="K378" s="20">
        <f>IF(DAY(A378)='Main Budget'!$J$30,'Main Budget'!$E$30,0)</f>
        <v>0</v>
      </c>
      <c r="L378" s="20">
        <f>IF(DAY(A378)='Main Budget'!$J$31,'Main Budget'!$E$31,0)</f>
        <v>0</v>
      </c>
      <c r="M378" s="20">
        <f>IF(DAY(A378)='Main Budget'!$J$27,'Main Budget'!$E$27,0)</f>
        <v>0</v>
      </c>
      <c r="O378" s="228">
        <f>B378+(SUM(H378:M378)+(SUM(D378:E378)))</f>
        <v>100</v>
      </c>
      <c r="P378" s="228">
        <f>C378+F378+G378+N378</f>
        <v>100</v>
      </c>
      <c r="Q378" s="252">
        <f>O378+P378</f>
        <v>200</v>
      </c>
      <c r="S378" s="231" t="str">
        <f>TEXT(A378,"dddd")</f>
        <v>Tuesday</v>
      </c>
    </row>
    <row r="379" spans="1:19" x14ac:dyDescent="0.25">
      <c r="A379" s="226">
        <v>46400</v>
      </c>
      <c r="B379" s="227">
        <f>O378</f>
        <v>100</v>
      </c>
      <c r="C379" s="228">
        <f>P378</f>
        <v>100</v>
      </c>
      <c r="D379" s="228">
        <f>IF(OR(DAY(A379+2)=1,DAY(A379+2)=15),-SUM('Main Budget'!$H$26:$H$31),0)</f>
        <v>0</v>
      </c>
      <c r="E379" s="228">
        <f>IF(DAY(A379+2)=22,-SUM('Main Budget'!$F$26:$F$31),0)</f>
        <v>0</v>
      </c>
      <c r="F379" s="228">
        <f>IF(D379&gt;0,-'Main Budget'!$H$25+0.15,0)</f>
        <v>0</v>
      </c>
      <c r="G379" s="228">
        <f>IF(E379&gt;0,-'Main Budget'!$F$25+0.81,0)</f>
        <v>0</v>
      </c>
      <c r="H379" s="227">
        <f>IF(DAY(A379)='Main Budget'!$J$26,'Main Budget'!$E$26,0)</f>
        <v>0</v>
      </c>
      <c r="I379" s="227">
        <f>IF(DAY(A379)='Main Budget'!$J$28,'Main Budget'!$E$28,0)</f>
        <v>0</v>
      </c>
      <c r="J379" s="227">
        <f>IF(DAY(A379)='Main Budget'!$J$29,'Main Budget'!$E$29,0)</f>
        <v>0</v>
      </c>
      <c r="K379" s="20">
        <f>IF(DAY(A379)='Main Budget'!$J$30,'Main Budget'!$E$30,0)</f>
        <v>0</v>
      </c>
      <c r="L379" s="20">
        <f>IF(DAY(A379)='Main Budget'!$J$31,'Main Budget'!$E$31,0)</f>
        <v>0</v>
      </c>
      <c r="M379" s="20">
        <f>IF(DAY(A379)='Main Budget'!$J$27,'Main Budget'!$E$27,0)</f>
        <v>0</v>
      </c>
      <c r="O379" s="228">
        <f>B379+(SUM(H379:M379)+(SUM(D379:E379)))</f>
        <v>100</v>
      </c>
      <c r="P379" s="228">
        <f>C379+F379+G379+N379</f>
        <v>100</v>
      </c>
      <c r="Q379" s="252">
        <f>O379+P379</f>
        <v>200</v>
      </c>
      <c r="S379" s="231" t="str">
        <f>TEXT(A379,"dddd")</f>
        <v>Wednesday</v>
      </c>
    </row>
    <row r="380" spans="1:19" x14ac:dyDescent="0.25">
      <c r="A380" s="226">
        <v>46401</v>
      </c>
      <c r="B380" s="227">
        <f>O379</f>
        <v>100</v>
      </c>
      <c r="C380" s="228">
        <f>P379</f>
        <v>100</v>
      </c>
      <c r="D380" s="228">
        <f>IF(OR(DAY(A380+2)=1,DAY(A380+2)=15),-SUM('Main Budget'!$H$26:$H$31),0)</f>
        <v>0</v>
      </c>
      <c r="E380" s="228">
        <f>IF(DAY(A380+2)=22,-SUM('Main Budget'!$F$26:$F$31),0)</f>
        <v>0</v>
      </c>
      <c r="F380" s="228">
        <f>IF(D380&gt;0,-'Main Budget'!$H$25+0.15,0)</f>
        <v>0</v>
      </c>
      <c r="G380" s="228">
        <f>IF(E380&gt;0,-'Main Budget'!$F$25+0.81,0)</f>
        <v>0</v>
      </c>
      <c r="H380" s="227">
        <f>IF(DAY(A380)='Main Budget'!$J$26,'Main Budget'!$E$26,0)</f>
        <v>0</v>
      </c>
      <c r="I380" s="227">
        <f>IF(DAY(A380)='Main Budget'!$J$28,'Main Budget'!$E$28,0)</f>
        <v>0</v>
      </c>
      <c r="J380" s="227">
        <f>IF(DAY(A380)='Main Budget'!$J$29,'Main Budget'!$E$29,0)</f>
        <v>0</v>
      </c>
      <c r="K380" s="20">
        <f>IF(DAY(A380)='Main Budget'!$J$30,'Main Budget'!$E$30,0)</f>
        <v>0</v>
      </c>
      <c r="L380" s="20">
        <f>IF(DAY(A380)='Main Budget'!$J$31,'Main Budget'!$E$31,0)</f>
        <v>0</v>
      </c>
      <c r="M380" s="20">
        <f>IF(DAY(A380)='Main Budget'!$J$27,'Main Budget'!$E$27,0)</f>
        <v>0</v>
      </c>
      <c r="O380" s="228">
        <f>B380+(SUM(H380:M380)+(SUM(D380:E380)))</f>
        <v>100</v>
      </c>
      <c r="P380" s="228">
        <f>C380+F380+G380+N380</f>
        <v>100</v>
      </c>
      <c r="Q380" s="252">
        <f>O380+P380</f>
        <v>200</v>
      </c>
      <c r="S380" s="231" t="str">
        <f>TEXT(A380,"dddd")</f>
        <v>Thursday</v>
      </c>
    </row>
    <row r="381" spans="1:19" x14ac:dyDescent="0.25">
      <c r="A381" s="226">
        <v>46402</v>
      </c>
      <c r="B381" s="227">
        <f>O380</f>
        <v>100</v>
      </c>
      <c r="C381" s="228">
        <f>P380</f>
        <v>100</v>
      </c>
      <c r="D381" s="228">
        <f>IF(OR(DAY(A381+2)=1,DAY(A381+2)=15),-SUM('Main Budget'!$H$26:$H$31),0)</f>
        <v>0</v>
      </c>
      <c r="E381" s="228">
        <f>IF(DAY(A381+2)=22,-SUM('Main Budget'!$F$26:$F$31),0)</f>
        <v>0</v>
      </c>
      <c r="F381" s="228">
        <f>IF(D381&gt;0,-'Main Budget'!$H$25+0.15,0)</f>
        <v>0</v>
      </c>
      <c r="G381" s="228">
        <f>IF(E381&gt;0,-'Main Budget'!$F$25+0.81,0)</f>
        <v>0</v>
      </c>
      <c r="H381" s="227">
        <f>IF(DAY(A381)='Main Budget'!$J$26,'Main Budget'!$E$26,0)</f>
        <v>0</v>
      </c>
      <c r="I381" s="227">
        <f>IF(DAY(A381)='Main Budget'!$J$28,'Main Budget'!$E$28,0)</f>
        <v>0</v>
      </c>
      <c r="J381" s="227">
        <f>IF(DAY(A381)='Main Budget'!$J$29,'Main Budget'!$E$29,0)</f>
        <v>0</v>
      </c>
      <c r="K381" s="20">
        <f>IF(DAY(A381)='Main Budget'!$J$30,'Main Budget'!$E$30,0)</f>
        <v>0</v>
      </c>
      <c r="L381" s="20">
        <f>IF(DAY(A381)='Main Budget'!$J$31,'Main Budget'!$E$31,0)</f>
        <v>0</v>
      </c>
      <c r="M381" s="20">
        <f>IF(DAY(A381)='Main Budget'!$J$27,'Main Budget'!$E$27,0)</f>
        <v>0</v>
      </c>
      <c r="O381" s="228">
        <f>B381+(SUM(H381:M381)+(SUM(D381:E381)))</f>
        <v>100</v>
      </c>
      <c r="P381" s="228">
        <f>C381+F381+G381+N381</f>
        <v>100</v>
      </c>
      <c r="Q381" s="252">
        <f>O381+P381</f>
        <v>200</v>
      </c>
      <c r="S381" s="231" t="str">
        <f>TEXT(A381,"dddd")</f>
        <v>Friday</v>
      </c>
    </row>
    <row r="382" spans="1:19" x14ac:dyDescent="0.25">
      <c r="A382" s="226">
        <v>46403</v>
      </c>
      <c r="B382" s="227">
        <f>O381</f>
        <v>100</v>
      </c>
      <c r="C382" s="228">
        <f>P381</f>
        <v>100</v>
      </c>
      <c r="D382" s="228">
        <f>IF(OR(DAY(A382+2)=1,DAY(A382+2)=15),-SUM('Main Budget'!$H$26:$H$31),0)</f>
        <v>0</v>
      </c>
      <c r="E382" s="228">
        <f>IF(DAY(A382+2)=22,-SUM('Main Budget'!$F$26:$F$31),0)</f>
        <v>0</v>
      </c>
      <c r="F382" s="228">
        <f>IF(D382&gt;0,-'Main Budget'!$H$25+0.15,0)</f>
        <v>0</v>
      </c>
      <c r="G382" s="228">
        <f>IF(E382&gt;0,-'Main Budget'!$F$25+0.81,0)</f>
        <v>0</v>
      </c>
      <c r="H382" s="227">
        <f>IF(DAY(A382)='Main Budget'!$J$26,'Main Budget'!$E$26,0)</f>
        <v>0</v>
      </c>
      <c r="I382" s="227">
        <f>IF(DAY(A382)='Main Budget'!$J$28,'Main Budget'!$E$28,0)</f>
        <v>0</v>
      </c>
      <c r="J382" s="227">
        <f>IF(DAY(A382)='Main Budget'!$J$29,'Main Budget'!$E$29,0)</f>
        <v>0</v>
      </c>
      <c r="K382" s="20">
        <f>IF(DAY(A382)='Main Budget'!$J$30,'Main Budget'!$E$30,0)</f>
        <v>0</v>
      </c>
      <c r="L382" s="20">
        <f>IF(DAY(A382)='Main Budget'!$J$31,'Main Budget'!$E$31,0)</f>
        <v>0</v>
      </c>
      <c r="M382" s="20">
        <f>IF(DAY(A382)='Main Budget'!$J$27,'Main Budget'!$E$27,0)</f>
        <v>0</v>
      </c>
      <c r="O382" s="228">
        <f>B382+(SUM(H382:M382)+(SUM(D382:E382)))</f>
        <v>100</v>
      </c>
      <c r="P382" s="228">
        <f>C382+F382+G382+N382</f>
        <v>100</v>
      </c>
      <c r="Q382" s="252">
        <f>O382+P382</f>
        <v>200</v>
      </c>
      <c r="S382" s="231" t="str">
        <f>TEXT(A382,"dddd")</f>
        <v>Saturday</v>
      </c>
    </row>
    <row r="383" spans="1:19" x14ac:dyDescent="0.25">
      <c r="A383" s="226">
        <v>46404</v>
      </c>
      <c r="B383" s="227">
        <f>O382</f>
        <v>100</v>
      </c>
      <c r="C383" s="228">
        <f>P382</f>
        <v>100</v>
      </c>
      <c r="D383" s="228">
        <f>IF(OR(DAY(A383+2)=1,DAY(A383+2)=15),-SUM('Main Budget'!$H$26:$H$31),0)</f>
        <v>0</v>
      </c>
      <c r="E383" s="228">
        <f>IF(DAY(A383+2)=22,-SUM('Main Budget'!$F$26:$F$31),0)</f>
        <v>0</v>
      </c>
      <c r="F383" s="228">
        <f>IF(D383&gt;0,-'Main Budget'!$H$25+0.15,0)</f>
        <v>0</v>
      </c>
      <c r="G383" s="228">
        <f>IF(E383&gt;0,-'Main Budget'!$F$25+0.81,0)</f>
        <v>0</v>
      </c>
      <c r="H383" s="227">
        <f>IF(DAY(A383)='Main Budget'!$J$26,'Main Budget'!$E$26,0)</f>
        <v>0</v>
      </c>
      <c r="I383" s="227">
        <f>IF(DAY(A383)='Main Budget'!$J$28,'Main Budget'!$E$28,0)</f>
        <v>0</v>
      </c>
      <c r="J383" s="227">
        <f>IF(DAY(A383)='Main Budget'!$J$29,'Main Budget'!$E$29,0)</f>
        <v>0</v>
      </c>
      <c r="K383" s="20">
        <f>IF(DAY(A383)='Main Budget'!$J$30,'Main Budget'!$E$30,0)</f>
        <v>0</v>
      </c>
      <c r="L383" s="20">
        <f>IF(DAY(A383)='Main Budget'!$J$31,'Main Budget'!$E$31,0)</f>
        <v>0</v>
      </c>
      <c r="M383" s="20">
        <f>IF(DAY(A383)='Main Budget'!$J$27,'Main Budget'!$E$27,0)</f>
        <v>0</v>
      </c>
      <c r="O383" s="228">
        <f>B383+(SUM(H383:M383)+(SUM(D383:E383)))</f>
        <v>100</v>
      </c>
      <c r="P383" s="228">
        <f>C383+F383+G383+N383</f>
        <v>100</v>
      </c>
      <c r="Q383" s="252">
        <f>O383+P383</f>
        <v>200</v>
      </c>
      <c r="S383" s="231" t="str">
        <f>TEXT(A383,"dddd")</f>
        <v>Sunday</v>
      </c>
    </row>
    <row r="384" spans="1:19" x14ac:dyDescent="0.25">
      <c r="A384" s="226">
        <v>46405</v>
      </c>
      <c r="B384" s="227">
        <f>O383</f>
        <v>100</v>
      </c>
      <c r="C384" s="228">
        <f>P383</f>
        <v>100</v>
      </c>
      <c r="D384" s="228">
        <f>IF(OR(DAY(A384+2)=1,DAY(A384+2)=15),-SUM('Main Budget'!$H$26:$H$31),0)</f>
        <v>0</v>
      </c>
      <c r="E384" s="228">
        <f>IF(DAY(A384+2)=22,-SUM('Main Budget'!$F$26:$F$31),0)</f>
        <v>0</v>
      </c>
      <c r="F384" s="228">
        <f>IF(D384&gt;0,-'Main Budget'!$H$25+0.15,0)</f>
        <v>0</v>
      </c>
      <c r="G384" s="228">
        <f>IF(E384&gt;0,-'Main Budget'!$F$25+0.81,0)</f>
        <v>0</v>
      </c>
      <c r="H384" s="227">
        <f>IF(DAY(A384)='Main Budget'!$J$26,'Main Budget'!$E$26,0)</f>
        <v>0</v>
      </c>
      <c r="I384" s="227">
        <f>IF(DAY(A384)='Main Budget'!$J$28,'Main Budget'!$E$28,0)</f>
        <v>0</v>
      </c>
      <c r="J384" s="227">
        <f>IF(DAY(A384)='Main Budget'!$J$29,'Main Budget'!$E$29,0)</f>
        <v>0</v>
      </c>
      <c r="K384" s="20">
        <f>IF(DAY(A384)='Main Budget'!$J$30,'Main Budget'!$E$30,0)</f>
        <v>0</v>
      </c>
      <c r="L384" s="20">
        <f>IF(DAY(A384)='Main Budget'!$J$31,'Main Budget'!$E$31,0)</f>
        <v>0</v>
      </c>
      <c r="M384" s="20">
        <f>IF(DAY(A384)='Main Budget'!$J$27,'Main Budget'!$E$27,0)</f>
        <v>0</v>
      </c>
      <c r="O384" s="228">
        <f>B384+(SUM(H384:M384)+(SUM(D384:E384)))</f>
        <v>100</v>
      </c>
      <c r="P384" s="228">
        <f>C384+F384+G384+N384</f>
        <v>100</v>
      </c>
      <c r="Q384" s="252">
        <f>O384+P384</f>
        <v>200</v>
      </c>
      <c r="S384" s="231" t="str">
        <f>TEXT(A384,"dddd")</f>
        <v>Monday</v>
      </c>
    </row>
    <row r="385" spans="1:19" x14ac:dyDescent="0.25">
      <c r="A385" s="226">
        <v>46406</v>
      </c>
      <c r="B385" s="227">
        <f>O384</f>
        <v>100</v>
      </c>
      <c r="C385" s="228">
        <f>P384</f>
        <v>100</v>
      </c>
      <c r="D385" s="228">
        <f>IF(OR(DAY(A385+2)=1,DAY(A385+2)=15),-SUM('Main Budget'!$H$26:$H$31),0)</f>
        <v>0</v>
      </c>
      <c r="E385" s="228">
        <f>IF(DAY(A385+2)=22,-SUM('Main Budget'!$F$26:$F$31),0)</f>
        <v>0</v>
      </c>
      <c r="F385" s="228">
        <f>IF(D385&gt;0,-'Main Budget'!$H$25+0.15,0)</f>
        <v>0</v>
      </c>
      <c r="G385" s="228">
        <f>IF(E385&gt;0,-'Main Budget'!$F$25+0.81,0)</f>
        <v>0</v>
      </c>
      <c r="H385" s="227">
        <f>IF(DAY(A385)='Main Budget'!$J$26,'Main Budget'!$E$26,0)</f>
        <v>0</v>
      </c>
      <c r="I385" s="227">
        <f>IF(DAY(A385)='Main Budget'!$J$28,'Main Budget'!$E$28,0)</f>
        <v>0</v>
      </c>
      <c r="J385" s="227">
        <f>IF(DAY(A385)='Main Budget'!$J$29,'Main Budget'!$E$29,0)</f>
        <v>0</v>
      </c>
      <c r="K385" s="20">
        <f>IF(DAY(A385)='Main Budget'!$J$30,'Main Budget'!$E$30,0)</f>
        <v>0</v>
      </c>
      <c r="L385" s="20">
        <f>IF(DAY(A385)='Main Budget'!$J$31,'Main Budget'!$E$31,0)</f>
        <v>0</v>
      </c>
      <c r="M385" s="20">
        <f>IF(DAY(A385)='Main Budget'!$J$27,'Main Budget'!$E$27,0)</f>
        <v>0</v>
      </c>
      <c r="O385" s="228">
        <f>B385+(SUM(H385:M385)+(SUM(D385:E385)))</f>
        <v>100</v>
      </c>
      <c r="P385" s="228">
        <f>C385+F385+G385+N385</f>
        <v>100</v>
      </c>
      <c r="Q385" s="252">
        <f>O385+P385</f>
        <v>200</v>
      </c>
      <c r="S385" s="231" t="str">
        <f>TEXT(A385,"dddd")</f>
        <v>Tuesday</v>
      </c>
    </row>
    <row r="386" spans="1:19" x14ac:dyDescent="0.25">
      <c r="A386" s="226">
        <v>46407</v>
      </c>
      <c r="B386" s="227">
        <f>O385</f>
        <v>100</v>
      </c>
      <c r="C386" s="228">
        <f>P385</f>
        <v>100</v>
      </c>
      <c r="D386" s="228">
        <f>IF(OR(DAY(A386+2)=1,DAY(A386+2)=15),-SUM('Main Budget'!$H$26:$H$31),0)</f>
        <v>0</v>
      </c>
      <c r="E386" s="228">
        <f>IF(DAY(A386+2)=22,-SUM('Main Budget'!$F$26:$F$31),0)</f>
        <v>0</v>
      </c>
      <c r="F386" s="228">
        <f>IF(D386&gt;0,-'Main Budget'!$H$25+0.15,0)</f>
        <v>0</v>
      </c>
      <c r="G386" s="228">
        <f>IF(E386&gt;0,-'Main Budget'!$F$25+0.81,0)</f>
        <v>0</v>
      </c>
      <c r="H386" s="227">
        <f>IF(DAY(A386)='Main Budget'!$J$26,'Main Budget'!$E$26,0)</f>
        <v>0</v>
      </c>
      <c r="I386" s="227">
        <f>IF(DAY(A386)='Main Budget'!$J$28,'Main Budget'!$E$28,0)</f>
        <v>0</v>
      </c>
      <c r="J386" s="227">
        <f>IF(DAY(A386)='Main Budget'!$J$29,'Main Budget'!$E$29,0)</f>
        <v>0</v>
      </c>
      <c r="K386" s="20">
        <f>IF(DAY(A386)='Main Budget'!$J$30,'Main Budget'!$E$30,0)</f>
        <v>0</v>
      </c>
      <c r="L386" s="20">
        <f>IF(DAY(A386)='Main Budget'!$J$31,'Main Budget'!$E$31,0)</f>
        <v>0</v>
      </c>
      <c r="M386" s="20">
        <f>IF(DAY(A386)='Main Budget'!$J$27,'Main Budget'!$E$27,0)</f>
        <v>0</v>
      </c>
      <c r="O386" s="228">
        <f>B386+(SUM(H386:M386)+(SUM(D386:E386)))</f>
        <v>100</v>
      </c>
      <c r="P386" s="228">
        <f>C386+F386+G386+N386</f>
        <v>100</v>
      </c>
      <c r="Q386" s="252">
        <f>O386+P386</f>
        <v>200</v>
      </c>
      <c r="S386" s="231" t="str">
        <f>TEXT(A386,"dddd")</f>
        <v>Wednesday</v>
      </c>
    </row>
    <row r="387" spans="1:19" x14ac:dyDescent="0.25">
      <c r="A387" s="226">
        <v>46408</v>
      </c>
      <c r="B387" s="227">
        <f>O386</f>
        <v>100</v>
      </c>
      <c r="C387" s="228">
        <f>P386</f>
        <v>100</v>
      </c>
      <c r="D387" s="228">
        <f>IF(OR(DAY(A387+2)=1,DAY(A387+2)=15),-SUM('Main Budget'!$H$26:$H$31),0)</f>
        <v>0</v>
      </c>
      <c r="E387" s="228">
        <f>IF(DAY(A387+2)=22,-SUM('Main Budget'!$F$26:$F$31),0)</f>
        <v>0</v>
      </c>
      <c r="F387" s="228">
        <f>IF(D387&gt;0,-'Main Budget'!$H$25+0.15,0)</f>
        <v>0</v>
      </c>
      <c r="G387" s="228">
        <f>IF(E387&gt;0,-'Main Budget'!$F$25+0.81,0)</f>
        <v>0</v>
      </c>
      <c r="H387" s="227">
        <f>IF(DAY(A387)='Main Budget'!$J$26,'Main Budget'!$E$26,0)</f>
        <v>0</v>
      </c>
      <c r="I387" s="227">
        <f>IF(DAY(A387)='Main Budget'!$J$28,'Main Budget'!$E$28,0)</f>
        <v>0</v>
      </c>
      <c r="J387" s="227">
        <f>IF(DAY(A387)='Main Budget'!$J$29,'Main Budget'!$E$29,0)</f>
        <v>0</v>
      </c>
      <c r="K387" s="20">
        <f>IF(DAY(A387)='Main Budget'!$J$30,'Main Budget'!$E$30,0)</f>
        <v>0</v>
      </c>
      <c r="L387" s="20">
        <f>IF(DAY(A387)='Main Budget'!$J$31,'Main Budget'!$E$31,0)</f>
        <v>0</v>
      </c>
      <c r="M387" s="20">
        <f>IF(DAY(A387)='Main Budget'!$J$27,'Main Budget'!$E$27,0)</f>
        <v>0</v>
      </c>
      <c r="O387" s="228">
        <f>B387+(SUM(H387:M387)+(SUM(D387:E387)))</f>
        <v>100</v>
      </c>
      <c r="P387" s="228">
        <f>C387+F387+G387+N387</f>
        <v>100</v>
      </c>
      <c r="Q387" s="252">
        <f>O387+P387</f>
        <v>200</v>
      </c>
      <c r="S387" s="231" t="str">
        <f>TEXT(A387,"dddd")</f>
        <v>Thursday</v>
      </c>
    </row>
    <row r="388" spans="1:19" x14ac:dyDescent="0.25">
      <c r="A388" s="226">
        <v>46409</v>
      </c>
      <c r="B388" s="227">
        <f>O387</f>
        <v>100</v>
      </c>
      <c r="C388" s="228">
        <f>P387</f>
        <v>100</v>
      </c>
      <c r="D388" s="228">
        <f>IF(OR(DAY(A388+2)=1,DAY(A388+2)=15),-SUM('Main Budget'!$H$26:$H$31),0)</f>
        <v>0</v>
      </c>
      <c r="E388" s="228">
        <f>IF(DAY(A388+2)=22,-SUM('Main Budget'!$F$26:$F$31),0)</f>
        <v>0</v>
      </c>
      <c r="F388" s="228">
        <f>IF(D388&gt;0,-'Main Budget'!$H$25+0.15,0)</f>
        <v>0</v>
      </c>
      <c r="G388" s="228">
        <f>IF(E388&gt;0,-'Main Budget'!$F$25+0.81,0)</f>
        <v>0</v>
      </c>
      <c r="H388" s="227">
        <f>IF(DAY(A388)='Main Budget'!$J$26,'Main Budget'!$E$26,0)</f>
        <v>0</v>
      </c>
      <c r="I388" s="227">
        <f>IF(DAY(A388)='Main Budget'!$J$28,'Main Budget'!$E$28,0)</f>
        <v>0</v>
      </c>
      <c r="J388" s="227">
        <f>IF(DAY(A388)='Main Budget'!$J$29,'Main Budget'!$E$29,0)</f>
        <v>0</v>
      </c>
      <c r="K388" s="20">
        <f>IF(DAY(A388)='Main Budget'!$J$30,'Main Budget'!$E$30,0)</f>
        <v>0</v>
      </c>
      <c r="L388" s="20">
        <f>IF(DAY(A388)='Main Budget'!$J$31,'Main Budget'!$E$31,0)</f>
        <v>0</v>
      </c>
      <c r="M388" s="20">
        <f>IF(DAY(A388)='Main Budget'!$J$27,'Main Budget'!$E$27,0)</f>
        <v>0</v>
      </c>
      <c r="O388" s="228">
        <f>B388+(SUM(H388:M388)+(SUM(D388:E388)))</f>
        <v>100</v>
      </c>
      <c r="P388" s="228">
        <f>C388+F388+G388+N388</f>
        <v>100</v>
      </c>
      <c r="Q388" s="252">
        <f>O388+P388</f>
        <v>200</v>
      </c>
      <c r="S388" s="231" t="str">
        <f>TEXT(A388,"dddd")</f>
        <v>Friday</v>
      </c>
    </row>
    <row r="389" spans="1:19" x14ac:dyDescent="0.25">
      <c r="A389" s="226">
        <v>46410</v>
      </c>
      <c r="B389" s="227">
        <f>O388</f>
        <v>100</v>
      </c>
      <c r="C389" s="228">
        <f>P388</f>
        <v>100</v>
      </c>
      <c r="D389" s="228">
        <f>IF(OR(DAY(A389+2)=1,DAY(A389+2)=15),-SUM('Main Budget'!$H$26:$H$31),0)</f>
        <v>0</v>
      </c>
      <c r="E389" s="228">
        <f>IF(DAY(A389+2)=22,-SUM('Main Budget'!$F$26:$F$31),0)</f>
        <v>0</v>
      </c>
      <c r="F389" s="228">
        <f>IF(D389&gt;0,-'Main Budget'!$H$25+0.15,0)</f>
        <v>0</v>
      </c>
      <c r="G389" s="228">
        <f>IF(E389&gt;0,-'Main Budget'!$F$25+0.81,0)</f>
        <v>0</v>
      </c>
      <c r="H389" s="227">
        <f>IF(DAY(A389)='Main Budget'!$J$26,'Main Budget'!$E$26,0)</f>
        <v>0</v>
      </c>
      <c r="I389" s="227">
        <f>IF(DAY(A389)='Main Budget'!$J$28,'Main Budget'!$E$28,0)</f>
        <v>0</v>
      </c>
      <c r="J389" s="227">
        <f>IF(DAY(A389)='Main Budget'!$J$29,'Main Budget'!$E$29,0)</f>
        <v>0</v>
      </c>
      <c r="K389" s="20">
        <f>IF(DAY(A389)='Main Budget'!$J$30,'Main Budget'!$E$30,0)</f>
        <v>0</v>
      </c>
      <c r="L389" s="20">
        <f>IF(DAY(A389)='Main Budget'!$J$31,'Main Budget'!$E$31,0)</f>
        <v>0</v>
      </c>
      <c r="M389" s="20">
        <f>IF(DAY(A389)='Main Budget'!$J$27,'Main Budget'!$E$27,0)</f>
        <v>0</v>
      </c>
      <c r="O389" s="228">
        <f>B389+(SUM(H389:M389)+(SUM(D389:E389)))</f>
        <v>100</v>
      </c>
      <c r="P389" s="228">
        <f>C389+F389+G389+N389</f>
        <v>100</v>
      </c>
      <c r="Q389" s="252">
        <f>O389+P389</f>
        <v>200</v>
      </c>
      <c r="S389" s="231" t="str">
        <f>TEXT(A389,"dddd")</f>
        <v>Saturday</v>
      </c>
    </row>
    <row r="390" spans="1:19" x14ac:dyDescent="0.25">
      <c r="A390" s="226">
        <v>46411</v>
      </c>
      <c r="B390" s="227">
        <f>O389</f>
        <v>100</v>
      </c>
      <c r="C390" s="228">
        <f>P389</f>
        <v>100</v>
      </c>
      <c r="D390" s="228">
        <f>IF(OR(DAY(A390+2)=1,DAY(A390+2)=15),-SUM('Main Budget'!$H$26:$H$31),0)</f>
        <v>0</v>
      </c>
      <c r="E390" s="228">
        <f>IF(DAY(A390+2)=22,-SUM('Main Budget'!$F$26:$F$31),0)</f>
        <v>0</v>
      </c>
      <c r="F390" s="228">
        <f>IF(D390&gt;0,-'Main Budget'!$H$25+0.15,0)</f>
        <v>0</v>
      </c>
      <c r="G390" s="228">
        <f>IF(E390&gt;0,-'Main Budget'!$F$25+0.81,0)</f>
        <v>0</v>
      </c>
      <c r="H390" s="227">
        <f>IF(DAY(A390)='Main Budget'!$J$26,'Main Budget'!$E$26,0)</f>
        <v>0</v>
      </c>
      <c r="I390" s="227">
        <f>IF(DAY(A390)='Main Budget'!$J$28,'Main Budget'!$E$28,0)</f>
        <v>0</v>
      </c>
      <c r="J390" s="227">
        <f>IF(DAY(A390)='Main Budget'!$J$29,'Main Budget'!$E$29,0)</f>
        <v>0</v>
      </c>
      <c r="K390" s="20">
        <f>IF(DAY(A390)='Main Budget'!$J$30,'Main Budget'!$E$30,0)</f>
        <v>0</v>
      </c>
      <c r="L390" s="20">
        <f>IF(DAY(A390)='Main Budget'!$J$31,'Main Budget'!$E$31,0)</f>
        <v>0</v>
      </c>
      <c r="M390" s="20">
        <f>IF(DAY(A390)='Main Budget'!$J$27,'Main Budget'!$E$27,0)</f>
        <v>0</v>
      </c>
      <c r="O390" s="228">
        <f>B390+(SUM(H390:M390)+(SUM(D390:E390)))</f>
        <v>100</v>
      </c>
      <c r="P390" s="228">
        <f>C390+F390+G390+N390</f>
        <v>100</v>
      </c>
      <c r="Q390" s="252">
        <f>O390+P390</f>
        <v>200</v>
      </c>
      <c r="S390" s="231" t="str">
        <f>TEXT(A390,"dddd")</f>
        <v>Sunday</v>
      </c>
    </row>
    <row r="391" spans="1:19" x14ac:dyDescent="0.25">
      <c r="A391" s="226">
        <v>46412</v>
      </c>
      <c r="B391" s="227">
        <f>O390</f>
        <v>100</v>
      </c>
      <c r="C391" s="228">
        <f>P390</f>
        <v>100</v>
      </c>
      <c r="D391" s="228">
        <f>IF(OR(DAY(A391+2)=1,DAY(A391+2)=15),-SUM('Main Budget'!$H$26:$H$31),0)</f>
        <v>0</v>
      </c>
      <c r="E391" s="228">
        <f>IF(DAY(A391+2)=22,-SUM('Main Budget'!$F$26:$F$31),0)</f>
        <v>0</v>
      </c>
      <c r="F391" s="228">
        <f>IF(D391&gt;0,-'Main Budget'!$H$25+0.15,0)</f>
        <v>0</v>
      </c>
      <c r="G391" s="228">
        <f>IF(E391&gt;0,-'Main Budget'!$F$25+0.81,0)</f>
        <v>0</v>
      </c>
      <c r="H391" s="227">
        <f>IF(DAY(A391)='Main Budget'!$J$26,'Main Budget'!$E$26,0)</f>
        <v>0</v>
      </c>
      <c r="I391" s="227">
        <f>IF(DAY(A391)='Main Budget'!$J$28,'Main Budget'!$E$28,0)</f>
        <v>0</v>
      </c>
      <c r="J391" s="227">
        <f>IF(DAY(A391)='Main Budget'!$J$29,'Main Budget'!$E$29,0)</f>
        <v>0</v>
      </c>
      <c r="K391" s="20">
        <f>IF(DAY(A391)='Main Budget'!$J$30,'Main Budget'!$E$30,0)</f>
        <v>0</v>
      </c>
      <c r="L391" s="20">
        <f>IF(DAY(A391)='Main Budget'!$J$31,'Main Budget'!$E$31,0)</f>
        <v>0</v>
      </c>
      <c r="M391" s="20">
        <f>IF(DAY(A391)='Main Budget'!$J$27,'Main Budget'!$E$27,0)</f>
        <v>0</v>
      </c>
      <c r="O391" s="228">
        <f>B391+(SUM(H391:M391)+(SUM(D391:E391)))</f>
        <v>100</v>
      </c>
      <c r="P391" s="228">
        <f>C391+F391+G391+N391</f>
        <v>100</v>
      </c>
      <c r="Q391" s="252">
        <f>O391+P391</f>
        <v>200</v>
      </c>
      <c r="S391" s="231" t="str">
        <f>TEXT(A391,"dddd")</f>
        <v>Monday</v>
      </c>
    </row>
    <row r="392" spans="1:19" x14ac:dyDescent="0.25">
      <c r="A392" s="226">
        <v>46413</v>
      </c>
      <c r="B392" s="227">
        <f>O391</f>
        <v>100</v>
      </c>
      <c r="C392" s="228">
        <f>P391</f>
        <v>100</v>
      </c>
      <c r="D392" s="228">
        <f>IF(OR(DAY(A392+2)=1,DAY(A392+2)=15),-SUM('Main Budget'!$H$26:$H$31),0)</f>
        <v>0</v>
      </c>
      <c r="E392" s="228">
        <f>IF(DAY(A392+2)=22,-SUM('Main Budget'!$F$26:$F$31),0)</f>
        <v>0</v>
      </c>
      <c r="F392" s="228">
        <f>IF(D392&gt;0,-'Main Budget'!$H$25+0.15,0)</f>
        <v>0</v>
      </c>
      <c r="G392" s="228">
        <f>IF(E392&gt;0,-'Main Budget'!$F$25+0.81,0)</f>
        <v>0</v>
      </c>
      <c r="H392" s="227">
        <f>IF(DAY(A392)='Main Budget'!$J$26,'Main Budget'!$E$26,0)</f>
        <v>0</v>
      </c>
      <c r="I392" s="227">
        <f>IF(DAY(A392)='Main Budget'!$J$28,'Main Budget'!$E$28,0)</f>
        <v>0</v>
      </c>
      <c r="J392" s="227">
        <f>IF(DAY(A392)='Main Budget'!$J$29,'Main Budget'!$E$29,0)</f>
        <v>0</v>
      </c>
      <c r="K392" s="20">
        <f>IF(DAY(A392)='Main Budget'!$J$30,'Main Budget'!$E$30,0)</f>
        <v>0</v>
      </c>
      <c r="L392" s="20">
        <f>IF(DAY(A392)='Main Budget'!$J$31,'Main Budget'!$E$31,0)</f>
        <v>0</v>
      </c>
      <c r="M392" s="20">
        <f>IF(DAY(A392)='Main Budget'!$J$27,'Main Budget'!$E$27,0)</f>
        <v>0</v>
      </c>
      <c r="O392" s="228">
        <f>B392+(SUM(H392:M392)+(SUM(D392:E392)))</f>
        <v>100</v>
      </c>
      <c r="P392" s="228">
        <f>C392+F392+G392+N392</f>
        <v>100</v>
      </c>
      <c r="Q392" s="252">
        <f>O392+P392</f>
        <v>200</v>
      </c>
      <c r="S392" s="231" t="str">
        <f>TEXT(A392,"dddd")</f>
        <v>Tuesday</v>
      </c>
    </row>
    <row r="393" spans="1:19" x14ac:dyDescent="0.25">
      <c r="A393" s="226">
        <v>46414</v>
      </c>
      <c r="B393" s="227">
        <f>O392</f>
        <v>100</v>
      </c>
      <c r="C393" s="228">
        <f>P392</f>
        <v>100</v>
      </c>
      <c r="D393" s="228">
        <f>IF(OR(DAY(A393+2)=1,DAY(A393+2)=15),-SUM('Main Budget'!$H$26:$H$31),0)</f>
        <v>0</v>
      </c>
      <c r="E393" s="228">
        <f>IF(DAY(A393+2)=22,-SUM('Main Budget'!$F$26:$F$31),0)</f>
        <v>0</v>
      </c>
      <c r="F393" s="228">
        <f>IF(D393&gt;0,-'Main Budget'!$H$25+0.15,0)</f>
        <v>0</v>
      </c>
      <c r="G393" s="228">
        <f>IF(E393&gt;0,-'Main Budget'!$F$25+0.81,0)</f>
        <v>0</v>
      </c>
      <c r="H393" s="227">
        <f>IF(DAY(A393)='Main Budget'!$J$26,'Main Budget'!$E$26,0)</f>
        <v>0</v>
      </c>
      <c r="I393" s="227">
        <f>IF(DAY(A393)='Main Budget'!$J$28,'Main Budget'!$E$28,0)</f>
        <v>0</v>
      </c>
      <c r="J393" s="227">
        <f>IF(DAY(A393)='Main Budget'!$J$29,'Main Budget'!$E$29,0)</f>
        <v>0</v>
      </c>
      <c r="K393" s="20">
        <f>IF(DAY(A393)='Main Budget'!$J$30,'Main Budget'!$E$30,0)</f>
        <v>0</v>
      </c>
      <c r="L393" s="20">
        <f>IF(DAY(A393)='Main Budget'!$J$31,'Main Budget'!$E$31,0)</f>
        <v>0</v>
      </c>
      <c r="M393" s="20">
        <f>IF(DAY(A393)='Main Budget'!$J$27,'Main Budget'!$E$27,0)</f>
        <v>0</v>
      </c>
      <c r="O393" s="228">
        <f>B393+(SUM(H393:M393)+(SUM(D393:E393)))</f>
        <v>100</v>
      </c>
      <c r="P393" s="228">
        <f>C393+F393+G393+N393</f>
        <v>100</v>
      </c>
      <c r="Q393" s="252">
        <f>O393+P393</f>
        <v>200</v>
      </c>
      <c r="S393" s="231" t="str">
        <f>TEXT(A393,"dddd")</f>
        <v>Wednesday</v>
      </c>
    </row>
    <row r="394" spans="1:19" x14ac:dyDescent="0.25">
      <c r="A394" s="226">
        <v>46415</v>
      </c>
      <c r="B394" s="227">
        <f>O393</f>
        <v>100</v>
      </c>
      <c r="C394" s="228">
        <f>P393</f>
        <v>100</v>
      </c>
      <c r="D394" s="228">
        <f>IF(OR(DAY(A394+2)=1,DAY(A394+2)=15),-SUM('Main Budget'!$H$26:$H$31),0)</f>
        <v>0</v>
      </c>
      <c r="E394" s="228">
        <f>IF(DAY(A394+2)=22,-SUM('Main Budget'!$F$26:$F$31),0)</f>
        <v>0</v>
      </c>
      <c r="F394" s="228">
        <f>IF(D394&gt;0,-'Main Budget'!$H$25+0.15,0)</f>
        <v>0</v>
      </c>
      <c r="G394" s="228">
        <f>IF(E394&gt;0,-'Main Budget'!$F$25+0.81,0)</f>
        <v>0</v>
      </c>
      <c r="H394" s="227">
        <f>IF(DAY(A394)='Main Budget'!$J$26,'Main Budget'!$E$26,0)</f>
        <v>0</v>
      </c>
      <c r="I394" s="227">
        <f>IF(DAY(A394)='Main Budget'!$J$28,'Main Budget'!$E$28,0)</f>
        <v>0</v>
      </c>
      <c r="J394" s="227">
        <f>IF(DAY(A394)='Main Budget'!$J$29,'Main Budget'!$E$29,0)</f>
        <v>0</v>
      </c>
      <c r="K394" s="20">
        <f>IF(DAY(A394)='Main Budget'!$J$30,'Main Budget'!$E$30,0)</f>
        <v>0</v>
      </c>
      <c r="L394" s="20">
        <f>IF(DAY(A394)='Main Budget'!$J$31,'Main Budget'!$E$31,0)</f>
        <v>0</v>
      </c>
      <c r="M394" s="20">
        <f>IF(DAY(A394)='Main Budget'!$J$27,'Main Budget'!$E$27,0)</f>
        <v>0</v>
      </c>
      <c r="O394" s="228">
        <f>B394+(SUM(H394:M394)+(SUM(D394:E394)))</f>
        <v>100</v>
      </c>
      <c r="P394" s="228">
        <f>C394+F394+G394+N394</f>
        <v>100</v>
      </c>
      <c r="Q394" s="252">
        <f>O394+P394</f>
        <v>200</v>
      </c>
      <c r="S394" s="231" t="str">
        <f>TEXT(A394,"dddd")</f>
        <v>Thursday</v>
      </c>
    </row>
    <row r="395" spans="1:19" x14ac:dyDescent="0.25">
      <c r="A395" s="226">
        <v>46416</v>
      </c>
      <c r="B395" s="227">
        <f>O394</f>
        <v>100</v>
      </c>
      <c r="C395" s="228">
        <f>P394</f>
        <v>100</v>
      </c>
      <c r="D395" s="228">
        <f>IF(OR(DAY(A395+2)=1,DAY(A395+2)=15),-SUM('Main Budget'!$H$26:$H$31),0)</f>
        <v>0</v>
      </c>
      <c r="E395" s="228">
        <f>IF(DAY(A395+2)=22,-SUM('Main Budget'!$F$26:$F$31),0)</f>
        <v>0</v>
      </c>
      <c r="F395" s="228">
        <f>IF(D395&gt;0,-'Main Budget'!$H$25+0.15,0)</f>
        <v>0</v>
      </c>
      <c r="G395" s="228">
        <f>IF(E395&gt;0,-'Main Budget'!$F$25+0.81,0)</f>
        <v>0</v>
      </c>
      <c r="H395" s="227">
        <f>IF(DAY(A395)='Main Budget'!$J$26,'Main Budget'!$E$26,0)</f>
        <v>0</v>
      </c>
      <c r="I395" s="227">
        <f>IF(DAY(A395)='Main Budget'!$J$28,'Main Budget'!$E$28,0)</f>
        <v>0</v>
      </c>
      <c r="J395" s="227">
        <f>IF(DAY(A395)='Main Budget'!$J$29,'Main Budget'!$E$29,0)</f>
        <v>0</v>
      </c>
      <c r="K395" s="20">
        <f>IF(DAY(A395)='Main Budget'!$J$30,'Main Budget'!$E$30,0)</f>
        <v>0</v>
      </c>
      <c r="L395" s="20">
        <f>IF(DAY(A395)='Main Budget'!$J$31,'Main Budget'!$E$31,0)</f>
        <v>0</v>
      </c>
      <c r="M395" s="20">
        <f>IF(DAY(A395)='Main Budget'!$J$27,'Main Budget'!$E$27,0)</f>
        <v>0</v>
      </c>
      <c r="O395" s="228">
        <f>B395+(SUM(H395:M395)+(SUM(D395:E395)))</f>
        <v>100</v>
      </c>
      <c r="P395" s="228">
        <f>C395+F395+G395+N395</f>
        <v>100</v>
      </c>
      <c r="Q395" s="252">
        <f>O395+P395</f>
        <v>200</v>
      </c>
      <c r="S395" s="231" t="str">
        <f>TEXT(A395,"dddd")</f>
        <v>Friday</v>
      </c>
    </row>
    <row r="396" spans="1:19" x14ac:dyDescent="0.25">
      <c r="A396" s="226">
        <v>46417</v>
      </c>
      <c r="B396" s="227">
        <f>O395</f>
        <v>100</v>
      </c>
      <c r="C396" s="228">
        <f>P395</f>
        <v>100</v>
      </c>
      <c r="D396" s="228">
        <f>IF(OR(DAY(A396+2)=1,DAY(A396+2)=15),-SUM('Main Budget'!$H$26:$H$31),0)</f>
        <v>0</v>
      </c>
      <c r="E396" s="228">
        <f>IF(DAY(A396+2)=22,-SUM('Main Budget'!$F$26:$F$31),0)</f>
        <v>0</v>
      </c>
      <c r="F396" s="228">
        <f>IF(D396&gt;0,-'Main Budget'!$H$25+0.15,0)</f>
        <v>0</v>
      </c>
      <c r="G396" s="228">
        <f>IF(E396&gt;0,-'Main Budget'!$F$25+0.81,0)</f>
        <v>0</v>
      </c>
      <c r="H396" s="227">
        <f>IF(DAY(A396)='Main Budget'!$J$26,'Main Budget'!$E$26,0)</f>
        <v>0</v>
      </c>
      <c r="I396" s="227">
        <f>IF(DAY(A396)='Main Budget'!$J$28,'Main Budget'!$E$28,0)</f>
        <v>0</v>
      </c>
      <c r="J396" s="227">
        <f>IF(DAY(A396)='Main Budget'!$J$29,'Main Budget'!$E$29,0)</f>
        <v>0</v>
      </c>
      <c r="K396" s="20">
        <f>IF(DAY(A396)='Main Budget'!$J$30,'Main Budget'!$E$30,0)</f>
        <v>0</v>
      </c>
      <c r="L396" s="20">
        <f>IF(DAY(A396)='Main Budget'!$J$31,'Main Budget'!$E$31,0)</f>
        <v>0</v>
      </c>
      <c r="M396" s="20">
        <f>IF(DAY(A396)='Main Budget'!$J$27,'Main Budget'!$E$27,0)</f>
        <v>0</v>
      </c>
      <c r="O396" s="228">
        <f>B396+(SUM(H396:M396)+(SUM(D396:E396)))</f>
        <v>100</v>
      </c>
      <c r="P396" s="228">
        <f>C396+F396+G396+N396</f>
        <v>100</v>
      </c>
      <c r="Q396" s="252">
        <f>O396+P396</f>
        <v>200</v>
      </c>
      <c r="S396" s="231" t="str">
        <f>TEXT(A396,"dddd")</f>
        <v>Saturday</v>
      </c>
    </row>
    <row r="397" spans="1:19" x14ac:dyDescent="0.25">
      <c r="A397" s="226">
        <v>46418</v>
      </c>
      <c r="B397" s="227">
        <f>O396</f>
        <v>100</v>
      </c>
      <c r="C397" s="228">
        <f>P396</f>
        <v>100</v>
      </c>
      <c r="D397" s="228">
        <f>IF(OR(DAY(A397+2)=1,DAY(A397+2)=15),-SUM('Main Budget'!$H$26:$H$31),0)</f>
        <v>0</v>
      </c>
      <c r="E397" s="228">
        <f>IF(DAY(A397+2)=22,-SUM('Main Budget'!$F$26:$F$31),0)</f>
        <v>0</v>
      </c>
      <c r="F397" s="228">
        <f>IF(D397&gt;0,-'Main Budget'!$H$25+0.15,0)</f>
        <v>0</v>
      </c>
      <c r="G397" s="228">
        <f>IF(E397&gt;0,-'Main Budget'!$F$25+0.81,0)</f>
        <v>0</v>
      </c>
      <c r="H397" s="227">
        <f>IF(DAY(A397)='Main Budget'!$J$26,'Main Budget'!$E$26,0)</f>
        <v>0</v>
      </c>
      <c r="I397" s="227">
        <f>IF(DAY(A397)='Main Budget'!$J$28,'Main Budget'!$E$28,0)</f>
        <v>0</v>
      </c>
      <c r="J397" s="227">
        <f>IF(DAY(A397)='Main Budget'!$J$29,'Main Budget'!$E$29,0)</f>
        <v>0</v>
      </c>
      <c r="K397" s="20">
        <f>IF(DAY(A397)='Main Budget'!$J$30,'Main Budget'!$E$30,0)</f>
        <v>0</v>
      </c>
      <c r="L397" s="20">
        <f>IF(DAY(A397)='Main Budget'!$J$31,'Main Budget'!$E$31,0)</f>
        <v>0</v>
      </c>
      <c r="M397" s="20">
        <f>IF(DAY(A397)='Main Budget'!$J$27,'Main Budget'!$E$27,0)</f>
        <v>0</v>
      </c>
      <c r="O397" s="228">
        <f>B397+(SUM(H397:M397)+(SUM(D397:E397)))</f>
        <v>100</v>
      </c>
      <c r="P397" s="228">
        <f>C397+F397+G397+N397</f>
        <v>100</v>
      </c>
      <c r="Q397" s="252">
        <f>O397+P397</f>
        <v>200</v>
      </c>
      <c r="S397" s="231" t="str">
        <f>TEXT(A397,"dddd")</f>
        <v>Sunday</v>
      </c>
    </row>
    <row r="398" spans="1:19" x14ac:dyDescent="0.25">
      <c r="A398" s="226">
        <v>46419</v>
      </c>
      <c r="B398" s="227">
        <f>O397</f>
        <v>100</v>
      </c>
      <c r="C398" s="228">
        <f>P397</f>
        <v>100</v>
      </c>
      <c r="D398" s="228">
        <f>IF(OR(DAY(A398+2)=1,DAY(A398+2)=15),-SUM('Main Budget'!$H$26:$H$31),0)</f>
        <v>0</v>
      </c>
      <c r="E398" s="228">
        <f>IF(DAY(A398+2)=22,-SUM('Main Budget'!$F$26:$F$31),0)</f>
        <v>0</v>
      </c>
      <c r="F398" s="228">
        <f>IF(D398&gt;0,-'Main Budget'!$H$25+0.15,0)</f>
        <v>0</v>
      </c>
      <c r="G398" s="228">
        <f>IF(E398&gt;0,-'Main Budget'!$F$25+0.81,0)</f>
        <v>0</v>
      </c>
      <c r="H398" s="227">
        <f>IF(DAY(A398)='Main Budget'!$J$26,'Main Budget'!$E$26,0)</f>
        <v>0</v>
      </c>
      <c r="I398" s="227">
        <f>IF(DAY(A398)='Main Budget'!$J$28,'Main Budget'!$E$28,0)</f>
        <v>0</v>
      </c>
      <c r="J398" s="227">
        <f>IF(DAY(A398)='Main Budget'!$J$29,'Main Budget'!$E$29,0)</f>
        <v>0</v>
      </c>
      <c r="K398" s="20">
        <f>IF(DAY(A398)='Main Budget'!$J$30,'Main Budget'!$E$30,0)</f>
        <v>0</v>
      </c>
      <c r="L398" s="20">
        <f>IF(DAY(A398)='Main Budget'!$J$31,'Main Budget'!$E$31,0)</f>
        <v>0</v>
      </c>
      <c r="M398" s="20">
        <f>IF(DAY(A398)='Main Budget'!$J$27,'Main Budget'!$E$27,0)</f>
        <v>0</v>
      </c>
      <c r="O398" s="228">
        <f>B398+(SUM(H398:M398)+(SUM(D398:E398)))</f>
        <v>100</v>
      </c>
      <c r="P398" s="228">
        <f>C398+F398+G398+N398</f>
        <v>100</v>
      </c>
      <c r="Q398" s="252">
        <f>O398+P398</f>
        <v>200</v>
      </c>
      <c r="S398" s="231" t="str">
        <f>TEXT(A398,"dddd")</f>
        <v>Monday</v>
      </c>
    </row>
    <row r="399" spans="1:19" x14ac:dyDescent="0.25">
      <c r="A399" s="226">
        <v>46420</v>
      </c>
      <c r="B399" s="227">
        <f>O398</f>
        <v>100</v>
      </c>
      <c r="C399" s="228">
        <f>P398</f>
        <v>100</v>
      </c>
      <c r="D399" s="228">
        <f>IF(OR(DAY(A399+2)=1,DAY(A399+2)=15),-SUM('Main Budget'!$H$26:$H$31),0)</f>
        <v>0</v>
      </c>
      <c r="E399" s="228">
        <f>IF(DAY(A399+2)=22,-SUM('Main Budget'!$F$26:$F$31),0)</f>
        <v>0</v>
      </c>
      <c r="F399" s="228">
        <f>IF(D399&gt;0,-'Main Budget'!$H$25+0.15,0)</f>
        <v>0</v>
      </c>
      <c r="G399" s="228">
        <f>IF(E399&gt;0,-'Main Budget'!$F$25+0.81,0)</f>
        <v>0</v>
      </c>
      <c r="H399" s="227">
        <f>IF(DAY(A399)='Main Budget'!$J$26,'Main Budget'!$E$26,0)</f>
        <v>0</v>
      </c>
      <c r="I399" s="227">
        <f>IF(DAY(A399)='Main Budget'!$J$28,'Main Budget'!$E$28,0)</f>
        <v>0</v>
      </c>
      <c r="J399" s="227">
        <f>IF(DAY(A399)='Main Budget'!$J$29,'Main Budget'!$E$29,0)</f>
        <v>0</v>
      </c>
      <c r="K399" s="20">
        <f>IF(DAY(A399)='Main Budget'!$J$30,'Main Budget'!$E$30,0)</f>
        <v>0</v>
      </c>
      <c r="L399" s="20">
        <f>IF(DAY(A399)='Main Budget'!$J$31,'Main Budget'!$E$31,0)</f>
        <v>0</v>
      </c>
      <c r="M399" s="20">
        <f>IF(DAY(A399)='Main Budget'!$J$27,'Main Budget'!$E$27,0)</f>
        <v>0</v>
      </c>
      <c r="O399" s="228">
        <f>B399+(SUM(H399:M399)+(SUM(D399:E399)))</f>
        <v>100</v>
      </c>
      <c r="P399" s="228">
        <f>C399+F399+G399+N399</f>
        <v>100</v>
      </c>
      <c r="Q399" s="252">
        <f>O399+P399</f>
        <v>200</v>
      </c>
      <c r="S399" s="231" t="str">
        <f>TEXT(A399,"dddd")</f>
        <v>Tuesday</v>
      </c>
    </row>
    <row r="400" spans="1:19" x14ac:dyDescent="0.25">
      <c r="A400" s="226">
        <v>46421</v>
      </c>
      <c r="B400" s="227">
        <f>O399</f>
        <v>100</v>
      </c>
      <c r="C400" s="228">
        <f>P399</f>
        <v>100</v>
      </c>
      <c r="D400" s="228">
        <f>IF(OR(DAY(A400+2)=1,DAY(A400+2)=15),-SUM('Main Budget'!$H$26:$H$31),0)</f>
        <v>0</v>
      </c>
      <c r="E400" s="228">
        <f>IF(DAY(A400+2)=22,-SUM('Main Budget'!$F$26:$F$31),0)</f>
        <v>0</v>
      </c>
      <c r="F400" s="228">
        <f>IF(D400&gt;0,-'Main Budget'!$H$25+0.15,0)</f>
        <v>0</v>
      </c>
      <c r="G400" s="228">
        <f>IF(E400&gt;0,-'Main Budget'!$F$25+0.81,0)</f>
        <v>0</v>
      </c>
      <c r="H400" s="227">
        <f>IF(DAY(A400)='Main Budget'!$J$26,'Main Budget'!$E$26,0)</f>
        <v>0</v>
      </c>
      <c r="I400" s="227">
        <f>IF(DAY(A400)='Main Budget'!$J$28,'Main Budget'!$E$28,0)</f>
        <v>0</v>
      </c>
      <c r="J400" s="227">
        <f>IF(DAY(A400)='Main Budget'!$J$29,'Main Budget'!$E$29,0)</f>
        <v>0</v>
      </c>
      <c r="K400" s="20">
        <f>IF(DAY(A400)='Main Budget'!$J$30,'Main Budget'!$E$30,0)</f>
        <v>0</v>
      </c>
      <c r="L400" s="20">
        <f>IF(DAY(A400)='Main Budget'!$J$31,'Main Budget'!$E$31,0)</f>
        <v>0</v>
      </c>
      <c r="M400" s="20">
        <f>IF(DAY(A400)='Main Budget'!$J$27,'Main Budget'!$E$27,0)</f>
        <v>0</v>
      </c>
      <c r="O400" s="228">
        <f>B400+(SUM(H400:M400)+(SUM(D400:E400)))</f>
        <v>100</v>
      </c>
      <c r="P400" s="228">
        <f>C400+F400+G400+N400</f>
        <v>100</v>
      </c>
      <c r="Q400" s="252">
        <f>O400+P400</f>
        <v>200</v>
      </c>
      <c r="S400" s="231" t="str">
        <f>TEXT(A400,"dddd")</f>
        <v>Wednesday</v>
      </c>
    </row>
    <row r="401" spans="1:19" x14ac:dyDescent="0.25">
      <c r="A401" s="226">
        <v>46422</v>
      </c>
      <c r="B401" s="227">
        <f>O400</f>
        <v>100</v>
      </c>
      <c r="C401" s="228">
        <f>P400</f>
        <v>100</v>
      </c>
      <c r="D401" s="228">
        <f>IF(OR(DAY(A401+2)=1,DAY(A401+2)=15),-SUM('Main Budget'!$H$26:$H$31),0)</f>
        <v>0</v>
      </c>
      <c r="E401" s="228">
        <f>IF(DAY(A401+2)=22,-SUM('Main Budget'!$F$26:$F$31),0)</f>
        <v>0</v>
      </c>
      <c r="F401" s="228">
        <f>IF(D401&gt;0,-'Main Budget'!$H$25+0.15,0)</f>
        <v>0</v>
      </c>
      <c r="G401" s="228">
        <f>IF(E401&gt;0,-'Main Budget'!$F$25+0.81,0)</f>
        <v>0</v>
      </c>
      <c r="H401" s="227">
        <f>IF(DAY(A401)='Main Budget'!$J$26,'Main Budget'!$E$26,0)</f>
        <v>0</v>
      </c>
      <c r="I401" s="227">
        <f>IF(DAY(A401)='Main Budget'!$J$28,'Main Budget'!$E$28,0)</f>
        <v>0</v>
      </c>
      <c r="J401" s="227">
        <f>IF(DAY(A401)='Main Budget'!$J$29,'Main Budget'!$E$29,0)</f>
        <v>0</v>
      </c>
      <c r="K401" s="20">
        <f>IF(DAY(A401)='Main Budget'!$J$30,'Main Budget'!$E$30,0)</f>
        <v>0</v>
      </c>
      <c r="L401" s="20">
        <f>IF(DAY(A401)='Main Budget'!$J$31,'Main Budget'!$E$31,0)</f>
        <v>0</v>
      </c>
      <c r="M401" s="20">
        <f>IF(DAY(A401)='Main Budget'!$J$27,'Main Budget'!$E$27,0)</f>
        <v>0</v>
      </c>
      <c r="O401" s="228">
        <f>B401+(SUM(H401:M401)+(SUM(D401:E401)))</f>
        <v>100</v>
      </c>
      <c r="P401" s="228">
        <f>C401+F401+G401+N401</f>
        <v>100</v>
      </c>
      <c r="Q401" s="252">
        <f>O401+P401</f>
        <v>200</v>
      </c>
      <c r="S401" s="231" t="str">
        <f>TEXT(A401,"dddd")</f>
        <v>Thursday</v>
      </c>
    </row>
    <row r="402" spans="1:19" x14ac:dyDescent="0.25">
      <c r="A402" s="226">
        <v>46423</v>
      </c>
      <c r="B402" s="227">
        <f>O401</f>
        <v>100</v>
      </c>
      <c r="C402" s="228">
        <f>P401</f>
        <v>100</v>
      </c>
      <c r="D402" s="228">
        <f>IF(OR(DAY(A402+2)=1,DAY(A402+2)=15),-SUM('Main Budget'!$H$26:$H$31),0)</f>
        <v>0</v>
      </c>
      <c r="E402" s="228">
        <f>IF(DAY(A402+2)=22,-SUM('Main Budget'!$F$26:$F$31),0)</f>
        <v>0</v>
      </c>
      <c r="F402" s="228">
        <f>IF(D402&gt;0,-'Main Budget'!$H$25+0.15,0)</f>
        <v>0</v>
      </c>
      <c r="G402" s="228">
        <f>IF(E402&gt;0,-'Main Budget'!$F$25+0.81,0)</f>
        <v>0</v>
      </c>
      <c r="H402" s="227">
        <f>IF(DAY(A402)='Main Budget'!$J$26,'Main Budget'!$E$26,0)</f>
        <v>0</v>
      </c>
      <c r="I402" s="227">
        <f>IF(DAY(A402)='Main Budget'!$J$28,'Main Budget'!$E$28,0)</f>
        <v>0</v>
      </c>
      <c r="J402" s="227">
        <f>IF(DAY(A402)='Main Budget'!$J$29,'Main Budget'!$E$29,0)</f>
        <v>0</v>
      </c>
      <c r="K402" s="20">
        <f>IF(DAY(A402)='Main Budget'!$J$30,'Main Budget'!$E$30,0)</f>
        <v>0</v>
      </c>
      <c r="L402" s="20">
        <f>IF(DAY(A402)='Main Budget'!$J$31,'Main Budget'!$E$31,0)</f>
        <v>0</v>
      </c>
      <c r="M402" s="20">
        <f>IF(DAY(A402)='Main Budget'!$J$27,'Main Budget'!$E$27,0)</f>
        <v>0</v>
      </c>
      <c r="O402" s="228">
        <f>B402+(SUM(H402:M402)+(SUM(D402:E402)))</f>
        <v>100</v>
      </c>
      <c r="P402" s="228">
        <f>C402+F402+G402+N402</f>
        <v>100</v>
      </c>
      <c r="Q402" s="252">
        <f>O402+P402</f>
        <v>200</v>
      </c>
      <c r="S402" s="231" t="str">
        <f>TEXT(A402,"dddd")</f>
        <v>Friday</v>
      </c>
    </row>
    <row r="403" spans="1:19" x14ac:dyDescent="0.25">
      <c r="A403" s="226">
        <v>46424</v>
      </c>
      <c r="B403" s="227">
        <f>O402</f>
        <v>100</v>
      </c>
      <c r="C403" s="228">
        <f>P402</f>
        <v>100</v>
      </c>
      <c r="D403" s="228">
        <f>IF(OR(DAY(A403+2)=1,DAY(A403+2)=15),-SUM('Main Budget'!$H$26:$H$31),0)</f>
        <v>0</v>
      </c>
      <c r="E403" s="228">
        <f>IF(DAY(A403+2)=22,-SUM('Main Budget'!$F$26:$F$31),0)</f>
        <v>0</v>
      </c>
      <c r="F403" s="228">
        <f>IF(D403&gt;0,-'Main Budget'!$H$25+0.15,0)</f>
        <v>0</v>
      </c>
      <c r="G403" s="228">
        <f>IF(E403&gt;0,-'Main Budget'!$F$25+0.81,0)</f>
        <v>0</v>
      </c>
      <c r="H403" s="227">
        <f>IF(DAY(A403)='Main Budget'!$J$26,'Main Budget'!$E$26,0)</f>
        <v>0</v>
      </c>
      <c r="I403" s="227">
        <f>IF(DAY(A403)='Main Budget'!$J$28,'Main Budget'!$E$28,0)</f>
        <v>0</v>
      </c>
      <c r="J403" s="227">
        <f>IF(DAY(A403)='Main Budget'!$J$29,'Main Budget'!$E$29,0)</f>
        <v>0</v>
      </c>
      <c r="K403" s="20">
        <f>IF(DAY(A403)='Main Budget'!$J$30,'Main Budget'!$E$30,0)</f>
        <v>0</v>
      </c>
      <c r="L403" s="20">
        <f>IF(DAY(A403)='Main Budget'!$J$31,'Main Budget'!$E$31,0)</f>
        <v>0</v>
      </c>
      <c r="M403" s="20">
        <f>IF(DAY(A403)='Main Budget'!$J$27,'Main Budget'!$E$27,0)</f>
        <v>0</v>
      </c>
      <c r="O403" s="228">
        <f>B403+(SUM(H403:M403)+(SUM(D403:E403)))</f>
        <v>100</v>
      </c>
      <c r="P403" s="228">
        <f>C403+F403+G403+N403</f>
        <v>100</v>
      </c>
      <c r="Q403" s="252">
        <f>O403+P403</f>
        <v>200</v>
      </c>
      <c r="S403" s="231" t="str">
        <f>TEXT(A403,"dddd")</f>
        <v>Saturday</v>
      </c>
    </row>
    <row r="404" spans="1:19" x14ac:dyDescent="0.25">
      <c r="A404" s="226">
        <v>46425</v>
      </c>
      <c r="B404" s="227">
        <f>O403</f>
        <v>100</v>
      </c>
      <c r="C404" s="228">
        <f>P403</f>
        <v>100</v>
      </c>
      <c r="D404" s="228">
        <f>IF(OR(DAY(A404+2)=1,DAY(A404+2)=15),-SUM('Main Budget'!$H$26:$H$31),0)</f>
        <v>0</v>
      </c>
      <c r="E404" s="228">
        <f>IF(DAY(A404+2)=22,-SUM('Main Budget'!$F$26:$F$31),0)</f>
        <v>0</v>
      </c>
      <c r="F404" s="228">
        <f>IF(D404&gt;0,-'Main Budget'!$H$25+0.15,0)</f>
        <v>0</v>
      </c>
      <c r="G404" s="228">
        <f>IF(E404&gt;0,-'Main Budget'!$F$25+0.81,0)</f>
        <v>0</v>
      </c>
      <c r="H404" s="227">
        <f>IF(DAY(A404)='Main Budget'!$J$26,'Main Budget'!$E$26,0)</f>
        <v>0</v>
      </c>
      <c r="I404" s="227">
        <f>IF(DAY(A404)='Main Budget'!$J$28,'Main Budget'!$E$28,0)</f>
        <v>0</v>
      </c>
      <c r="J404" s="227">
        <f>IF(DAY(A404)='Main Budget'!$J$29,'Main Budget'!$E$29,0)</f>
        <v>0</v>
      </c>
      <c r="K404" s="20">
        <f>IF(DAY(A404)='Main Budget'!$J$30,'Main Budget'!$E$30,0)</f>
        <v>0</v>
      </c>
      <c r="L404" s="20">
        <f>IF(DAY(A404)='Main Budget'!$J$31,'Main Budget'!$E$31,0)</f>
        <v>0</v>
      </c>
      <c r="M404" s="20">
        <f>IF(DAY(A404)='Main Budget'!$J$27,'Main Budget'!$E$27,0)</f>
        <v>0</v>
      </c>
      <c r="O404" s="228">
        <f>B404+(SUM(H404:M404)+(SUM(D404:E404)))</f>
        <v>100</v>
      </c>
      <c r="P404" s="228">
        <f>C404+F404+G404+N404</f>
        <v>100</v>
      </c>
      <c r="Q404" s="252">
        <f>O404+P404</f>
        <v>200</v>
      </c>
      <c r="S404" s="231" t="str">
        <f>TEXT(A404,"dddd")</f>
        <v>Sunday</v>
      </c>
    </row>
    <row r="405" spans="1:19" x14ac:dyDescent="0.25">
      <c r="A405" s="226">
        <v>46426</v>
      </c>
      <c r="B405" s="227">
        <f>O404</f>
        <v>100</v>
      </c>
      <c r="C405" s="228">
        <f>P404</f>
        <v>100</v>
      </c>
      <c r="D405" s="228">
        <f>IF(OR(DAY(A405+2)=1,DAY(A405+2)=15),-SUM('Main Budget'!$H$26:$H$31),0)</f>
        <v>0</v>
      </c>
      <c r="E405" s="228">
        <f>IF(DAY(A405+2)=22,-SUM('Main Budget'!$F$26:$F$31),0)</f>
        <v>0</v>
      </c>
      <c r="F405" s="228">
        <f>IF(D405&gt;0,-'Main Budget'!$H$25+0.15,0)</f>
        <v>0</v>
      </c>
      <c r="G405" s="228">
        <f>IF(E405&gt;0,-'Main Budget'!$F$25+0.81,0)</f>
        <v>0</v>
      </c>
      <c r="H405" s="227">
        <f>IF(DAY(A405)='Main Budget'!$J$26,'Main Budget'!$E$26,0)</f>
        <v>0</v>
      </c>
      <c r="I405" s="227">
        <f>IF(DAY(A405)='Main Budget'!$J$28,'Main Budget'!$E$28,0)</f>
        <v>0</v>
      </c>
      <c r="J405" s="227">
        <f>IF(DAY(A405)='Main Budget'!$J$29,'Main Budget'!$E$29,0)</f>
        <v>0</v>
      </c>
      <c r="K405" s="20">
        <f>IF(DAY(A405)='Main Budget'!$J$30,'Main Budget'!$E$30,0)</f>
        <v>0</v>
      </c>
      <c r="L405" s="20">
        <f>IF(DAY(A405)='Main Budget'!$J$31,'Main Budget'!$E$31,0)</f>
        <v>0</v>
      </c>
      <c r="M405" s="20">
        <f>IF(DAY(A405)='Main Budget'!$J$27,'Main Budget'!$E$27,0)</f>
        <v>0</v>
      </c>
      <c r="O405" s="228">
        <f>B405+(SUM(H405:M405)+(SUM(D405:E405)))</f>
        <v>100</v>
      </c>
      <c r="P405" s="228">
        <f>C405+F405+G405+N405</f>
        <v>100</v>
      </c>
      <c r="Q405" s="252">
        <f>O405+P405</f>
        <v>200</v>
      </c>
      <c r="S405" s="231" t="str">
        <f>TEXT(A405,"dddd")</f>
        <v>Monday</v>
      </c>
    </row>
    <row r="406" spans="1:19" x14ac:dyDescent="0.25">
      <c r="A406" s="226">
        <v>46427</v>
      </c>
      <c r="B406" s="227">
        <f>O405</f>
        <v>100</v>
      </c>
      <c r="C406" s="228">
        <f>P405</f>
        <v>100</v>
      </c>
      <c r="D406" s="228">
        <f>IF(OR(DAY(A406+2)=1,DAY(A406+2)=15),-SUM('Main Budget'!$H$26:$H$31),0)</f>
        <v>0</v>
      </c>
      <c r="E406" s="228">
        <f>IF(DAY(A406+2)=22,-SUM('Main Budget'!$F$26:$F$31),0)</f>
        <v>0</v>
      </c>
      <c r="F406" s="228">
        <f>IF(D406&gt;0,-'Main Budget'!$H$25+0.15,0)</f>
        <v>0</v>
      </c>
      <c r="G406" s="228">
        <f>IF(E406&gt;0,-'Main Budget'!$F$25+0.81,0)</f>
        <v>0</v>
      </c>
      <c r="H406" s="227">
        <f>IF(DAY(A406)='Main Budget'!$J$26,'Main Budget'!$E$26,0)</f>
        <v>0</v>
      </c>
      <c r="I406" s="227">
        <f>IF(DAY(A406)='Main Budget'!$J$28,'Main Budget'!$E$28,0)</f>
        <v>0</v>
      </c>
      <c r="J406" s="227">
        <f>IF(DAY(A406)='Main Budget'!$J$29,'Main Budget'!$E$29,0)</f>
        <v>0</v>
      </c>
      <c r="K406" s="20">
        <f>IF(DAY(A406)='Main Budget'!$J$30,'Main Budget'!$E$30,0)</f>
        <v>0</v>
      </c>
      <c r="L406" s="20">
        <f>IF(DAY(A406)='Main Budget'!$J$31,'Main Budget'!$E$31,0)</f>
        <v>0</v>
      </c>
      <c r="M406" s="20">
        <f>IF(DAY(A406)='Main Budget'!$J$27,'Main Budget'!$E$27,0)</f>
        <v>0</v>
      </c>
      <c r="O406" s="228">
        <f>B406+(SUM(H406:M406)+(SUM(D406:E406)))</f>
        <v>100</v>
      </c>
      <c r="P406" s="228">
        <f>C406+F406+G406+N406</f>
        <v>100</v>
      </c>
      <c r="Q406" s="252">
        <f>O406+P406</f>
        <v>200</v>
      </c>
      <c r="S406" s="231" t="str">
        <f>TEXT(A406,"dddd")</f>
        <v>Tuesday</v>
      </c>
    </row>
    <row r="407" spans="1:19" x14ac:dyDescent="0.25">
      <c r="A407" s="226">
        <v>46428</v>
      </c>
      <c r="B407" s="227">
        <f>O406</f>
        <v>100</v>
      </c>
      <c r="C407" s="228">
        <f>P406</f>
        <v>100</v>
      </c>
      <c r="D407" s="228">
        <f>IF(OR(DAY(A407+2)=1,DAY(A407+2)=15),-SUM('Main Budget'!$H$26:$H$31),0)</f>
        <v>0</v>
      </c>
      <c r="E407" s="228">
        <f>IF(DAY(A407+2)=22,-SUM('Main Budget'!$F$26:$F$31),0)</f>
        <v>0</v>
      </c>
      <c r="F407" s="228">
        <f>IF(D407&gt;0,-'Main Budget'!$H$25+0.15,0)</f>
        <v>0</v>
      </c>
      <c r="G407" s="228">
        <f>IF(E407&gt;0,-'Main Budget'!$F$25+0.81,0)</f>
        <v>0</v>
      </c>
      <c r="H407" s="227">
        <f>IF(DAY(A407)='Main Budget'!$J$26,'Main Budget'!$E$26,0)</f>
        <v>0</v>
      </c>
      <c r="I407" s="227">
        <f>IF(DAY(A407)='Main Budget'!$J$28,'Main Budget'!$E$28,0)</f>
        <v>0</v>
      </c>
      <c r="J407" s="227">
        <f>IF(DAY(A407)='Main Budget'!$J$29,'Main Budget'!$E$29,0)</f>
        <v>0</v>
      </c>
      <c r="K407" s="20">
        <f>IF(DAY(A407)='Main Budget'!$J$30,'Main Budget'!$E$30,0)</f>
        <v>0</v>
      </c>
      <c r="L407" s="20">
        <f>IF(DAY(A407)='Main Budget'!$J$31,'Main Budget'!$E$31,0)</f>
        <v>0</v>
      </c>
      <c r="M407" s="20">
        <f>IF(DAY(A407)='Main Budget'!$J$27,'Main Budget'!$E$27,0)</f>
        <v>0</v>
      </c>
      <c r="O407" s="228">
        <f>B407+(SUM(H407:M407)+(SUM(D407:E407)))</f>
        <v>100</v>
      </c>
      <c r="P407" s="228">
        <f>C407+F407+G407+N407</f>
        <v>100</v>
      </c>
      <c r="Q407" s="252">
        <f>O407+P407</f>
        <v>200</v>
      </c>
      <c r="S407" s="231" t="str">
        <f>TEXT(A407,"dddd")</f>
        <v>Wednesday</v>
      </c>
    </row>
    <row r="408" spans="1:19" x14ac:dyDescent="0.25">
      <c r="A408" s="226">
        <v>46429</v>
      </c>
      <c r="B408" s="227">
        <f>O407</f>
        <v>100</v>
      </c>
      <c r="C408" s="228">
        <f>P407</f>
        <v>100</v>
      </c>
      <c r="D408" s="228">
        <f>IF(OR(DAY(A408+2)=1,DAY(A408+2)=15),-SUM('Main Budget'!$H$26:$H$31),0)</f>
        <v>0</v>
      </c>
      <c r="E408" s="228">
        <f>IF(DAY(A408+2)=22,-SUM('Main Budget'!$F$26:$F$31),0)</f>
        <v>0</v>
      </c>
      <c r="F408" s="228">
        <f>IF(D408&gt;0,-'Main Budget'!$H$25+0.15,0)</f>
        <v>0</v>
      </c>
      <c r="G408" s="228">
        <f>IF(E408&gt;0,-'Main Budget'!$F$25+0.81,0)</f>
        <v>0</v>
      </c>
      <c r="H408" s="227">
        <f>IF(DAY(A408)='Main Budget'!$J$26,'Main Budget'!$E$26,0)</f>
        <v>0</v>
      </c>
      <c r="I408" s="227">
        <f>IF(DAY(A408)='Main Budget'!$J$28,'Main Budget'!$E$28,0)</f>
        <v>0</v>
      </c>
      <c r="J408" s="227">
        <f>IF(DAY(A408)='Main Budget'!$J$29,'Main Budget'!$E$29,0)</f>
        <v>0</v>
      </c>
      <c r="K408" s="20">
        <f>IF(DAY(A408)='Main Budget'!$J$30,'Main Budget'!$E$30,0)</f>
        <v>0</v>
      </c>
      <c r="L408" s="20">
        <f>IF(DAY(A408)='Main Budget'!$J$31,'Main Budget'!$E$31,0)</f>
        <v>0</v>
      </c>
      <c r="M408" s="20">
        <f>IF(DAY(A408)='Main Budget'!$J$27,'Main Budget'!$E$27,0)</f>
        <v>0</v>
      </c>
      <c r="O408" s="228">
        <f>B408+(SUM(H408:M408)+(SUM(D408:E408)))</f>
        <v>100</v>
      </c>
      <c r="P408" s="228">
        <f>C408+F408+G408+N408</f>
        <v>100</v>
      </c>
      <c r="Q408" s="252">
        <f>O408+P408</f>
        <v>200</v>
      </c>
      <c r="S408" s="231" t="str">
        <f>TEXT(A408,"dddd")</f>
        <v>Thursday</v>
      </c>
    </row>
    <row r="409" spans="1:19" x14ac:dyDescent="0.25">
      <c r="A409" s="226">
        <v>46430</v>
      </c>
      <c r="B409" s="227">
        <f>O408</f>
        <v>100</v>
      </c>
      <c r="C409" s="228">
        <f>P408</f>
        <v>100</v>
      </c>
      <c r="D409" s="228">
        <f>IF(OR(DAY(A409+2)=1,DAY(A409+2)=15),-SUM('Main Budget'!$H$26:$H$31),0)</f>
        <v>0</v>
      </c>
      <c r="E409" s="228">
        <f>IF(DAY(A409+2)=22,-SUM('Main Budget'!$F$26:$F$31),0)</f>
        <v>0</v>
      </c>
      <c r="F409" s="228">
        <f>IF(D409&gt;0,-'Main Budget'!$H$25+0.15,0)</f>
        <v>0</v>
      </c>
      <c r="G409" s="228">
        <f>IF(E409&gt;0,-'Main Budget'!$F$25+0.81,0)</f>
        <v>0</v>
      </c>
      <c r="H409" s="227">
        <f>IF(DAY(A409)='Main Budget'!$J$26,'Main Budget'!$E$26,0)</f>
        <v>0</v>
      </c>
      <c r="I409" s="227">
        <f>IF(DAY(A409)='Main Budget'!$J$28,'Main Budget'!$E$28,0)</f>
        <v>0</v>
      </c>
      <c r="J409" s="227">
        <f>IF(DAY(A409)='Main Budget'!$J$29,'Main Budget'!$E$29,0)</f>
        <v>0</v>
      </c>
      <c r="K409" s="20">
        <f>IF(DAY(A409)='Main Budget'!$J$30,'Main Budget'!$E$30,0)</f>
        <v>0</v>
      </c>
      <c r="L409" s="20">
        <f>IF(DAY(A409)='Main Budget'!$J$31,'Main Budget'!$E$31,0)</f>
        <v>0</v>
      </c>
      <c r="M409" s="20">
        <f>IF(DAY(A409)='Main Budget'!$J$27,'Main Budget'!$E$27,0)</f>
        <v>0</v>
      </c>
      <c r="O409" s="228">
        <f>B409+(SUM(H409:M409)+(SUM(D409:E409)))</f>
        <v>100</v>
      </c>
      <c r="P409" s="228">
        <f>C409+F409+G409+N409</f>
        <v>100</v>
      </c>
      <c r="Q409" s="252">
        <f>O409+P409</f>
        <v>200</v>
      </c>
      <c r="S409" s="231" t="str">
        <f>TEXT(A409,"dddd")</f>
        <v>Friday</v>
      </c>
    </row>
    <row r="410" spans="1:19" x14ac:dyDescent="0.25">
      <c r="A410" s="226">
        <v>46431</v>
      </c>
      <c r="B410" s="227">
        <f>O409</f>
        <v>100</v>
      </c>
      <c r="C410" s="228">
        <f>P409</f>
        <v>100</v>
      </c>
      <c r="D410" s="228">
        <f>IF(OR(DAY(A410+2)=1,DAY(A410+2)=15),-SUM('Main Budget'!$H$26:$H$31),0)</f>
        <v>0</v>
      </c>
      <c r="E410" s="228">
        <f>IF(DAY(A410+2)=22,-SUM('Main Budget'!$F$26:$F$31),0)</f>
        <v>0</v>
      </c>
      <c r="F410" s="228">
        <f>IF(D410&gt;0,-'Main Budget'!$H$25+0.15,0)</f>
        <v>0</v>
      </c>
      <c r="G410" s="228">
        <f>IF(E410&gt;0,-'Main Budget'!$F$25+0.81,0)</f>
        <v>0</v>
      </c>
      <c r="H410" s="227">
        <f>IF(DAY(A410)='Main Budget'!$J$26,'Main Budget'!$E$26,0)</f>
        <v>0</v>
      </c>
      <c r="I410" s="227">
        <f>IF(DAY(A410)='Main Budget'!$J$28,'Main Budget'!$E$28,0)</f>
        <v>0</v>
      </c>
      <c r="J410" s="227">
        <f>IF(DAY(A410)='Main Budget'!$J$29,'Main Budget'!$E$29,0)</f>
        <v>0</v>
      </c>
      <c r="K410" s="20">
        <f>IF(DAY(A410)='Main Budget'!$J$30,'Main Budget'!$E$30,0)</f>
        <v>0</v>
      </c>
      <c r="L410" s="20">
        <f>IF(DAY(A410)='Main Budget'!$J$31,'Main Budget'!$E$31,0)</f>
        <v>0</v>
      </c>
      <c r="M410" s="20">
        <f>IF(DAY(A410)='Main Budget'!$J$27,'Main Budget'!$E$27,0)</f>
        <v>0</v>
      </c>
      <c r="O410" s="228">
        <f>B410+(SUM(H410:M410)+(SUM(D410:E410)))</f>
        <v>100</v>
      </c>
      <c r="P410" s="228">
        <f>C410+F410+G410+N410</f>
        <v>100</v>
      </c>
      <c r="Q410" s="252">
        <f>O410+P410</f>
        <v>200</v>
      </c>
      <c r="S410" s="231" t="str">
        <f>TEXT(A410,"dddd")</f>
        <v>Saturday</v>
      </c>
    </row>
    <row r="411" spans="1:19" x14ac:dyDescent="0.25">
      <c r="A411" s="226">
        <v>46432</v>
      </c>
      <c r="B411" s="227">
        <f>O410</f>
        <v>100</v>
      </c>
      <c r="C411" s="228">
        <f>P410</f>
        <v>100</v>
      </c>
      <c r="D411" s="228">
        <f>IF(OR(DAY(A411+2)=1,DAY(A411+2)=15),-SUM('Main Budget'!$H$26:$H$31),0)</f>
        <v>0</v>
      </c>
      <c r="E411" s="228">
        <f>IF(DAY(A411+2)=22,-SUM('Main Budget'!$F$26:$F$31),0)</f>
        <v>0</v>
      </c>
      <c r="F411" s="228">
        <f>IF(D411&gt;0,-'Main Budget'!$H$25+0.15,0)</f>
        <v>0</v>
      </c>
      <c r="G411" s="228">
        <f>IF(E411&gt;0,-'Main Budget'!$F$25+0.81,0)</f>
        <v>0</v>
      </c>
      <c r="H411" s="227">
        <f>IF(DAY(A411)='Main Budget'!$J$26,'Main Budget'!$E$26,0)</f>
        <v>0</v>
      </c>
      <c r="I411" s="227">
        <f>IF(DAY(A411)='Main Budget'!$J$28,'Main Budget'!$E$28,0)</f>
        <v>0</v>
      </c>
      <c r="J411" s="227">
        <f>IF(DAY(A411)='Main Budget'!$J$29,'Main Budget'!$E$29,0)</f>
        <v>0</v>
      </c>
      <c r="K411" s="20">
        <f>IF(DAY(A411)='Main Budget'!$J$30,'Main Budget'!$E$30,0)</f>
        <v>0</v>
      </c>
      <c r="L411" s="20">
        <f>IF(DAY(A411)='Main Budget'!$J$31,'Main Budget'!$E$31,0)</f>
        <v>0</v>
      </c>
      <c r="M411" s="20">
        <f>IF(DAY(A411)='Main Budget'!$J$27,'Main Budget'!$E$27,0)</f>
        <v>0</v>
      </c>
      <c r="O411" s="228">
        <f>B411+(SUM(H411:M411)+(SUM(D411:E411)))</f>
        <v>100</v>
      </c>
      <c r="P411" s="228">
        <f>C411+F411+G411+N411</f>
        <v>100</v>
      </c>
      <c r="Q411" s="252">
        <f>O411+P411</f>
        <v>200</v>
      </c>
      <c r="S411" s="231" t="str">
        <f>TEXT(A411,"dddd")</f>
        <v>Sunday</v>
      </c>
    </row>
    <row r="412" spans="1:19" x14ac:dyDescent="0.25">
      <c r="A412" s="226">
        <v>46433</v>
      </c>
      <c r="B412" s="227">
        <f>O411</f>
        <v>100</v>
      </c>
      <c r="C412" s="228">
        <f>P411</f>
        <v>100</v>
      </c>
      <c r="D412" s="228">
        <f>IF(OR(DAY(A412+2)=1,DAY(A412+2)=15),-SUM('Main Budget'!$H$26:$H$31),0)</f>
        <v>0</v>
      </c>
      <c r="E412" s="228">
        <f>IF(DAY(A412+2)=22,-SUM('Main Budget'!$F$26:$F$31),0)</f>
        <v>0</v>
      </c>
      <c r="F412" s="228">
        <f>IF(D412&gt;0,-'Main Budget'!$H$25+0.15,0)</f>
        <v>0</v>
      </c>
      <c r="G412" s="228">
        <f>IF(E412&gt;0,-'Main Budget'!$F$25+0.81,0)</f>
        <v>0</v>
      </c>
      <c r="H412" s="227">
        <f>IF(DAY(A412)='Main Budget'!$J$26,'Main Budget'!$E$26,0)</f>
        <v>0</v>
      </c>
      <c r="I412" s="227">
        <f>IF(DAY(A412)='Main Budget'!$J$28,'Main Budget'!$E$28,0)</f>
        <v>0</v>
      </c>
      <c r="J412" s="227">
        <f>IF(DAY(A412)='Main Budget'!$J$29,'Main Budget'!$E$29,0)</f>
        <v>0</v>
      </c>
      <c r="K412" s="20">
        <f>IF(DAY(A412)='Main Budget'!$J$30,'Main Budget'!$E$30,0)</f>
        <v>0</v>
      </c>
      <c r="L412" s="20">
        <f>IF(DAY(A412)='Main Budget'!$J$31,'Main Budget'!$E$31,0)</f>
        <v>0</v>
      </c>
      <c r="M412" s="20">
        <f>IF(DAY(A412)='Main Budget'!$J$27,'Main Budget'!$E$27,0)</f>
        <v>0</v>
      </c>
      <c r="O412" s="228">
        <f>B412+(SUM(H412:M412)+(SUM(D412:E412)))</f>
        <v>100</v>
      </c>
      <c r="P412" s="228">
        <f>C412+F412+G412+N412</f>
        <v>100</v>
      </c>
      <c r="Q412" s="252">
        <f>O412+P412</f>
        <v>200</v>
      </c>
      <c r="S412" s="231" t="str">
        <f>TEXT(A412,"dddd")</f>
        <v>Monday</v>
      </c>
    </row>
    <row r="413" spans="1:19" x14ac:dyDescent="0.25">
      <c r="A413" s="226">
        <v>46434</v>
      </c>
      <c r="B413" s="227">
        <f>O412</f>
        <v>100</v>
      </c>
      <c r="C413" s="228">
        <f>P412</f>
        <v>100</v>
      </c>
      <c r="D413" s="228">
        <f>IF(OR(DAY(A413+2)=1,DAY(A413+2)=15),-SUM('Main Budget'!$H$26:$H$31),0)</f>
        <v>0</v>
      </c>
      <c r="E413" s="228">
        <f>IF(DAY(A413+2)=22,-SUM('Main Budget'!$F$26:$F$31),0)</f>
        <v>0</v>
      </c>
      <c r="F413" s="228">
        <f>IF(D413&gt;0,-'Main Budget'!$H$25+0.15,0)</f>
        <v>0</v>
      </c>
      <c r="G413" s="228">
        <f>IF(E413&gt;0,-'Main Budget'!$F$25+0.81,0)</f>
        <v>0</v>
      </c>
      <c r="H413" s="227">
        <f>IF(DAY(A413)='Main Budget'!$J$26,'Main Budget'!$E$26,0)</f>
        <v>0</v>
      </c>
      <c r="I413" s="227">
        <f>IF(DAY(A413)='Main Budget'!$J$28,'Main Budget'!$E$28,0)</f>
        <v>0</v>
      </c>
      <c r="J413" s="227">
        <f>IF(DAY(A413)='Main Budget'!$J$29,'Main Budget'!$E$29,0)</f>
        <v>0</v>
      </c>
      <c r="K413" s="20">
        <f>IF(DAY(A413)='Main Budget'!$J$30,'Main Budget'!$E$30,0)</f>
        <v>0</v>
      </c>
      <c r="L413" s="20">
        <f>IF(DAY(A413)='Main Budget'!$J$31,'Main Budget'!$E$31,0)</f>
        <v>0</v>
      </c>
      <c r="M413" s="20">
        <f>IF(DAY(A413)='Main Budget'!$J$27,'Main Budget'!$E$27,0)</f>
        <v>0</v>
      </c>
      <c r="O413" s="228">
        <f>B413+(SUM(H413:M413)+(SUM(D413:E413)))</f>
        <v>100</v>
      </c>
      <c r="P413" s="228">
        <f>C413+F413+G413+N413</f>
        <v>100</v>
      </c>
      <c r="Q413" s="252">
        <f>O413+P413</f>
        <v>200</v>
      </c>
      <c r="S413" s="231" t="str">
        <f>TEXT(A413,"dddd")</f>
        <v>Tuesday</v>
      </c>
    </row>
    <row r="414" spans="1:19" x14ac:dyDescent="0.25">
      <c r="A414" s="226">
        <v>46435</v>
      </c>
      <c r="B414" s="227">
        <f>O413</f>
        <v>100</v>
      </c>
      <c r="C414" s="228">
        <f>P413</f>
        <v>100</v>
      </c>
      <c r="D414" s="228">
        <f>IF(OR(DAY(A414+2)=1,DAY(A414+2)=15),-SUM('Main Budget'!$H$26:$H$31),0)</f>
        <v>0</v>
      </c>
      <c r="E414" s="228">
        <f>IF(DAY(A414+2)=22,-SUM('Main Budget'!$F$26:$F$31),0)</f>
        <v>0</v>
      </c>
      <c r="F414" s="228">
        <f>IF(D414&gt;0,-'Main Budget'!$H$25+0.15,0)</f>
        <v>0</v>
      </c>
      <c r="G414" s="228">
        <f>IF(E414&gt;0,-'Main Budget'!$F$25+0.81,0)</f>
        <v>0</v>
      </c>
      <c r="H414" s="227">
        <f>IF(DAY(A414)='Main Budget'!$J$26,'Main Budget'!$E$26,0)</f>
        <v>0</v>
      </c>
      <c r="I414" s="227">
        <f>IF(DAY(A414)='Main Budget'!$J$28,'Main Budget'!$E$28,0)</f>
        <v>0</v>
      </c>
      <c r="J414" s="227">
        <f>IF(DAY(A414)='Main Budget'!$J$29,'Main Budget'!$E$29,0)</f>
        <v>0</v>
      </c>
      <c r="K414" s="20">
        <f>IF(DAY(A414)='Main Budget'!$J$30,'Main Budget'!$E$30,0)</f>
        <v>0</v>
      </c>
      <c r="L414" s="20">
        <f>IF(DAY(A414)='Main Budget'!$J$31,'Main Budget'!$E$31,0)</f>
        <v>0</v>
      </c>
      <c r="M414" s="20">
        <f>IF(DAY(A414)='Main Budget'!$J$27,'Main Budget'!$E$27,0)</f>
        <v>0</v>
      </c>
      <c r="O414" s="228">
        <f>B414+(SUM(H414:M414)+(SUM(D414:E414)))</f>
        <v>100</v>
      </c>
      <c r="P414" s="228">
        <f>C414+F414+G414+N414</f>
        <v>100</v>
      </c>
      <c r="Q414" s="252">
        <f>O414+P414</f>
        <v>200</v>
      </c>
      <c r="S414" s="231" t="str">
        <f>TEXT(A414,"dddd")</f>
        <v>Wednesday</v>
      </c>
    </row>
    <row r="415" spans="1:19" x14ac:dyDescent="0.25">
      <c r="A415" s="226">
        <v>46436</v>
      </c>
      <c r="B415" s="227">
        <f>O414</f>
        <v>100</v>
      </c>
      <c r="C415" s="228">
        <f>P414</f>
        <v>100</v>
      </c>
      <c r="D415" s="228">
        <f>IF(OR(DAY(A415+2)=1,DAY(A415+2)=15),-SUM('Main Budget'!$H$26:$H$31),0)</f>
        <v>0</v>
      </c>
      <c r="E415" s="228">
        <f>IF(DAY(A415+2)=22,-SUM('Main Budget'!$F$26:$F$31),0)</f>
        <v>0</v>
      </c>
      <c r="F415" s="228">
        <f>IF(D415&gt;0,-'Main Budget'!$H$25+0.15,0)</f>
        <v>0</v>
      </c>
      <c r="G415" s="228">
        <f>IF(E415&gt;0,-'Main Budget'!$F$25+0.81,0)</f>
        <v>0</v>
      </c>
      <c r="H415" s="227">
        <f>IF(DAY(A415)='Main Budget'!$J$26,'Main Budget'!$E$26,0)</f>
        <v>0</v>
      </c>
      <c r="I415" s="227">
        <f>IF(DAY(A415)='Main Budget'!$J$28,'Main Budget'!$E$28,0)</f>
        <v>0</v>
      </c>
      <c r="J415" s="227">
        <f>IF(DAY(A415)='Main Budget'!$J$29,'Main Budget'!$E$29,0)</f>
        <v>0</v>
      </c>
      <c r="K415" s="20">
        <f>IF(DAY(A415)='Main Budget'!$J$30,'Main Budget'!$E$30,0)</f>
        <v>0</v>
      </c>
      <c r="L415" s="20">
        <f>IF(DAY(A415)='Main Budget'!$J$31,'Main Budget'!$E$31,0)</f>
        <v>0</v>
      </c>
      <c r="M415" s="20">
        <f>IF(DAY(A415)='Main Budget'!$J$27,'Main Budget'!$E$27,0)</f>
        <v>0</v>
      </c>
      <c r="O415" s="228">
        <f>B415+(SUM(H415:M415)+(SUM(D415:E415)))</f>
        <v>100</v>
      </c>
      <c r="P415" s="228">
        <f>C415+F415+G415+N415</f>
        <v>100</v>
      </c>
      <c r="Q415" s="252">
        <f>O415+P415</f>
        <v>200</v>
      </c>
      <c r="S415" s="231" t="str">
        <f>TEXT(A415,"dddd")</f>
        <v>Thursday</v>
      </c>
    </row>
    <row r="416" spans="1:19" x14ac:dyDescent="0.25">
      <c r="A416" s="226">
        <v>46437</v>
      </c>
      <c r="B416" s="227">
        <f>O415</f>
        <v>100</v>
      </c>
      <c r="C416" s="228">
        <f>P415</f>
        <v>100</v>
      </c>
      <c r="D416" s="228">
        <f>IF(OR(DAY(A416+2)=1,DAY(A416+2)=15),-SUM('Main Budget'!$H$26:$H$31),0)</f>
        <v>0</v>
      </c>
      <c r="E416" s="228">
        <f>IF(DAY(A416+2)=22,-SUM('Main Budget'!$F$26:$F$31),0)</f>
        <v>0</v>
      </c>
      <c r="F416" s="228">
        <f>IF(D416&gt;0,-'Main Budget'!$H$25+0.15,0)</f>
        <v>0</v>
      </c>
      <c r="G416" s="228">
        <f>IF(E416&gt;0,-'Main Budget'!$F$25+0.81,0)</f>
        <v>0</v>
      </c>
      <c r="H416" s="227">
        <f>IF(DAY(A416)='Main Budget'!$J$26,'Main Budget'!$E$26,0)</f>
        <v>0</v>
      </c>
      <c r="I416" s="227">
        <f>IF(DAY(A416)='Main Budget'!$J$28,'Main Budget'!$E$28,0)</f>
        <v>0</v>
      </c>
      <c r="J416" s="227">
        <f>IF(DAY(A416)='Main Budget'!$J$29,'Main Budget'!$E$29,0)</f>
        <v>0</v>
      </c>
      <c r="K416" s="20">
        <f>IF(DAY(A416)='Main Budget'!$J$30,'Main Budget'!$E$30,0)</f>
        <v>0</v>
      </c>
      <c r="L416" s="20">
        <f>IF(DAY(A416)='Main Budget'!$J$31,'Main Budget'!$E$31,0)</f>
        <v>0</v>
      </c>
      <c r="M416" s="20">
        <f>IF(DAY(A416)='Main Budget'!$J$27,'Main Budget'!$E$27,0)</f>
        <v>0</v>
      </c>
      <c r="O416" s="228">
        <f>B416+(SUM(H416:M416)+(SUM(D416:E416)))</f>
        <v>100</v>
      </c>
      <c r="P416" s="228">
        <f>C416+F416+G416+N416</f>
        <v>100</v>
      </c>
      <c r="Q416" s="252">
        <f>O416+P416</f>
        <v>200</v>
      </c>
      <c r="S416" s="231" t="str">
        <f>TEXT(A416,"dddd")</f>
        <v>Friday</v>
      </c>
    </row>
    <row r="417" spans="1:19" x14ac:dyDescent="0.25">
      <c r="A417" s="226">
        <v>46438</v>
      </c>
      <c r="B417" s="227">
        <f>O416</f>
        <v>100</v>
      </c>
      <c r="C417" s="228">
        <f>P416</f>
        <v>100</v>
      </c>
      <c r="D417" s="228">
        <f>IF(OR(DAY(A417+2)=1,DAY(A417+2)=15),-SUM('Main Budget'!$H$26:$H$31),0)</f>
        <v>0</v>
      </c>
      <c r="E417" s="228">
        <f>IF(DAY(A417+2)=22,-SUM('Main Budget'!$F$26:$F$31),0)</f>
        <v>0</v>
      </c>
      <c r="F417" s="228">
        <f>IF(D417&gt;0,-'Main Budget'!$H$25+0.15,0)</f>
        <v>0</v>
      </c>
      <c r="G417" s="228">
        <f>IF(E417&gt;0,-'Main Budget'!$F$25+0.81,0)</f>
        <v>0</v>
      </c>
      <c r="H417" s="227">
        <f>IF(DAY(A417)='Main Budget'!$J$26,'Main Budget'!$E$26,0)</f>
        <v>0</v>
      </c>
      <c r="I417" s="227">
        <f>IF(DAY(A417)='Main Budget'!$J$28,'Main Budget'!$E$28,0)</f>
        <v>0</v>
      </c>
      <c r="J417" s="227">
        <f>IF(DAY(A417)='Main Budget'!$J$29,'Main Budget'!$E$29,0)</f>
        <v>0</v>
      </c>
      <c r="K417" s="20">
        <f>IF(DAY(A417)='Main Budget'!$J$30,'Main Budget'!$E$30,0)</f>
        <v>0</v>
      </c>
      <c r="L417" s="20">
        <f>IF(DAY(A417)='Main Budget'!$J$31,'Main Budget'!$E$31,0)</f>
        <v>0</v>
      </c>
      <c r="M417" s="20">
        <f>IF(DAY(A417)='Main Budget'!$J$27,'Main Budget'!$E$27,0)</f>
        <v>0</v>
      </c>
      <c r="O417" s="228">
        <f>B417+(SUM(H417:M417)+(SUM(D417:E417)))</f>
        <v>100</v>
      </c>
      <c r="P417" s="228">
        <f>C417+F417+G417+N417</f>
        <v>100</v>
      </c>
      <c r="Q417" s="252">
        <f>O417+P417</f>
        <v>200</v>
      </c>
      <c r="S417" s="231" t="str">
        <f>TEXT(A417,"dddd")</f>
        <v>Saturday</v>
      </c>
    </row>
    <row r="418" spans="1:19" x14ac:dyDescent="0.25">
      <c r="A418" s="226">
        <v>46439</v>
      </c>
      <c r="B418" s="227">
        <f>O417</f>
        <v>100</v>
      </c>
      <c r="C418" s="228">
        <f>P417</f>
        <v>100</v>
      </c>
      <c r="D418" s="228">
        <f>IF(OR(DAY(A418+2)=1,DAY(A418+2)=15),-SUM('Main Budget'!$H$26:$H$31),0)</f>
        <v>0</v>
      </c>
      <c r="E418" s="228">
        <f>IF(DAY(A418+2)=22,-SUM('Main Budget'!$F$26:$F$31),0)</f>
        <v>0</v>
      </c>
      <c r="F418" s="228">
        <f>IF(D418&gt;0,-'Main Budget'!$H$25+0.15,0)</f>
        <v>0</v>
      </c>
      <c r="G418" s="228">
        <f>IF(E418&gt;0,-'Main Budget'!$F$25+0.81,0)</f>
        <v>0</v>
      </c>
      <c r="H418" s="227">
        <f>IF(DAY(A418)='Main Budget'!$J$26,'Main Budget'!$E$26,0)</f>
        <v>0</v>
      </c>
      <c r="I418" s="227">
        <f>IF(DAY(A418)='Main Budget'!$J$28,'Main Budget'!$E$28,0)</f>
        <v>0</v>
      </c>
      <c r="J418" s="227">
        <f>IF(DAY(A418)='Main Budget'!$J$29,'Main Budget'!$E$29,0)</f>
        <v>0</v>
      </c>
      <c r="K418" s="20">
        <f>IF(DAY(A418)='Main Budget'!$J$30,'Main Budget'!$E$30,0)</f>
        <v>0</v>
      </c>
      <c r="L418" s="20">
        <f>IF(DAY(A418)='Main Budget'!$J$31,'Main Budget'!$E$31,0)</f>
        <v>0</v>
      </c>
      <c r="M418" s="20">
        <f>IF(DAY(A418)='Main Budget'!$J$27,'Main Budget'!$E$27,0)</f>
        <v>0</v>
      </c>
      <c r="O418" s="228">
        <f>B418+(SUM(H418:M418)+(SUM(D418:E418)))</f>
        <v>100</v>
      </c>
      <c r="P418" s="228">
        <f>C418+F418+G418+N418</f>
        <v>100</v>
      </c>
      <c r="Q418" s="252">
        <f>O418+P418</f>
        <v>200</v>
      </c>
      <c r="S418" s="231" t="str">
        <f>TEXT(A418,"dddd")</f>
        <v>Sunday</v>
      </c>
    </row>
    <row r="419" spans="1:19" x14ac:dyDescent="0.25">
      <c r="A419" s="226">
        <v>46440</v>
      </c>
      <c r="B419" s="227">
        <f>O418</f>
        <v>100</v>
      </c>
      <c r="C419" s="228">
        <f>P418</f>
        <v>100</v>
      </c>
      <c r="D419" s="228">
        <f>IF(OR(DAY(A419+2)=1,DAY(A419+2)=15),-SUM('Main Budget'!$H$26:$H$31),0)</f>
        <v>0</v>
      </c>
      <c r="E419" s="228">
        <f>IF(DAY(A419+2)=22,-SUM('Main Budget'!$F$26:$F$31),0)</f>
        <v>0</v>
      </c>
      <c r="F419" s="228">
        <f>IF(D419&gt;0,-'Main Budget'!$H$25+0.15,0)</f>
        <v>0</v>
      </c>
      <c r="G419" s="228">
        <f>IF(E419&gt;0,-'Main Budget'!$F$25+0.81,0)</f>
        <v>0</v>
      </c>
      <c r="H419" s="227">
        <f>IF(DAY(A419)='Main Budget'!$J$26,'Main Budget'!$E$26,0)</f>
        <v>0</v>
      </c>
      <c r="I419" s="227">
        <f>IF(DAY(A419)='Main Budget'!$J$28,'Main Budget'!$E$28,0)</f>
        <v>0</v>
      </c>
      <c r="J419" s="227">
        <f>IF(DAY(A419)='Main Budget'!$J$29,'Main Budget'!$E$29,0)</f>
        <v>0</v>
      </c>
      <c r="K419" s="20">
        <f>IF(DAY(A419)='Main Budget'!$J$30,'Main Budget'!$E$30,0)</f>
        <v>0</v>
      </c>
      <c r="L419" s="20">
        <f>IF(DAY(A419)='Main Budget'!$J$31,'Main Budget'!$E$31,0)</f>
        <v>0</v>
      </c>
      <c r="M419" s="20">
        <f>IF(DAY(A419)='Main Budget'!$J$27,'Main Budget'!$E$27,0)</f>
        <v>0</v>
      </c>
      <c r="O419" s="228">
        <f>B419+(SUM(H419:M419)+(SUM(D419:E419)))</f>
        <v>100</v>
      </c>
      <c r="P419" s="228">
        <f>C419+F419+G419+N419</f>
        <v>100</v>
      </c>
      <c r="Q419" s="252">
        <f>O419+P419</f>
        <v>200</v>
      </c>
      <c r="S419" s="231" t="str">
        <f>TEXT(A419,"dddd")</f>
        <v>Monday</v>
      </c>
    </row>
    <row r="420" spans="1:19" x14ac:dyDescent="0.25">
      <c r="A420" s="226">
        <v>46441</v>
      </c>
      <c r="B420" s="227">
        <f>O419</f>
        <v>100</v>
      </c>
      <c r="C420" s="228">
        <f>P419</f>
        <v>100</v>
      </c>
      <c r="D420" s="228">
        <f>IF(OR(DAY(A420+2)=1,DAY(A420+2)=15),-SUM('Main Budget'!$H$26:$H$31),0)</f>
        <v>0</v>
      </c>
      <c r="E420" s="228">
        <f>IF(DAY(A420+2)=22,-SUM('Main Budget'!$F$26:$F$31),0)</f>
        <v>0</v>
      </c>
      <c r="F420" s="228">
        <f>IF(D420&gt;0,-'Main Budget'!$H$25+0.15,0)</f>
        <v>0</v>
      </c>
      <c r="G420" s="228">
        <f>IF(E420&gt;0,-'Main Budget'!$F$25+0.81,0)</f>
        <v>0</v>
      </c>
      <c r="H420" s="227">
        <f>IF(DAY(A420)='Main Budget'!$J$26,'Main Budget'!$E$26,0)</f>
        <v>0</v>
      </c>
      <c r="I420" s="227">
        <f>IF(DAY(A420)='Main Budget'!$J$28,'Main Budget'!$E$28,0)</f>
        <v>0</v>
      </c>
      <c r="J420" s="227">
        <f>IF(DAY(A420)='Main Budget'!$J$29,'Main Budget'!$E$29,0)</f>
        <v>0</v>
      </c>
      <c r="K420" s="20">
        <f>IF(DAY(A420)='Main Budget'!$J$30,'Main Budget'!$E$30,0)</f>
        <v>0</v>
      </c>
      <c r="L420" s="20">
        <f>IF(DAY(A420)='Main Budget'!$J$31,'Main Budget'!$E$31,0)</f>
        <v>0</v>
      </c>
      <c r="M420" s="20">
        <f>IF(DAY(A420)='Main Budget'!$J$27,'Main Budget'!$E$27,0)</f>
        <v>0</v>
      </c>
      <c r="O420" s="228">
        <f>B420+(SUM(H420:M420)+(SUM(D420:E420)))</f>
        <v>100</v>
      </c>
      <c r="P420" s="228">
        <f>C420+F420+G420+N420</f>
        <v>100</v>
      </c>
      <c r="Q420" s="252">
        <f>O420+P420</f>
        <v>200</v>
      </c>
      <c r="S420" s="231" t="str">
        <f>TEXT(A420,"dddd")</f>
        <v>Tuesday</v>
      </c>
    </row>
    <row r="421" spans="1:19" x14ac:dyDescent="0.25">
      <c r="A421" s="226">
        <v>46442</v>
      </c>
      <c r="B421" s="227">
        <f>O420</f>
        <v>100</v>
      </c>
      <c r="C421" s="228">
        <f>P420</f>
        <v>100</v>
      </c>
      <c r="D421" s="228">
        <f>IF(OR(DAY(A421+2)=1,DAY(A421+2)=15),-SUM('Main Budget'!$H$26:$H$31),0)</f>
        <v>0</v>
      </c>
      <c r="E421" s="228">
        <f>IF(DAY(A421+2)=22,-SUM('Main Budget'!$F$26:$F$31),0)</f>
        <v>0</v>
      </c>
      <c r="F421" s="228">
        <f>IF(D421&gt;0,-'Main Budget'!$H$25+0.15,0)</f>
        <v>0</v>
      </c>
      <c r="G421" s="228">
        <f>IF(E421&gt;0,-'Main Budget'!$F$25+0.81,0)</f>
        <v>0</v>
      </c>
      <c r="H421" s="227">
        <f>IF(DAY(A421)='Main Budget'!$J$26,'Main Budget'!$E$26,0)</f>
        <v>0</v>
      </c>
      <c r="I421" s="227">
        <f>IF(DAY(A421)='Main Budget'!$J$28,'Main Budget'!$E$28,0)</f>
        <v>0</v>
      </c>
      <c r="J421" s="227">
        <f>IF(DAY(A421)='Main Budget'!$J$29,'Main Budget'!$E$29,0)</f>
        <v>0</v>
      </c>
      <c r="K421" s="20">
        <f>IF(DAY(A421)='Main Budget'!$J$30,'Main Budget'!$E$30,0)</f>
        <v>0</v>
      </c>
      <c r="L421" s="20">
        <f>IF(DAY(A421)='Main Budget'!$J$31,'Main Budget'!$E$31,0)</f>
        <v>0</v>
      </c>
      <c r="M421" s="20">
        <f>IF(DAY(A421)='Main Budget'!$J$27,'Main Budget'!$E$27,0)</f>
        <v>0</v>
      </c>
      <c r="O421" s="228">
        <f>B421+(SUM(H421:M421)+(SUM(D421:E421)))</f>
        <v>100</v>
      </c>
      <c r="P421" s="228">
        <f>C421+F421+G421+N421</f>
        <v>100</v>
      </c>
      <c r="Q421" s="252">
        <f>O421+P421</f>
        <v>200</v>
      </c>
      <c r="S421" s="231" t="str">
        <f>TEXT(A421,"dddd")</f>
        <v>Wednesday</v>
      </c>
    </row>
    <row r="422" spans="1:19" x14ac:dyDescent="0.25">
      <c r="A422" s="226">
        <v>46443</v>
      </c>
      <c r="B422" s="227">
        <f>O421</f>
        <v>100</v>
      </c>
      <c r="C422" s="228">
        <f>P421</f>
        <v>100</v>
      </c>
      <c r="D422" s="228">
        <f>IF(OR(DAY(A422+2)=1,DAY(A422+2)=15),-SUM('Main Budget'!$H$26:$H$31),0)</f>
        <v>0</v>
      </c>
      <c r="E422" s="228">
        <f>IF(DAY(A422+2)=22,-SUM('Main Budget'!$F$26:$F$31),0)</f>
        <v>0</v>
      </c>
      <c r="F422" s="228">
        <f>IF(D422&gt;0,-'Main Budget'!$H$25+0.15,0)</f>
        <v>0</v>
      </c>
      <c r="G422" s="228">
        <f>IF(E422&gt;0,-'Main Budget'!$F$25+0.81,0)</f>
        <v>0</v>
      </c>
      <c r="H422" s="227">
        <f>IF(DAY(A422)='Main Budget'!$J$26,'Main Budget'!$E$26,0)</f>
        <v>0</v>
      </c>
      <c r="I422" s="227">
        <f>IF(DAY(A422)='Main Budget'!$J$28,'Main Budget'!$E$28,0)</f>
        <v>0</v>
      </c>
      <c r="J422" s="227">
        <f>IF(DAY(A422)='Main Budget'!$J$29,'Main Budget'!$E$29,0)</f>
        <v>0</v>
      </c>
      <c r="K422" s="20">
        <f>IF(DAY(A422)='Main Budget'!$J$30,'Main Budget'!$E$30,0)</f>
        <v>0</v>
      </c>
      <c r="L422" s="20">
        <f>IF(DAY(A422)='Main Budget'!$J$31,'Main Budget'!$E$31,0)</f>
        <v>0</v>
      </c>
      <c r="M422" s="20">
        <f>IF(DAY(A422)='Main Budget'!$J$27,'Main Budget'!$E$27,0)</f>
        <v>0</v>
      </c>
      <c r="O422" s="228">
        <f>B422+(SUM(H422:M422)+(SUM(D422:E422)))</f>
        <v>100</v>
      </c>
      <c r="P422" s="228">
        <f>C422+F422+G422+N422</f>
        <v>100</v>
      </c>
      <c r="Q422" s="252">
        <f>O422+P422</f>
        <v>200</v>
      </c>
      <c r="S422" s="231" t="str">
        <f>TEXT(A422,"dddd")</f>
        <v>Thursday</v>
      </c>
    </row>
    <row r="423" spans="1:19" x14ac:dyDescent="0.25">
      <c r="A423" s="226">
        <v>46444</v>
      </c>
      <c r="B423" s="227">
        <f>O422</f>
        <v>100</v>
      </c>
      <c r="C423" s="228">
        <f>P422</f>
        <v>100</v>
      </c>
      <c r="D423" s="228">
        <f>IF(OR(DAY(A423+2)=1,DAY(A423+2)=15),-SUM('Main Budget'!$H$26:$H$31),0)</f>
        <v>0</v>
      </c>
      <c r="E423" s="228">
        <f>IF(DAY(A423+2)=22,-SUM('Main Budget'!$F$26:$F$31),0)</f>
        <v>0</v>
      </c>
      <c r="F423" s="228">
        <f>IF(D423&gt;0,-'Main Budget'!$H$25+0.15,0)</f>
        <v>0</v>
      </c>
      <c r="G423" s="228">
        <f>IF(E423&gt;0,-'Main Budget'!$F$25+0.81,0)</f>
        <v>0</v>
      </c>
      <c r="H423" s="227">
        <f>IF(DAY(A423)='Main Budget'!$J$26,'Main Budget'!$E$26,0)</f>
        <v>0</v>
      </c>
      <c r="I423" s="227">
        <f>IF(DAY(A423)='Main Budget'!$J$28,'Main Budget'!$E$28,0)</f>
        <v>0</v>
      </c>
      <c r="J423" s="227">
        <f>IF(DAY(A423)='Main Budget'!$J$29,'Main Budget'!$E$29,0)</f>
        <v>0</v>
      </c>
      <c r="K423" s="20">
        <f>IF(DAY(A423)='Main Budget'!$J$30,'Main Budget'!$E$30,0)</f>
        <v>0</v>
      </c>
      <c r="L423" s="20">
        <f>IF(DAY(A423)='Main Budget'!$J$31,'Main Budget'!$E$31,0)</f>
        <v>0</v>
      </c>
      <c r="M423" s="20">
        <f>IF(DAY(A423)='Main Budget'!$J$27,'Main Budget'!$E$27,0)</f>
        <v>0</v>
      </c>
      <c r="O423" s="228">
        <f>B423+(SUM(H423:M423)+(SUM(D423:E423)))</f>
        <v>100</v>
      </c>
      <c r="P423" s="228">
        <f>C423+F423+G423+N423</f>
        <v>100</v>
      </c>
      <c r="Q423" s="252">
        <f>O423+P423</f>
        <v>200</v>
      </c>
      <c r="S423" s="231" t="str">
        <f>TEXT(A423,"dddd")</f>
        <v>Friday</v>
      </c>
    </row>
    <row r="424" spans="1:19" x14ac:dyDescent="0.25">
      <c r="A424" s="226">
        <v>46445</v>
      </c>
      <c r="B424" s="227">
        <f>O423</f>
        <v>100</v>
      </c>
      <c r="C424" s="228">
        <f>P423</f>
        <v>100</v>
      </c>
      <c r="D424" s="228">
        <f>IF(OR(DAY(A424+2)=1,DAY(A424+2)=15),-SUM('Main Budget'!$H$26:$H$31),0)</f>
        <v>0</v>
      </c>
      <c r="E424" s="228">
        <f>IF(DAY(A424+2)=22,-SUM('Main Budget'!$F$26:$F$31),0)</f>
        <v>0</v>
      </c>
      <c r="F424" s="228">
        <f>IF(D424&gt;0,-'Main Budget'!$H$25+0.15,0)</f>
        <v>0</v>
      </c>
      <c r="G424" s="228">
        <f>IF(E424&gt;0,-'Main Budget'!$F$25+0.81,0)</f>
        <v>0</v>
      </c>
      <c r="H424" s="227">
        <f>IF(DAY(A424)='Main Budget'!$J$26,'Main Budget'!$E$26,0)</f>
        <v>0</v>
      </c>
      <c r="I424" s="227">
        <f>IF(DAY(A424)='Main Budget'!$J$28,'Main Budget'!$E$28,0)</f>
        <v>0</v>
      </c>
      <c r="J424" s="227">
        <f>IF(DAY(A424)='Main Budget'!$J$29,'Main Budget'!$E$29,0)</f>
        <v>0</v>
      </c>
      <c r="K424" s="20">
        <f>IF(DAY(A424)='Main Budget'!$J$30,'Main Budget'!$E$30,0)</f>
        <v>0</v>
      </c>
      <c r="L424" s="20">
        <f>IF(DAY(A424)='Main Budget'!$J$31,'Main Budget'!$E$31,0)</f>
        <v>0</v>
      </c>
      <c r="M424" s="20">
        <f>IF(DAY(A424)='Main Budget'!$J$27,'Main Budget'!$E$27,0)</f>
        <v>0</v>
      </c>
      <c r="O424" s="228">
        <f>B424+(SUM(H424:M424)+(SUM(D424:E424)))</f>
        <v>100</v>
      </c>
      <c r="P424" s="228">
        <f>C424+F424+G424+N424</f>
        <v>100</v>
      </c>
      <c r="Q424" s="252">
        <f>O424+P424</f>
        <v>200</v>
      </c>
      <c r="S424" s="231" t="str">
        <f>TEXT(A424,"dddd")</f>
        <v>Saturday</v>
      </c>
    </row>
    <row r="425" spans="1:19" x14ac:dyDescent="0.25">
      <c r="A425" s="226">
        <v>46446</v>
      </c>
      <c r="B425" s="227">
        <f>O424</f>
        <v>100</v>
      </c>
      <c r="C425" s="228">
        <f>P424</f>
        <v>100</v>
      </c>
      <c r="D425" s="228">
        <f>IF(OR(DAY(A425+2)=1,DAY(A425+2)=15),-SUM('Main Budget'!$H$26:$H$31),0)</f>
        <v>0</v>
      </c>
      <c r="E425" s="228">
        <f>IF(DAY(A425+2)=22,-SUM('Main Budget'!$F$26:$F$31),0)</f>
        <v>0</v>
      </c>
      <c r="F425" s="228">
        <f>IF(D425&gt;0,-'Main Budget'!$H$25+0.15,0)</f>
        <v>0</v>
      </c>
      <c r="G425" s="228">
        <f>IF(E425&gt;0,-'Main Budget'!$F$25+0.81,0)</f>
        <v>0</v>
      </c>
      <c r="H425" s="227">
        <f>IF(DAY(A425)='Main Budget'!$J$26,'Main Budget'!$E$26,0)</f>
        <v>0</v>
      </c>
      <c r="I425" s="227">
        <f>IF(DAY(A425)='Main Budget'!$J$28,'Main Budget'!$E$28,0)</f>
        <v>0</v>
      </c>
      <c r="J425" s="227">
        <f>IF(DAY(A425)='Main Budget'!$J$29,'Main Budget'!$E$29,0)</f>
        <v>0</v>
      </c>
      <c r="K425" s="20">
        <f>IF(DAY(A425)='Main Budget'!$J$30,'Main Budget'!$E$30,0)</f>
        <v>0</v>
      </c>
      <c r="L425" s="20">
        <f>IF(DAY(A425)='Main Budget'!$J$31,'Main Budget'!$E$31,0)</f>
        <v>0</v>
      </c>
      <c r="M425" s="20">
        <f>IF(DAY(A425)='Main Budget'!$J$27,'Main Budget'!$E$27,0)</f>
        <v>0</v>
      </c>
      <c r="O425" s="228">
        <f>B425+(SUM(H425:M425)+(SUM(D425:E425)))</f>
        <v>100</v>
      </c>
      <c r="P425" s="228">
        <f>C425+F425+G425+N425</f>
        <v>100</v>
      </c>
      <c r="Q425" s="252">
        <f>O425+P425</f>
        <v>200</v>
      </c>
      <c r="S425" s="231" t="str">
        <f>TEXT(A425,"dddd")</f>
        <v>Sunday</v>
      </c>
    </row>
    <row r="426" spans="1:19" x14ac:dyDescent="0.25">
      <c r="A426" s="226">
        <v>46447</v>
      </c>
      <c r="B426" s="227">
        <f>O425</f>
        <v>100</v>
      </c>
      <c r="C426" s="228">
        <f>P425</f>
        <v>100</v>
      </c>
      <c r="D426" s="228">
        <f>IF(OR(DAY(A426+2)=1,DAY(A426+2)=15),-SUM('Main Budget'!$H$26:$H$31),0)</f>
        <v>0</v>
      </c>
      <c r="E426" s="228">
        <f>IF(DAY(A426+2)=22,-SUM('Main Budget'!$F$26:$F$31),0)</f>
        <v>0</v>
      </c>
      <c r="F426" s="228">
        <f>IF(D426&gt;0,-'Main Budget'!$H$25+0.15,0)</f>
        <v>0</v>
      </c>
      <c r="G426" s="228">
        <f>IF(E426&gt;0,-'Main Budget'!$F$25+0.81,0)</f>
        <v>0</v>
      </c>
      <c r="H426" s="227">
        <f>IF(DAY(A426)='Main Budget'!$J$26,'Main Budget'!$E$26,0)</f>
        <v>0</v>
      </c>
      <c r="I426" s="227">
        <f>IF(DAY(A426)='Main Budget'!$J$28,'Main Budget'!$E$28,0)</f>
        <v>0</v>
      </c>
      <c r="J426" s="227">
        <f>IF(DAY(A426)='Main Budget'!$J$29,'Main Budget'!$E$29,0)</f>
        <v>0</v>
      </c>
      <c r="K426" s="20">
        <f>IF(DAY(A426)='Main Budget'!$J$30,'Main Budget'!$E$30,0)</f>
        <v>0</v>
      </c>
      <c r="L426" s="20">
        <f>IF(DAY(A426)='Main Budget'!$J$31,'Main Budget'!$E$31,0)</f>
        <v>0</v>
      </c>
      <c r="M426" s="20">
        <f>IF(DAY(A426)='Main Budget'!$J$27,'Main Budget'!$E$27,0)</f>
        <v>0</v>
      </c>
      <c r="O426" s="228">
        <f>B426+(SUM(H426:M426)+(SUM(D426:E426)))</f>
        <v>100</v>
      </c>
      <c r="P426" s="228">
        <f>C426+F426+G426+N426</f>
        <v>100</v>
      </c>
      <c r="Q426" s="252">
        <f>O426+P426</f>
        <v>200</v>
      </c>
      <c r="S426" s="231" t="str">
        <f>TEXT(A426,"dddd")</f>
        <v>Monday</v>
      </c>
    </row>
    <row r="427" spans="1:19" x14ac:dyDescent="0.25">
      <c r="A427" s="226">
        <v>46448</v>
      </c>
      <c r="B427" s="227">
        <f>O426</f>
        <v>100</v>
      </c>
      <c r="C427" s="228">
        <f>P426</f>
        <v>100</v>
      </c>
      <c r="D427" s="228">
        <f>IF(OR(DAY(A427+2)=1,DAY(A427+2)=15),-SUM('Main Budget'!$H$26:$H$31),0)</f>
        <v>0</v>
      </c>
      <c r="E427" s="228">
        <f>IF(DAY(A427+2)=22,-SUM('Main Budget'!$F$26:$F$31),0)</f>
        <v>0</v>
      </c>
      <c r="F427" s="228">
        <f>IF(D427&gt;0,-'Main Budget'!$H$25+0.15,0)</f>
        <v>0</v>
      </c>
      <c r="G427" s="228">
        <f>IF(E427&gt;0,-'Main Budget'!$F$25+0.81,0)</f>
        <v>0</v>
      </c>
      <c r="H427" s="227">
        <f>IF(DAY(A427)='Main Budget'!$J$26,'Main Budget'!$E$26,0)</f>
        <v>0</v>
      </c>
      <c r="I427" s="227">
        <f>IF(DAY(A427)='Main Budget'!$J$28,'Main Budget'!$E$28,0)</f>
        <v>0</v>
      </c>
      <c r="J427" s="227">
        <f>IF(DAY(A427)='Main Budget'!$J$29,'Main Budget'!$E$29,0)</f>
        <v>0</v>
      </c>
      <c r="K427" s="20">
        <f>IF(DAY(A427)='Main Budget'!$J$30,'Main Budget'!$E$30,0)</f>
        <v>0</v>
      </c>
      <c r="L427" s="20">
        <f>IF(DAY(A427)='Main Budget'!$J$31,'Main Budget'!$E$31,0)</f>
        <v>0</v>
      </c>
      <c r="M427" s="20">
        <f>IF(DAY(A427)='Main Budget'!$J$27,'Main Budget'!$E$27,0)</f>
        <v>0</v>
      </c>
      <c r="O427" s="228">
        <f>B427+(SUM(H427:M427)+(SUM(D427:E427)))</f>
        <v>100</v>
      </c>
      <c r="P427" s="228">
        <f>C427+F427+G427+N427</f>
        <v>100</v>
      </c>
      <c r="Q427" s="252">
        <f>O427+P427</f>
        <v>200</v>
      </c>
      <c r="S427" s="231" t="str">
        <f>TEXT(A427,"dddd")</f>
        <v>Tuesday</v>
      </c>
    </row>
    <row r="428" spans="1:19" x14ac:dyDescent="0.25">
      <c r="A428" s="226">
        <v>46449</v>
      </c>
      <c r="B428" s="227">
        <f>O427</f>
        <v>100</v>
      </c>
      <c r="C428" s="228">
        <f>P427</f>
        <v>100</v>
      </c>
      <c r="D428" s="228">
        <f>IF(OR(DAY(A428+2)=1,DAY(A428+2)=15),-SUM('Main Budget'!$H$26:$H$31),0)</f>
        <v>0</v>
      </c>
      <c r="E428" s="228">
        <f>IF(DAY(A428+2)=22,-SUM('Main Budget'!$F$26:$F$31),0)</f>
        <v>0</v>
      </c>
      <c r="F428" s="228">
        <f>IF(D428&gt;0,-'Main Budget'!$H$25+0.15,0)</f>
        <v>0</v>
      </c>
      <c r="G428" s="228">
        <f>IF(E428&gt;0,-'Main Budget'!$F$25+0.81,0)</f>
        <v>0</v>
      </c>
      <c r="H428" s="227">
        <f>IF(DAY(A428)='Main Budget'!$J$26,'Main Budget'!$E$26,0)</f>
        <v>0</v>
      </c>
      <c r="I428" s="227">
        <f>IF(DAY(A428)='Main Budget'!$J$28,'Main Budget'!$E$28,0)</f>
        <v>0</v>
      </c>
      <c r="J428" s="227">
        <f>IF(DAY(A428)='Main Budget'!$J$29,'Main Budget'!$E$29,0)</f>
        <v>0</v>
      </c>
      <c r="K428" s="20">
        <f>IF(DAY(A428)='Main Budget'!$J$30,'Main Budget'!$E$30,0)</f>
        <v>0</v>
      </c>
      <c r="L428" s="20">
        <f>IF(DAY(A428)='Main Budget'!$J$31,'Main Budget'!$E$31,0)</f>
        <v>0</v>
      </c>
      <c r="M428" s="20">
        <f>IF(DAY(A428)='Main Budget'!$J$27,'Main Budget'!$E$27,0)</f>
        <v>0</v>
      </c>
      <c r="O428" s="228">
        <f>B428+(SUM(H428:M428)+(SUM(D428:E428)))</f>
        <v>100</v>
      </c>
      <c r="P428" s="228">
        <f>C428+F428+G428+N428</f>
        <v>100</v>
      </c>
      <c r="Q428" s="252">
        <f>O428+P428</f>
        <v>200</v>
      </c>
      <c r="S428" s="231" t="str">
        <f>TEXT(A428,"dddd")</f>
        <v>Wednesday</v>
      </c>
    </row>
    <row r="429" spans="1:19" x14ac:dyDescent="0.25">
      <c r="A429" s="226">
        <v>46450</v>
      </c>
      <c r="B429" s="227">
        <f>O428</f>
        <v>100</v>
      </c>
      <c r="C429" s="228">
        <f>P428</f>
        <v>100</v>
      </c>
      <c r="D429" s="228">
        <f>IF(OR(DAY(A429+2)=1,DAY(A429+2)=15),-SUM('Main Budget'!$H$26:$H$31),0)</f>
        <v>0</v>
      </c>
      <c r="E429" s="228">
        <f>IF(DAY(A429+2)=22,-SUM('Main Budget'!$F$26:$F$31),0)</f>
        <v>0</v>
      </c>
      <c r="F429" s="228">
        <f>IF(D429&gt;0,-'Main Budget'!$H$25+0.15,0)</f>
        <v>0</v>
      </c>
      <c r="G429" s="228">
        <f>IF(E429&gt;0,-'Main Budget'!$F$25+0.81,0)</f>
        <v>0</v>
      </c>
      <c r="H429" s="227">
        <f>IF(DAY(A429)='Main Budget'!$J$26,'Main Budget'!$E$26,0)</f>
        <v>0</v>
      </c>
      <c r="I429" s="227">
        <f>IF(DAY(A429)='Main Budget'!$J$28,'Main Budget'!$E$28,0)</f>
        <v>0</v>
      </c>
      <c r="J429" s="227">
        <f>IF(DAY(A429)='Main Budget'!$J$29,'Main Budget'!$E$29,0)</f>
        <v>0</v>
      </c>
      <c r="K429" s="20">
        <f>IF(DAY(A429)='Main Budget'!$J$30,'Main Budget'!$E$30,0)</f>
        <v>0</v>
      </c>
      <c r="L429" s="20">
        <f>IF(DAY(A429)='Main Budget'!$J$31,'Main Budget'!$E$31,0)</f>
        <v>0</v>
      </c>
      <c r="M429" s="20">
        <f>IF(DAY(A429)='Main Budget'!$J$27,'Main Budget'!$E$27,0)</f>
        <v>0</v>
      </c>
      <c r="O429" s="228">
        <f>B429+(SUM(H429:M429)+(SUM(D429:E429)))</f>
        <v>100</v>
      </c>
      <c r="P429" s="228">
        <f>C429+F429+G429+N429</f>
        <v>100</v>
      </c>
      <c r="Q429" s="252">
        <f>O429+P429</f>
        <v>200</v>
      </c>
      <c r="S429" s="231" t="str">
        <f>TEXT(A429,"dddd")</f>
        <v>Thursday</v>
      </c>
    </row>
    <row r="430" spans="1:19" x14ac:dyDescent="0.25">
      <c r="A430" s="226">
        <v>46451</v>
      </c>
      <c r="B430" s="227">
        <f>O429</f>
        <v>100</v>
      </c>
      <c r="C430" s="228">
        <f>P429</f>
        <v>100</v>
      </c>
      <c r="D430" s="228">
        <f>IF(OR(DAY(A430+2)=1,DAY(A430+2)=15),-SUM('Main Budget'!$H$26:$H$31),0)</f>
        <v>0</v>
      </c>
      <c r="E430" s="228">
        <f>IF(DAY(A430+2)=22,-SUM('Main Budget'!$F$26:$F$31),0)</f>
        <v>0</v>
      </c>
      <c r="F430" s="228">
        <f>IF(D430&gt;0,-'Main Budget'!$H$25+0.15,0)</f>
        <v>0</v>
      </c>
      <c r="G430" s="228">
        <f>IF(E430&gt;0,-'Main Budget'!$F$25+0.81,0)</f>
        <v>0</v>
      </c>
      <c r="H430" s="227">
        <f>IF(DAY(A430)='Main Budget'!$J$26,'Main Budget'!$E$26,0)</f>
        <v>0</v>
      </c>
      <c r="I430" s="227">
        <f>IF(DAY(A430)='Main Budget'!$J$28,'Main Budget'!$E$28,0)</f>
        <v>0</v>
      </c>
      <c r="J430" s="227">
        <f>IF(DAY(A430)='Main Budget'!$J$29,'Main Budget'!$E$29,0)</f>
        <v>0</v>
      </c>
      <c r="K430" s="20">
        <f>IF(DAY(A430)='Main Budget'!$J$30,'Main Budget'!$E$30,0)</f>
        <v>0</v>
      </c>
      <c r="L430" s="20">
        <f>IF(DAY(A430)='Main Budget'!$J$31,'Main Budget'!$E$31,0)</f>
        <v>0</v>
      </c>
      <c r="M430" s="20">
        <f>IF(DAY(A430)='Main Budget'!$J$27,'Main Budget'!$E$27,0)</f>
        <v>0</v>
      </c>
      <c r="O430" s="228">
        <f>B430+(SUM(H430:M430)+(SUM(D430:E430)))</f>
        <v>100</v>
      </c>
      <c r="P430" s="228">
        <f>C430+F430+G430+N430</f>
        <v>100</v>
      </c>
      <c r="Q430" s="252">
        <f>O430+P430</f>
        <v>200</v>
      </c>
      <c r="S430" s="231" t="str">
        <f>TEXT(A430,"dddd")</f>
        <v>Friday</v>
      </c>
    </row>
    <row r="431" spans="1:19" x14ac:dyDescent="0.25">
      <c r="A431" s="226">
        <v>46452</v>
      </c>
      <c r="B431" s="227">
        <f>O430</f>
        <v>100</v>
      </c>
      <c r="C431" s="228">
        <f>P430</f>
        <v>100</v>
      </c>
      <c r="D431" s="228">
        <f>IF(OR(DAY(A431+2)=1,DAY(A431+2)=15),-SUM('Main Budget'!$H$26:$H$31),0)</f>
        <v>0</v>
      </c>
      <c r="E431" s="228">
        <f>IF(DAY(A431+2)=22,-SUM('Main Budget'!$F$26:$F$31),0)</f>
        <v>0</v>
      </c>
      <c r="F431" s="228">
        <f>IF(D431&gt;0,-'Main Budget'!$H$25+0.15,0)</f>
        <v>0</v>
      </c>
      <c r="G431" s="228">
        <f>IF(E431&gt;0,-'Main Budget'!$F$25+0.81,0)</f>
        <v>0</v>
      </c>
      <c r="H431" s="227">
        <f>IF(DAY(A431)='Main Budget'!$J$26,'Main Budget'!$E$26,0)</f>
        <v>0</v>
      </c>
      <c r="I431" s="227">
        <f>IF(DAY(A431)='Main Budget'!$J$28,'Main Budget'!$E$28,0)</f>
        <v>0</v>
      </c>
      <c r="J431" s="227">
        <f>IF(DAY(A431)='Main Budget'!$J$29,'Main Budget'!$E$29,0)</f>
        <v>0</v>
      </c>
      <c r="K431" s="20">
        <f>IF(DAY(A431)='Main Budget'!$J$30,'Main Budget'!$E$30,0)</f>
        <v>0</v>
      </c>
      <c r="L431" s="20">
        <f>IF(DAY(A431)='Main Budget'!$J$31,'Main Budget'!$E$31,0)</f>
        <v>0</v>
      </c>
      <c r="M431" s="20">
        <f>IF(DAY(A431)='Main Budget'!$J$27,'Main Budget'!$E$27,0)</f>
        <v>0</v>
      </c>
      <c r="O431" s="228">
        <f>B431+(SUM(H431:M431)+(SUM(D431:E431)))</f>
        <v>100</v>
      </c>
      <c r="P431" s="228">
        <f>C431+F431+G431+N431</f>
        <v>100</v>
      </c>
      <c r="Q431" s="252">
        <f>O431+P431</f>
        <v>200</v>
      </c>
      <c r="S431" s="231" t="str">
        <f>TEXT(A431,"dddd")</f>
        <v>Saturday</v>
      </c>
    </row>
    <row r="432" spans="1:19" x14ac:dyDescent="0.25">
      <c r="A432" s="226">
        <v>46453</v>
      </c>
      <c r="B432" s="227">
        <f>O431</f>
        <v>100</v>
      </c>
      <c r="C432" s="228">
        <f>P431</f>
        <v>100</v>
      </c>
      <c r="D432" s="228">
        <f>IF(OR(DAY(A432+2)=1,DAY(A432+2)=15),-SUM('Main Budget'!$H$26:$H$31),0)</f>
        <v>0</v>
      </c>
      <c r="E432" s="228">
        <f>IF(DAY(A432+2)=22,-SUM('Main Budget'!$F$26:$F$31),0)</f>
        <v>0</v>
      </c>
      <c r="F432" s="228">
        <f>IF(D432&gt;0,-'Main Budget'!$H$25+0.15,0)</f>
        <v>0</v>
      </c>
      <c r="G432" s="228">
        <f>IF(E432&gt;0,-'Main Budget'!$F$25+0.81,0)</f>
        <v>0</v>
      </c>
      <c r="H432" s="227">
        <f>IF(DAY(A432)='Main Budget'!$J$26,'Main Budget'!$E$26,0)</f>
        <v>0</v>
      </c>
      <c r="I432" s="227">
        <f>IF(DAY(A432)='Main Budget'!$J$28,'Main Budget'!$E$28,0)</f>
        <v>0</v>
      </c>
      <c r="J432" s="227">
        <f>IF(DAY(A432)='Main Budget'!$J$29,'Main Budget'!$E$29,0)</f>
        <v>0</v>
      </c>
      <c r="K432" s="20">
        <f>IF(DAY(A432)='Main Budget'!$J$30,'Main Budget'!$E$30,0)</f>
        <v>0</v>
      </c>
      <c r="L432" s="20">
        <f>IF(DAY(A432)='Main Budget'!$J$31,'Main Budget'!$E$31,0)</f>
        <v>0</v>
      </c>
      <c r="M432" s="20">
        <f>IF(DAY(A432)='Main Budget'!$J$27,'Main Budget'!$E$27,0)</f>
        <v>0</v>
      </c>
      <c r="O432" s="228">
        <f>B432+(SUM(H432:M432)+(SUM(D432:E432)))</f>
        <v>100</v>
      </c>
      <c r="P432" s="228">
        <f>C432+F432+G432+N432</f>
        <v>100</v>
      </c>
      <c r="Q432" s="252">
        <f>O432+P432</f>
        <v>200</v>
      </c>
      <c r="S432" s="231" t="str">
        <f>TEXT(A432,"dddd")</f>
        <v>Sunday</v>
      </c>
    </row>
    <row r="433" spans="1:19" x14ac:dyDescent="0.25">
      <c r="A433" s="226">
        <v>46454</v>
      </c>
      <c r="B433" s="227">
        <f>O432</f>
        <v>100</v>
      </c>
      <c r="C433" s="228">
        <f>P432</f>
        <v>100</v>
      </c>
      <c r="D433" s="228">
        <f>IF(OR(DAY(A433+2)=1,DAY(A433+2)=15),-SUM('Main Budget'!$H$26:$H$31),0)</f>
        <v>0</v>
      </c>
      <c r="E433" s="228">
        <f>IF(DAY(A433+2)=22,-SUM('Main Budget'!$F$26:$F$31),0)</f>
        <v>0</v>
      </c>
      <c r="F433" s="228">
        <f>IF(D433&gt;0,-'Main Budget'!$H$25+0.15,0)</f>
        <v>0</v>
      </c>
      <c r="G433" s="228">
        <f>IF(E433&gt;0,-'Main Budget'!$F$25+0.81,0)</f>
        <v>0</v>
      </c>
      <c r="H433" s="227">
        <f>IF(DAY(A433)='Main Budget'!$J$26,'Main Budget'!$E$26,0)</f>
        <v>0</v>
      </c>
      <c r="I433" s="227">
        <f>IF(DAY(A433)='Main Budget'!$J$28,'Main Budget'!$E$28,0)</f>
        <v>0</v>
      </c>
      <c r="J433" s="227">
        <f>IF(DAY(A433)='Main Budget'!$J$29,'Main Budget'!$E$29,0)</f>
        <v>0</v>
      </c>
      <c r="K433" s="20">
        <f>IF(DAY(A433)='Main Budget'!$J$30,'Main Budget'!$E$30,0)</f>
        <v>0</v>
      </c>
      <c r="L433" s="20">
        <f>IF(DAY(A433)='Main Budget'!$J$31,'Main Budget'!$E$31,0)</f>
        <v>0</v>
      </c>
      <c r="M433" s="20">
        <f>IF(DAY(A433)='Main Budget'!$J$27,'Main Budget'!$E$27,0)</f>
        <v>0</v>
      </c>
      <c r="O433" s="228">
        <f>B433+(SUM(H433:M433)+(SUM(D433:E433)))</f>
        <v>100</v>
      </c>
      <c r="P433" s="228">
        <f>C433+F433+G433+N433</f>
        <v>100</v>
      </c>
      <c r="Q433" s="252">
        <f>O433+P433</f>
        <v>200</v>
      </c>
      <c r="S433" s="231" t="str">
        <f>TEXT(A433,"dddd")</f>
        <v>Monday</v>
      </c>
    </row>
    <row r="434" spans="1:19" x14ac:dyDescent="0.25">
      <c r="A434" s="226">
        <v>46455</v>
      </c>
      <c r="B434" s="227">
        <f>O433</f>
        <v>100</v>
      </c>
      <c r="C434" s="228">
        <f>P433</f>
        <v>100</v>
      </c>
      <c r="D434" s="228">
        <f>IF(OR(DAY(A434+2)=1,DAY(A434+2)=15),-SUM('Main Budget'!$H$26:$H$31),0)</f>
        <v>0</v>
      </c>
      <c r="E434" s="228">
        <f>IF(DAY(A434+2)=22,-SUM('Main Budget'!$F$26:$F$31),0)</f>
        <v>0</v>
      </c>
      <c r="F434" s="228">
        <f>IF(D434&gt;0,-'Main Budget'!$H$25+0.15,0)</f>
        <v>0</v>
      </c>
      <c r="G434" s="228">
        <f>IF(E434&gt;0,-'Main Budget'!$F$25+0.81,0)</f>
        <v>0</v>
      </c>
      <c r="H434" s="227">
        <f>IF(DAY(A434)='Main Budget'!$J$26,'Main Budget'!$E$26,0)</f>
        <v>0</v>
      </c>
      <c r="I434" s="227">
        <f>IF(DAY(A434)='Main Budget'!$J$28,'Main Budget'!$E$28,0)</f>
        <v>0</v>
      </c>
      <c r="J434" s="227">
        <f>IF(DAY(A434)='Main Budget'!$J$29,'Main Budget'!$E$29,0)</f>
        <v>0</v>
      </c>
      <c r="K434" s="20">
        <f>IF(DAY(A434)='Main Budget'!$J$30,'Main Budget'!$E$30,0)</f>
        <v>0</v>
      </c>
      <c r="L434" s="20">
        <f>IF(DAY(A434)='Main Budget'!$J$31,'Main Budget'!$E$31,0)</f>
        <v>0</v>
      </c>
      <c r="M434" s="20">
        <f>IF(DAY(A434)='Main Budget'!$J$27,'Main Budget'!$E$27,0)</f>
        <v>0</v>
      </c>
      <c r="O434" s="228">
        <f>B434+(SUM(H434:M434)+(SUM(D434:E434)))</f>
        <v>100</v>
      </c>
      <c r="P434" s="228">
        <f>C434+F434+G434+N434</f>
        <v>100</v>
      </c>
      <c r="Q434" s="252">
        <f>O434+P434</f>
        <v>200</v>
      </c>
      <c r="S434" s="231" t="str">
        <f>TEXT(A434,"dddd")</f>
        <v>Tuesday</v>
      </c>
    </row>
    <row r="435" spans="1:19" x14ac:dyDescent="0.25">
      <c r="A435" s="226">
        <v>46456</v>
      </c>
      <c r="B435" s="227">
        <f>O434</f>
        <v>100</v>
      </c>
      <c r="C435" s="228">
        <f>P434</f>
        <v>100</v>
      </c>
      <c r="D435" s="228">
        <f>IF(OR(DAY(A435+2)=1,DAY(A435+2)=15),-SUM('Main Budget'!$H$26:$H$31),0)</f>
        <v>0</v>
      </c>
      <c r="E435" s="228">
        <f>IF(DAY(A435+2)=22,-SUM('Main Budget'!$F$26:$F$31),0)</f>
        <v>0</v>
      </c>
      <c r="F435" s="228">
        <f>IF(D435&gt;0,-'Main Budget'!$H$25+0.15,0)</f>
        <v>0</v>
      </c>
      <c r="G435" s="228">
        <f>IF(E435&gt;0,-'Main Budget'!$F$25+0.81,0)</f>
        <v>0</v>
      </c>
      <c r="H435" s="227">
        <f>IF(DAY(A435)='Main Budget'!$J$26,'Main Budget'!$E$26,0)</f>
        <v>0</v>
      </c>
      <c r="I435" s="227">
        <f>IF(DAY(A435)='Main Budget'!$J$28,'Main Budget'!$E$28,0)</f>
        <v>0</v>
      </c>
      <c r="J435" s="227">
        <f>IF(DAY(A435)='Main Budget'!$J$29,'Main Budget'!$E$29,0)</f>
        <v>0</v>
      </c>
      <c r="K435" s="20">
        <f>IF(DAY(A435)='Main Budget'!$J$30,'Main Budget'!$E$30,0)</f>
        <v>0</v>
      </c>
      <c r="L435" s="20">
        <f>IF(DAY(A435)='Main Budget'!$J$31,'Main Budget'!$E$31,0)</f>
        <v>0</v>
      </c>
      <c r="M435" s="20">
        <f>IF(DAY(A435)='Main Budget'!$J$27,'Main Budget'!$E$27,0)</f>
        <v>0</v>
      </c>
      <c r="O435" s="228">
        <f>B435+(SUM(H435:M435)+(SUM(D435:E435)))</f>
        <v>100</v>
      </c>
      <c r="P435" s="228">
        <f>C435+F435+G435+N435</f>
        <v>100</v>
      </c>
      <c r="Q435" s="252">
        <f>O435+P435</f>
        <v>200</v>
      </c>
      <c r="S435" s="231" t="str">
        <f>TEXT(A435,"dddd")</f>
        <v>Wednesday</v>
      </c>
    </row>
    <row r="436" spans="1:19" x14ac:dyDescent="0.25">
      <c r="A436" s="226">
        <v>46457</v>
      </c>
      <c r="B436" s="227">
        <f>O435</f>
        <v>100</v>
      </c>
      <c r="C436" s="228">
        <f>P435</f>
        <v>100</v>
      </c>
      <c r="D436" s="228">
        <f>IF(OR(DAY(A436+2)=1,DAY(A436+2)=15),-SUM('Main Budget'!$H$26:$H$31),0)</f>
        <v>0</v>
      </c>
      <c r="E436" s="228">
        <f>IF(DAY(A436+2)=22,-SUM('Main Budget'!$F$26:$F$31),0)</f>
        <v>0</v>
      </c>
      <c r="F436" s="228">
        <f>IF(D436&gt;0,-'Main Budget'!$H$25+0.15,0)</f>
        <v>0</v>
      </c>
      <c r="G436" s="228">
        <f>IF(E436&gt;0,-'Main Budget'!$F$25+0.81,0)</f>
        <v>0</v>
      </c>
      <c r="H436" s="227">
        <f>IF(DAY(A436)='Main Budget'!$J$26,'Main Budget'!$E$26,0)</f>
        <v>0</v>
      </c>
      <c r="I436" s="227">
        <f>IF(DAY(A436)='Main Budget'!$J$28,'Main Budget'!$E$28,0)</f>
        <v>0</v>
      </c>
      <c r="J436" s="227">
        <f>IF(DAY(A436)='Main Budget'!$J$29,'Main Budget'!$E$29,0)</f>
        <v>0</v>
      </c>
      <c r="K436" s="20">
        <f>IF(DAY(A436)='Main Budget'!$J$30,'Main Budget'!$E$30,0)</f>
        <v>0</v>
      </c>
      <c r="L436" s="20">
        <f>IF(DAY(A436)='Main Budget'!$J$31,'Main Budget'!$E$31,0)</f>
        <v>0</v>
      </c>
      <c r="M436" s="20">
        <f>IF(DAY(A436)='Main Budget'!$J$27,'Main Budget'!$E$27,0)</f>
        <v>0</v>
      </c>
      <c r="O436" s="228">
        <f>B436+(SUM(H436:M436)+(SUM(D436:E436)))</f>
        <v>100</v>
      </c>
      <c r="P436" s="228">
        <f>C436+F436+G436+N436</f>
        <v>100</v>
      </c>
      <c r="Q436" s="252">
        <f>O436+P436</f>
        <v>200</v>
      </c>
      <c r="S436" s="231" t="str">
        <f>TEXT(A436,"dddd")</f>
        <v>Thursday</v>
      </c>
    </row>
    <row r="437" spans="1:19" x14ac:dyDescent="0.25">
      <c r="A437" s="226">
        <v>46458</v>
      </c>
      <c r="B437" s="227">
        <f>O436</f>
        <v>100</v>
      </c>
      <c r="C437" s="228">
        <f>P436</f>
        <v>100</v>
      </c>
      <c r="D437" s="228">
        <f>IF(OR(DAY(A437+2)=1,DAY(A437+2)=15),-SUM('Main Budget'!$H$26:$H$31),0)</f>
        <v>0</v>
      </c>
      <c r="E437" s="228">
        <f>IF(DAY(A437+2)=22,-SUM('Main Budget'!$F$26:$F$31),0)</f>
        <v>0</v>
      </c>
      <c r="F437" s="228">
        <f>IF(D437&gt;0,-'Main Budget'!$H$25+0.15,0)</f>
        <v>0</v>
      </c>
      <c r="G437" s="228">
        <f>IF(E437&gt;0,-'Main Budget'!$F$25+0.81,0)</f>
        <v>0</v>
      </c>
      <c r="H437" s="227">
        <f>IF(DAY(A437)='Main Budget'!$J$26,'Main Budget'!$E$26,0)</f>
        <v>0</v>
      </c>
      <c r="I437" s="227">
        <f>IF(DAY(A437)='Main Budget'!$J$28,'Main Budget'!$E$28,0)</f>
        <v>0</v>
      </c>
      <c r="J437" s="227">
        <f>IF(DAY(A437)='Main Budget'!$J$29,'Main Budget'!$E$29,0)</f>
        <v>0</v>
      </c>
      <c r="K437" s="20">
        <f>IF(DAY(A437)='Main Budget'!$J$30,'Main Budget'!$E$30,0)</f>
        <v>0</v>
      </c>
      <c r="L437" s="20">
        <f>IF(DAY(A437)='Main Budget'!$J$31,'Main Budget'!$E$31,0)</f>
        <v>0</v>
      </c>
      <c r="M437" s="20">
        <f>IF(DAY(A437)='Main Budget'!$J$27,'Main Budget'!$E$27,0)</f>
        <v>0</v>
      </c>
      <c r="O437" s="228">
        <f>B437+(SUM(H437:M437)+(SUM(D437:E437)))</f>
        <v>100</v>
      </c>
      <c r="P437" s="228">
        <f>C437+F437+G437+N437</f>
        <v>100</v>
      </c>
      <c r="Q437" s="252">
        <f>O437+P437</f>
        <v>200</v>
      </c>
      <c r="S437" s="231" t="str">
        <f>TEXT(A437,"dddd")</f>
        <v>Friday</v>
      </c>
    </row>
    <row r="438" spans="1:19" x14ac:dyDescent="0.25">
      <c r="A438" s="226">
        <v>46459</v>
      </c>
      <c r="B438" s="227">
        <f>O437</f>
        <v>100</v>
      </c>
      <c r="C438" s="228">
        <f>P437</f>
        <v>100</v>
      </c>
      <c r="D438" s="228">
        <f>IF(OR(DAY(A438+2)=1,DAY(A438+2)=15),-SUM('Main Budget'!$H$26:$H$31),0)</f>
        <v>0</v>
      </c>
      <c r="E438" s="228">
        <f>IF(DAY(A438+2)=22,-SUM('Main Budget'!$F$26:$F$31),0)</f>
        <v>0</v>
      </c>
      <c r="F438" s="228">
        <f>IF(D438&gt;0,-'Main Budget'!$H$25+0.15,0)</f>
        <v>0</v>
      </c>
      <c r="G438" s="228">
        <f>IF(E438&gt;0,-'Main Budget'!$F$25+0.81,0)</f>
        <v>0</v>
      </c>
      <c r="H438" s="227">
        <f>IF(DAY(A438)='Main Budget'!$J$26,'Main Budget'!$E$26,0)</f>
        <v>0</v>
      </c>
      <c r="I438" s="227">
        <f>IF(DAY(A438)='Main Budget'!$J$28,'Main Budget'!$E$28,0)</f>
        <v>0</v>
      </c>
      <c r="J438" s="227">
        <f>IF(DAY(A438)='Main Budget'!$J$29,'Main Budget'!$E$29,0)</f>
        <v>0</v>
      </c>
      <c r="K438" s="20">
        <f>IF(DAY(A438)='Main Budget'!$J$30,'Main Budget'!$E$30,0)</f>
        <v>0</v>
      </c>
      <c r="L438" s="20">
        <f>IF(DAY(A438)='Main Budget'!$J$31,'Main Budget'!$E$31,0)</f>
        <v>0</v>
      </c>
      <c r="M438" s="20">
        <f>IF(DAY(A438)='Main Budget'!$J$27,'Main Budget'!$E$27,0)</f>
        <v>0</v>
      </c>
      <c r="O438" s="228">
        <f>B438+(SUM(H438:M438)+(SUM(D438:E438)))</f>
        <v>100</v>
      </c>
      <c r="P438" s="228">
        <f>C438+F438+G438+N438</f>
        <v>100</v>
      </c>
      <c r="Q438" s="252">
        <f>O438+P438</f>
        <v>200</v>
      </c>
      <c r="S438" s="231" t="str">
        <f>TEXT(A438,"dddd")</f>
        <v>Saturday</v>
      </c>
    </row>
    <row r="439" spans="1:19" x14ac:dyDescent="0.25">
      <c r="A439" s="226">
        <v>46460</v>
      </c>
      <c r="B439" s="227">
        <f>O438</f>
        <v>100</v>
      </c>
      <c r="C439" s="228">
        <f>P438</f>
        <v>100</v>
      </c>
      <c r="D439" s="228">
        <f>IF(OR(DAY(A439+2)=1,DAY(A439+2)=15),-SUM('Main Budget'!$H$26:$H$31),0)</f>
        <v>0</v>
      </c>
      <c r="E439" s="228">
        <f>IF(DAY(A439+2)=22,-SUM('Main Budget'!$F$26:$F$31),0)</f>
        <v>0</v>
      </c>
      <c r="F439" s="228">
        <f>IF(D439&gt;0,-'Main Budget'!$H$25+0.15,0)</f>
        <v>0</v>
      </c>
      <c r="G439" s="228">
        <f>IF(E439&gt;0,-'Main Budget'!$F$25+0.81,0)</f>
        <v>0</v>
      </c>
      <c r="H439" s="227">
        <f>IF(DAY(A439)='Main Budget'!$J$26,'Main Budget'!$E$26,0)</f>
        <v>0</v>
      </c>
      <c r="I439" s="227">
        <f>IF(DAY(A439)='Main Budget'!$J$28,'Main Budget'!$E$28,0)</f>
        <v>0</v>
      </c>
      <c r="J439" s="227">
        <f>IF(DAY(A439)='Main Budget'!$J$29,'Main Budget'!$E$29,0)</f>
        <v>0</v>
      </c>
      <c r="K439" s="20">
        <f>IF(DAY(A439)='Main Budget'!$J$30,'Main Budget'!$E$30,0)</f>
        <v>0</v>
      </c>
      <c r="L439" s="20">
        <f>IF(DAY(A439)='Main Budget'!$J$31,'Main Budget'!$E$31,0)</f>
        <v>0</v>
      </c>
      <c r="M439" s="20">
        <f>IF(DAY(A439)='Main Budget'!$J$27,'Main Budget'!$E$27,0)</f>
        <v>0</v>
      </c>
      <c r="O439" s="228">
        <f>B439+(SUM(H439:M439)+(SUM(D439:E439)))</f>
        <v>100</v>
      </c>
      <c r="P439" s="228">
        <f>C439+F439+G439+N439</f>
        <v>100</v>
      </c>
      <c r="Q439" s="252">
        <f>O439+P439</f>
        <v>200</v>
      </c>
      <c r="S439" s="231" t="str">
        <f>TEXT(A439,"dddd")</f>
        <v>Sunday</v>
      </c>
    </row>
    <row r="440" spans="1:19" x14ac:dyDescent="0.25">
      <c r="A440" s="226">
        <v>46461</v>
      </c>
      <c r="B440" s="227">
        <f>O439</f>
        <v>100</v>
      </c>
      <c r="C440" s="228">
        <f>P439</f>
        <v>100</v>
      </c>
      <c r="D440" s="228">
        <f>IF(OR(DAY(A440+2)=1,DAY(A440+2)=15),-SUM('Main Budget'!$H$26:$H$31),0)</f>
        <v>0</v>
      </c>
      <c r="E440" s="228">
        <f>IF(DAY(A440+2)=22,-SUM('Main Budget'!$F$26:$F$31),0)</f>
        <v>0</v>
      </c>
      <c r="F440" s="228">
        <f>IF(D440&gt;0,-'Main Budget'!$H$25+0.15,0)</f>
        <v>0</v>
      </c>
      <c r="G440" s="228">
        <f>IF(E440&gt;0,-'Main Budget'!$F$25+0.81,0)</f>
        <v>0</v>
      </c>
      <c r="H440" s="227">
        <f>IF(DAY(A440)='Main Budget'!$J$26,'Main Budget'!$E$26,0)</f>
        <v>0</v>
      </c>
      <c r="I440" s="227">
        <f>IF(DAY(A440)='Main Budget'!$J$28,'Main Budget'!$E$28,0)</f>
        <v>0</v>
      </c>
      <c r="J440" s="227">
        <f>IF(DAY(A440)='Main Budget'!$J$29,'Main Budget'!$E$29,0)</f>
        <v>0</v>
      </c>
      <c r="K440" s="20">
        <f>IF(DAY(A440)='Main Budget'!$J$30,'Main Budget'!$E$30,0)</f>
        <v>0</v>
      </c>
      <c r="L440" s="20">
        <f>IF(DAY(A440)='Main Budget'!$J$31,'Main Budget'!$E$31,0)</f>
        <v>0</v>
      </c>
      <c r="M440" s="20">
        <f>IF(DAY(A440)='Main Budget'!$J$27,'Main Budget'!$E$27,0)</f>
        <v>0</v>
      </c>
      <c r="O440" s="228">
        <f>B440+(SUM(H440:M440)+(SUM(D440:E440)))</f>
        <v>100</v>
      </c>
      <c r="P440" s="228">
        <f>C440+F440+G440+N440</f>
        <v>100</v>
      </c>
      <c r="Q440" s="252">
        <f>O440+P440</f>
        <v>200</v>
      </c>
      <c r="S440" s="231" t="str">
        <f>TEXT(A440,"dddd")</f>
        <v>Monday</v>
      </c>
    </row>
    <row r="441" spans="1:19" x14ac:dyDescent="0.25">
      <c r="A441" s="226">
        <v>46462</v>
      </c>
      <c r="B441" s="227">
        <f>O440</f>
        <v>100</v>
      </c>
      <c r="C441" s="228">
        <f>P440</f>
        <v>100</v>
      </c>
      <c r="D441" s="228">
        <f>IF(OR(DAY(A441+2)=1,DAY(A441+2)=15),-SUM('Main Budget'!$H$26:$H$31),0)</f>
        <v>0</v>
      </c>
      <c r="E441" s="228">
        <f>IF(DAY(A441+2)=22,-SUM('Main Budget'!$F$26:$F$31),0)</f>
        <v>0</v>
      </c>
      <c r="F441" s="228">
        <f>IF(D441&gt;0,-'Main Budget'!$H$25+0.15,0)</f>
        <v>0</v>
      </c>
      <c r="G441" s="228">
        <f>IF(E441&gt;0,-'Main Budget'!$F$25+0.81,0)</f>
        <v>0</v>
      </c>
      <c r="H441" s="227">
        <f>IF(DAY(A441)='Main Budget'!$J$26,'Main Budget'!$E$26,0)</f>
        <v>0</v>
      </c>
      <c r="I441" s="227">
        <f>IF(DAY(A441)='Main Budget'!$J$28,'Main Budget'!$E$28,0)</f>
        <v>0</v>
      </c>
      <c r="J441" s="227">
        <f>IF(DAY(A441)='Main Budget'!$J$29,'Main Budget'!$E$29,0)</f>
        <v>0</v>
      </c>
      <c r="K441" s="20">
        <f>IF(DAY(A441)='Main Budget'!$J$30,'Main Budget'!$E$30,0)</f>
        <v>0</v>
      </c>
      <c r="L441" s="20">
        <f>IF(DAY(A441)='Main Budget'!$J$31,'Main Budget'!$E$31,0)</f>
        <v>0</v>
      </c>
      <c r="M441" s="20">
        <f>IF(DAY(A441)='Main Budget'!$J$27,'Main Budget'!$E$27,0)</f>
        <v>0</v>
      </c>
      <c r="O441" s="228">
        <f>B441+(SUM(H441:M441)+(SUM(D441:E441)))</f>
        <v>100</v>
      </c>
      <c r="P441" s="228">
        <f>C441+F441+G441+N441</f>
        <v>100</v>
      </c>
      <c r="Q441" s="252">
        <f>O441+P441</f>
        <v>200</v>
      </c>
      <c r="S441" s="231" t="str">
        <f>TEXT(A441,"dddd")</f>
        <v>Tuesday</v>
      </c>
    </row>
    <row r="442" spans="1:19" x14ac:dyDescent="0.25">
      <c r="A442" s="226">
        <v>46463</v>
      </c>
      <c r="B442" s="227">
        <f>O441</f>
        <v>100</v>
      </c>
      <c r="C442" s="228">
        <f>P441</f>
        <v>100</v>
      </c>
      <c r="D442" s="228">
        <f>IF(OR(DAY(A442+2)=1,DAY(A442+2)=15),-SUM('Main Budget'!$H$26:$H$31),0)</f>
        <v>0</v>
      </c>
      <c r="E442" s="228">
        <f>IF(DAY(A442+2)=22,-SUM('Main Budget'!$F$26:$F$31),0)</f>
        <v>0</v>
      </c>
      <c r="F442" s="228">
        <f>IF(D442&gt;0,-'Main Budget'!$H$25+0.15,0)</f>
        <v>0</v>
      </c>
      <c r="G442" s="228">
        <f>IF(E442&gt;0,-'Main Budget'!$F$25+0.81,0)</f>
        <v>0</v>
      </c>
      <c r="H442" s="227">
        <f>IF(DAY(A442)='Main Budget'!$J$26,'Main Budget'!$E$26,0)</f>
        <v>0</v>
      </c>
      <c r="I442" s="227">
        <f>IF(DAY(A442)='Main Budget'!$J$28,'Main Budget'!$E$28,0)</f>
        <v>0</v>
      </c>
      <c r="J442" s="227">
        <f>IF(DAY(A442)='Main Budget'!$J$29,'Main Budget'!$E$29,0)</f>
        <v>0</v>
      </c>
      <c r="K442" s="20">
        <f>IF(DAY(A442)='Main Budget'!$J$30,'Main Budget'!$E$30,0)</f>
        <v>0</v>
      </c>
      <c r="L442" s="20">
        <f>IF(DAY(A442)='Main Budget'!$J$31,'Main Budget'!$E$31,0)</f>
        <v>0</v>
      </c>
      <c r="M442" s="20">
        <f>IF(DAY(A442)='Main Budget'!$J$27,'Main Budget'!$E$27,0)</f>
        <v>0</v>
      </c>
      <c r="O442" s="228">
        <f>B442+(SUM(H442:M442)+(SUM(D442:E442)))</f>
        <v>100</v>
      </c>
      <c r="P442" s="228">
        <f>C442+F442+G442+N442</f>
        <v>100</v>
      </c>
      <c r="Q442" s="252">
        <f>O442+P442</f>
        <v>200</v>
      </c>
      <c r="S442" s="231" t="str">
        <f>TEXT(A442,"dddd")</f>
        <v>Wednesday</v>
      </c>
    </row>
    <row r="443" spans="1:19" x14ac:dyDescent="0.25">
      <c r="A443" s="226">
        <v>46464</v>
      </c>
      <c r="B443" s="227">
        <f>O442</f>
        <v>100</v>
      </c>
      <c r="C443" s="228">
        <f>P442</f>
        <v>100</v>
      </c>
      <c r="D443" s="228">
        <f>IF(OR(DAY(A443+2)=1,DAY(A443+2)=15),-SUM('Main Budget'!$H$26:$H$31),0)</f>
        <v>0</v>
      </c>
      <c r="E443" s="228">
        <f>IF(DAY(A443+2)=22,-SUM('Main Budget'!$F$26:$F$31),0)</f>
        <v>0</v>
      </c>
      <c r="F443" s="228">
        <f>IF(D443&gt;0,-'Main Budget'!$H$25+0.15,0)</f>
        <v>0</v>
      </c>
      <c r="G443" s="228">
        <f>IF(E443&gt;0,-'Main Budget'!$F$25+0.81,0)</f>
        <v>0</v>
      </c>
      <c r="H443" s="227">
        <f>IF(DAY(A443)='Main Budget'!$J$26,'Main Budget'!$E$26,0)</f>
        <v>0</v>
      </c>
      <c r="I443" s="227">
        <f>IF(DAY(A443)='Main Budget'!$J$28,'Main Budget'!$E$28,0)</f>
        <v>0</v>
      </c>
      <c r="J443" s="227">
        <f>IF(DAY(A443)='Main Budget'!$J$29,'Main Budget'!$E$29,0)</f>
        <v>0</v>
      </c>
      <c r="K443" s="20">
        <f>IF(DAY(A443)='Main Budget'!$J$30,'Main Budget'!$E$30,0)</f>
        <v>0</v>
      </c>
      <c r="L443" s="20">
        <f>IF(DAY(A443)='Main Budget'!$J$31,'Main Budget'!$E$31,0)</f>
        <v>0</v>
      </c>
      <c r="M443" s="20">
        <f>IF(DAY(A443)='Main Budget'!$J$27,'Main Budget'!$E$27,0)</f>
        <v>0</v>
      </c>
      <c r="O443" s="228">
        <f>B443+(SUM(H443:M443)+(SUM(D443:E443)))</f>
        <v>100</v>
      </c>
      <c r="P443" s="228">
        <f>C443+F443+G443+N443</f>
        <v>100</v>
      </c>
      <c r="Q443" s="252">
        <f>O443+P443</f>
        <v>200</v>
      </c>
      <c r="S443" s="231" t="str">
        <f>TEXT(A443,"dddd")</f>
        <v>Thursday</v>
      </c>
    </row>
    <row r="444" spans="1:19" x14ac:dyDescent="0.25">
      <c r="A444" s="226">
        <v>46465</v>
      </c>
      <c r="B444" s="227">
        <f>O443</f>
        <v>100</v>
      </c>
      <c r="C444" s="228">
        <f>P443</f>
        <v>100</v>
      </c>
      <c r="D444" s="228">
        <f>IF(OR(DAY(A444+2)=1,DAY(A444+2)=15),-SUM('Main Budget'!$H$26:$H$31),0)</f>
        <v>0</v>
      </c>
      <c r="E444" s="228">
        <f>IF(DAY(A444+2)=22,-SUM('Main Budget'!$F$26:$F$31),0)</f>
        <v>0</v>
      </c>
      <c r="F444" s="228">
        <f>IF(D444&gt;0,-'Main Budget'!$H$25+0.15,0)</f>
        <v>0</v>
      </c>
      <c r="G444" s="228">
        <f>IF(E444&gt;0,-'Main Budget'!$F$25+0.81,0)</f>
        <v>0</v>
      </c>
      <c r="H444" s="227">
        <f>IF(DAY(A444)='Main Budget'!$J$26,'Main Budget'!$E$26,0)</f>
        <v>0</v>
      </c>
      <c r="I444" s="227">
        <f>IF(DAY(A444)='Main Budget'!$J$28,'Main Budget'!$E$28,0)</f>
        <v>0</v>
      </c>
      <c r="J444" s="227">
        <f>IF(DAY(A444)='Main Budget'!$J$29,'Main Budget'!$E$29,0)</f>
        <v>0</v>
      </c>
      <c r="K444" s="20">
        <f>IF(DAY(A444)='Main Budget'!$J$30,'Main Budget'!$E$30,0)</f>
        <v>0</v>
      </c>
      <c r="L444" s="20">
        <f>IF(DAY(A444)='Main Budget'!$J$31,'Main Budget'!$E$31,0)</f>
        <v>0</v>
      </c>
      <c r="M444" s="20">
        <f>IF(DAY(A444)='Main Budget'!$J$27,'Main Budget'!$E$27,0)</f>
        <v>0</v>
      </c>
      <c r="O444" s="228">
        <f>B444+(SUM(H444:M444)+(SUM(D444:E444)))</f>
        <v>100</v>
      </c>
      <c r="P444" s="228">
        <f>C444+F444+G444+N444</f>
        <v>100</v>
      </c>
      <c r="Q444" s="252">
        <f>O444+P444</f>
        <v>200</v>
      </c>
      <c r="S444" s="231" t="str">
        <f>TEXT(A444,"dddd")</f>
        <v>Friday</v>
      </c>
    </row>
    <row r="445" spans="1:19" x14ac:dyDescent="0.25">
      <c r="A445" s="226">
        <v>46466</v>
      </c>
      <c r="B445" s="227">
        <f>O444</f>
        <v>100</v>
      </c>
      <c r="C445" s="228">
        <f>P444</f>
        <v>100</v>
      </c>
      <c r="D445" s="228">
        <f>IF(OR(DAY(A445+2)=1,DAY(A445+2)=15),-SUM('Main Budget'!$H$26:$H$31),0)</f>
        <v>0</v>
      </c>
      <c r="E445" s="228">
        <f>IF(DAY(A445+2)=22,-SUM('Main Budget'!$F$26:$F$31),0)</f>
        <v>0</v>
      </c>
      <c r="F445" s="228">
        <f>IF(D445&gt;0,-'Main Budget'!$H$25+0.15,0)</f>
        <v>0</v>
      </c>
      <c r="G445" s="228">
        <f>IF(E445&gt;0,-'Main Budget'!$F$25+0.81,0)</f>
        <v>0</v>
      </c>
      <c r="H445" s="227">
        <f>IF(DAY(A445)='Main Budget'!$J$26,'Main Budget'!$E$26,0)</f>
        <v>0</v>
      </c>
      <c r="I445" s="227">
        <f>IF(DAY(A445)='Main Budget'!$J$28,'Main Budget'!$E$28,0)</f>
        <v>0</v>
      </c>
      <c r="J445" s="227">
        <f>IF(DAY(A445)='Main Budget'!$J$29,'Main Budget'!$E$29,0)</f>
        <v>0</v>
      </c>
      <c r="K445" s="20">
        <f>IF(DAY(A445)='Main Budget'!$J$30,'Main Budget'!$E$30,0)</f>
        <v>0</v>
      </c>
      <c r="L445" s="20">
        <f>IF(DAY(A445)='Main Budget'!$J$31,'Main Budget'!$E$31,0)</f>
        <v>0</v>
      </c>
      <c r="M445" s="20">
        <f>IF(DAY(A445)='Main Budget'!$J$27,'Main Budget'!$E$27,0)</f>
        <v>0</v>
      </c>
      <c r="O445" s="228">
        <f>B445+(SUM(H445:M445)+(SUM(D445:E445)))</f>
        <v>100</v>
      </c>
      <c r="P445" s="228">
        <f>C445+F445+G445+N445</f>
        <v>100</v>
      </c>
      <c r="Q445" s="252">
        <f>O445+P445</f>
        <v>200</v>
      </c>
      <c r="S445" s="231" t="str">
        <f>TEXT(A445,"dddd")</f>
        <v>Saturday</v>
      </c>
    </row>
    <row r="446" spans="1:19" x14ac:dyDescent="0.25">
      <c r="A446" s="226">
        <v>46467</v>
      </c>
      <c r="B446" s="227">
        <f>O445</f>
        <v>100</v>
      </c>
      <c r="C446" s="228">
        <f>P445</f>
        <v>100</v>
      </c>
      <c r="D446" s="228">
        <f>IF(OR(DAY(A446+2)=1,DAY(A446+2)=15),-SUM('Main Budget'!$H$26:$H$31),0)</f>
        <v>0</v>
      </c>
      <c r="E446" s="228">
        <f>IF(DAY(A446+2)=22,-SUM('Main Budget'!$F$26:$F$31),0)</f>
        <v>0</v>
      </c>
      <c r="F446" s="228">
        <f>IF(D446&gt;0,-'Main Budget'!$H$25+0.15,0)</f>
        <v>0</v>
      </c>
      <c r="G446" s="228">
        <f>IF(E446&gt;0,-'Main Budget'!$F$25+0.81,0)</f>
        <v>0</v>
      </c>
      <c r="H446" s="227">
        <f>IF(DAY(A446)='Main Budget'!$J$26,'Main Budget'!$E$26,0)</f>
        <v>0</v>
      </c>
      <c r="I446" s="227">
        <f>IF(DAY(A446)='Main Budget'!$J$28,'Main Budget'!$E$28,0)</f>
        <v>0</v>
      </c>
      <c r="J446" s="227">
        <f>IF(DAY(A446)='Main Budget'!$J$29,'Main Budget'!$E$29,0)</f>
        <v>0</v>
      </c>
      <c r="K446" s="20">
        <f>IF(DAY(A446)='Main Budget'!$J$30,'Main Budget'!$E$30,0)</f>
        <v>0</v>
      </c>
      <c r="L446" s="20">
        <f>IF(DAY(A446)='Main Budget'!$J$31,'Main Budget'!$E$31,0)</f>
        <v>0</v>
      </c>
      <c r="M446" s="20">
        <f>IF(DAY(A446)='Main Budget'!$J$27,'Main Budget'!$E$27,0)</f>
        <v>0</v>
      </c>
      <c r="O446" s="228">
        <f>B446+(SUM(H446:M446)+(SUM(D446:E446)))</f>
        <v>100</v>
      </c>
      <c r="P446" s="228">
        <f>C446+F446+G446+N446</f>
        <v>100</v>
      </c>
      <c r="Q446" s="252">
        <f>O446+P446</f>
        <v>200</v>
      </c>
      <c r="S446" s="231" t="str">
        <f>TEXT(A446,"dddd")</f>
        <v>Sunday</v>
      </c>
    </row>
    <row r="447" spans="1:19" x14ac:dyDescent="0.25">
      <c r="A447" s="226">
        <v>46468</v>
      </c>
      <c r="B447" s="227">
        <f>O446</f>
        <v>100</v>
      </c>
      <c r="C447" s="228">
        <f>P446</f>
        <v>100</v>
      </c>
      <c r="D447" s="228">
        <f>IF(OR(DAY(A447+2)=1,DAY(A447+2)=15),-SUM('Main Budget'!$H$26:$H$31),0)</f>
        <v>0</v>
      </c>
      <c r="E447" s="228">
        <f>IF(DAY(A447+2)=22,-SUM('Main Budget'!$F$26:$F$31),0)</f>
        <v>0</v>
      </c>
      <c r="F447" s="228">
        <f>IF(D447&gt;0,-'Main Budget'!$H$25+0.15,0)</f>
        <v>0</v>
      </c>
      <c r="G447" s="228">
        <f>IF(E447&gt;0,-'Main Budget'!$F$25+0.81,0)</f>
        <v>0</v>
      </c>
      <c r="H447" s="227">
        <f>IF(DAY(A447)='Main Budget'!$J$26,'Main Budget'!$E$26,0)</f>
        <v>0</v>
      </c>
      <c r="I447" s="227">
        <f>IF(DAY(A447)='Main Budget'!$J$28,'Main Budget'!$E$28,0)</f>
        <v>0</v>
      </c>
      <c r="J447" s="227">
        <f>IF(DAY(A447)='Main Budget'!$J$29,'Main Budget'!$E$29,0)</f>
        <v>0</v>
      </c>
      <c r="K447" s="20">
        <f>IF(DAY(A447)='Main Budget'!$J$30,'Main Budget'!$E$30,0)</f>
        <v>0</v>
      </c>
      <c r="L447" s="20">
        <f>IF(DAY(A447)='Main Budget'!$J$31,'Main Budget'!$E$31,0)</f>
        <v>0</v>
      </c>
      <c r="M447" s="20">
        <f>IF(DAY(A447)='Main Budget'!$J$27,'Main Budget'!$E$27,0)</f>
        <v>0</v>
      </c>
      <c r="O447" s="228">
        <f>B447+(SUM(H447:M447)+(SUM(D447:E447)))</f>
        <v>100</v>
      </c>
      <c r="P447" s="228">
        <f>C447+F447+G447+N447</f>
        <v>100</v>
      </c>
      <c r="Q447" s="252">
        <f>O447+P447</f>
        <v>200</v>
      </c>
      <c r="S447" s="231" t="str">
        <f>TEXT(A447,"dddd")</f>
        <v>Monday</v>
      </c>
    </row>
    <row r="448" spans="1:19" x14ac:dyDescent="0.25">
      <c r="A448" s="226">
        <v>46469</v>
      </c>
      <c r="B448" s="227">
        <f>O447</f>
        <v>100</v>
      </c>
      <c r="C448" s="228">
        <f>P447</f>
        <v>100</v>
      </c>
      <c r="D448" s="228">
        <f>IF(OR(DAY(A448+2)=1,DAY(A448+2)=15),-SUM('Main Budget'!$H$26:$H$31),0)</f>
        <v>0</v>
      </c>
      <c r="E448" s="228">
        <f>IF(DAY(A448+2)=22,-SUM('Main Budget'!$F$26:$F$31),0)</f>
        <v>0</v>
      </c>
      <c r="F448" s="228">
        <f>IF(D448&gt;0,-'Main Budget'!$H$25+0.15,0)</f>
        <v>0</v>
      </c>
      <c r="G448" s="228">
        <f>IF(E448&gt;0,-'Main Budget'!$F$25+0.81,0)</f>
        <v>0</v>
      </c>
      <c r="H448" s="227">
        <f>IF(DAY(A448)='Main Budget'!$J$26,'Main Budget'!$E$26,0)</f>
        <v>0</v>
      </c>
      <c r="I448" s="227">
        <f>IF(DAY(A448)='Main Budget'!$J$28,'Main Budget'!$E$28,0)</f>
        <v>0</v>
      </c>
      <c r="J448" s="227">
        <f>IF(DAY(A448)='Main Budget'!$J$29,'Main Budget'!$E$29,0)</f>
        <v>0</v>
      </c>
      <c r="K448" s="20">
        <f>IF(DAY(A448)='Main Budget'!$J$30,'Main Budget'!$E$30,0)</f>
        <v>0</v>
      </c>
      <c r="L448" s="20">
        <f>IF(DAY(A448)='Main Budget'!$J$31,'Main Budget'!$E$31,0)</f>
        <v>0</v>
      </c>
      <c r="M448" s="20">
        <f>IF(DAY(A448)='Main Budget'!$J$27,'Main Budget'!$E$27,0)</f>
        <v>0</v>
      </c>
      <c r="O448" s="228">
        <f>B448+(SUM(H448:M448)+(SUM(D448:E448)))</f>
        <v>100</v>
      </c>
      <c r="P448" s="228">
        <f>C448+F448+G448+N448</f>
        <v>100</v>
      </c>
      <c r="Q448" s="252">
        <f>O448+P448</f>
        <v>200</v>
      </c>
      <c r="S448" s="231" t="str">
        <f>TEXT(A448,"dddd")</f>
        <v>Tuesday</v>
      </c>
    </row>
    <row r="449" spans="1:19" x14ac:dyDescent="0.25">
      <c r="A449" s="226">
        <v>46470</v>
      </c>
      <c r="B449" s="227">
        <f>O448</f>
        <v>100</v>
      </c>
      <c r="C449" s="228">
        <f>P448</f>
        <v>100</v>
      </c>
      <c r="D449" s="228">
        <f>IF(OR(DAY(A449+2)=1,DAY(A449+2)=15),-SUM('Main Budget'!$H$26:$H$31),0)</f>
        <v>0</v>
      </c>
      <c r="E449" s="228">
        <f>IF(DAY(A449+2)=22,-SUM('Main Budget'!$F$26:$F$31),0)</f>
        <v>0</v>
      </c>
      <c r="F449" s="228">
        <f>IF(D449&gt;0,-'Main Budget'!$H$25+0.15,0)</f>
        <v>0</v>
      </c>
      <c r="G449" s="228">
        <f>IF(E449&gt;0,-'Main Budget'!$F$25+0.81,0)</f>
        <v>0</v>
      </c>
      <c r="H449" s="227">
        <f>IF(DAY(A449)='Main Budget'!$J$26,'Main Budget'!$E$26,0)</f>
        <v>0</v>
      </c>
      <c r="I449" s="227">
        <f>IF(DAY(A449)='Main Budget'!$J$28,'Main Budget'!$E$28,0)</f>
        <v>0</v>
      </c>
      <c r="J449" s="227">
        <f>IF(DAY(A449)='Main Budget'!$J$29,'Main Budget'!$E$29,0)</f>
        <v>0</v>
      </c>
      <c r="K449" s="20">
        <f>IF(DAY(A449)='Main Budget'!$J$30,'Main Budget'!$E$30,0)</f>
        <v>0</v>
      </c>
      <c r="L449" s="20">
        <f>IF(DAY(A449)='Main Budget'!$J$31,'Main Budget'!$E$31,0)</f>
        <v>0</v>
      </c>
      <c r="M449" s="20">
        <f>IF(DAY(A449)='Main Budget'!$J$27,'Main Budget'!$E$27,0)</f>
        <v>0</v>
      </c>
      <c r="O449" s="228">
        <f>B449+(SUM(H449:M449)+(SUM(D449:E449)))</f>
        <v>100</v>
      </c>
      <c r="P449" s="228">
        <f>C449+F449+G449+N449</f>
        <v>100</v>
      </c>
      <c r="Q449" s="252">
        <f>O449+P449</f>
        <v>200</v>
      </c>
      <c r="S449" s="231" t="str">
        <f>TEXT(A449,"dddd")</f>
        <v>Wednesday</v>
      </c>
    </row>
    <row r="450" spans="1:19" x14ac:dyDescent="0.25">
      <c r="A450" s="226">
        <v>46471</v>
      </c>
      <c r="B450" s="227">
        <f>O449</f>
        <v>100</v>
      </c>
      <c r="C450" s="228">
        <f>P449</f>
        <v>100</v>
      </c>
      <c r="D450" s="228">
        <f>IF(OR(DAY(A450+2)=1,DAY(A450+2)=15),-SUM('Main Budget'!$H$26:$H$31),0)</f>
        <v>0</v>
      </c>
      <c r="E450" s="228">
        <f>IF(DAY(A450+2)=22,-SUM('Main Budget'!$F$26:$F$31),0)</f>
        <v>0</v>
      </c>
      <c r="F450" s="228">
        <f>IF(D450&gt;0,-'Main Budget'!$H$25+0.15,0)</f>
        <v>0</v>
      </c>
      <c r="G450" s="228">
        <f>IF(E450&gt;0,-'Main Budget'!$F$25+0.81,0)</f>
        <v>0</v>
      </c>
      <c r="H450" s="227">
        <f>IF(DAY(A450)='Main Budget'!$J$26,'Main Budget'!$E$26,0)</f>
        <v>0</v>
      </c>
      <c r="I450" s="227">
        <f>IF(DAY(A450)='Main Budget'!$J$28,'Main Budget'!$E$28,0)</f>
        <v>0</v>
      </c>
      <c r="J450" s="227">
        <f>IF(DAY(A450)='Main Budget'!$J$29,'Main Budget'!$E$29,0)</f>
        <v>0</v>
      </c>
      <c r="K450" s="20">
        <f>IF(DAY(A450)='Main Budget'!$J$30,'Main Budget'!$E$30,0)</f>
        <v>0</v>
      </c>
      <c r="L450" s="20">
        <f>IF(DAY(A450)='Main Budget'!$J$31,'Main Budget'!$E$31,0)</f>
        <v>0</v>
      </c>
      <c r="M450" s="20">
        <f>IF(DAY(A450)='Main Budget'!$J$27,'Main Budget'!$E$27,0)</f>
        <v>0</v>
      </c>
      <c r="O450" s="228">
        <f>B450+(SUM(H450:M450)+(SUM(D450:E450)))</f>
        <v>100</v>
      </c>
      <c r="P450" s="228">
        <f>C450+F450+G450+N450</f>
        <v>100</v>
      </c>
      <c r="Q450" s="252">
        <f>O450+P450</f>
        <v>200</v>
      </c>
      <c r="S450" s="231" t="str">
        <f>TEXT(A450,"dddd")</f>
        <v>Thursday</v>
      </c>
    </row>
    <row r="451" spans="1:19" x14ac:dyDescent="0.25">
      <c r="A451" s="226">
        <v>46472</v>
      </c>
      <c r="B451" s="227">
        <f>O450</f>
        <v>100</v>
      </c>
      <c r="C451" s="228">
        <f>P450</f>
        <v>100</v>
      </c>
      <c r="D451" s="228">
        <f>IF(OR(DAY(A451+2)=1,DAY(A451+2)=15),-SUM('Main Budget'!$H$26:$H$31),0)</f>
        <v>0</v>
      </c>
      <c r="E451" s="228">
        <f>IF(DAY(A451+2)=22,-SUM('Main Budget'!$F$26:$F$31),0)</f>
        <v>0</v>
      </c>
      <c r="F451" s="228">
        <f>IF(D451&gt;0,-'Main Budget'!$H$25+0.15,0)</f>
        <v>0</v>
      </c>
      <c r="G451" s="228">
        <f>IF(E451&gt;0,-'Main Budget'!$F$25+0.81,0)</f>
        <v>0</v>
      </c>
      <c r="H451" s="227">
        <f>IF(DAY(A451)='Main Budget'!$J$26,'Main Budget'!$E$26,0)</f>
        <v>0</v>
      </c>
      <c r="I451" s="227">
        <f>IF(DAY(A451)='Main Budget'!$J$28,'Main Budget'!$E$28,0)</f>
        <v>0</v>
      </c>
      <c r="J451" s="227">
        <f>IF(DAY(A451)='Main Budget'!$J$29,'Main Budget'!$E$29,0)</f>
        <v>0</v>
      </c>
      <c r="K451" s="20">
        <f>IF(DAY(A451)='Main Budget'!$J$30,'Main Budget'!$E$30,0)</f>
        <v>0</v>
      </c>
      <c r="L451" s="20">
        <f>IF(DAY(A451)='Main Budget'!$J$31,'Main Budget'!$E$31,0)</f>
        <v>0</v>
      </c>
      <c r="M451" s="20">
        <f>IF(DAY(A451)='Main Budget'!$J$27,'Main Budget'!$E$27,0)</f>
        <v>0</v>
      </c>
      <c r="O451" s="228">
        <f>B451+(SUM(H451:M451)+(SUM(D451:E451)))</f>
        <v>100</v>
      </c>
      <c r="P451" s="228">
        <f>C451+F451+G451+N451</f>
        <v>100</v>
      </c>
      <c r="Q451" s="252">
        <f>O451+P451</f>
        <v>200</v>
      </c>
      <c r="S451" s="231" t="str">
        <f>TEXT(A451,"dddd")</f>
        <v>Friday</v>
      </c>
    </row>
    <row r="452" spans="1:19" x14ac:dyDescent="0.25">
      <c r="A452" s="226">
        <v>46473</v>
      </c>
      <c r="B452" s="227">
        <f>O451</f>
        <v>100</v>
      </c>
      <c r="C452" s="228">
        <f>P451</f>
        <v>100</v>
      </c>
      <c r="D452" s="228">
        <f>IF(OR(DAY(A452+2)=1,DAY(A452+2)=15),-SUM('Main Budget'!$H$26:$H$31),0)</f>
        <v>0</v>
      </c>
      <c r="E452" s="228">
        <f>IF(DAY(A452+2)=22,-SUM('Main Budget'!$F$26:$F$31),0)</f>
        <v>0</v>
      </c>
      <c r="F452" s="228">
        <f>IF(D452&gt;0,-'Main Budget'!$H$25+0.15,0)</f>
        <v>0</v>
      </c>
      <c r="G452" s="228">
        <f>IF(E452&gt;0,-'Main Budget'!$F$25+0.81,0)</f>
        <v>0</v>
      </c>
      <c r="H452" s="227">
        <f>IF(DAY(A452)='Main Budget'!$J$26,'Main Budget'!$E$26,0)</f>
        <v>0</v>
      </c>
      <c r="I452" s="227">
        <f>IF(DAY(A452)='Main Budget'!$J$28,'Main Budget'!$E$28,0)</f>
        <v>0</v>
      </c>
      <c r="J452" s="227">
        <f>IF(DAY(A452)='Main Budget'!$J$29,'Main Budget'!$E$29,0)</f>
        <v>0</v>
      </c>
      <c r="K452" s="20">
        <f>IF(DAY(A452)='Main Budget'!$J$30,'Main Budget'!$E$30,0)</f>
        <v>0</v>
      </c>
      <c r="L452" s="20">
        <f>IF(DAY(A452)='Main Budget'!$J$31,'Main Budget'!$E$31,0)</f>
        <v>0</v>
      </c>
      <c r="M452" s="20">
        <f>IF(DAY(A452)='Main Budget'!$J$27,'Main Budget'!$E$27,0)</f>
        <v>0</v>
      </c>
      <c r="O452" s="228">
        <f>B452+(SUM(H452:M452)+(SUM(D452:E452)))</f>
        <v>100</v>
      </c>
      <c r="P452" s="228">
        <f>C452+F452+G452+N452</f>
        <v>100</v>
      </c>
      <c r="Q452" s="252">
        <f>O452+P452</f>
        <v>200</v>
      </c>
      <c r="S452" s="231" t="str">
        <f>TEXT(A452,"dddd")</f>
        <v>Saturday</v>
      </c>
    </row>
    <row r="453" spans="1:19" x14ac:dyDescent="0.25">
      <c r="A453" s="226">
        <v>46474</v>
      </c>
      <c r="B453" s="227">
        <f>O452</f>
        <v>100</v>
      </c>
      <c r="C453" s="228">
        <f>P452</f>
        <v>100</v>
      </c>
      <c r="D453" s="228">
        <f>IF(OR(DAY(A453+2)=1,DAY(A453+2)=15),-SUM('Main Budget'!$H$26:$H$31),0)</f>
        <v>0</v>
      </c>
      <c r="E453" s="228">
        <f>IF(DAY(A453+2)=22,-SUM('Main Budget'!$F$26:$F$31),0)</f>
        <v>0</v>
      </c>
      <c r="F453" s="228">
        <f>IF(D453&gt;0,-'Main Budget'!$H$25+0.15,0)</f>
        <v>0</v>
      </c>
      <c r="G453" s="228">
        <f>IF(E453&gt;0,-'Main Budget'!$F$25+0.81,0)</f>
        <v>0</v>
      </c>
      <c r="H453" s="227">
        <f>IF(DAY(A453)='Main Budget'!$J$26,'Main Budget'!$E$26,0)</f>
        <v>0</v>
      </c>
      <c r="I453" s="227">
        <f>IF(DAY(A453)='Main Budget'!$J$28,'Main Budget'!$E$28,0)</f>
        <v>0</v>
      </c>
      <c r="J453" s="227">
        <f>IF(DAY(A453)='Main Budget'!$J$29,'Main Budget'!$E$29,0)</f>
        <v>0</v>
      </c>
      <c r="K453" s="20">
        <f>IF(DAY(A453)='Main Budget'!$J$30,'Main Budget'!$E$30,0)</f>
        <v>0</v>
      </c>
      <c r="L453" s="20">
        <f>IF(DAY(A453)='Main Budget'!$J$31,'Main Budget'!$E$31,0)</f>
        <v>0</v>
      </c>
      <c r="M453" s="20">
        <f>IF(DAY(A453)='Main Budget'!$J$27,'Main Budget'!$E$27,0)</f>
        <v>0</v>
      </c>
      <c r="O453" s="228">
        <f>B453+(SUM(H453:M453)+(SUM(D453:E453)))</f>
        <v>100</v>
      </c>
      <c r="P453" s="228">
        <f>C453+F453+G453+N453</f>
        <v>100</v>
      </c>
      <c r="Q453" s="252">
        <f>O453+P453</f>
        <v>200</v>
      </c>
      <c r="S453" s="231" t="str">
        <f>TEXT(A453,"dddd")</f>
        <v>Sunday</v>
      </c>
    </row>
    <row r="454" spans="1:19" x14ac:dyDescent="0.25">
      <c r="A454" s="226">
        <v>46475</v>
      </c>
      <c r="B454" s="227">
        <f>O453</f>
        <v>100</v>
      </c>
      <c r="C454" s="228">
        <f>P453</f>
        <v>100</v>
      </c>
      <c r="D454" s="228">
        <f>IF(OR(DAY(A454+2)=1,DAY(A454+2)=15),-SUM('Main Budget'!$H$26:$H$31),0)</f>
        <v>0</v>
      </c>
      <c r="E454" s="228">
        <f>IF(DAY(A454+2)=22,-SUM('Main Budget'!$F$26:$F$31),0)</f>
        <v>0</v>
      </c>
      <c r="F454" s="228">
        <f>IF(D454&gt;0,-'Main Budget'!$H$25+0.15,0)</f>
        <v>0</v>
      </c>
      <c r="G454" s="228">
        <f>IF(E454&gt;0,-'Main Budget'!$F$25+0.81,0)</f>
        <v>0</v>
      </c>
      <c r="H454" s="227">
        <f>IF(DAY(A454)='Main Budget'!$J$26,'Main Budget'!$E$26,0)</f>
        <v>0</v>
      </c>
      <c r="I454" s="227">
        <f>IF(DAY(A454)='Main Budget'!$J$28,'Main Budget'!$E$28,0)</f>
        <v>0</v>
      </c>
      <c r="J454" s="227">
        <f>IF(DAY(A454)='Main Budget'!$J$29,'Main Budget'!$E$29,0)</f>
        <v>0</v>
      </c>
      <c r="K454" s="20">
        <f>IF(DAY(A454)='Main Budget'!$J$30,'Main Budget'!$E$30,0)</f>
        <v>0</v>
      </c>
      <c r="L454" s="20">
        <f>IF(DAY(A454)='Main Budget'!$J$31,'Main Budget'!$E$31,0)</f>
        <v>0</v>
      </c>
      <c r="M454" s="20">
        <f>IF(DAY(A454)='Main Budget'!$J$27,'Main Budget'!$E$27,0)</f>
        <v>0</v>
      </c>
      <c r="O454" s="228">
        <f>B454+(SUM(H454:M454)+(SUM(D454:E454)))</f>
        <v>100</v>
      </c>
      <c r="P454" s="228">
        <f>C454+F454+G454+N454</f>
        <v>100</v>
      </c>
      <c r="Q454" s="252">
        <f>O454+P454</f>
        <v>200</v>
      </c>
      <c r="S454" s="231" t="str">
        <f>TEXT(A454,"dddd")</f>
        <v>Monday</v>
      </c>
    </row>
    <row r="455" spans="1:19" x14ac:dyDescent="0.25">
      <c r="A455" s="226">
        <v>46476</v>
      </c>
      <c r="B455" s="227">
        <f>O454</f>
        <v>100</v>
      </c>
      <c r="C455" s="228">
        <f>P454</f>
        <v>100</v>
      </c>
      <c r="D455" s="228">
        <f>IF(OR(DAY(A455+2)=1,DAY(A455+2)=15),-SUM('Main Budget'!$H$26:$H$31),0)</f>
        <v>0</v>
      </c>
      <c r="E455" s="228">
        <f>IF(DAY(A455+2)=22,-SUM('Main Budget'!$F$26:$F$31),0)</f>
        <v>0</v>
      </c>
      <c r="F455" s="228">
        <f>IF(D455&gt;0,-'Main Budget'!$H$25+0.15,0)</f>
        <v>0</v>
      </c>
      <c r="G455" s="228">
        <f>IF(E455&gt;0,-'Main Budget'!$F$25+0.81,0)</f>
        <v>0</v>
      </c>
      <c r="H455" s="227">
        <f>IF(DAY(A455)='Main Budget'!$J$26,'Main Budget'!$E$26,0)</f>
        <v>0</v>
      </c>
      <c r="I455" s="227">
        <f>IF(DAY(A455)='Main Budget'!$J$28,'Main Budget'!$E$28,0)</f>
        <v>0</v>
      </c>
      <c r="J455" s="227">
        <f>IF(DAY(A455)='Main Budget'!$J$29,'Main Budget'!$E$29,0)</f>
        <v>0</v>
      </c>
      <c r="K455" s="20">
        <f>IF(DAY(A455)='Main Budget'!$J$30,'Main Budget'!$E$30,0)</f>
        <v>0</v>
      </c>
      <c r="L455" s="20">
        <f>IF(DAY(A455)='Main Budget'!$J$31,'Main Budget'!$E$31,0)</f>
        <v>0</v>
      </c>
      <c r="M455" s="20">
        <f>IF(DAY(A455)='Main Budget'!$J$27,'Main Budget'!$E$27,0)</f>
        <v>0</v>
      </c>
      <c r="O455" s="228">
        <f>B455+(SUM(H455:M455)+(SUM(D455:E455)))</f>
        <v>100</v>
      </c>
      <c r="P455" s="228">
        <f>C455+F455+G455+N455</f>
        <v>100</v>
      </c>
      <c r="Q455" s="252">
        <f>O455+P455</f>
        <v>200</v>
      </c>
      <c r="S455" s="231" t="str">
        <f>TEXT(A455,"dddd")</f>
        <v>Tuesday</v>
      </c>
    </row>
    <row r="456" spans="1:19" x14ac:dyDescent="0.25">
      <c r="A456" s="226">
        <v>46477</v>
      </c>
      <c r="B456" s="227">
        <f>O455</f>
        <v>100</v>
      </c>
      <c r="C456" s="228">
        <f>P455</f>
        <v>100</v>
      </c>
      <c r="D456" s="228">
        <f>IF(OR(DAY(A456+2)=1,DAY(A456+2)=15),-SUM('Main Budget'!$H$26:$H$31),0)</f>
        <v>0</v>
      </c>
      <c r="E456" s="228">
        <f>IF(DAY(A456+2)=22,-SUM('Main Budget'!$F$26:$F$31),0)</f>
        <v>0</v>
      </c>
      <c r="F456" s="228">
        <f>IF(D456&gt;0,-'Main Budget'!$H$25+0.15,0)</f>
        <v>0</v>
      </c>
      <c r="G456" s="228">
        <f>IF(E456&gt;0,-'Main Budget'!$F$25+0.81,0)</f>
        <v>0</v>
      </c>
      <c r="H456" s="227">
        <f>IF(DAY(A456)='Main Budget'!$J$26,'Main Budget'!$E$26,0)</f>
        <v>0</v>
      </c>
      <c r="I456" s="227">
        <f>IF(DAY(A456)='Main Budget'!$J$28,'Main Budget'!$E$28,0)</f>
        <v>0</v>
      </c>
      <c r="J456" s="227">
        <f>IF(DAY(A456)='Main Budget'!$J$29,'Main Budget'!$E$29,0)</f>
        <v>0</v>
      </c>
      <c r="K456" s="20">
        <f>IF(DAY(A456)='Main Budget'!$J$30,'Main Budget'!$E$30,0)</f>
        <v>0</v>
      </c>
      <c r="L456" s="20">
        <f>IF(DAY(A456)='Main Budget'!$J$31,'Main Budget'!$E$31,0)</f>
        <v>0</v>
      </c>
      <c r="M456" s="20">
        <f>IF(DAY(A456)='Main Budget'!$J$27,'Main Budget'!$E$27,0)</f>
        <v>0</v>
      </c>
      <c r="O456" s="228">
        <f>B456+(SUM(H456:M456)+(SUM(D456:E456)))</f>
        <v>100</v>
      </c>
      <c r="P456" s="228">
        <f>C456+F456+G456+N456</f>
        <v>100</v>
      </c>
      <c r="Q456" s="252">
        <f>O456+P456</f>
        <v>200</v>
      </c>
      <c r="S456" s="231" t="str">
        <f>TEXT(A456,"dddd")</f>
        <v>Wednesday</v>
      </c>
    </row>
    <row r="457" spans="1:19" x14ac:dyDescent="0.25">
      <c r="A457" s="226">
        <v>46478</v>
      </c>
      <c r="B457" s="227">
        <f>O456</f>
        <v>100</v>
      </c>
      <c r="C457" s="228">
        <f>P456</f>
        <v>100</v>
      </c>
      <c r="D457" s="228">
        <f>IF(OR(DAY(A457+2)=1,DAY(A457+2)=15),-SUM('Main Budget'!$H$26:$H$31),0)</f>
        <v>0</v>
      </c>
      <c r="E457" s="228">
        <f>IF(DAY(A457+2)=22,-SUM('Main Budget'!$F$26:$F$31),0)</f>
        <v>0</v>
      </c>
      <c r="F457" s="228">
        <f>IF(D457&gt;0,-'Main Budget'!$H$25+0.15,0)</f>
        <v>0</v>
      </c>
      <c r="G457" s="228">
        <f>IF(E457&gt;0,-'Main Budget'!$F$25+0.81,0)</f>
        <v>0</v>
      </c>
      <c r="H457" s="227">
        <f>IF(DAY(A457)='Main Budget'!$J$26,'Main Budget'!$E$26,0)</f>
        <v>0</v>
      </c>
      <c r="I457" s="227">
        <f>IF(DAY(A457)='Main Budget'!$J$28,'Main Budget'!$E$28,0)</f>
        <v>0</v>
      </c>
      <c r="J457" s="227">
        <f>IF(DAY(A457)='Main Budget'!$J$29,'Main Budget'!$E$29,0)</f>
        <v>0</v>
      </c>
      <c r="K457" s="20">
        <f>IF(DAY(A457)='Main Budget'!$J$30,'Main Budget'!$E$30,0)</f>
        <v>0</v>
      </c>
      <c r="L457" s="20">
        <f>IF(DAY(A457)='Main Budget'!$J$31,'Main Budget'!$E$31,0)</f>
        <v>0</v>
      </c>
      <c r="M457" s="20">
        <f>IF(DAY(A457)='Main Budget'!$J$27,'Main Budget'!$E$27,0)</f>
        <v>0</v>
      </c>
      <c r="O457" s="228">
        <f>B457+(SUM(H457:M457)+(SUM(D457:E457)))</f>
        <v>100</v>
      </c>
      <c r="P457" s="228">
        <f>C457+F457+G457+N457</f>
        <v>100</v>
      </c>
      <c r="Q457" s="252">
        <f>O457+P457</f>
        <v>200</v>
      </c>
      <c r="S457" s="231" t="str">
        <f>TEXT(A457,"dddd")</f>
        <v>Thursday</v>
      </c>
    </row>
    <row r="458" spans="1:19" x14ac:dyDescent="0.25">
      <c r="A458" s="226">
        <v>46479</v>
      </c>
      <c r="B458" s="227">
        <f>O457</f>
        <v>100</v>
      </c>
      <c r="C458" s="228">
        <f>P457</f>
        <v>100</v>
      </c>
      <c r="D458" s="228">
        <f>IF(OR(DAY(A458+2)=1,DAY(A458+2)=15),-SUM('Main Budget'!$H$26:$H$31),0)</f>
        <v>0</v>
      </c>
      <c r="E458" s="228">
        <f>IF(DAY(A458+2)=22,-SUM('Main Budget'!$F$26:$F$31),0)</f>
        <v>0</v>
      </c>
      <c r="F458" s="228">
        <f>IF(D458&gt;0,-'Main Budget'!$H$25+0.15,0)</f>
        <v>0</v>
      </c>
      <c r="G458" s="228">
        <f>IF(E458&gt;0,-'Main Budget'!$F$25+0.81,0)</f>
        <v>0</v>
      </c>
      <c r="H458" s="227">
        <f>IF(DAY(A458)='Main Budget'!$J$26,'Main Budget'!$E$26,0)</f>
        <v>0</v>
      </c>
      <c r="I458" s="227">
        <f>IF(DAY(A458)='Main Budget'!$J$28,'Main Budget'!$E$28,0)</f>
        <v>0</v>
      </c>
      <c r="J458" s="227">
        <f>IF(DAY(A458)='Main Budget'!$J$29,'Main Budget'!$E$29,0)</f>
        <v>0</v>
      </c>
      <c r="K458" s="20">
        <f>IF(DAY(A458)='Main Budget'!$J$30,'Main Budget'!$E$30,0)</f>
        <v>0</v>
      </c>
      <c r="L458" s="20">
        <f>IF(DAY(A458)='Main Budget'!$J$31,'Main Budget'!$E$31,0)</f>
        <v>0</v>
      </c>
      <c r="M458" s="20">
        <f>IF(DAY(A458)='Main Budget'!$J$27,'Main Budget'!$E$27,0)</f>
        <v>0</v>
      </c>
      <c r="O458" s="228">
        <f>B458+(SUM(H458:M458)+(SUM(D458:E458)))</f>
        <v>100</v>
      </c>
      <c r="P458" s="228">
        <f>C458+F458+G458+N458</f>
        <v>100</v>
      </c>
      <c r="Q458" s="252">
        <f>O458+P458</f>
        <v>200</v>
      </c>
      <c r="S458" s="231" t="str">
        <f>TEXT(A458,"dddd")</f>
        <v>Friday</v>
      </c>
    </row>
    <row r="459" spans="1:19" x14ac:dyDescent="0.25">
      <c r="A459" s="226">
        <v>46480</v>
      </c>
      <c r="B459" s="227">
        <f>O458</f>
        <v>100</v>
      </c>
      <c r="C459" s="228">
        <f>P458</f>
        <v>100</v>
      </c>
      <c r="D459" s="228">
        <f>IF(OR(DAY(A459+2)=1,DAY(A459+2)=15),-SUM('Main Budget'!$H$26:$H$31),0)</f>
        <v>0</v>
      </c>
      <c r="E459" s="228">
        <f>IF(DAY(A459+2)=22,-SUM('Main Budget'!$F$26:$F$31),0)</f>
        <v>0</v>
      </c>
      <c r="F459" s="228">
        <f>IF(D459&gt;0,-'Main Budget'!$H$25+0.15,0)</f>
        <v>0</v>
      </c>
      <c r="G459" s="228">
        <f>IF(E459&gt;0,-'Main Budget'!$F$25+0.81,0)</f>
        <v>0</v>
      </c>
      <c r="H459" s="227">
        <f>IF(DAY(A459)='Main Budget'!$J$26,'Main Budget'!$E$26,0)</f>
        <v>0</v>
      </c>
      <c r="I459" s="227">
        <f>IF(DAY(A459)='Main Budget'!$J$28,'Main Budget'!$E$28,0)</f>
        <v>0</v>
      </c>
      <c r="J459" s="227">
        <f>IF(DAY(A459)='Main Budget'!$J$29,'Main Budget'!$E$29,0)</f>
        <v>0</v>
      </c>
      <c r="K459" s="20">
        <f>IF(DAY(A459)='Main Budget'!$J$30,'Main Budget'!$E$30,0)</f>
        <v>0</v>
      </c>
      <c r="L459" s="20">
        <f>IF(DAY(A459)='Main Budget'!$J$31,'Main Budget'!$E$31,0)</f>
        <v>0</v>
      </c>
      <c r="M459" s="20">
        <f>IF(DAY(A459)='Main Budget'!$J$27,'Main Budget'!$E$27,0)</f>
        <v>0</v>
      </c>
      <c r="O459" s="228">
        <f>B459+(SUM(H459:M459)+(SUM(D459:E459)))</f>
        <v>100</v>
      </c>
      <c r="P459" s="228">
        <f>C459+F459+G459+N459</f>
        <v>100</v>
      </c>
      <c r="Q459" s="252">
        <f>O459+P459</f>
        <v>200</v>
      </c>
      <c r="S459" s="231" t="str">
        <f>TEXT(A459,"dddd")</f>
        <v>Saturday</v>
      </c>
    </row>
    <row r="460" spans="1:19" x14ac:dyDescent="0.25">
      <c r="A460" s="226">
        <v>46481</v>
      </c>
      <c r="B460" s="227">
        <f>O459</f>
        <v>100</v>
      </c>
      <c r="C460" s="228">
        <f>P459</f>
        <v>100</v>
      </c>
      <c r="D460" s="228">
        <f>IF(OR(DAY(A460+2)=1,DAY(A460+2)=15),-SUM('Main Budget'!$H$26:$H$31),0)</f>
        <v>0</v>
      </c>
      <c r="E460" s="228">
        <f>IF(DAY(A460+2)=22,-SUM('Main Budget'!$F$26:$F$31),0)</f>
        <v>0</v>
      </c>
      <c r="F460" s="228">
        <f>IF(D460&gt;0,-'Main Budget'!$H$25+0.15,0)</f>
        <v>0</v>
      </c>
      <c r="G460" s="228">
        <f>IF(E460&gt;0,-'Main Budget'!$F$25+0.81,0)</f>
        <v>0</v>
      </c>
      <c r="H460" s="227">
        <f>IF(DAY(A460)='Main Budget'!$J$26,'Main Budget'!$E$26,0)</f>
        <v>0</v>
      </c>
      <c r="I460" s="227">
        <f>IF(DAY(A460)='Main Budget'!$J$28,'Main Budget'!$E$28,0)</f>
        <v>0</v>
      </c>
      <c r="J460" s="227">
        <f>IF(DAY(A460)='Main Budget'!$J$29,'Main Budget'!$E$29,0)</f>
        <v>0</v>
      </c>
      <c r="K460" s="20">
        <f>IF(DAY(A460)='Main Budget'!$J$30,'Main Budget'!$E$30,0)</f>
        <v>0</v>
      </c>
      <c r="L460" s="20">
        <f>IF(DAY(A460)='Main Budget'!$J$31,'Main Budget'!$E$31,0)</f>
        <v>0</v>
      </c>
      <c r="M460" s="20">
        <f>IF(DAY(A460)='Main Budget'!$J$27,'Main Budget'!$E$27,0)</f>
        <v>0</v>
      </c>
      <c r="O460" s="228">
        <f>B460+(SUM(H460:M460)+(SUM(D460:E460)))</f>
        <v>100</v>
      </c>
      <c r="P460" s="228">
        <f>C460+F460+G460+N460</f>
        <v>100</v>
      </c>
      <c r="Q460" s="252">
        <f>O460+P460</f>
        <v>200</v>
      </c>
      <c r="S460" s="231" t="str">
        <f>TEXT(A460,"dddd")</f>
        <v>Sunday</v>
      </c>
    </row>
    <row r="461" spans="1:19" x14ac:dyDescent="0.25">
      <c r="A461" s="226">
        <v>46482</v>
      </c>
      <c r="B461" s="227">
        <f>O460</f>
        <v>100</v>
      </c>
      <c r="C461" s="228">
        <f>P460</f>
        <v>100</v>
      </c>
      <c r="D461" s="228">
        <f>IF(OR(DAY(A461+2)=1,DAY(A461+2)=15),-SUM('Main Budget'!$H$26:$H$31),0)</f>
        <v>0</v>
      </c>
      <c r="E461" s="228">
        <f>IF(DAY(A461+2)=22,-SUM('Main Budget'!$F$26:$F$31),0)</f>
        <v>0</v>
      </c>
      <c r="F461" s="228">
        <f>IF(D461&gt;0,-'Main Budget'!$H$25+0.15,0)</f>
        <v>0</v>
      </c>
      <c r="G461" s="228">
        <f>IF(E461&gt;0,-'Main Budget'!$F$25+0.81,0)</f>
        <v>0</v>
      </c>
      <c r="H461" s="227">
        <f>IF(DAY(A461)='Main Budget'!$J$26,'Main Budget'!$E$26,0)</f>
        <v>0</v>
      </c>
      <c r="I461" s="227">
        <f>IF(DAY(A461)='Main Budget'!$J$28,'Main Budget'!$E$28,0)</f>
        <v>0</v>
      </c>
      <c r="J461" s="227">
        <f>IF(DAY(A461)='Main Budget'!$J$29,'Main Budget'!$E$29,0)</f>
        <v>0</v>
      </c>
      <c r="K461" s="20">
        <f>IF(DAY(A461)='Main Budget'!$J$30,'Main Budget'!$E$30,0)</f>
        <v>0</v>
      </c>
      <c r="L461" s="20">
        <f>IF(DAY(A461)='Main Budget'!$J$31,'Main Budget'!$E$31,0)</f>
        <v>0</v>
      </c>
      <c r="M461" s="20">
        <f>IF(DAY(A461)='Main Budget'!$J$27,'Main Budget'!$E$27,0)</f>
        <v>0</v>
      </c>
      <c r="O461" s="228">
        <f>B461+(SUM(H461:M461)+(SUM(D461:E461)))</f>
        <v>100</v>
      </c>
      <c r="P461" s="228">
        <f>C461+F461+G461+N461</f>
        <v>100</v>
      </c>
      <c r="Q461" s="252">
        <f>O461+P461</f>
        <v>200</v>
      </c>
      <c r="S461" s="231" t="str">
        <f>TEXT(A461,"dddd")</f>
        <v>Monday</v>
      </c>
    </row>
    <row r="462" spans="1:19" x14ac:dyDescent="0.25">
      <c r="A462" s="226">
        <v>46483</v>
      </c>
      <c r="B462" s="227">
        <f>O461</f>
        <v>100</v>
      </c>
      <c r="C462" s="228">
        <f>P461</f>
        <v>100</v>
      </c>
      <c r="D462" s="228">
        <f>IF(OR(DAY(A462+2)=1,DAY(A462+2)=15),-SUM('Main Budget'!$H$26:$H$31),0)</f>
        <v>0</v>
      </c>
      <c r="E462" s="228">
        <f>IF(DAY(A462+2)=22,-SUM('Main Budget'!$F$26:$F$31),0)</f>
        <v>0</v>
      </c>
      <c r="F462" s="228">
        <f>IF(D462&gt;0,-'Main Budget'!$H$25+0.15,0)</f>
        <v>0</v>
      </c>
      <c r="G462" s="228">
        <f>IF(E462&gt;0,-'Main Budget'!$F$25+0.81,0)</f>
        <v>0</v>
      </c>
      <c r="H462" s="227">
        <f>IF(DAY(A462)='Main Budget'!$J$26,'Main Budget'!$E$26,0)</f>
        <v>0</v>
      </c>
      <c r="I462" s="227">
        <f>IF(DAY(A462)='Main Budget'!$J$28,'Main Budget'!$E$28,0)</f>
        <v>0</v>
      </c>
      <c r="J462" s="227">
        <f>IF(DAY(A462)='Main Budget'!$J$29,'Main Budget'!$E$29,0)</f>
        <v>0</v>
      </c>
      <c r="K462" s="20">
        <f>IF(DAY(A462)='Main Budget'!$J$30,'Main Budget'!$E$30,0)</f>
        <v>0</v>
      </c>
      <c r="L462" s="20">
        <f>IF(DAY(A462)='Main Budget'!$J$31,'Main Budget'!$E$31,0)</f>
        <v>0</v>
      </c>
      <c r="M462" s="20">
        <f>IF(DAY(A462)='Main Budget'!$J$27,'Main Budget'!$E$27,0)</f>
        <v>0</v>
      </c>
      <c r="O462" s="228">
        <f>B462+(SUM(H462:M462)+(SUM(D462:E462)))</f>
        <v>100</v>
      </c>
      <c r="P462" s="228">
        <f>C462+F462+G462+N462</f>
        <v>100</v>
      </c>
      <c r="Q462" s="252">
        <f>O462+P462</f>
        <v>200</v>
      </c>
      <c r="S462" s="231" t="str">
        <f>TEXT(A462,"dddd")</f>
        <v>Tuesday</v>
      </c>
    </row>
    <row r="463" spans="1:19" x14ac:dyDescent="0.25">
      <c r="A463" s="226">
        <v>46484</v>
      </c>
      <c r="B463" s="227">
        <f>O462</f>
        <v>100</v>
      </c>
      <c r="C463" s="228">
        <f>P462</f>
        <v>100</v>
      </c>
      <c r="D463" s="228">
        <f>IF(OR(DAY(A463+2)=1,DAY(A463+2)=15),-SUM('Main Budget'!$H$26:$H$31),0)</f>
        <v>0</v>
      </c>
      <c r="E463" s="228">
        <f>IF(DAY(A463+2)=22,-SUM('Main Budget'!$F$26:$F$31),0)</f>
        <v>0</v>
      </c>
      <c r="F463" s="228">
        <f>IF(D463&gt;0,-'Main Budget'!$H$25+0.15,0)</f>
        <v>0</v>
      </c>
      <c r="G463" s="228">
        <f>IF(E463&gt;0,-'Main Budget'!$F$25+0.81,0)</f>
        <v>0</v>
      </c>
      <c r="H463" s="227">
        <f>IF(DAY(A463)='Main Budget'!$J$26,'Main Budget'!$E$26,0)</f>
        <v>0</v>
      </c>
      <c r="I463" s="227">
        <f>IF(DAY(A463)='Main Budget'!$J$28,'Main Budget'!$E$28,0)</f>
        <v>0</v>
      </c>
      <c r="J463" s="227">
        <f>IF(DAY(A463)='Main Budget'!$J$29,'Main Budget'!$E$29,0)</f>
        <v>0</v>
      </c>
      <c r="K463" s="20">
        <f>IF(DAY(A463)='Main Budget'!$J$30,'Main Budget'!$E$30,0)</f>
        <v>0</v>
      </c>
      <c r="L463" s="20">
        <f>IF(DAY(A463)='Main Budget'!$J$31,'Main Budget'!$E$31,0)</f>
        <v>0</v>
      </c>
      <c r="M463" s="20">
        <f>IF(DAY(A463)='Main Budget'!$J$27,'Main Budget'!$E$27,0)</f>
        <v>0</v>
      </c>
      <c r="O463" s="228">
        <f>B463+(SUM(H463:M463)+(SUM(D463:E463)))</f>
        <v>100</v>
      </c>
      <c r="P463" s="228">
        <f>C463+F463+G463+N463</f>
        <v>100</v>
      </c>
      <c r="Q463" s="252">
        <f>O463+P463</f>
        <v>200</v>
      </c>
      <c r="S463" s="231" t="str">
        <f>TEXT(A463,"dddd")</f>
        <v>Wednesday</v>
      </c>
    </row>
    <row r="464" spans="1:19" x14ac:dyDescent="0.25">
      <c r="A464" s="226">
        <v>46485</v>
      </c>
      <c r="B464" s="227">
        <f>O463</f>
        <v>100</v>
      </c>
      <c r="C464" s="228">
        <f>P463</f>
        <v>100</v>
      </c>
      <c r="D464" s="228">
        <f>IF(OR(DAY(A464+2)=1,DAY(A464+2)=15),-SUM('Main Budget'!$H$26:$H$31),0)</f>
        <v>0</v>
      </c>
      <c r="E464" s="228">
        <f>IF(DAY(A464+2)=22,-SUM('Main Budget'!$F$26:$F$31),0)</f>
        <v>0</v>
      </c>
      <c r="F464" s="228">
        <f>IF(D464&gt;0,-'Main Budget'!$H$25+0.15,0)</f>
        <v>0</v>
      </c>
      <c r="G464" s="228">
        <f>IF(E464&gt;0,-'Main Budget'!$F$25+0.81,0)</f>
        <v>0</v>
      </c>
      <c r="H464" s="227">
        <f>IF(DAY(A464)='Main Budget'!$J$26,'Main Budget'!$E$26,0)</f>
        <v>0</v>
      </c>
      <c r="I464" s="227">
        <f>IF(DAY(A464)='Main Budget'!$J$28,'Main Budget'!$E$28,0)</f>
        <v>0</v>
      </c>
      <c r="J464" s="227">
        <f>IF(DAY(A464)='Main Budget'!$J$29,'Main Budget'!$E$29,0)</f>
        <v>0</v>
      </c>
      <c r="K464" s="20">
        <f>IF(DAY(A464)='Main Budget'!$J$30,'Main Budget'!$E$30,0)</f>
        <v>0</v>
      </c>
      <c r="L464" s="20">
        <f>IF(DAY(A464)='Main Budget'!$J$31,'Main Budget'!$E$31,0)</f>
        <v>0</v>
      </c>
      <c r="M464" s="20">
        <f>IF(DAY(A464)='Main Budget'!$J$27,'Main Budget'!$E$27,0)</f>
        <v>0</v>
      </c>
      <c r="O464" s="228">
        <f>B464+(SUM(H464:M464)+(SUM(D464:E464)))</f>
        <v>100</v>
      </c>
      <c r="P464" s="228">
        <f>C464+F464+G464+N464</f>
        <v>100</v>
      </c>
      <c r="Q464" s="252">
        <f>O464+P464</f>
        <v>200</v>
      </c>
      <c r="S464" s="231" t="str">
        <f>TEXT(A464,"dddd")</f>
        <v>Thursday</v>
      </c>
    </row>
    <row r="465" spans="1:19" x14ac:dyDescent="0.25">
      <c r="A465" s="226">
        <v>46486</v>
      </c>
      <c r="B465" s="227">
        <f>O464</f>
        <v>100</v>
      </c>
      <c r="C465" s="228">
        <f>P464</f>
        <v>100</v>
      </c>
      <c r="D465" s="228">
        <f>IF(OR(DAY(A465+2)=1,DAY(A465+2)=15),-SUM('Main Budget'!$H$26:$H$31),0)</f>
        <v>0</v>
      </c>
      <c r="E465" s="228">
        <f>IF(DAY(A465+2)=22,-SUM('Main Budget'!$F$26:$F$31),0)</f>
        <v>0</v>
      </c>
      <c r="F465" s="228">
        <f>IF(D465&gt;0,-'Main Budget'!$H$25+0.15,0)</f>
        <v>0</v>
      </c>
      <c r="G465" s="228">
        <f>IF(E465&gt;0,-'Main Budget'!$F$25+0.81,0)</f>
        <v>0</v>
      </c>
      <c r="H465" s="227">
        <f>IF(DAY(A465)='Main Budget'!$J$26,'Main Budget'!$E$26,0)</f>
        <v>0</v>
      </c>
      <c r="I465" s="227">
        <f>IF(DAY(A465)='Main Budget'!$J$28,'Main Budget'!$E$28,0)</f>
        <v>0</v>
      </c>
      <c r="J465" s="227">
        <f>IF(DAY(A465)='Main Budget'!$J$29,'Main Budget'!$E$29,0)</f>
        <v>0</v>
      </c>
      <c r="K465" s="20">
        <f>IF(DAY(A465)='Main Budget'!$J$30,'Main Budget'!$E$30,0)</f>
        <v>0</v>
      </c>
      <c r="L465" s="20">
        <f>IF(DAY(A465)='Main Budget'!$J$31,'Main Budget'!$E$31,0)</f>
        <v>0</v>
      </c>
      <c r="M465" s="20">
        <f>IF(DAY(A465)='Main Budget'!$J$27,'Main Budget'!$E$27,0)</f>
        <v>0</v>
      </c>
      <c r="O465" s="228">
        <f>B465+(SUM(H465:M465)+(SUM(D465:E465)))</f>
        <v>100</v>
      </c>
      <c r="P465" s="228">
        <f>C465+F465+G465+N465</f>
        <v>100</v>
      </c>
      <c r="Q465" s="252">
        <f>O465+P465</f>
        <v>200</v>
      </c>
      <c r="S465" s="231" t="str">
        <f>TEXT(A465,"dddd")</f>
        <v>Friday</v>
      </c>
    </row>
    <row r="466" spans="1:19" x14ac:dyDescent="0.25">
      <c r="A466" s="226">
        <v>46487</v>
      </c>
      <c r="B466" s="227">
        <f>O465</f>
        <v>100</v>
      </c>
      <c r="C466" s="228">
        <f>P465</f>
        <v>100</v>
      </c>
      <c r="D466" s="228">
        <f>IF(OR(DAY(A466+2)=1,DAY(A466+2)=15),-SUM('Main Budget'!$H$26:$H$31),0)</f>
        <v>0</v>
      </c>
      <c r="E466" s="228">
        <f>IF(DAY(A466+2)=22,-SUM('Main Budget'!$F$26:$F$31),0)</f>
        <v>0</v>
      </c>
      <c r="F466" s="228">
        <f>IF(D466&gt;0,-'Main Budget'!$H$25+0.15,0)</f>
        <v>0</v>
      </c>
      <c r="G466" s="228">
        <f>IF(E466&gt;0,-'Main Budget'!$F$25+0.81,0)</f>
        <v>0</v>
      </c>
      <c r="H466" s="227">
        <f>IF(DAY(A466)='Main Budget'!$J$26,'Main Budget'!$E$26,0)</f>
        <v>0</v>
      </c>
      <c r="I466" s="227">
        <f>IF(DAY(A466)='Main Budget'!$J$28,'Main Budget'!$E$28,0)</f>
        <v>0</v>
      </c>
      <c r="J466" s="227">
        <f>IF(DAY(A466)='Main Budget'!$J$29,'Main Budget'!$E$29,0)</f>
        <v>0</v>
      </c>
      <c r="K466" s="20">
        <f>IF(DAY(A466)='Main Budget'!$J$30,'Main Budget'!$E$30,0)</f>
        <v>0</v>
      </c>
      <c r="L466" s="20">
        <f>IF(DAY(A466)='Main Budget'!$J$31,'Main Budget'!$E$31,0)</f>
        <v>0</v>
      </c>
      <c r="M466" s="20">
        <f>IF(DAY(A466)='Main Budget'!$J$27,'Main Budget'!$E$27,0)</f>
        <v>0</v>
      </c>
      <c r="O466" s="228">
        <f>B466+(SUM(H466:M466)+(SUM(D466:E466)))</f>
        <v>100</v>
      </c>
      <c r="P466" s="228">
        <f>C466+F466+G466+N466</f>
        <v>100</v>
      </c>
      <c r="Q466" s="252">
        <f>O466+P466</f>
        <v>200</v>
      </c>
      <c r="S466" s="231" t="str">
        <f>TEXT(A466,"dddd")</f>
        <v>Saturday</v>
      </c>
    </row>
    <row r="467" spans="1:19" x14ac:dyDescent="0.25">
      <c r="A467" s="226">
        <v>46488</v>
      </c>
      <c r="B467" s="227">
        <f>O466</f>
        <v>100</v>
      </c>
      <c r="C467" s="228">
        <f>P466</f>
        <v>100</v>
      </c>
      <c r="D467" s="228">
        <f>IF(OR(DAY(A467+2)=1,DAY(A467+2)=15),-SUM('Main Budget'!$H$26:$H$31),0)</f>
        <v>0</v>
      </c>
      <c r="E467" s="228">
        <f>IF(DAY(A467+2)=22,-SUM('Main Budget'!$F$26:$F$31),0)</f>
        <v>0</v>
      </c>
      <c r="F467" s="228">
        <f>IF(D467&gt;0,-'Main Budget'!$H$25+0.15,0)</f>
        <v>0</v>
      </c>
      <c r="G467" s="228">
        <f>IF(E467&gt;0,-'Main Budget'!$F$25+0.81,0)</f>
        <v>0</v>
      </c>
      <c r="H467" s="227">
        <f>IF(DAY(A467)='Main Budget'!$J$26,'Main Budget'!$E$26,0)</f>
        <v>0</v>
      </c>
      <c r="I467" s="227">
        <f>IF(DAY(A467)='Main Budget'!$J$28,'Main Budget'!$E$28,0)</f>
        <v>0</v>
      </c>
      <c r="J467" s="227">
        <f>IF(DAY(A467)='Main Budget'!$J$29,'Main Budget'!$E$29,0)</f>
        <v>0</v>
      </c>
      <c r="K467" s="20">
        <f>IF(DAY(A467)='Main Budget'!$J$30,'Main Budget'!$E$30,0)</f>
        <v>0</v>
      </c>
      <c r="L467" s="20">
        <f>IF(DAY(A467)='Main Budget'!$J$31,'Main Budget'!$E$31,0)</f>
        <v>0</v>
      </c>
      <c r="M467" s="20">
        <f>IF(DAY(A467)='Main Budget'!$J$27,'Main Budget'!$E$27,0)</f>
        <v>0</v>
      </c>
      <c r="O467" s="228">
        <f>B467+(SUM(H467:M467)+(SUM(D467:E467)))</f>
        <v>100</v>
      </c>
      <c r="P467" s="228">
        <f>C467+F467+G467+N467</f>
        <v>100</v>
      </c>
      <c r="Q467" s="252">
        <f>O467+P467</f>
        <v>200</v>
      </c>
      <c r="S467" s="231" t="str">
        <f>TEXT(A467,"dddd")</f>
        <v>Sunday</v>
      </c>
    </row>
    <row r="468" spans="1:19" x14ac:dyDescent="0.25">
      <c r="A468" s="226">
        <v>46489</v>
      </c>
      <c r="B468" s="227">
        <f>O467</f>
        <v>100</v>
      </c>
      <c r="C468" s="228">
        <f>P467</f>
        <v>100</v>
      </c>
      <c r="D468" s="228">
        <f>IF(OR(DAY(A468+2)=1,DAY(A468+2)=15),-SUM('Main Budget'!$H$26:$H$31),0)</f>
        <v>0</v>
      </c>
      <c r="E468" s="228">
        <f>IF(DAY(A468+2)=22,-SUM('Main Budget'!$F$26:$F$31),0)</f>
        <v>0</v>
      </c>
      <c r="F468" s="228">
        <f>IF(D468&gt;0,-'Main Budget'!$H$25+0.15,0)</f>
        <v>0</v>
      </c>
      <c r="G468" s="228">
        <f>IF(E468&gt;0,-'Main Budget'!$F$25+0.81,0)</f>
        <v>0</v>
      </c>
      <c r="H468" s="227">
        <f>IF(DAY(A468)='Main Budget'!$J$26,'Main Budget'!$E$26,0)</f>
        <v>0</v>
      </c>
      <c r="I468" s="227">
        <f>IF(DAY(A468)='Main Budget'!$J$28,'Main Budget'!$E$28,0)</f>
        <v>0</v>
      </c>
      <c r="J468" s="227">
        <f>IF(DAY(A468)='Main Budget'!$J$29,'Main Budget'!$E$29,0)</f>
        <v>0</v>
      </c>
      <c r="K468" s="20">
        <f>IF(DAY(A468)='Main Budget'!$J$30,'Main Budget'!$E$30,0)</f>
        <v>0</v>
      </c>
      <c r="L468" s="20">
        <f>IF(DAY(A468)='Main Budget'!$J$31,'Main Budget'!$E$31,0)</f>
        <v>0</v>
      </c>
      <c r="M468" s="20">
        <f>IF(DAY(A468)='Main Budget'!$J$27,'Main Budget'!$E$27,0)</f>
        <v>0</v>
      </c>
      <c r="O468" s="228">
        <f>B468+(SUM(H468:M468)+(SUM(D468:E468)))</f>
        <v>100</v>
      </c>
      <c r="P468" s="228">
        <f>C468+F468+G468+N468</f>
        <v>100</v>
      </c>
      <c r="Q468" s="252">
        <f>O468+P468</f>
        <v>200</v>
      </c>
      <c r="S468" s="231" t="str">
        <f>TEXT(A468,"dddd")</f>
        <v>Monday</v>
      </c>
    </row>
    <row r="469" spans="1:19" x14ac:dyDescent="0.25">
      <c r="A469" s="226">
        <v>46490</v>
      </c>
      <c r="B469" s="227">
        <f>O468</f>
        <v>100</v>
      </c>
      <c r="C469" s="228">
        <f>P468</f>
        <v>100</v>
      </c>
      <c r="D469" s="228">
        <f>IF(OR(DAY(A469+2)=1,DAY(A469+2)=15),-SUM('Main Budget'!$H$26:$H$31),0)</f>
        <v>0</v>
      </c>
      <c r="E469" s="228">
        <f>IF(DAY(A469+2)=22,-SUM('Main Budget'!$F$26:$F$31),0)</f>
        <v>0</v>
      </c>
      <c r="F469" s="228">
        <f>IF(D469&gt;0,-'Main Budget'!$H$25+0.15,0)</f>
        <v>0</v>
      </c>
      <c r="G469" s="228">
        <f>IF(E469&gt;0,-'Main Budget'!$F$25+0.81,0)</f>
        <v>0</v>
      </c>
      <c r="H469" s="227">
        <f>IF(DAY(A469)='Main Budget'!$J$26,'Main Budget'!$E$26,0)</f>
        <v>0</v>
      </c>
      <c r="I469" s="227">
        <f>IF(DAY(A469)='Main Budget'!$J$28,'Main Budget'!$E$28,0)</f>
        <v>0</v>
      </c>
      <c r="J469" s="227">
        <f>IF(DAY(A469)='Main Budget'!$J$29,'Main Budget'!$E$29,0)</f>
        <v>0</v>
      </c>
      <c r="K469" s="20">
        <f>IF(DAY(A469)='Main Budget'!$J$30,'Main Budget'!$E$30,0)</f>
        <v>0</v>
      </c>
      <c r="L469" s="20">
        <f>IF(DAY(A469)='Main Budget'!$J$31,'Main Budget'!$E$31,0)</f>
        <v>0</v>
      </c>
      <c r="M469" s="20">
        <f>IF(DAY(A469)='Main Budget'!$J$27,'Main Budget'!$E$27,0)</f>
        <v>0</v>
      </c>
      <c r="O469" s="228">
        <f>B469+(SUM(H469:M469)+(SUM(D469:E469)))</f>
        <v>100</v>
      </c>
      <c r="P469" s="228">
        <f>C469+F469+G469+N469</f>
        <v>100</v>
      </c>
      <c r="Q469" s="252">
        <f>O469+P469</f>
        <v>200</v>
      </c>
      <c r="S469" s="231" t="str">
        <f>TEXT(A469,"dddd")</f>
        <v>Tuesday</v>
      </c>
    </row>
    <row r="470" spans="1:19" x14ac:dyDescent="0.25">
      <c r="A470" s="226">
        <v>46491</v>
      </c>
      <c r="B470" s="227">
        <f>O469</f>
        <v>100</v>
      </c>
      <c r="C470" s="228">
        <f>P469</f>
        <v>100</v>
      </c>
      <c r="D470" s="228">
        <f>IF(OR(DAY(A470+2)=1,DAY(A470+2)=15),-SUM('Main Budget'!$H$26:$H$31),0)</f>
        <v>0</v>
      </c>
      <c r="E470" s="228">
        <f>IF(DAY(A470+2)=22,-SUM('Main Budget'!$F$26:$F$31),0)</f>
        <v>0</v>
      </c>
      <c r="F470" s="228">
        <f>IF(D470&gt;0,-'Main Budget'!$H$25+0.15,0)</f>
        <v>0</v>
      </c>
      <c r="G470" s="228">
        <f>IF(E470&gt;0,-'Main Budget'!$F$25+0.81,0)</f>
        <v>0</v>
      </c>
      <c r="H470" s="227">
        <f>IF(DAY(A470)='Main Budget'!$J$26,'Main Budget'!$E$26,0)</f>
        <v>0</v>
      </c>
      <c r="I470" s="227">
        <f>IF(DAY(A470)='Main Budget'!$J$28,'Main Budget'!$E$28,0)</f>
        <v>0</v>
      </c>
      <c r="J470" s="227">
        <f>IF(DAY(A470)='Main Budget'!$J$29,'Main Budget'!$E$29,0)</f>
        <v>0</v>
      </c>
      <c r="K470" s="20">
        <f>IF(DAY(A470)='Main Budget'!$J$30,'Main Budget'!$E$30,0)</f>
        <v>0</v>
      </c>
      <c r="L470" s="20">
        <f>IF(DAY(A470)='Main Budget'!$J$31,'Main Budget'!$E$31,0)</f>
        <v>0</v>
      </c>
      <c r="M470" s="20">
        <f>IF(DAY(A470)='Main Budget'!$J$27,'Main Budget'!$E$27,0)</f>
        <v>0</v>
      </c>
      <c r="O470" s="228">
        <f>B470+(SUM(H470:M470)+(SUM(D470:E470)))</f>
        <v>100</v>
      </c>
      <c r="P470" s="228">
        <f>C470+F470+G470+N470</f>
        <v>100</v>
      </c>
      <c r="Q470" s="252">
        <f>O470+P470</f>
        <v>200</v>
      </c>
      <c r="S470" s="231" t="str">
        <f>TEXT(A470,"dddd")</f>
        <v>Wednesday</v>
      </c>
    </row>
    <row r="471" spans="1:19" x14ac:dyDescent="0.25">
      <c r="A471" s="226">
        <v>46492</v>
      </c>
      <c r="B471" s="227">
        <f>O470</f>
        <v>100</v>
      </c>
      <c r="C471" s="228">
        <f>P470</f>
        <v>100</v>
      </c>
      <c r="D471" s="228">
        <f>IF(OR(DAY(A471+2)=1,DAY(A471+2)=15),-SUM('Main Budget'!$H$26:$H$31),0)</f>
        <v>0</v>
      </c>
      <c r="E471" s="228">
        <f>IF(DAY(A471+2)=22,-SUM('Main Budget'!$F$26:$F$31),0)</f>
        <v>0</v>
      </c>
      <c r="F471" s="228">
        <f>IF(D471&gt;0,-'Main Budget'!$H$25+0.15,0)</f>
        <v>0</v>
      </c>
      <c r="G471" s="228">
        <f>IF(E471&gt;0,-'Main Budget'!$F$25+0.81,0)</f>
        <v>0</v>
      </c>
      <c r="H471" s="227">
        <f>IF(DAY(A471)='Main Budget'!$J$26,'Main Budget'!$E$26,0)</f>
        <v>0</v>
      </c>
      <c r="I471" s="227">
        <f>IF(DAY(A471)='Main Budget'!$J$28,'Main Budget'!$E$28,0)</f>
        <v>0</v>
      </c>
      <c r="J471" s="227">
        <f>IF(DAY(A471)='Main Budget'!$J$29,'Main Budget'!$E$29,0)</f>
        <v>0</v>
      </c>
      <c r="K471" s="20">
        <f>IF(DAY(A471)='Main Budget'!$J$30,'Main Budget'!$E$30,0)</f>
        <v>0</v>
      </c>
      <c r="L471" s="20">
        <f>IF(DAY(A471)='Main Budget'!$J$31,'Main Budget'!$E$31,0)</f>
        <v>0</v>
      </c>
      <c r="M471" s="20">
        <f>IF(DAY(A471)='Main Budget'!$J$27,'Main Budget'!$E$27,0)</f>
        <v>0</v>
      </c>
      <c r="O471" s="228">
        <f>B471+(SUM(H471:M471)+(SUM(D471:E471)))</f>
        <v>100</v>
      </c>
      <c r="P471" s="228">
        <f>C471+F471+G471+N471</f>
        <v>100</v>
      </c>
      <c r="Q471" s="252">
        <f>O471+P471</f>
        <v>200</v>
      </c>
      <c r="S471" s="231" t="str">
        <f>TEXT(A471,"dddd")</f>
        <v>Thursday</v>
      </c>
    </row>
    <row r="472" spans="1:19" x14ac:dyDescent="0.25">
      <c r="A472" s="226">
        <v>46493</v>
      </c>
      <c r="B472" s="227">
        <f>O471</f>
        <v>100</v>
      </c>
      <c r="C472" s="228">
        <f>P471</f>
        <v>100</v>
      </c>
      <c r="D472" s="228">
        <f>IF(OR(DAY(A472+2)=1,DAY(A472+2)=15),-SUM('Main Budget'!$H$26:$H$31),0)</f>
        <v>0</v>
      </c>
      <c r="E472" s="228">
        <f>IF(DAY(A472+2)=22,-SUM('Main Budget'!$F$26:$F$31),0)</f>
        <v>0</v>
      </c>
      <c r="F472" s="228">
        <f>IF(D472&gt;0,-'Main Budget'!$H$25+0.15,0)</f>
        <v>0</v>
      </c>
      <c r="G472" s="228">
        <f>IF(E472&gt;0,-'Main Budget'!$F$25+0.81,0)</f>
        <v>0</v>
      </c>
      <c r="H472" s="227">
        <f>IF(DAY(A472)='Main Budget'!$J$26,'Main Budget'!$E$26,0)</f>
        <v>0</v>
      </c>
      <c r="I472" s="227">
        <f>IF(DAY(A472)='Main Budget'!$J$28,'Main Budget'!$E$28,0)</f>
        <v>0</v>
      </c>
      <c r="J472" s="227">
        <f>IF(DAY(A472)='Main Budget'!$J$29,'Main Budget'!$E$29,0)</f>
        <v>0</v>
      </c>
      <c r="K472" s="20">
        <f>IF(DAY(A472)='Main Budget'!$J$30,'Main Budget'!$E$30,0)</f>
        <v>0</v>
      </c>
      <c r="L472" s="20">
        <f>IF(DAY(A472)='Main Budget'!$J$31,'Main Budget'!$E$31,0)</f>
        <v>0</v>
      </c>
      <c r="M472" s="20">
        <f>IF(DAY(A472)='Main Budget'!$J$27,'Main Budget'!$E$27,0)</f>
        <v>0</v>
      </c>
      <c r="O472" s="228">
        <f>B472+(SUM(H472:M472)+(SUM(D472:E472)))</f>
        <v>100</v>
      </c>
      <c r="P472" s="228">
        <f>C472+F472+G472+N472</f>
        <v>100</v>
      </c>
      <c r="Q472" s="252">
        <f>O472+P472</f>
        <v>200</v>
      </c>
      <c r="S472" s="231" t="str">
        <f>TEXT(A472,"dddd")</f>
        <v>Friday</v>
      </c>
    </row>
    <row r="473" spans="1:19" x14ac:dyDescent="0.25">
      <c r="A473" s="226">
        <v>46494</v>
      </c>
      <c r="B473" s="227">
        <f>O472</f>
        <v>100</v>
      </c>
      <c r="C473" s="228">
        <f>P472</f>
        <v>100</v>
      </c>
      <c r="D473" s="228">
        <f>IF(OR(DAY(A473+2)=1,DAY(A473+2)=15),-SUM('Main Budget'!$H$26:$H$31),0)</f>
        <v>0</v>
      </c>
      <c r="E473" s="228">
        <f>IF(DAY(A473+2)=22,-SUM('Main Budget'!$F$26:$F$31),0)</f>
        <v>0</v>
      </c>
      <c r="F473" s="228">
        <f>IF(D473&gt;0,-'Main Budget'!$H$25+0.15,0)</f>
        <v>0</v>
      </c>
      <c r="G473" s="228">
        <f>IF(E473&gt;0,-'Main Budget'!$F$25+0.81,0)</f>
        <v>0</v>
      </c>
      <c r="H473" s="227">
        <f>IF(DAY(A473)='Main Budget'!$J$26,'Main Budget'!$E$26,0)</f>
        <v>0</v>
      </c>
      <c r="I473" s="227">
        <f>IF(DAY(A473)='Main Budget'!$J$28,'Main Budget'!$E$28,0)</f>
        <v>0</v>
      </c>
      <c r="J473" s="227">
        <f>IF(DAY(A473)='Main Budget'!$J$29,'Main Budget'!$E$29,0)</f>
        <v>0</v>
      </c>
      <c r="K473" s="20">
        <f>IF(DAY(A473)='Main Budget'!$J$30,'Main Budget'!$E$30,0)</f>
        <v>0</v>
      </c>
      <c r="L473" s="20">
        <f>IF(DAY(A473)='Main Budget'!$J$31,'Main Budget'!$E$31,0)</f>
        <v>0</v>
      </c>
      <c r="M473" s="20">
        <f>IF(DAY(A473)='Main Budget'!$J$27,'Main Budget'!$E$27,0)</f>
        <v>0</v>
      </c>
      <c r="O473" s="228">
        <f>B473+(SUM(H473:M473)+(SUM(D473:E473)))</f>
        <v>100</v>
      </c>
      <c r="P473" s="228">
        <f>C473+F473+G473+N473</f>
        <v>100</v>
      </c>
      <c r="Q473" s="252">
        <f>O473+P473</f>
        <v>200</v>
      </c>
      <c r="S473" s="231" t="str">
        <f>TEXT(A473,"dddd")</f>
        <v>Saturday</v>
      </c>
    </row>
    <row r="474" spans="1:19" x14ac:dyDescent="0.25">
      <c r="A474" s="226">
        <v>46495</v>
      </c>
      <c r="B474" s="227">
        <f>O473</f>
        <v>100</v>
      </c>
      <c r="C474" s="228">
        <f>P473</f>
        <v>100</v>
      </c>
      <c r="D474" s="228">
        <f>IF(OR(DAY(A474+2)=1,DAY(A474+2)=15),-SUM('Main Budget'!$H$26:$H$31),0)</f>
        <v>0</v>
      </c>
      <c r="E474" s="228">
        <f>IF(DAY(A474+2)=22,-SUM('Main Budget'!$F$26:$F$31),0)</f>
        <v>0</v>
      </c>
      <c r="F474" s="228">
        <f>IF(D474&gt;0,-'Main Budget'!$H$25+0.15,0)</f>
        <v>0</v>
      </c>
      <c r="G474" s="228">
        <f>IF(E474&gt;0,-'Main Budget'!$F$25+0.81,0)</f>
        <v>0</v>
      </c>
      <c r="H474" s="227">
        <f>IF(DAY(A474)='Main Budget'!$J$26,'Main Budget'!$E$26,0)</f>
        <v>0</v>
      </c>
      <c r="I474" s="227">
        <f>IF(DAY(A474)='Main Budget'!$J$28,'Main Budget'!$E$28,0)</f>
        <v>0</v>
      </c>
      <c r="J474" s="227">
        <f>IF(DAY(A474)='Main Budget'!$J$29,'Main Budget'!$E$29,0)</f>
        <v>0</v>
      </c>
      <c r="K474" s="20">
        <f>IF(DAY(A474)='Main Budget'!$J$30,'Main Budget'!$E$30,0)</f>
        <v>0</v>
      </c>
      <c r="L474" s="20">
        <f>IF(DAY(A474)='Main Budget'!$J$31,'Main Budget'!$E$31,0)</f>
        <v>0</v>
      </c>
      <c r="M474" s="20">
        <f>IF(DAY(A474)='Main Budget'!$J$27,'Main Budget'!$E$27,0)</f>
        <v>0</v>
      </c>
      <c r="O474" s="228">
        <f>B474+(SUM(H474:M474)+(SUM(D474:E474)))</f>
        <v>100</v>
      </c>
      <c r="P474" s="228">
        <f>C474+F474+G474+N474</f>
        <v>100</v>
      </c>
      <c r="Q474" s="252">
        <f>O474+P474</f>
        <v>200</v>
      </c>
      <c r="S474" s="231" t="str">
        <f>TEXT(A474,"dddd")</f>
        <v>Sunday</v>
      </c>
    </row>
    <row r="475" spans="1:19" x14ac:dyDescent="0.25">
      <c r="A475" s="226">
        <v>46496</v>
      </c>
      <c r="B475" s="227">
        <f>O474</f>
        <v>100</v>
      </c>
      <c r="C475" s="228">
        <f>P474</f>
        <v>100</v>
      </c>
      <c r="D475" s="228">
        <f>IF(OR(DAY(A475+2)=1,DAY(A475+2)=15),-SUM('Main Budget'!$H$26:$H$31),0)</f>
        <v>0</v>
      </c>
      <c r="E475" s="228">
        <f>IF(DAY(A475+2)=22,-SUM('Main Budget'!$F$26:$F$31),0)</f>
        <v>0</v>
      </c>
      <c r="F475" s="228">
        <f>IF(D475&gt;0,-'Main Budget'!$H$25+0.15,0)</f>
        <v>0</v>
      </c>
      <c r="G475" s="228">
        <f>IF(E475&gt;0,-'Main Budget'!$F$25+0.81,0)</f>
        <v>0</v>
      </c>
      <c r="H475" s="227">
        <f>IF(DAY(A475)='Main Budget'!$J$26,'Main Budget'!$E$26,0)</f>
        <v>0</v>
      </c>
      <c r="I475" s="227">
        <f>IF(DAY(A475)='Main Budget'!$J$28,'Main Budget'!$E$28,0)</f>
        <v>0</v>
      </c>
      <c r="J475" s="227">
        <f>IF(DAY(A475)='Main Budget'!$J$29,'Main Budget'!$E$29,0)</f>
        <v>0</v>
      </c>
      <c r="K475" s="20">
        <f>IF(DAY(A475)='Main Budget'!$J$30,'Main Budget'!$E$30,0)</f>
        <v>0</v>
      </c>
      <c r="L475" s="20">
        <f>IF(DAY(A475)='Main Budget'!$J$31,'Main Budget'!$E$31,0)</f>
        <v>0</v>
      </c>
      <c r="M475" s="20">
        <f>IF(DAY(A475)='Main Budget'!$J$27,'Main Budget'!$E$27,0)</f>
        <v>0</v>
      </c>
      <c r="O475" s="228">
        <f>B475+(SUM(H475:M475)+(SUM(D475:E475)))</f>
        <v>100</v>
      </c>
      <c r="P475" s="228">
        <f>C475+F475+G475+N475</f>
        <v>100</v>
      </c>
      <c r="Q475" s="252">
        <f>O475+P475</f>
        <v>200</v>
      </c>
      <c r="S475" s="231" t="str">
        <f>TEXT(A475,"dddd")</f>
        <v>Monday</v>
      </c>
    </row>
    <row r="476" spans="1:19" x14ac:dyDescent="0.25">
      <c r="A476" s="226">
        <v>46497</v>
      </c>
      <c r="B476" s="227">
        <f>O475</f>
        <v>100</v>
      </c>
      <c r="C476" s="228">
        <f>P475</f>
        <v>100</v>
      </c>
      <c r="D476" s="228">
        <f>IF(OR(DAY(A476+2)=1,DAY(A476+2)=15),-SUM('Main Budget'!$H$26:$H$31),0)</f>
        <v>0</v>
      </c>
      <c r="E476" s="228">
        <f>IF(DAY(A476+2)=22,-SUM('Main Budget'!$F$26:$F$31),0)</f>
        <v>0</v>
      </c>
      <c r="F476" s="228">
        <f>IF(D476&gt;0,-'Main Budget'!$H$25+0.15,0)</f>
        <v>0</v>
      </c>
      <c r="G476" s="228">
        <f>IF(E476&gt;0,-'Main Budget'!$F$25+0.81,0)</f>
        <v>0</v>
      </c>
      <c r="H476" s="227">
        <f>IF(DAY(A476)='Main Budget'!$J$26,'Main Budget'!$E$26,0)</f>
        <v>0</v>
      </c>
      <c r="I476" s="227">
        <f>IF(DAY(A476)='Main Budget'!$J$28,'Main Budget'!$E$28,0)</f>
        <v>0</v>
      </c>
      <c r="J476" s="227">
        <f>IF(DAY(A476)='Main Budget'!$J$29,'Main Budget'!$E$29,0)</f>
        <v>0</v>
      </c>
      <c r="K476" s="20">
        <f>IF(DAY(A476)='Main Budget'!$J$30,'Main Budget'!$E$30,0)</f>
        <v>0</v>
      </c>
      <c r="L476" s="20">
        <f>IF(DAY(A476)='Main Budget'!$J$31,'Main Budget'!$E$31,0)</f>
        <v>0</v>
      </c>
      <c r="M476" s="20">
        <f>IF(DAY(A476)='Main Budget'!$J$27,'Main Budget'!$E$27,0)</f>
        <v>0</v>
      </c>
      <c r="O476" s="228">
        <f>B476+(SUM(H476:M476)+(SUM(D476:E476)))</f>
        <v>100</v>
      </c>
      <c r="P476" s="228">
        <f>C476+F476+G476+N476</f>
        <v>100</v>
      </c>
      <c r="Q476" s="252">
        <f>O476+P476</f>
        <v>200</v>
      </c>
      <c r="S476" s="231" t="str">
        <f>TEXT(A476,"dddd")</f>
        <v>Tuesday</v>
      </c>
    </row>
    <row r="477" spans="1:19" x14ac:dyDescent="0.25">
      <c r="A477" s="226">
        <v>46498</v>
      </c>
      <c r="B477" s="227">
        <f>O476</f>
        <v>100</v>
      </c>
      <c r="C477" s="228">
        <f>P476</f>
        <v>100</v>
      </c>
      <c r="D477" s="228">
        <f>IF(OR(DAY(A477+2)=1,DAY(A477+2)=15),-SUM('Main Budget'!$H$26:$H$31),0)</f>
        <v>0</v>
      </c>
      <c r="E477" s="228">
        <f>IF(DAY(A477+2)=22,-SUM('Main Budget'!$F$26:$F$31),0)</f>
        <v>0</v>
      </c>
      <c r="F477" s="228">
        <f>IF(D477&gt;0,-'Main Budget'!$H$25+0.15,0)</f>
        <v>0</v>
      </c>
      <c r="G477" s="228">
        <f>IF(E477&gt;0,-'Main Budget'!$F$25+0.81,0)</f>
        <v>0</v>
      </c>
      <c r="H477" s="227">
        <f>IF(DAY(A477)='Main Budget'!$J$26,'Main Budget'!$E$26,0)</f>
        <v>0</v>
      </c>
      <c r="I477" s="227">
        <f>IF(DAY(A477)='Main Budget'!$J$28,'Main Budget'!$E$28,0)</f>
        <v>0</v>
      </c>
      <c r="J477" s="227">
        <f>IF(DAY(A477)='Main Budget'!$J$29,'Main Budget'!$E$29,0)</f>
        <v>0</v>
      </c>
      <c r="K477" s="20">
        <f>IF(DAY(A477)='Main Budget'!$J$30,'Main Budget'!$E$30,0)</f>
        <v>0</v>
      </c>
      <c r="L477" s="20">
        <f>IF(DAY(A477)='Main Budget'!$J$31,'Main Budget'!$E$31,0)</f>
        <v>0</v>
      </c>
      <c r="M477" s="20">
        <f>IF(DAY(A477)='Main Budget'!$J$27,'Main Budget'!$E$27,0)</f>
        <v>0</v>
      </c>
      <c r="O477" s="228">
        <f>B477+(SUM(H477:M477)+(SUM(D477:E477)))</f>
        <v>100</v>
      </c>
      <c r="P477" s="228">
        <f>C477+F477+G477+N477</f>
        <v>100</v>
      </c>
      <c r="Q477" s="252">
        <f>O477+P477</f>
        <v>200</v>
      </c>
      <c r="S477" s="231" t="str">
        <f>TEXT(A477,"dddd")</f>
        <v>Wednesday</v>
      </c>
    </row>
    <row r="478" spans="1:19" x14ac:dyDescent="0.25">
      <c r="A478" s="226">
        <v>46499</v>
      </c>
      <c r="B478" s="227">
        <f>O477</f>
        <v>100</v>
      </c>
      <c r="C478" s="228">
        <f>P477</f>
        <v>100</v>
      </c>
      <c r="D478" s="228">
        <f>IF(OR(DAY(A478+2)=1,DAY(A478+2)=15),-SUM('Main Budget'!$H$26:$H$31),0)</f>
        <v>0</v>
      </c>
      <c r="E478" s="228">
        <f>IF(DAY(A478+2)=22,-SUM('Main Budget'!$F$26:$F$31),0)</f>
        <v>0</v>
      </c>
      <c r="F478" s="228">
        <f>IF(D478&gt;0,-'Main Budget'!$H$25+0.15,0)</f>
        <v>0</v>
      </c>
      <c r="G478" s="228">
        <f>IF(E478&gt;0,-'Main Budget'!$F$25+0.81,0)</f>
        <v>0</v>
      </c>
      <c r="H478" s="227">
        <f>IF(DAY(A478)='Main Budget'!$J$26,'Main Budget'!$E$26,0)</f>
        <v>0</v>
      </c>
      <c r="I478" s="227">
        <f>IF(DAY(A478)='Main Budget'!$J$28,'Main Budget'!$E$28,0)</f>
        <v>0</v>
      </c>
      <c r="J478" s="227">
        <f>IF(DAY(A478)='Main Budget'!$J$29,'Main Budget'!$E$29,0)</f>
        <v>0</v>
      </c>
      <c r="K478" s="20">
        <f>IF(DAY(A478)='Main Budget'!$J$30,'Main Budget'!$E$30,0)</f>
        <v>0</v>
      </c>
      <c r="L478" s="20">
        <f>IF(DAY(A478)='Main Budget'!$J$31,'Main Budget'!$E$31,0)</f>
        <v>0</v>
      </c>
      <c r="M478" s="20">
        <f>IF(DAY(A478)='Main Budget'!$J$27,'Main Budget'!$E$27,0)</f>
        <v>0</v>
      </c>
      <c r="O478" s="228">
        <f>B478+(SUM(H478:M478)+(SUM(D478:E478)))</f>
        <v>100</v>
      </c>
      <c r="P478" s="228">
        <f>C478+F478+G478+N478</f>
        <v>100</v>
      </c>
      <c r="Q478" s="252">
        <f>O478+P478</f>
        <v>200</v>
      </c>
      <c r="S478" s="231" t="str">
        <f>TEXT(A478,"dddd")</f>
        <v>Thursday</v>
      </c>
    </row>
    <row r="479" spans="1:19" x14ac:dyDescent="0.25">
      <c r="A479" s="226">
        <v>46500</v>
      </c>
      <c r="B479" s="227">
        <f>O478</f>
        <v>100</v>
      </c>
      <c r="C479" s="228">
        <f>P478</f>
        <v>100</v>
      </c>
      <c r="D479" s="228">
        <f>IF(OR(DAY(A479+2)=1,DAY(A479+2)=15),-SUM('Main Budget'!$H$26:$H$31),0)</f>
        <v>0</v>
      </c>
      <c r="E479" s="228">
        <f>IF(DAY(A479+2)=22,-SUM('Main Budget'!$F$26:$F$31),0)</f>
        <v>0</v>
      </c>
      <c r="F479" s="228">
        <f>IF(D479&gt;0,-'Main Budget'!$H$25+0.15,0)</f>
        <v>0</v>
      </c>
      <c r="G479" s="228">
        <f>IF(E479&gt;0,-'Main Budget'!$F$25+0.81,0)</f>
        <v>0</v>
      </c>
      <c r="H479" s="227">
        <f>IF(DAY(A479)='Main Budget'!$J$26,'Main Budget'!$E$26,0)</f>
        <v>0</v>
      </c>
      <c r="I479" s="227">
        <f>IF(DAY(A479)='Main Budget'!$J$28,'Main Budget'!$E$28,0)</f>
        <v>0</v>
      </c>
      <c r="J479" s="227">
        <f>IF(DAY(A479)='Main Budget'!$J$29,'Main Budget'!$E$29,0)</f>
        <v>0</v>
      </c>
      <c r="K479" s="20">
        <f>IF(DAY(A479)='Main Budget'!$J$30,'Main Budget'!$E$30,0)</f>
        <v>0</v>
      </c>
      <c r="L479" s="20">
        <f>IF(DAY(A479)='Main Budget'!$J$31,'Main Budget'!$E$31,0)</f>
        <v>0</v>
      </c>
      <c r="M479" s="20">
        <f>IF(DAY(A479)='Main Budget'!$J$27,'Main Budget'!$E$27,0)</f>
        <v>0</v>
      </c>
      <c r="O479" s="228">
        <f>B479+(SUM(H479:M479)+(SUM(D479:E479)))</f>
        <v>100</v>
      </c>
      <c r="P479" s="228">
        <f>C479+F479+G479+N479</f>
        <v>100</v>
      </c>
      <c r="Q479" s="252">
        <f>O479+P479</f>
        <v>200</v>
      </c>
      <c r="S479" s="231" t="str">
        <f>TEXT(A479,"dddd")</f>
        <v>Friday</v>
      </c>
    </row>
    <row r="480" spans="1:19" x14ac:dyDescent="0.25">
      <c r="A480" s="226">
        <v>46501</v>
      </c>
      <c r="B480" s="227">
        <f>O479</f>
        <v>100</v>
      </c>
      <c r="C480" s="228">
        <f>P479</f>
        <v>100</v>
      </c>
      <c r="D480" s="228">
        <f>IF(OR(DAY(A480+2)=1,DAY(A480+2)=15),-SUM('Main Budget'!$H$26:$H$31),0)</f>
        <v>0</v>
      </c>
      <c r="E480" s="228">
        <f>IF(DAY(A480+2)=22,-SUM('Main Budget'!$F$26:$F$31),0)</f>
        <v>0</v>
      </c>
      <c r="F480" s="228">
        <f>IF(D480&gt;0,-'Main Budget'!$H$25+0.15,0)</f>
        <v>0</v>
      </c>
      <c r="G480" s="228">
        <f>IF(E480&gt;0,-'Main Budget'!$F$25+0.81,0)</f>
        <v>0</v>
      </c>
      <c r="H480" s="227">
        <f>IF(DAY(A480)='Main Budget'!$J$26,'Main Budget'!$E$26,0)</f>
        <v>0</v>
      </c>
      <c r="I480" s="227">
        <f>IF(DAY(A480)='Main Budget'!$J$28,'Main Budget'!$E$28,0)</f>
        <v>0</v>
      </c>
      <c r="J480" s="227">
        <f>IF(DAY(A480)='Main Budget'!$J$29,'Main Budget'!$E$29,0)</f>
        <v>0</v>
      </c>
      <c r="K480" s="20">
        <f>IF(DAY(A480)='Main Budget'!$J$30,'Main Budget'!$E$30,0)</f>
        <v>0</v>
      </c>
      <c r="L480" s="20">
        <f>IF(DAY(A480)='Main Budget'!$J$31,'Main Budget'!$E$31,0)</f>
        <v>0</v>
      </c>
      <c r="M480" s="20">
        <f>IF(DAY(A480)='Main Budget'!$J$27,'Main Budget'!$E$27,0)</f>
        <v>0</v>
      </c>
      <c r="O480" s="228">
        <f>B480+(SUM(H480:M480)+(SUM(D480:E480)))</f>
        <v>100</v>
      </c>
      <c r="P480" s="228">
        <f>C480+F480+G480+N480</f>
        <v>100</v>
      </c>
      <c r="Q480" s="252">
        <f>O480+P480</f>
        <v>200</v>
      </c>
      <c r="S480" s="231" t="str">
        <f>TEXT(A480,"dddd")</f>
        <v>Saturday</v>
      </c>
    </row>
    <row r="481" spans="1:19" x14ac:dyDescent="0.25">
      <c r="A481" s="226">
        <v>46502</v>
      </c>
      <c r="B481" s="227">
        <f>O480</f>
        <v>100</v>
      </c>
      <c r="C481" s="228">
        <f>P480</f>
        <v>100</v>
      </c>
      <c r="D481" s="228">
        <f>IF(OR(DAY(A481+2)=1,DAY(A481+2)=15),-SUM('Main Budget'!$H$26:$H$31),0)</f>
        <v>0</v>
      </c>
      <c r="E481" s="228">
        <f>IF(DAY(A481+2)=22,-SUM('Main Budget'!$F$26:$F$31),0)</f>
        <v>0</v>
      </c>
      <c r="F481" s="228">
        <f>IF(D481&gt;0,-'Main Budget'!$H$25+0.15,0)</f>
        <v>0</v>
      </c>
      <c r="G481" s="228">
        <f>IF(E481&gt;0,-'Main Budget'!$F$25+0.81,0)</f>
        <v>0</v>
      </c>
      <c r="H481" s="227">
        <f>IF(DAY(A481)='Main Budget'!$J$26,'Main Budget'!$E$26,0)</f>
        <v>0</v>
      </c>
      <c r="I481" s="227">
        <f>IF(DAY(A481)='Main Budget'!$J$28,'Main Budget'!$E$28,0)</f>
        <v>0</v>
      </c>
      <c r="J481" s="227">
        <f>IF(DAY(A481)='Main Budget'!$J$29,'Main Budget'!$E$29,0)</f>
        <v>0</v>
      </c>
      <c r="K481" s="20">
        <f>IF(DAY(A481)='Main Budget'!$J$30,'Main Budget'!$E$30,0)</f>
        <v>0</v>
      </c>
      <c r="L481" s="20">
        <f>IF(DAY(A481)='Main Budget'!$J$31,'Main Budget'!$E$31,0)</f>
        <v>0</v>
      </c>
      <c r="M481" s="20">
        <f>IF(DAY(A481)='Main Budget'!$J$27,'Main Budget'!$E$27,0)</f>
        <v>0</v>
      </c>
      <c r="O481" s="228">
        <f>B481+(SUM(H481:M481)+(SUM(D481:E481)))</f>
        <v>100</v>
      </c>
      <c r="P481" s="228">
        <f>C481+F481+G481+N481</f>
        <v>100</v>
      </c>
      <c r="Q481" s="252">
        <f>O481+P481</f>
        <v>200</v>
      </c>
      <c r="S481" s="231" t="str">
        <f>TEXT(A481,"dddd")</f>
        <v>Sunday</v>
      </c>
    </row>
    <row r="482" spans="1:19" x14ac:dyDescent="0.25">
      <c r="A482" s="226">
        <v>46503</v>
      </c>
      <c r="B482" s="227">
        <f>O481</f>
        <v>100</v>
      </c>
      <c r="C482" s="228">
        <f>P481</f>
        <v>100</v>
      </c>
      <c r="D482" s="228">
        <f>IF(OR(DAY(A482+2)=1,DAY(A482+2)=15),-SUM('Main Budget'!$H$26:$H$31),0)</f>
        <v>0</v>
      </c>
      <c r="E482" s="228">
        <f>IF(DAY(A482+2)=22,-SUM('Main Budget'!$F$26:$F$31),0)</f>
        <v>0</v>
      </c>
      <c r="F482" s="228">
        <f>IF(D482&gt;0,-'Main Budget'!$H$25+0.15,0)</f>
        <v>0</v>
      </c>
      <c r="G482" s="228">
        <f>IF(E482&gt;0,-'Main Budget'!$F$25+0.81,0)</f>
        <v>0</v>
      </c>
      <c r="H482" s="227">
        <f>IF(DAY(A482)='Main Budget'!$J$26,'Main Budget'!$E$26,0)</f>
        <v>0</v>
      </c>
      <c r="I482" s="227">
        <f>IF(DAY(A482)='Main Budget'!$J$28,'Main Budget'!$E$28,0)</f>
        <v>0</v>
      </c>
      <c r="J482" s="227">
        <f>IF(DAY(A482)='Main Budget'!$J$29,'Main Budget'!$E$29,0)</f>
        <v>0</v>
      </c>
      <c r="K482" s="20">
        <f>IF(DAY(A482)='Main Budget'!$J$30,'Main Budget'!$E$30,0)</f>
        <v>0</v>
      </c>
      <c r="L482" s="20">
        <f>IF(DAY(A482)='Main Budget'!$J$31,'Main Budget'!$E$31,0)</f>
        <v>0</v>
      </c>
      <c r="M482" s="20">
        <f>IF(DAY(A482)='Main Budget'!$J$27,'Main Budget'!$E$27,0)</f>
        <v>0</v>
      </c>
      <c r="O482" s="228">
        <f>B482+(SUM(H482:M482)+(SUM(D482:E482)))</f>
        <v>100</v>
      </c>
      <c r="P482" s="228">
        <f>C482+F482+G482+N482</f>
        <v>100</v>
      </c>
      <c r="Q482" s="252">
        <f>O482+P482</f>
        <v>200</v>
      </c>
      <c r="S482" s="231" t="str">
        <f>TEXT(A482,"dddd")</f>
        <v>Monday</v>
      </c>
    </row>
    <row r="483" spans="1:19" x14ac:dyDescent="0.25">
      <c r="A483" s="226">
        <v>46504</v>
      </c>
      <c r="B483" s="227">
        <f>O482</f>
        <v>100</v>
      </c>
      <c r="C483" s="228">
        <f>P482</f>
        <v>100</v>
      </c>
      <c r="D483" s="228">
        <f>IF(OR(DAY(A483+2)=1,DAY(A483+2)=15),-SUM('Main Budget'!$H$26:$H$31),0)</f>
        <v>0</v>
      </c>
      <c r="E483" s="228">
        <f>IF(DAY(A483+2)=22,-SUM('Main Budget'!$F$26:$F$31),0)</f>
        <v>0</v>
      </c>
      <c r="F483" s="228">
        <f>IF(D483&gt;0,-'Main Budget'!$H$25+0.15,0)</f>
        <v>0</v>
      </c>
      <c r="G483" s="228">
        <f>IF(E483&gt;0,-'Main Budget'!$F$25+0.81,0)</f>
        <v>0</v>
      </c>
      <c r="H483" s="227">
        <f>IF(DAY(A483)='Main Budget'!$J$26,'Main Budget'!$E$26,0)</f>
        <v>0</v>
      </c>
      <c r="I483" s="227">
        <f>IF(DAY(A483)='Main Budget'!$J$28,'Main Budget'!$E$28,0)</f>
        <v>0</v>
      </c>
      <c r="J483" s="227">
        <f>IF(DAY(A483)='Main Budget'!$J$29,'Main Budget'!$E$29,0)</f>
        <v>0</v>
      </c>
      <c r="K483" s="20">
        <f>IF(DAY(A483)='Main Budget'!$J$30,'Main Budget'!$E$30,0)</f>
        <v>0</v>
      </c>
      <c r="L483" s="20">
        <f>IF(DAY(A483)='Main Budget'!$J$31,'Main Budget'!$E$31,0)</f>
        <v>0</v>
      </c>
      <c r="M483" s="20">
        <f>IF(DAY(A483)='Main Budget'!$J$27,'Main Budget'!$E$27,0)</f>
        <v>0</v>
      </c>
      <c r="O483" s="228">
        <f>B483+(SUM(H483:M483)+(SUM(D483:E483)))</f>
        <v>100</v>
      </c>
      <c r="P483" s="228">
        <f>C483+F483+G483+N483</f>
        <v>100</v>
      </c>
      <c r="Q483" s="252">
        <f>O483+P483</f>
        <v>200</v>
      </c>
      <c r="S483" s="231" t="str">
        <f>TEXT(A483,"dddd")</f>
        <v>Tuesday</v>
      </c>
    </row>
    <row r="484" spans="1:19" x14ac:dyDescent="0.25">
      <c r="A484" s="226">
        <v>46505</v>
      </c>
      <c r="B484" s="227">
        <f>O483</f>
        <v>100</v>
      </c>
      <c r="C484" s="228">
        <f>P483</f>
        <v>100</v>
      </c>
      <c r="D484" s="228">
        <f>IF(OR(DAY(A484+2)=1,DAY(A484+2)=15),-SUM('Main Budget'!$H$26:$H$31),0)</f>
        <v>0</v>
      </c>
      <c r="E484" s="228">
        <f>IF(DAY(A484+2)=22,-SUM('Main Budget'!$F$26:$F$31),0)</f>
        <v>0</v>
      </c>
      <c r="F484" s="228">
        <f>IF(D484&gt;0,-'Main Budget'!$H$25+0.15,0)</f>
        <v>0</v>
      </c>
      <c r="G484" s="228">
        <f>IF(E484&gt;0,-'Main Budget'!$F$25+0.81,0)</f>
        <v>0</v>
      </c>
      <c r="H484" s="227">
        <f>IF(DAY(A484)='Main Budget'!$J$26,'Main Budget'!$E$26,0)</f>
        <v>0</v>
      </c>
      <c r="I484" s="227">
        <f>IF(DAY(A484)='Main Budget'!$J$28,'Main Budget'!$E$28,0)</f>
        <v>0</v>
      </c>
      <c r="J484" s="227">
        <f>IF(DAY(A484)='Main Budget'!$J$29,'Main Budget'!$E$29,0)</f>
        <v>0</v>
      </c>
      <c r="K484" s="20">
        <f>IF(DAY(A484)='Main Budget'!$J$30,'Main Budget'!$E$30,0)</f>
        <v>0</v>
      </c>
      <c r="L484" s="20">
        <f>IF(DAY(A484)='Main Budget'!$J$31,'Main Budget'!$E$31,0)</f>
        <v>0</v>
      </c>
      <c r="M484" s="20">
        <f>IF(DAY(A484)='Main Budget'!$J$27,'Main Budget'!$E$27,0)</f>
        <v>0</v>
      </c>
      <c r="O484" s="228">
        <f>B484+(SUM(H484:M484)+(SUM(D484:E484)))</f>
        <v>100</v>
      </c>
      <c r="P484" s="228">
        <f>C484+F484+G484+N484</f>
        <v>100</v>
      </c>
      <c r="Q484" s="252">
        <f>O484+P484</f>
        <v>200</v>
      </c>
      <c r="S484" s="231" t="str">
        <f>TEXT(A484,"dddd")</f>
        <v>Wednesday</v>
      </c>
    </row>
    <row r="485" spans="1:19" x14ac:dyDescent="0.25">
      <c r="A485" s="226">
        <v>46506</v>
      </c>
      <c r="B485" s="227">
        <f>O484</f>
        <v>100</v>
      </c>
      <c r="C485" s="228">
        <f>P484</f>
        <v>100</v>
      </c>
      <c r="D485" s="228">
        <f>IF(OR(DAY(A485+2)=1,DAY(A485+2)=15),-SUM('Main Budget'!$H$26:$H$31),0)</f>
        <v>0</v>
      </c>
      <c r="E485" s="228">
        <f>IF(DAY(A485+2)=22,-SUM('Main Budget'!$F$26:$F$31),0)</f>
        <v>0</v>
      </c>
      <c r="F485" s="228">
        <f>IF(D485&gt;0,-'Main Budget'!$H$25+0.15,0)</f>
        <v>0</v>
      </c>
      <c r="G485" s="228">
        <f>IF(E485&gt;0,-'Main Budget'!$F$25+0.81,0)</f>
        <v>0</v>
      </c>
      <c r="H485" s="227">
        <f>IF(DAY(A485)='Main Budget'!$J$26,'Main Budget'!$E$26,0)</f>
        <v>0</v>
      </c>
      <c r="I485" s="227">
        <f>IF(DAY(A485)='Main Budget'!$J$28,'Main Budget'!$E$28,0)</f>
        <v>0</v>
      </c>
      <c r="J485" s="227">
        <f>IF(DAY(A485)='Main Budget'!$J$29,'Main Budget'!$E$29,0)</f>
        <v>0</v>
      </c>
      <c r="K485" s="20">
        <f>IF(DAY(A485)='Main Budget'!$J$30,'Main Budget'!$E$30,0)</f>
        <v>0</v>
      </c>
      <c r="L485" s="20">
        <f>IF(DAY(A485)='Main Budget'!$J$31,'Main Budget'!$E$31,0)</f>
        <v>0</v>
      </c>
      <c r="M485" s="20">
        <f>IF(DAY(A485)='Main Budget'!$J$27,'Main Budget'!$E$27,0)</f>
        <v>0</v>
      </c>
      <c r="O485" s="228">
        <f>B485+(SUM(H485:M485)+(SUM(D485:E485)))</f>
        <v>100</v>
      </c>
      <c r="P485" s="228">
        <f>C485+F485+G485+N485</f>
        <v>100</v>
      </c>
      <c r="Q485" s="252">
        <f>O485+P485</f>
        <v>200</v>
      </c>
      <c r="S485" s="231" t="str">
        <f>TEXT(A485,"dddd")</f>
        <v>Thursday</v>
      </c>
    </row>
    <row r="486" spans="1:19" x14ac:dyDescent="0.25">
      <c r="A486" s="226">
        <v>46507</v>
      </c>
      <c r="B486" s="227">
        <f>O485</f>
        <v>100</v>
      </c>
      <c r="C486" s="228">
        <f>P485</f>
        <v>100</v>
      </c>
      <c r="D486" s="228">
        <f>IF(OR(DAY(A486+2)=1,DAY(A486+2)=15),-SUM('Main Budget'!$H$26:$H$31),0)</f>
        <v>0</v>
      </c>
      <c r="E486" s="228">
        <f>IF(DAY(A486+2)=22,-SUM('Main Budget'!$F$26:$F$31),0)</f>
        <v>0</v>
      </c>
      <c r="F486" s="228">
        <f>IF(D486&gt;0,-'Main Budget'!$H$25+0.15,0)</f>
        <v>0</v>
      </c>
      <c r="G486" s="228">
        <f>IF(E486&gt;0,-'Main Budget'!$F$25+0.81,0)</f>
        <v>0</v>
      </c>
      <c r="H486" s="227">
        <f>IF(DAY(A486)='Main Budget'!$J$26,'Main Budget'!$E$26,0)</f>
        <v>0</v>
      </c>
      <c r="I486" s="227">
        <f>IF(DAY(A486)='Main Budget'!$J$28,'Main Budget'!$E$28,0)</f>
        <v>0</v>
      </c>
      <c r="J486" s="227">
        <f>IF(DAY(A486)='Main Budget'!$J$29,'Main Budget'!$E$29,0)</f>
        <v>0</v>
      </c>
      <c r="K486" s="20">
        <f>IF(DAY(A486)='Main Budget'!$J$30,'Main Budget'!$E$30,0)</f>
        <v>0</v>
      </c>
      <c r="L486" s="20">
        <f>IF(DAY(A486)='Main Budget'!$J$31,'Main Budget'!$E$31,0)</f>
        <v>0</v>
      </c>
      <c r="M486" s="20">
        <f>IF(DAY(A486)='Main Budget'!$J$27,'Main Budget'!$E$27,0)</f>
        <v>0</v>
      </c>
      <c r="O486" s="228">
        <f>B486+(SUM(H486:M486)+(SUM(D486:E486)))</f>
        <v>100</v>
      </c>
      <c r="P486" s="228">
        <f>C486+F486+G486+N486</f>
        <v>100</v>
      </c>
      <c r="Q486" s="252">
        <f>O486+P486</f>
        <v>200</v>
      </c>
      <c r="S486" s="231" t="str">
        <f>TEXT(A486,"dddd")</f>
        <v>Friday</v>
      </c>
    </row>
    <row r="487" spans="1:19" x14ac:dyDescent="0.25">
      <c r="A487" s="226">
        <v>46508</v>
      </c>
      <c r="B487" s="227">
        <f>O486</f>
        <v>100</v>
      </c>
      <c r="C487" s="228">
        <f>P486</f>
        <v>100</v>
      </c>
      <c r="D487" s="228">
        <f>IF(OR(DAY(A487+2)=1,DAY(A487+2)=15),-SUM('Main Budget'!$H$26:$H$31),0)</f>
        <v>0</v>
      </c>
      <c r="E487" s="228">
        <f>IF(DAY(A487+2)=22,-SUM('Main Budget'!$F$26:$F$31),0)</f>
        <v>0</v>
      </c>
      <c r="F487" s="228">
        <f>IF(D487&gt;0,-'Main Budget'!$H$25+0.15,0)</f>
        <v>0</v>
      </c>
      <c r="G487" s="228">
        <f>IF(E487&gt;0,-'Main Budget'!$F$25+0.81,0)</f>
        <v>0</v>
      </c>
      <c r="H487" s="227">
        <f>IF(DAY(A487)='Main Budget'!$J$26,'Main Budget'!$E$26,0)</f>
        <v>0</v>
      </c>
      <c r="I487" s="227">
        <f>IF(DAY(A487)='Main Budget'!$J$28,'Main Budget'!$E$28,0)</f>
        <v>0</v>
      </c>
      <c r="J487" s="227">
        <f>IF(DAY(A487)='Main Budget'!$J$29,'Main Budget'!$E$29,0)</f>
        <v>0</v>
      </c>
      <c r="K487" s="20">
        <f>IF(DAY(A487)='Main Budget'!$J$30,'Main Budget'!$E$30,0)</f>
        <v>0</v>
      </c>
      <c r="L487" s="20">
        <f>IF(DAY(A487)='Main Budget'!$J$31,'Main Budget'!$E$31,0)</f>
        <v>0</v>
      </c>
      <c r="M487" s="20">
        <f>IF(DAY(A487)='Main Budget'!$J$27,'Main Budget'!$E$27,0)</f>
        <v>0</v>
      </c>
      <c r="O487" s="228">
        <f>B487+(SUM(H487:M487)+(SUM(D487:E487)))</f>
        <v>100</v>
      </c>
      <c r="P487" s="228">
        <f>C487+F487+G487+N487</f>
        <v>100</v>
      </c>
      <c r="Q487" s="252">
        <f>O487+P487</f>
        <v>200</v>
      </c>
      <c r="S487" s="231" t="str">
        <f>TEXT(A487,"dddd")</f>
        <v>Saturday</v>
      </c>
    </row>
    <row r="488" spans="1:19" x14ac:dyDescent="0.25">
      <c r="A488" s="226">
        <v>46509</v>
      </c>
      <c r="B488" s="227">
        <f>O487</f>
        <v>100</v>
      </c>
      <c r="C488" s="228">
        <f>P487</f>
        <v>100</v>
      </c>
      <c r="D488" s="228">
        <f>IF(OR(DAY(A488+2)=1,DAY(A488+2)=15),-SUM('Main Budget'!$H$26:$H$31),0)</f>
        <v>0</v>
      </c>
      <c r="E488" s="228">
        <f>IF(DAY(A488+2)=22,-SUM('Main Budget'!$F$26:$F$31),0)</f>
        <v>0</v>
      </c>
      <c r="F488" s="228">
        <f>IF(D488&gt;0,-'Main Budget'!$H$25+0.15,0)</f>
        <v>0</v>
      </c>
      <c r="G488" s="228">
        <f>IF(E488&gt;0,-'Main Budget'!$F$25+0.81,0)</f>
        <v>0</v>
      </c>
      <c r="H488" s="227">
        <f>IF(DAY(A488)='Main Budget'!$J$26,'Main Budget'!$E$26,0)</f>
        <v>0</v>
      </c>
      <c r="I488" s="227">
        <f>IF(DAY(A488)='Main Budget'!$J$28,'Main Budget'!$E$28,0)</f>
        <v>0</v>
      </c>
      <c r="J488" s="227">
        <f>IF(DAY(A488)='Main Budget'!$J$29,'Main Budget'!$E$29,0)</f>
        <v>0</v>
      </c>
      <c r="K488" s="20">
        <f>IF(DAY(A488)='Main Budget'!$J$30,'Main Budget'!$E$30,0)</f>
        <v>0</v>
      </c>
      <c r="L488" s="20">
        <f>IF(DAY(A488)='Main Budget'!$J$31,'Main Budget'!$E$31,0)</f>
        <v>0</v>
      </c>
      <c r="M488" s="20">
        <f>IF(DAY(A488)='Main Budget'!$J$27,'Main Budget'!$E$27,0)</f>
        <v>0</v>
      </c>
      <c r="O488" s="228">
        <f>B488+(SUM(H488:M488)+(SUM(D488:E488)))</f>
        <v>100</v>
      </c>
      <c r="P488" s="228">
        <f>C488+F488+G488+N488</f>
        <v>100</v>
      </c>
      <c r="Q488" s="252">
        <f>O488+P488</f>
        <v>200</v>
      </c>
      <c r="S488" s="231" t="str">
        <f>TEXT(A488,"dddd")</f>
        <v>Sunday</v>
      </c>
    </row>
    <row r="489" spans="1:19" x14ac:dyDescent="0.25">
      <c r="A489" s="226">
        <v>46510</v>
      </c>
      <c r="B489" s="227">
        <f>O488</f>
        <v>100</v>
      </c>
      <c r="C489" s="228">
        <f>P488</f>
        <v>100</v>
      </c>
      <c r="D489" s="228">
        <f>IF(OR(DAY(A489+2)=1,DAY(A489+2)=15),-SUM('Main Budget'!$H$26:$H$31),0)</f>
        <v>0</v>
      </c>
      <c r="E489" s="228">
        <f>IF(DAY(A489+2)=22,-SUM('Main Budget'!$F$26:$F$31),0)</f>
        <v>0</v>
      </c>
      <c r="F489" s="228">
        <f>IF(D489&gt;0,-'Main Budget'!$H$25+0.15,0)</f>
        <v>0</v>
      </c>
      <c r="G489" s="228">
        <f>IF(E489&gt;0,-'Main Budget'!$F$25+0.81,0)</f>
        <v>0</v>
      </c>
      <c r="H489" s="227">
        <f>IF(DAY(A489)='Main Budget'!$J$26,'Main Budget'!$E$26,0)</f>
        <v>0</v>
      </c>
      <c r="I489" s="227">
        <f>IF(DAY(A489)='Main Budget'!$J$28,'Main Budget'!$E$28,0)</f>
        <v>0</v>
      </c>
      <c r="J489" s="227">
        <f>IF(DAY(A489)='Main Budget'!$J$29,'Main Budget'!$E$29,0)</f>
        <v>0</v>
      </c>
      <c r="K489" s="20">
        <f>IF(DAY(A489)='Main Budget'!$J$30,'Main Budget'!$E$30,0)</f>
        <v>0</v>
      </c>
      <c r="L489" s="20">
        <f>IF(DAY(A489)='Main Budget'!$J$31,'Main Budget'!$E$31,0)</f>
        <v>0</v>
      </c>
      <c r="M489" s="20">
        <f>IF(DAY(A489)='Main Budget'!$J$27,'Main Budget'!$E$27,0)</f>
        <v>0</v>
      </c>
      <c r="O489" s="228">
        <f>B489+(SUM(H489:M489)+(SUM(D489:E489)))</f>
        <v>100</v>
      </c>
      <c r="P489" s="228">
        <f>C489+F489+G489+N489</f>
        <v>100</v>
      </c>
      <c r="Q489" s="252">
        <f>O489+P489</f>
        <v>200</v>
      </c>
      <c r="S489" s="231" t="str">
        <f>TEXT(A489,"dddd")</f>
        <v>Monday</v>
      </c>
    </row>
    <row r="490" spans="1:19" x14ac:dyDescent="0.25">
      <c r="A490" s="226">
        <v>46511</v>
      </c>
      <c r="B490" s="227">
        <f>O489</f>
        <v>100</v>
      </c>
      <c r="C490" s="228">
        <f>P489</f>
        <v>100</v>
      </c>
      <c r="D490" s="228">
        <f>IF(OR(DAY(A490+2)=1,DAY(A490+2)=15),-SUM('Main Budget'!$H$26:$H$31),0)</f>
        <v>0</v>
      </c>
      <c r="E490" s="228">
        <f>IF(DAY(A490+2)=22,-SUM('Main Budget'!$F$26:$F$31),0)</f>
        <v>0</v>
      </c>
      <c r="F490" s="228">
        <f>IF(D490&gt;0,-'Main Budget'!$H$25+0.15,0)</f>
        <v>0</v>
      </c>
      <c r="G490" s="228">
        <f>IF(E490&gt;0,-'Main Budget'!$F$25+0.81,0)</f>
        <v>0</v>
      </c>
      <c r="H490" s="227">
        <f>IF(DAY(A490)='Main Budget'!$J$26,'Main Budget'!$E$26,0)</f>
        <v>0</v>
      </c>
      <c r="I490" s="227">
        <f>IF(DAY(A490)='Main Budget'!$J$28,'Main Budget'!$E$28,0)</f>
        <v>0</v>
      </c>
      <c r="J490" s="227">
        <f>IF(DAY(A490)='Main Budget'!$J$29,'Main Budget'!$E$29,0)</f>
        <v>0</v>
      </c>
      <c r="K490" s="20">
        <f>IF(DAY(A490)='Main Budget'!$J$30,'Main Budget'!$E$30,0)</f>
        <v>0</v>
      </c>
      <c r="L490" s="20">
        <f>IF(DAY(A490)='Main Budget'!$J$31,'Main Budget'!$E$31,0)</f>
        <v>0</v>
      </c>
      <c r="M490" s="20">
        <f>IF(DAY(A490)='Main Budget'!$J$27,'Main Budget'!$E$27,0)</f>
        <v>0</v>
      </c>
      <c r="O490" s="228">
        <f>B490+(SUM(H490:M490)+(SUM(D490:E490)))</f>
        <v>100</v>
      </c>
      <c r="P490" s="228">
        <f>C490+F490+G490+N490</f>
        <v>100</v>
      </c>
      <c r="Q490" s="252">
        <f>O490+P490</f>
        <v>200</v>
      </c>
      <c r="S490" s="231" t="str">
        <f>TEXT(A490,"dddd")</f>
        <v>Tuesday</v>
      </c>
    </row>
    <row r="491" spans="1:19" x14ac:dyDescent="0.25">
      <c r="A491" s="226">
        <v>46512</v>
      </c>
      <c r="B491" s="227">
        <f>O490</f>
        <v>100</v>
      </c>
      <c r="C491" s="228">
        <f>P490</f>
        <v>100</v>
      </c>
      <c r="D491" s="228">
        <f>IF(OR(DAY(A491+2)=1,DAY(A491+2)=15),-SUM('Main Budget'!$H$26:$H$31),0)</f>
        <v>0</v>
      </c>
      <c r="E491" s="228">
        <f>IF(DAY(A491+2)=22,-SUM('Main Budget'!$F$26:$F$31),0)</f>
        <v>0</v>
      </c>
      <c r="F491" s="228">
        <f>IF(D491&gt;0,-'Main Budget'!$H$25+0.15,0)</f>
        <v>0</v>
      </c>
      <c r="G491" s="228">
        <f>IF(E491&gt;0,-'Main Budget'!$F$25+0.81,0)</f>
        <v>0</v>
      </c>
      <c r="H491" s="227">
        <f>IF(DAY(A491)='Main Budget'!$J$26,'Main Budget'!$E$26,0)</f>
        <v>0</v>
      </c>
      <c r="I491" s="227">
        <f>IF(DAY(A491)='Main Budget'!$J$28,'Main Budget'!$E$28,0)</f>
        <v>0</v>
      </c>
      <c r="J491" s="227">
        <f>IF(DAY(A491)='Main Budget'!$J$29,'Main Budget'!$E$29,0)</f>
        <v>0</v>
      </c>
      <c r="K491" s="20">
        <f>IF(DAY(A491)='Main Budget'!$J$30,'Main Budget'!$E$30,0)</f>
        <v>0</v>
      </c>
      <c r="L491" s="20">
        <f>IF(DAY(A491)='Main Budget'!$J$31,'Main Budget'!$E$31,0)</f>
        <v>0</v>
      </c>
      <c r="M491" s="20">
        <f>IF(DAY(A491)='Main Budget'!$J$27,'Main Budget'!$E$27,0)</f>
        <v>0</v>
      </c>
      <c r="O491" s="228">
        <f>B491+(SUM(H491:M491)+(SUM(D491:E491)))</f>
        <v>100</v>
      </c>
      <c r="P491" s="228">
        <f>C491+F491+G491+N491</f>
        <v>100</v>
      </c>
      <c r="Q491" s="252">
        <f>O491+P491</f>
        <v>200</v>
      </c>
      <c r="S491" s="231" t="str">
        <f>TEXT(A491,"dddd")</f>
        <v>Wednesday</v>
      </c>
    </row>
    <row r="492" spans="1:19" x14ac:dyDescent="0.25">
      <c r="A492" s="226">
        <v>46513</v>
      </c>
      <c r="B492" s="227">
        <f>O491</f>
        <v>100</v>
      </c>
      <c r="C492" s="228">
        <f>P491</f>
        <v>100</v>
      </c>
      <c r="D492" s="228">
        <f>IF(OR(DAY(A492+2)=1,DAY(A492+2)=15),-SUM('Main Budget'!$H$26:$H$31),0)</f>
        <v>0</v>
      </c>
      <c r="E492" s="228">
        <f>IF(DAY(A492+2)=22,-SUM('Main Budget'!$F$26:$F$31),0)</f>
        <v>0</v>
      </c>
      <c r="F492" s="228">
        <f>IF(D492&gt;0,-'Main Budget'!$H$25+0.15,0)</f>
        <v>0</v>
      </c>
      <c r="G492" s="228">
        <f>IF(E492&gt;0,-'Main Budget'!$F$25+0.81,0)</f>
        <v>0</v>
      </c>
      <c r="H492" s="227">
        <f>IF(DAY(A492)='Main Budget'!$J$26,'Main Budget'!$E$26,0)</f>
        <v>0</v>
      </c>
      <c r="I492" s="227">
        <f>IF(DAY(A492)='Main Budget'!$J$28,'Main Budget'!$E$28,0)</f>
        <v>0</v>
      </c>
      <c r="J492" s="227">
        <f>IF(DAY(A492)='Main Budget'!$J$29,'Main Budget'!$E$29,0)</f>
        <v>0</v>
      </c>
      <c r="K492" s="20">
        <f>IF(DAY(A492)='Main Budget'!$J$30,'Main Budget'!$E$30,0)</f>
        <v>0</v>
      </c>
      <c r="L492" s="20">
        <f>IF(DAY(A492)='Main Budget'!$J$31,'Main Budget'!$E$31,0)</f>
        <v>0</v>
      </c>
      <c r="M492" s="20">
        <f>IF(DAY(A492)='Main Budget'!$J$27,'Main Budget'!$E$27,0)</f>
        <v>0</v>
      </c>
      <c r="O492" s="228">
        <f>B492+(SUM(H492:M492)+(SUM(D492:E492)))</f>
        <v>100</v>
      </c>
      <c r="P492" s="228">
        <f>C492+F492+G492+N492</f>
        <v>100</v>
      </c>
      <c r="Q492" s="252">
        <f>O492+P492</f>
        <v>200</v>
      </c>
      <c r="S492" s="231" t="str">
        <f>TEXT(A492,"dddd")</f>
        <v>Thursday</v>
      </c>
    </row>
    <row r="493" spans="1:19" x14ac:dyDescent="0.25">
      <c r="A493" s="226">
        <v>46514</v>
      </c>
      <c r="B493" s="227">
        <f>O492</f>
        <v>100</v>
      </c>
      <c r="C493" s="228">
        <f>P492</f>
        <v>100</v>
      </c>
      <c r="D493" s="228">
        <f>IF(OR(DAY(A493+2)=1,DAY(A493+2)=15),-SUM('Main Budget'!$H$26:$H$31),0)</f>
        <v>0</v>
      </c>
      <c r="E493" s="228">
        <f>IF(DAY(A493+2)=22,-SUM('Main Budget'!$F$26:$F$31),0)</f>
        <v>0</v>
      </c>
      <c r="F493" s="228">
        <f>IF(D493&gt;0,-'Main Budget'!$H$25+0.15,0)</f>
        <v>0</v>
      </c>
      <c r="G493" s="228">
        <f>IF(E493&gt;0,-'Main Budget'!$F$25+0.81,0)</f>
        <v>0</v>
      </c>
      <c r="H493" s="227">
        <f>IF(DAY(A493)='Main Budget'!$J$26,'Main Budget'!$E$26,0)</f>
        <v>0</v>
      </c>
      <c r="I493" s="227">
        <f>IF(DAY(A493)='Main Budget'!$J$28,'Main Budget'!$E$28,0)</f>
        <v>0</v>
      </c>
      <c r="J493" s="227">
        <f>IF(DAY(A493)='Main Budget'!$J$29,'Main Budget'!$E$29,0)</f>
        <v>0</v>
      </c>
      <c r="K493" s="20">
        <f>IF(DAY(A493)='Main Budget'!$J$30,'Main Budget'!$E$30,0)</f>
        <v>0</v>
      </c>
      <c r="L493" s="20">
        <f>IF(DAY(A493)='Main Budget'!$J$31,'Main Budget'!$E$31,0)</f>
        <v>0</v>
      </c>
      <c r="M493" s="20">
        <f>IF(DAY(A493)='Main Budget'!$J$27,'Main Budget'!$E$27,0)</f>
        <v>0</v>
      </c>
      <c r="O493" s="228">
        <f>B493+(SUM(H493:M493)+(SUM(D493:E493)))</f>
        <v>100</v>
      </c>
      <c r="P493" s="228">
        <f>C493+F493+G493+N493</f>
        <v>100</v>
      </c>
      <c r="Q493" s="252">
        <f>O493+P493</f>
        <v>200</v>
      </c>
      <c r="S493" s="231" t="str">
        <f>TEXT(A493,"dddd")</f>
        <v>Friday</v>
      </c>
    </row>
    <row r="494" spans="1:19" x14ac:dyDescent="0.25">
      <c r="A494" s="226">
        <v>46515</v>
      </c>
      <c r="B494" s="227">
        <f>O493</f>
        <v>100</v>
      </c>
      <c r="C494" s="228">
        <f>P493</f>
        <v>100</v>
      </c>
      <c r="D494" s="228">
        <f>IF(OR(DAY(A494+2)=1,DAY(A494+2)=15),-SUM('Main Budget'!$H$26:$H$31),0)</f>
        <v>0</v>
      </c>
      <c r="E494" s="228">
        <f>IF(DAY(A494+2)=22,-SUM('Main Budget'!$F$26:$F$31),0)</f>
        <v>0</v>
      </c>
      <c r="F494" s="228">
        <f>IF(D494&gt;0,-'Main Budget'!$H$25+0.15,0)</f>
        <v>0</v>
      </c>
      <c r="G494" s="228">
        <f>IF(E494&gt;0,-'Main Budget'!$F$25+0.81,0)</f>
        <v>0</v>
      </c>
      <c r="H494" s="227">
        <f>IF(DAY(A494)='Main Budget'!$J$26,'Main Budget'!$E$26,0)</f>
        <v>0</v>
      </c>
      <c r="I494" s="227">
        <f>IF(DAY(A494)='Main Budget'!$J$28,'Main Budget'!$E$28,0)</f>
        <v>0</v>
      </c>
      <c r="J494" s="227">
        <f>IF(DAY(A494)='Main Budget'!$J$29,'Main Budget'!$E$29,0)</f>
        <v>0</v>
      </c>
      <c r="K494" s="20">
        <f>IF(DAY(A494)='Main Budget'!$J$30,'Main Budget'!$E$30,0)</f>
        <v>0</v>
      </c>
      <c r="L494" s="20">
        <f>IF(DAY(A494)='Main Budget'!$J$31,'Main Budget'!$E$31,0)</f>
        <v>0</v>
      </c>
      <c r="M494" s="20">
        <f>IF(DAY(A494)='Main Budget'!$J$27,'Main Budget'!$E$27,0)</f>
        <v>0</v>
      </c>
      <c r="O494" s="228">
        <f>B494+(SUM(H494:M494)+(SUM(D494:E494)))</f>
        <v>100</v>
      </c>
      <c r="P494" s="228">
        <f>C494+F494+G494+N494</f>
        <v>100</v>
      </c>
      <c r="Q494" s="252">
        <f>O494+P494</f>
        <v>200</v>
      </c>
      <c r="S494" s="231" t="str">
        <f>TEXT(A494,"dddd")</f>
        <v>Saturday</v>
      </c>
    </row>
    <row r="495" spans="1:19" x14ac:dyDescent="0.25">
      <c r="A495" s="226">
        <v>46516</v>
      </c>
      <c r="B495" s="227">
        <f>O494</f>
        <v>100</v>
      </c>
      <c r="C495" s="228">
        <f>P494</f>
        <v>100</v>
      </c>
      <c r="D495" s="228">
        <f>IF(OR(DAY(A495+2)=1,DAY(A495+2)=15),-SUM('Main Budget'!$H$26:$H$31),0)</f>
        <v>0</v>
      </c>
      <c r="E495" s="228">
        <f>IF(DAY(A495+2)=22,-SUM('Main Budget'!$F$26:$F$31),0)</f>
        <v>0</v>
      </c>
      <c r="F495" s="228">
        <f>IF(D495&gt;0,-'Main Budget'!$H$25+0.15,0)</f>
        <v>0</v>
      </c>
      <c r="G495" s="228">
        <f>IF(E495&gt;0,-'Main Budget'!$F$25+0.81,0)</f>
        <v>0</v>
      </c>
      <c r="H495" s="227">
        <f>IF(DAY(A495)='Main Budget'!$J$26,'Main Budget'!$E$26,0)</f>
        <v>0</v>
      </c>
      <c r="I495" s="227">
        <f>IF(DAY(A495)='Main Budget'!$J$28,'Main Budget'!$E$28,0)</f>
        <v>0</v>
      </c>
      <c r="J495" s="227">
        <f>IF(DAY(A495)='Main Budget'!$J$29,'Main Budget'!$E$29,0)</f>
        <v>0</v>
      </c>
      <c r="K495" s="20">
        <f>IF(DAY(A495)='Main Budget'!$J$30,'Main Budget'!$E$30,0)</f>
        <v>0</v>
      </c>
      <c r="L495" s="20">
        <f>IF(DAY(A495)='Main Budget'!$J$31,'Main Budget'!$E$31,0)</f>
        <v>0</v>
      </c>
      <c r="M495" s="20">
        <f>IF(DAY(A495)='Main Budget'!$J$27,'Main Budget'!$E$27,0)</f>
        <v>0</v>
      </c>
      <c r="O495" s="228">
        <f>B495+(SUM(H495:M495)+(SUM(D495:E495)))</f>
        <v>100</v>
      </c>
      <c r="P495" s="228">
        <f>C495+F495+G495+N495</f>
        <v>100</v>
      </c>
      <c r="Q495" s="252">
        <f>O495+P495</f>
        <v>200</v>
      </c>
      <c r="S495" s="231" t="str">
        <f>TEXT(A495,"dddd")</f>
        <v>Sunday</v>
      </c>
    </row>
    <row r="496" spans="1:19" x14ac:dyDescent="0.25">
      <c r="A496" s="226">
        <v>46517</v>
      </c>
      <c r="B496" s="227">
        <f>O495</f>
        <v>100</v>
      </c>
      <c r="C496" s="228">
        <f>P495</f>
        <v>100</v>
      </c>
      <c r="D496" s="228">
        <f>IF(OR(DAY(A496+2)=1,DAY(A496+2)=15),-SUM('Main Budget'!$H$26:$H$31),0)</f>
        <v>0</v>
      </c>
      <c r="E496" s="228">
        <f>IF(DAY(A496+2)=22,-SUM('Main Budget'!$F$26:$F$31),0)</f>
        <v>0</v>
      </c>
      <c r="F496" s="228">
        <f>IF(D496&gt;0,-'Main Budget'!$H$25+0.15,0)</f>
        <v>0</v>
      </c>
      <c r="G496" s="228">
        <f>IF(E496&gt;0,-'Main Budget'!$F$25+0.81,0)</f>
        <v>0</v>
      </c>
      <c r="H496" s="227">
        <f>IF(DAY(A496)='Main Budget'!$J$26,'Main Budget'!$E$26,0)</f>
        <v>0</v>
      </c>
      <c r="I496" s="227">
        <f>IF(DAY(A496)='Main Budget'!$J$28,'Main Budget'!$E$28,0)</f>
        <v>0</v>
      </c>
      <c r="J496" s="227">
        <f>IF(DAY(A496)='Main Budget'!$J$29,'Main Budget'!$E$29,0)</f>
        <v>0</v>
      </c>
      <c r="K496" s="20">
        <f>IF(DAY(A496)='Main Budget'!$J$30,'Main Budget'!$E$30,0)</f>
        <v>0</v>
      </c>
      <c r="L496" s="20">
        <f>IF(DAY(A496)='Main Budget'!$J$31,'Main Budget'!$E$31,0)</f>
        <v>0</v>
      </c>
      <c r="M496" s="20">
        <f>IF(DAY(A496)='Main Budget'!$J$27,'Main Budget'!$E$27,0)</f>
        <v>0</v>
      </c>
      <c r="O496" s="228">
        <f>B496+(SUM(H496:M496)+(SUM(D496:E496)))</f>
        <v>100</v>
      </c>
      <c r="P496" s="228">
        <f>C496+F496+G496+N496</f>
        <v>100</v>
      </c>
      <c r="Q496" s="252">
        <f>O496+P496</f>
        <v>200</v>
      </c>
      <c r="S496" s="231" t="str">
        <f>TEXT(A496,"dddd")</f>
        <v>Monday</v>
      </c>
    </row>
    <row r="497" spans="1:19" x14ac:dyDescent="0.25">
      <c r="A497" s="226">
        <v>46518</v>
      </c>
      <c r="B497" s="227">
        <f>O496</f>
        <v>100</v>
      </c>
      <c r="C497" s="228">
        <f>P496</f>
        <v>100</v>
      </c>
      <c r="D497" s="228">
        <f>IF(OR(DAY(A497+2)=1,DAY(A497+2)=15),-SUM('Main Budget'!$H$26:$H$31),0)</f>
        <v>0</v>
      </c>
      <c r="E497" s="228">
        <f>IF(DAY(A497+2)=22,-SUM('Main Budget'!$F$26:$F$31),0)</f>
        <v>0</v>
      </c>
      <c r="F497" s="228">
        <f>IF(D497&gt;0,-'Main Budget'!$H$25+0.15,0)</f>
        <v>0</v>
      </c>
      <c r="G497" s="228">
        <f>IF(E497&gt;0,-'Main Budget'!$F$25+0.81,0)</f>
        <v>0</v>
      </c>
      <c r="H497" s="227">
        <f>IF(DAY(A497)='Main Budget'!$J$26,'Main Budget'!$E$26,0)</f>
        <v>0</v>
      </c>
      <c r="I497" s="227">
        <f>IF(DAY(A497)='Main Budget'!$J$28,'Main Budget'!$E$28,0)</f>
        <v>0</v>
      </c>
      <c r="J497" s="227">
        <f>IF(DAY(A497)='Main Budget'!$J$29,'Main Budget'!$E$29,0)</f>
        <v>0</v>
      </c>
      <c r="K497" s="20">
        <f>IF(DAY(A497)='Main Budget'!$J$30,'Main Budget'!$E$30,0)</f>
        <v>0</v>
      </c>
      <c r="L497" s="20">
        <f>IF(DAY(A497)='Main Budget'!$J$31,'Main Budget'!$E$31,0)</f>
        <v>0</v>
      </c>
      <c r="M497" s="20">
        <f>IF(DAY(A497)='Main Budget'!$J$27,'Main Budget'!$E$27,0)</f>
        <v>0</v>
      </c>
      <c r="O497" s="228">
        <f>B497+(SUM(H497:M497)+(SUM(D497:E497)))</f>
        <v>100</v>
      </c>
      <c r="P497" s="228">
        <f>C497+F497+G497+N497</f>
        <v>100</v>
      </c>
      <c r="Q497" s="252">
        <f>O497+P497</f>
        <v>200</v>
      </c>
      <c r="S497" s="231" t="str">
        <f>TEXT(A497,"dddd")</f>
        <v>Tuesday</v>
      </c>
    </row>
    <row r="498" spans="1:19" x14ac:dyDescent="0.25">
      <c r="A498" s="226">
        <v>46519</v>
      </c>
      <c r="B498" s="227">
        <f>O497</f>
        <v>100</v>
      </c>
      <c r="C498" s="228">
        <f>P497</f>
        <v>100</v>
      </c>
      <c r="D498" s="228">
        <f>IF(OR(DAY(A498+2)=1,DAY(A498+2)=15),-SUM('Main Budget'!$H$26:$H$31),0)</f>
        <v>0</v>
      </c>
      <c r="E498" s="228">
        <f>IF(DAY(A498+2)=22,-SUM('Main Budget'!$F$26:$F$31),0)</f>
        <v>0</v>
      </c>
      <c r="F498" s="228">
        <f>IF(D498&gt;0,-'Main Budget'!$H$25+0.15,0)</f>
        <v>0</v>
      </c>
      <c r="G498" s="228">
        <f>IF(E498&gt;0,-'Main Budget'!$F$25+0.81,0)</f>
        <v>0</v>
      </c>
      <c r="H498" s="227">
        <f>IF(DAY(A498)='Main Budget'!$J$26,'Main Budget'!$E$26,0)</f>
        <v>0</v>
      </c>
      <c r="I498" s="227">
        <f>IF(DAY(A498)='Main Budget'!$J$28,'Main Budget'!$E$28,0)</f>
        <v>0</v>
      </c>
      <c r="J498" s="227">
        <f>IF(DAY(A498)='Main Budget'!$J$29,'Main Budget'!$E$29,0)</f>
        <v>0</v>
      </c>
      <c r="K498" s="20">
        <f>IF(DAY(A498)='Main Budget'!$J$30,'Main Budget'!$E$30,0)</f>
        <v>0</v>
      </c>
      <c r="L498" s="20">
        <f>IF(DAY(A498)='Main Budget'!$J$31,'Main Budget'!$E$31,0)</f>
        <v>0</v>
      </c>
      <c r="M498" s="20">
        <f>IF(DAY(A498)='Main Budget'!$J$27,'Main Budget'!$E$27,0)</f>
        <v>0</v>
      </c>
      <c r="O498" s="228">
        <f>B498+(SUM(H498:M498)+(SUM(D498:E498)))</f>
        <v>100</v>
      </c>
      <c r="P498" s="228">
        <f>C498+F498+G498+N498</f>
        <v>100</v>
      </c>
      <c r="Q498" s="252">
        <f>O498+P498</f>
        <v>200</v>
      </c>
      <c r="S498" s="231" t="str">
        <f>TEXT(A498,"dddd")</f>
        <v>Wednesday</v>
      </c>
    </row>
    <row r="499" spans="1:19" x14ac:dyDescent="0.25">
      <c r="A499" s="226">
        <v>46520</v>
      </c>
      <c r="B499" s="227">
        <f>O498</f>
        <v>100</v>
      </c>
      <c r="C499" s="228">
        <f>P498</f>
        <v>100</v>
      </c>
      <c r="D499" s="228">
        <f>IF(OR(DAY(A499+2)=1,DAY(A499+2)=15),-SUM('Main Budget'!$H$26:$H$31),0)</f>
        <v>0</v>
      </c>
      <c r="E499" s="228">
        <f>IF(DAY(A499+2)=22,-SUM('Main Budget'!$F$26:$F$31),0)</f>
        <v>0</v>
      </c>
      <c r="F499" s="228">
        <f>IF(D499&gt;0,-'Main Budget'!$H$25+0.15,0)</f>
        <v>0</v>
      </c>
      <c r="G499" s="228">
        <f>IF(E499&gt;0,-'Main Budget'!$F$25+0.81,0)</f>
        <v>0</v>
      </c>
      <c r="H499" s="227">
        <f>IF(DAY(A499)='Main Budget'!$J$26,'Main Budget'!$E$26,0)</f>
        <v>0</v>
      </c>
      <c r="I499" s="227">
        <f>IF(DAY(A499)='Main Budget'!$J$28,'Main Budget'!$E$28,0)</f>
        <v>0</v>
      </c>
      <c r="J499" s="227">
        <f>IF(DAY(A499)='Main Budget'!$J$29,'Main Budget'!$E$29,0)</f>
        <v>0</v>
      </c>
      <c r="K499" s="20">
        <f>IF(DAY(A499)='Main Budget'!$J$30,'Main Budget'!$E$30,0)</f>
        <v>0</v>
      </c>
      <c r="L499" s="20">
        <f>IF(DAY(A499)='Main Budget'!$J$31,'Main Budget'!$E$31,0)</f>
        <v>0</v>
      </c>
      <c r="M499" s="20">
        <f>IF(DAY(A499)='Main Budget'!$J$27,'Main Budget'!$E$27,0)</f>
        <v>0</v>
      </c>
      <c r="O499" s="228">
        <f>B499+(SUM(H499:M499)+(SUM(D499:E499)))</f>
        <v>100</v>
      </c>
      <c r="P499" s="228">
        <f>C499+F499+G499+N499</f>
        <v>100</v>
      </c>
      <c r="Q499" s="252">
        <f>O499+P499</f>
        <v>200</v>
      </c>
      <c r="S499" s="231" t="str">
        <f>TEXT(A499,"dddd")</f>
        <v>Thursday</v>
      </c>
    </row>
    <row r="500" spans="1:19" x14ac:dyDescent="0.25">
      <c r="A500" s="226">
        <v>46521</v>
      </c>
      <c r="B500" s="227">
        <f>O499</f>
        <v>100</v>
      </c>
      <c r="C500" s="228">
        <f>P499</f>
        <v>100</v>
      </c>
      <c r="D500" s="228">
        <f>IF(OR(DAY(A500+2)=1,DAY(A500+2)=15),-SUM('Main Budget'!$H$26:$H$31),0)</f>
        <v>0</v>
      </c>
      <c r="E500" s="228">
        <f>IF(DAY(A500+2)=22,-SUM('Main Budget'!$F$26:$F$31),0)</f>
        <v>0</v>
      </c>
      <c r="F500" s="228">
        <f>IF(D500&gt;0,-'Main Budget'!$H$25+0.15,0)</f>
        <v>0</v>
      </c>
      <c r="G500" s="228">
        <f>IF(E500&gt;0,-'Main Budget'!$F$25+0.81,0)</f>
        <v>0</v>
      </c>
      <c r="H500" s="227">
        <f>IF(DAY(A500)='Main Budget'!$J$26,'Main Budget'!$E$26,0)</f>
        <v>0</v>
      </c>
      <c r="I500" s="227">
        <f>IF(DAY(A500)='Main Budget'!$J$28,'Main Budget'!$E$28,0)</f>
        <v>0</v>
      </c>
      <c r="J500" s="227">
        <f>IF(DAY(A500)='Main Budget'!$J$29,'Main Budget'!$E$29,0)</f>
        <v>0</v>
      </c>
      <c r="K500" s="20">
        <f>IF(DAY(A500)='Main Budget'!$J$30,'Main Budget'!$E$30,0)</f>
        <v>0</v>
      </c>
      <c r="L500" s="20">
        <f>IF(DAY(A500)='Main Budget'!$J$31,'Main Budget'!$E$31,0)</f>
        <v>0</v>
      </c>
      <c r="M500" s="20">
        <f>IF(DAY(A500)='Main Budget'!$J$27,'Main Budget'!$E$27,0)</f>
        <v>0</v>
      </c>
      <c r="O500" s="228">
        <f>B500+(SUM(H500:M500)+(SUM(D500:E500)))</f>
        <v>100</v>
      </c>
      <c r="P500" s="228">
        <f>C500+F500+G500+N500</f>
        <v>100</v>
      </c>
      <c r="Q500" s="252">
        <f>O500+P500</f>
        <v>200</v>
      </c>
      <c r="S500" s="231" t="str">
        <f>TEXT(A500,"dddd")</f>
        <v>Friday</v>
      </c>
    </row>
    <row r="501" spans="1:19" x14ac:dyDescent="0.25">
      <c r="A501" s="226">
        <v>46522</v>
      </c>
      <c r="B501" s="227">
        <f>O500</f>
        <v>100</v>
      </c>
      <c r="C501" s="228">
        <f>P500</f>
        <v>100</v>
      </c>
      <c r="D501" s="228">
        <f>IF(OR(DAY(A501+2)=1,DAY(A501+2)=15),-SUM('Main Budget'!$H$26:$H$31),0)</f>
        <v>0</v>
      </c>
      <c r="E501" s="228">
        <f>IF(DAY(A501+2)=22,-SUM('Main Budget'!$F$26:$F$31),0)</f>
        <v>0</v>
      </c>
      <c r="F501" s="228">
        <f>IF(D501&gt;0,-'Main Budget'!$H$25+0.15,0)</f>
        <v>0</v>
      </c>
      <c r="G501" s="228">
        <f>IF(E501&gt;0,-'Main Budget'!$F$25+0.81,0)</f>
        <v>0</v>
      </c>
      <c r="H501" s="227">
        <f>IF(DAY(A501)='Main Budget'!$J$26,'Main Budget'!$E$26,0)</f>
        <v>0</v>
      </c>
      <c r="I501" s="227">
        <f>IF(DAY(A501)='Main Budget'!$J$28,'Main Budget'!$E$28,0)</f>
        <v>0</v>
      </c>
      <c r="J501" s="227">
        <f>IF(DAY(A501)='Main Budget'!$J$29,'Main Budget'!$E$29,0)</f>
        <v>0</v>
      </c>
      <c r="K501" s="20">
        <f>IF(DAY(A501)='Main Budget'!$J$30,'Main Budget'!$E$30,0)</f>
        <v>0</v>
      </c>
      <c r="L501" s="20">
        <f>IF(DAY(A501)='Main Budget'!$J$31,'Main Budget'!$E$31,0)</f>
        <v>0</v>
      </c>
      <c r="M501" s="20">
        <f>IF(DAY(A501)='Main Budget'!$J$27,'Main Budget'!$E$27,0)</f>
        <v>0</v>
      </c>
      <c r="O501" s="228">
        <f>B501+(SUM(H501:M501)+(SUM(D501:E501)))</f>
        <v>100</v>
      </c>
      <c r="P501" s="228">
        <f>C501+F501+G501+N501</f>
        <v>100</v>
      </c>
      <c r="Q501" s="252">
        <f>O501+P501</f>
        <v>200</v>
      </c>
      <c r="S501" s="231" t="str">
        <f>TEXT(A501,"dddd")</f>
        <v>Saturday</v>
      </c>
    </row>
    <row r="502" spans="1:19" x14ac:dyDescent="0.25">
      <c r="A502" s="226">
        <v>46523</v>
      </c>
      <c r="B502" s="227">
        <f>O501</f>
        <v>100</v>
      </c>
      <c r="C502" s="228">
        <f>P501</f>
        <v>100</v>
      </c>
      <c r="D502" s="228">
        <f>IF(OR(DAY(A502+2)=1,DAY(A502+2)=15),-SUM('Main Budget'!$H$26:$H$31),0)</f>
        <v>0</v>
      </c>
      <c r="E502" s="228">
        <f>IF(DAY(A502+2)=22,-SUM('Main Budget'!$F$26:$F$31),0)</f>
        <v>0</v>
      </c>
      <c r="F502" s="228">
        <f>IF(D502&gt;0,-'Main Budget'!$H$25+0.15,0)</f>
        <v>0</v>
      </c>
      <c r="G502" s="228">
        <f>IF(E502&gt;0,-'Main Budget'!$F$25+0.81,0)</f>
        <v>0</v>
      </c>
      <c r="H502" s="227">
        <f>IF(DAY(A502)='Main Budget'!$J$26,'Main Budget'!$E$26,0)</f>
        <v>0</v>
      </c>
      <c r="I502" s="227">
        <f>IF(DAY(A502)='Main Budget'!$J$28,'Main Budget'!$E$28,0)</f>
        <v>0</v>
      </c>
      <c r="J502" s="227">
        <f>IF(DAY(A502)='Main Budget'!$J$29,'Main Budget'!$E$29,0)</f>
        <v>0</v>
      </c>
      <c r="K502" s="20">
        <f>IF(DAY(A502)='Main Budget'!$J$30,'Main Budget'!$E$30,0)</f>
        <v>0</v>
      </c>
      <c r="L502" s="20">
        <f>IF(DAY(A502)='Main Budget'!$J$31,'Main Budget'!$E$31,0)</f>
        <v>0</v>
      </c>
      <c r="M502" s="20">
        <f>IF(DAY(A502)='Main Budget'!$J$27,'Main Budget'!$E$27,0)</f>
        <v>0</v>
      </c>
      <c r="O502" s="228">
        <f>B502+(SUM(H502:M502)+(SUM(D502:E502)))</f>
        <v>100</v>
      </c>
      <c r="P502" s="228">
        <f>C502+F502+G502+N502</f>
        <v>100</v>
      </c>
      <c r="Q502" s="252">
        <f>O502+P502</f>
        <v>200</v>
      </c>
      <c r="S502" s="231" t="str">
        <f>TEXT(A502,"dddd")</f>
        <v>Sunday</v>
      </c>
    </row>
    <row r="503" spans="1:19" x14ac:dyDescent="0.25">
      <c r="A503" s="226">
        <v>46524</v>
      </c>
      <c r="B503" s="227">
        <f>O502</f>
        <v>100</v>
      </c>
      <c r="C503" s="228">
        <f>P502</f>
        <v>100</v>
      </c>
      <c r="D503" s="228">
        <f>IF(OR(DAY(A503+2)=1,DAY(A503+2)=15),-SUM('Main Budget'!$H$26:$H$31),0)</f>
        <v>0</v>
      </c>
      <c r="E503" s="228">
        <f>IF(DAY(A503+2)=22,-SUM('Main Budget'!$F$26:$F$31),0)</f>
        <v>0</v>
      </c>
      <c r="F503" s="228">
        <f>IF(D503&gt;0,-'Main Budget'!$H$25+0.15,0)</f>
        <v>0</v>
      </c>
      <c r="G503" s="228">
        <f>IF(E503&gt;0,-'Main Budget'!$F$25+0.81,0)</f>
        <v>0</v>
      </c>
      <c r="H503" s="227">
        <f>IF(DAY(A503)='Main Budget'!$J$26,'Main Budget'!$E$26,0)</f>
        <v>0</v>
      </c>
      <c r="I503" s="227">
        <f>IF(DAY(A503)='Main Budget'!$J$28,'Main Budget'!$E$28,0)</f>
        <v>0</v>
      </c>
      <c r="J503" s="227">
        <f>IF(DAY(A503)='Main Budget'!$J$29,'Main Budget'!$E$29,0)</f>
        <v>0</v>
      </c>
      <c r="K503" s="20">
        <f>IF(DAY(A503)='Main Budget'!$J$30,'Main Budget'!$E$30,0)</f>
        <v>0</v>
      </c>
      <c r="L503" s="20">
        <f>IF(DAY(A503)='Main Budget'!$J$31,'Main Budget'!$E$31,0)</f>
        <v>0</v>
      </c>
      <c r="M503" s="20">
        <f>IF(DAY(A503)='Main Budget'!$J$27,'Main Budget'!$E$27,0)</f>
        <v>0</v>
      </c>
      <c r="O503" s="228">
        <f>B503+(SUM(H503:M503)+(SUM(D503:E503)))</f>
        <v>100</v>
      </c>
      <c r="P503" s="228">
        <f>C503+F503+G503+N503</f>
        <v>100</v>
      </c>
      <c r="Q503" s="252">
        <f>O503+P503</f>
        <v>200</v>
      </c>
      <c r="S503" s="231" t="str">
        <f>TEXT(A503,"dddd")</f>
        <v>Monday</v>
      </c>
    </row>
    <row r="504" spans="1:19" x14ac:dyDescent="0.25">
      <c r="A504" s="226">
        <v>46525</v>
      </c>
      <c r="B504" s="227">
        <f>O503</f>
        <v>100</v>
      </c>
      <c r="C504" s="228">
        <f>P503</f>
        <v>100</v>
      </c>
      <c r="D504" s="228">
        <f>IF(OR(DAY(A504+2)=1,DAY(A504+2)=15),-SUM('Main Budget'!$H$26:$H$31),0)</f>
        <v>0</v>
      </c>
      <c r="E504" s="228">
        <f>IF(DAY(A504+2)=22,-SUM('Main Budget'!$F$26:$F$31),0)</f>
        <v>0</v>
      </c>
      <c r="F504" s="228">
        <f>IF(D504&gt;0,-'Main Budget'!$H$25+0.15,0)</f>
        <v>0</v>
      </c>
      <c r="G504" s="228">
        <f>IF(E504&gt;0,-'Main Budget'!$F$25+0.81,0)</f>
        <v>0</v>
      </c>
      <c r="H504" s="227">
        <f>IF(DAY(A504)='Main Budget'!$J$26,'Main Budget'!$E$26,0)</f>
        <v>0</v>
      </c>
      <c r="I504" s="227">
        <f>IF(DAY(A504)='Main Budget'!$J$28,'Main Budget'!$E$28,0)</f>
        <v>0</v>
      </c>
      <c r="J504" s="227">
        <f>IF(DAY(A504)='Main Budget'!$J$29,'Main Budget'!$E$29,0)</f>
        <v>0</v>
      </c>
      <c r="K504" s="20">
        <f>IF(DAY(A504)='Main Budget'!$J$30,'Main Budget'!$E$30,0)</f>
        <v>0</v>
      </c>
      <c r="L504" s="20">
        <f>IF(DAY(A504)='Main Budget'!$J$31,'Main Budget'!$E$31,0)</f>
        <v>0</v>
      </c>
      <c r="M504" s="20">
        <f>IF(DAY(A504)='Main Budget'!$J$27,'Main Budget'!$E$27,0)</f>
        <v>0</v>
      </c>
      <c r="O504" s="228">
        <f>B504+(SUM(H504:M504)+(SUM(D504:E504)))</f>
        <v>100</v>
      </c>
      <c r="P504" s="228">
        <f>C504+F504+G504+N504</f>
        <v>100</v>
      </c>
      <c r="Q504" s="252">
        <f>O504+P504</f>
        <v>200</v>
      </c>
      <c r="S504" s="231" t="str">
        <f>TEXT(A504,"dddd")</f>
        <v>Tuesday</v>
      </c>
    </row>
    <row r="505" spans="1:19" x14ac:dyDescent="0.25">
      <c r="A505" s="226">
        <v>46526</v>
      </c>
      <c r="B505" s="227">
        <f>O504</f>
        <v>100</v>
      </c>
      <c r="C505" s="228">
        <f>P504</f>
        <v>100</v>
      </c>
      <c r="D505" s="228">
        <f>IF(OR(DAY(A505+2)=1,DAY(A505+2)=15),-SUM('Main Budget'!$H$26:$H$31),0)</f>
        <v>0</v>
      </c>
      <c r="E505" s="228">
        <f>IF(DAY(A505+2)=22,-SUM('Main Budget'!$F$26:$F$31),0)</f>
        <v>0</v>
      </c>
      <c r="F505" s="228">
        <f>IF(D505&gt;0,-'Main Budget'!$H$25+0.15,0)</f>
        <v>0</v>
      </c>
      <c r="G505" s="228">
        <f>IF(E505&gt;0,-'Main Budget'!$F$25+0.81,0)</f>
        <v>0</v>
      </c>
      <c r="H505" s="227">
        <f>IF(DAY(A505)='Main Budget'!$J$26,'Main Budget'!$E$26,0)</f>
        <v>0</v>
      </c>
      <c r="I505" s="227">
        <f>IF(DAY(A505)='Main Budget'!$J$28,'Main Budget'!$E$28,0)</f>
        <v>0</v>
      </c>
      <c r="J505" s="227">
        <f>IF(DAY(A505)='Main Budget'!$J$29,'Main Budget'!$E$29,0)</f>
        <v>0</v>
      </c>
      <c r="K505" s="20">
        <f>IF(DAY(A505)='Main Budget'!$J$30,'Main Budget'!$E$30,0)</f>
        <v>0</v>
      </c>
      <c r="L505" s="20">
        <f>IF(DAY(A505)='Main Budget'!$J$31,'Main Budget'!$E$31,0)</f>
        <v>0</v>
      </c>
      <c r="M505" s="20">
        <f>IF(DAY(A505)='Main Budget'!$J$27,'Main Budget'!$E$27,0)</f>
        <v>0</v>
      </c>
      <c r="O505" s="228">
        <f>B505+(SUM(H505:M505)+(SUM(D505:E505)))</f>
        <v>100</v>
      </c>
      <c r="P505" s="228">
        <f>C505+F505+G505+N505</f>
        <v>100</v>
      </c>
      <c r="Q505" s="252">
        <f>O505+P505</f>
        <v>200</v>
      </c>
      <c r="S505" s="231" t="str">
        <f>TEXT(A505,"dddd")</f>
        <v>Wednesday</v>
      </c>
    </row>
    <row r="506" spans="1:19" x14ac:dyDescent="0.25">
      <c r="A506" s="226">
        <v>46527</v>
      </c>
      <c r="B506" s="227">
        <f>O505</f>
        <v>100</v>
      </c>
      <c r="C506" s="228">
        <f>P505</f>
        <v>100</v>
      </c>
      <c r="D506" s="228">
        <f>IF(OR(DAY(A506+2)=1,DAY(A506+2)=15),-SUM('Main Budget'!$H$26:$H$31),0)</f>
        <v>0</v>
      </c>
      <c r="E506" s="228">
        <f>IF(DAY(A506+2)=22,-SUM('Main Budget'!$F$26:$F$31),0)</f>
        <v>0</v>
      </c>
      <c r="F506" s="228">
        <f>IF(D506&gt;0,-'Main Budget'!$H$25+0.15,0)</f>
        <v>0</v>
      </c>
      <c r="G506" s="228">
        <f>IF(E506&gt;0,-'Main Budget'!$F$25+0.81,0)</f>
        <v>0</v>
      </c>
      <c r="H506" s="227">
        <f>IF(DAY(A506)='Main Budget'!$J$26,'Main Budget'!$E$26,0)</f>
        <v>0</v>
      </c>
      <c r="I506" s="227">
        <f>IF(DAY(A506)='Main Budget'!$J$28,'Main Budget'!$E$28,0)</f>
        <v>0</v>
      </c>
      <c r="J506" s="227">
        <f>IF(DAY(A506)='Main Budget'!$J$29,'Main Budget'!$E$29,0)</f>
        <v>0</v>
      </c>
      <c r="K506" s="20">
        <f>IF(DAY(A506)='Main Budget'!$J$30,'Main Budget'!$E$30,0)</f>
        <v>0</v>
      </c>
      <c r="L506" s="20">
        <f>IF(DAY(A506)='Main Budget'!$J$31,'Main Budget'!$E$31,0)</f>
        <v>0</v>
      </c>
      <c r="M506" s="20">
        <f>IF(DAY(A506)='Main Budget'!$J$27,'Main Budget'!$E$27,0)</f>
        <v>0</v>
      </c>
      <c r="O506" s="228">
        <f>B506+(SUM(H506:M506)+(SUM(D506:E506)))</f>
        <v>100</v>
      </c>
      <c r="P506" s="228">
        <f>C506+F506+G506+N506</f>
        <v>100</v>
      </c>
      <c r="Q506" s="252">
        <f>O506+P506</f>
        <v>200</v>
      </c>
      <c r="S506" s="231" t="str">
        <f>TEXT(A506,"dddd")</f>
        <v>Thursday</v>
      </c>
    </row>
    <row r="507" spans="1:19" x14ac:dyDescent="0.25">
      <c r="A507" s="226">
        <v>46528</v>
      </c>
      <c r="B507" s="227">
        <f>O506</f>
        <v>100</v>
      </c>
      <c r="C507" s="228">
        <f>P506</f>
        <v>100</v>
      </c>
      <c r="D507" s="228">
        <f>IF(OR(DAY(A507+2)=1,DAY(A507+2)=15),-SUM('Main Budget'!$H$26:$H$31),0)</f>
        <v>0</v>
      </c>
      <c r="E507" s="228">
        <f>IF(DAY(A507+2)=22,-SUM('Main Budget'!$F$26:$F$31),0)</f>
        <v>0</v>
      </c>
      <c r="F507" s="228">
        <f>IF(D507&gt;0,-'Main Budget'!$H$25+0.15,0)</f>
        <v>0</v>
      </c>
      <c r="G507" s="228">
        <f>IF(E507&gt;0,-'Main Budget'!$F$25+0.81,0)</f>
        <v>0</v>
      </c>
      <c r="H507" s="227">
        <f>IF(DAY(A507)='Main Budget'!$J$26,'Main Budget'!$E$26,0)</f>
        <v>0</v>
      </c>
      <c r="I507" s="227">
        <f>IF(DAY(A507)='Main Budget'!$J$28,'Main Budget'!$E$28,0)</f>
        <v>0</v>
      </c>
      <c r="J507" s="227">
        <f>IF(DAY(A507)='Main Budget'!$J$29,'Main Budget'!$E$29,0)</f>
        <v>0</v>
      </c>
      <c r="K507" s="20">
        <f>IF(DAY(A507)='Main Budget'!$J$30,'Main Budget'!$E$30,0)</f>
        <v>0</v>
      </c>
      <c r="L507" s="20">
        <f>IF(DAY(A507)='Main Budget'!$J$31,'Main Budget'!$E$31,0)</f>
        <v>0</v>
      </c>
      <c r="M507" s="20">
        <f>IF(DAY(A507)='Main Budget'!$J$27,'Main Budget'!$E$27,0)</f>
        <v>0</v>
      </c>
      <c r="O507" s="228">
        <f>B507+(SUM(H507:M507)+(SUM(D507:E507)))</f>
        <v>100</v>
      </c>
      <c r="P507" s="228">
        <f>C507+F507+G507+N507</f>
        <v>100</v>
      </c>
      <c r="Q507" s="252">
        <f>O507+P507</f>
        <v>200</v>
      </c>
      <c r="S507" s="231" t="str">
        <f>TEXT(A507,"dddd")</f>
        <v>Friday</v>
      </c>
    </row>
    <row r="508" spans="1:19" x14ac:dyDescent="0.25">
      <c r="A508" s="226">
        <v>46529</v>
      </c>
      <c r="B508" s="227">
        <f>O507</f>
        <v>100</v>
      </c>
      <c r="C508" s="228">
        <f>P507</f>
        <v>100</v>
      </c>
      <c r="D508" s="228">
        <f>IF(OR(DAY(A508+2)=1,DAY(A508+2)=15),-SUM('Main Budget'!$H$26:$H$31),0)</f>
        <v>0</v>
      </c>
      <c r="E508" s="228">
        <f>IF(DAY(A508+2)=22,-SUM('Main Budget'!$F$26:$F$31),0)</f>
        <v>0</v>
      </c>
      <c r="F508" s="228">
        <f>IF(D508&gt;0,-'Main Budget'!$H$25+0.15,0)</f>
        <v>0</v>
      </c>
      <c r="G508" s="228">
        <f>IF(E508&gt;0,-'Main Budget'!$F$25+0.81,0)</f>
        <v>0</v>
      </c>
      <c r="H508" s="227">
        <f>IF(DAY(A508)='Main Budget'!$J$26,'Main Budget'!$E$26,0)</f>
        <v>0</v>
      </c>
      <c r="I508" s="227">
        <f>IF(DAY(A508)='Main Budget'!$J$28,'Main Budget'!$E$28,0)</f>
        <v>0</v>
      </c>
      <c r="J508" s="227">
        <f>IF(DAY(A508)='Main Budget'!$J$29,'Main Budget'!$E$29,0)</f>
        <v>0</v>
      </c>
      <c r="K508" s="20">
        <f>IF(DAY(A508)='Main Budget'!$J$30,'Main Budget'!$E$30,0)</f>
        <v>0</v>
      </c>
      <c r="L508" s="20">
        <f>IF(DAY(A508)='Main Budget'!$J$31,'Main Budget'!$E$31,0)</f>
        <v>0</v>
      </c>
      <c r="M508" s="20">
        <f>IF(DAY(A508)='Main Budget'!$J$27,'Main Budget'!$E$27,0)</f>
        <v>0</v>
      </c>
      <c r="O508" s="228">
        <f>B508+(SUM(H508:M508)+(SUM(D508:E508)))</f>
        <v>100</v>
      </c>
      <c r="P508" s="228">
        <f>C508+F508+G508+N508</f>
        <v>100</v>
      </c>
      <c r="Q508" s="252">
        <f>O508+P508</f>
        <v>200</v>
      </c>
      <c r="S508" s="231" t="str">
        <f>TEXT(A508,"dddd")</f>
        <v>Saturday</v>
      </c>
    </row>
    <row r="509" spans="1:19" x14ac:dyDescent="0.25">
      <c r="A509" s="226">
        <v>46530</v>
      </c>
      <c r="B509" s="227">
        <f>O508</f>
        <v>100</v>
      </c>
      <c r="C509" s="228">
        <f>P508</f>
        <v>100</v>
      </c>
      <c r="D509" s="228">
        <f>IF(OR(DAY(A509+2)=1,DAY(A509+2)=15),-SUM('Main Budget'!$H$26:$H$31),0)</f>
        <v>0</v>
      </c>
      <c r="E509" s="228">
        <f>IF(DAY(A509+2)=22,-SUM('Main Budget'!$F$26:$F$31),0)</f>
        <v>0</v>
      </c>
      <c r="F509" s="228">
        <f>IF(D509&gt;0,-'Main Budget'!$H$25+0.15,0)</f>
        <v>0</v>
      </c>
      <c r="G509" s="228">
        <f>IF(E509&gt;0,-'Main Budget'!$F$25+0.81,0)</f>
        <v>0</v>
      </c>
      <c r="H509" s="227">
        <f>IF(DAY(A509)='Main Budget'!$J$26,'Main Budget'!$E$26,0)</f>
        <v>0</v>
      </c>
      <c r="I509" s="227">
        <f>IF(DAY(A509)='Main Budget'!$J$28,'Main Budget'!$E$28,0)</f>
        <v>0</v>
      </c>
      <c r="J509" s="227">
        <f>IF(DAY(A509)='Main Budget'!$J$29,'Main Budget'!$E$29,0)</f>
        <v>0</v>
      </c>
      <c r="K509" s="20">
        <f>IF(DAY(A509)='Main Budget'!$J$30,'Main Budget'!$E$30,0)</f>
        <v>0</v>
      </c>
      <c r="L509" s="20">
        <f>IF(DAY(A509)='Main Budget'!$J$31,'Main Budget'!$E$31,0)</f>
        <v>0</v>
      </c>
      <c r="M509" s="20">
        <f>IF(DAY(A509)='Main Budget'!$J$27,'Main Budget'!$E$27,0)</f>
        <v>0</v>
      </c>
      <c r="O509" s="228">
        <f>B509+(SUM(H509:M509)+(SUM(D509:E509)))</f>
        <v>100</v>
      </c>
      <c r="P509" s="228">
        <f>C509+F509+G509+N509</f>
        <v>100</v>
      </c>
      <c r="Q509" s="252">
        <f>O509+P509</f>
        <v>200</v>
      </c>
      <c r="S509" s="231" t="str">
        <f>TEXT(A509,"dddd")</f>
        <v>Sunday</v>
      </c>
    </row>
    <row r="510" spans="1:19" x14ac:dyDescent="0.25">
      <c r="A510" s="226">
        <v>46531</v>
      </c>
      <c r="B510" s="227">
        <f>O509</f>
        <v>100</v>
      </c>
      <c r="C510" s="228">
        <f>P509</f>
        <v>100</v>
      </c>
      <c r="D510" s="228">
        <f>IF(OR(DAY(A510+2)=1,DAY(A510+2)=15),-SUM('Main Budget'!$H$26:$H$31),0)</f>
        <v>0</v>
      </c>
      <c r="E510" s="228">
        <f>IF(DAY(A510+2)=22,-SUM('Main Budget'!$F$26:$F$31),0)</f>
        <v>0</v>
      </c>
      <c r="F510" s="228">
        <f>IF(D510&gt;0,-'Main Budget'!$H$25+0.15,0)</f>
        <v>0</v>
      </c>
      <c r="G510" s="228">
        <f>IF(E510&gt;0,-'Main Budget'!$F$25+0.81,0)</f>
        <v>0</v>
      </c>
      <c r="H510" s="227">
        <f>IF(DAY(A510)='Main Budget'!$J$26,'Main Budget'!$E$26,0)</f>
        <v>0</v>
      </c>
      <c r="I510" s="227">
        <f>IF(DAY(A510)='Main Budget'!$J$28,'Main Budget'!$E$28,0)</f>
        <v>0</v>
      </c>
      <c r="J510" s="227">
        <f>IF(DAY(A510)='Main Budget'!$J$29,'Main Budget'!$E$29,0)</f>
        <v>0</v>
      </c>
      <c r="K510" s="20">
        <f>IF(DAY(A510)='Main Budget'!$J$30,'Main Budget'!$E$30,0)</f>
        <v>0</v>
      </c>
      <c r="L510" s="20">
        <f>IF(DAY(A510)='Main Budget'!$J$31,'Main Budget'!$E$31,0)</f>
        <v>0</v>
      </c>
      <c r="M510" s="20">
        <f>IF(DAY(A510)='Main Budget'!$J$27,'Main Budget'!$E$27,0)</f>
        <v>0</v>
      </c>
      <c r="O510" s="228">
        <f>B510+(SUM(H510:M510)+(SUM(D510:E510)))</f>
        <v>100</v>
      </c>
      <c r="P510" s="228">
        <f>C510+F510+G510+N510</f>
        <v>100</v>
      </c>
      <c r="Q510" s="252">
        <f>O510+P510</f>
        <v>200</v>
      </c>
      <c r="S510" s="231" t="str">
        <f>TEXT(A510,"dddd")</f>
        <v>Monday</v>
      </c>
    </row>
    <row r="511" spans="1:19" x14ac:dyDescent="0.25">
      <c r="A511" s="226">
        <v>46532</v>
      </c>
      <c r="B511" s="227">
        <f>O510</f>
        <v>100</v>
      </c>
      <c r="C511" s="228">
        <f>P510</f>
        <v>100</v>
      </c>
      <c r="D511" s="228">
        <f>IF(OR(DAY(A511+2)=1,DAY(A511+2)=15),-SUM('Main Budget'!$H$26:$H$31),0)</f>
        <v>0</v>
      </c>
      <c r="E511" s="228">
        <f>IF(DAY(A511+2)=22,-SUM('Main Budget'!$F$26:$F$31),0)</f>
        <v>0</v>
      </c>
      <c r="F511" s="228">
        <f>IF(D511&gt;0,-'Main Budget'!$H$25+0.15,0)</f>
        <v>0</v>
      </c>
      <c r="G511" s="228">
        <f>IF(E511&gt;0,-'Main Budget'!$F$25+0.81,0)</f>
        <v>0</v>
      </c>
      <c r="H511" s="227">
        <f>IF(DAY(A511)='Main Budget'!$J$26,'Main Budget'!$E$26,0)</f>
        <v>0</v>
      </c>
      <c r="I511" s="227">
        <f>IF(DAY(A511)='Main Budget'!$J$28,'Main Budget'!$E$28,0)</f>
        <v>0</v>
      </c>
      <c r="J511" s="227">
        <f>IF(DAY(A511)='Main Budget'!$J$29,'Main Budget'!$E$29,0)</f>
        <v>0</v>
      </c>
      <c r="K511" s="20">
        <f>IF(DAY(A511)='Main Budget'!$J$30,'Main Budget'!$E$30,0)</f>
        <v>0</v>
      </c>
      <c r="L511" s="20">
        <f>IF(DAY(A511)='Main Budget'!$J$31,'Main Budget'!$E$31,0)</f>
        <v>0</v>
      </c>
      <c r="M511" s="20">
        <f>IF(DAY(A511)='Main Budget'!$J$27,'Main Budget'!$E$27,0)</f>
        <v>0</v>
      </c>
      <c r="O511" s="228">
        <f>B511+(SUM(H511:M511)+(SUM(D511:E511)))</f>
        <v>100</v>
      </c>
      <c r="P511" s="228">
        <f>C511+F511+G511+N511</f>
        <v>100</v>
      </c>
      <c r="Q511" s="252">
        <f>O511+P511</f>
        <v>200</v>
      </c>
      <c r="S511" s="231" t="str">
        <f>TEXT(A511,"dddd")</f>
        <v>Tuesday</v>
      </c>
    </row>
    <row r="512" spans="1:19" x14ac:dyDescent="0.25">
      <c r="A512" s="226">
        <v>46533</v>
      </c>
      <c r="B512" s="227">
        <f>O511</f>
        <v>100</v>
      </c>
      <c r="C512" s="228">
        <f>P511</f>
        <v>100</v>
      </c>
      <c r="D512" s="228">
        <f>IF(OR(DAY(A512+2)=1,DAY(A512+2)=15),-SUM('Main Budget'!$H$26:$H$31),0)</f>
        <v>0</v>
      </c>
      <c r="E512" s="228">
        <f>IF(DAY(A512+2)=22,-SUM('Main Budget'!$F$26:$F$31),0)</f>
        <v>0</v>
      </c>
      <c r="F512" s="228">
        <f>IF(D512&gt;0,-'Main Budget'!$H$25+0.15,0)</f>
        <v>0</v>
      </c>
      <c r="G512" s="228">
        <f>IF(E512&gt;0,-'Main Budget'!$F$25+0.81,0)</f>
        <v>0</v>
      </c>
      <c r="H512" s="227">
        <f>IF(DAY(A512)='Main Budget'!$J$26,'Main Budget'!$E$26,0)</f>
        <v>0</v>
      </c>
      <c r="I512" s="227">
        <f>IF(DAY(A512)='Main Budget'!$J$28,'Main Budget'!$E$28,0)</f>
        <v>0</v>
      </c>
      <c r="J512" s="227">
        <f>IF(DAY(A512)='Main Budget'!$J$29,'Main Budget'!$E$29,0)</f>
        <v>0</v>
      </c>
      <c r="K512" s="20">
        <f>IF(DAY(A512)='Main Budget'!$J$30,'Main Budget'!$E$30,0)</f>
        <v>0</v>
      </c>
      <c r="L512" s="20">
        <f>IF(DAY(A512)='Main Budget'!$J$31,'Main Budget'!$E$31,0)</f>
        <v>0</v>
      </c>
      <c r="M512" s="20">
        <f>IF(DAY(A512)='Main Budget'!$J$27,'Main Budget'!$E$27,0)</f>
        <v>0</v>
      </c>
      <c r="O512" s="228">
        <f>B512+(SUM(H512:M512)+(SUM(D512:E512)))</f>
        <v>100</v>
      </c>
      <c r="P512" s="228">
        <f>C512+F512+G512+N512</f>
        <v>100</v>
      </c>
      <c r="Q512" s="252">
        <f>O512+P512</f>
        <v>200</v>
      </c>
      <c r="S512" s="231" t="str">
        <f>TEXT(A512,"dddd")</f>
        <v>Wednesday</v>
      </c>
    </row>
    <row r="513" spans="1:19" x14ac:dyDescent="0.25">
      <c r="A513" s="226">
        <v>46534</v>
      </c>
      <c r="B513" s="227">
        <f>O512</f>
        <v>100</v>
      </c>
      <c r="C513" s="228">
        <f>P512</f>
        <v>100</v>
      </c>
      <c r="D513" s="228">
        <f>IF(OR(DAY(A513+2)=1,DAY(A513+2)=15),-SUM('Main Budget'!$H$26:$H$31),0)</f>
        <v>0</v>
      </c>
      <c r="E513" s="228">
        <f>IF(DAY(A513+2)=22,-SUM('Main Budget'!$F$26:$F$31),0)</f>
        <v>0</v>
      </c>
      <c r="F513" s="228">
        <f>IF(D513&gt;0,-'Main Budget'!$H$25+0.15,0)</f>
        <v>0</v>
      </c>
      <c r="G513" s="228">
        <f>IF(E513&gt;0,-'Main Budget'!$F$25+0.81,0)</f>
        <v>0</v>
      </c>
      <c r="H513" s="227">
        <f>IF(DAY(A513)='Main Budget'!$J$26,'Main Budget'!$E$26,0)</f>
        <v>0</v>
      </c>
      <c r="I513" s="227">
        <f>IF(DAY(A513)='Main Budget'!$J$28,'Main Budget'!$E$28,0)</f>
        <v>0</v>
      </c>
      <c r="J513" s="227">
        <f>IF(DAY(A513)='Main Budget'!$J$29,'Main Budget'!$E$29,0)</f>
        <v>0</v>
      </c>
      <c r="K513" s="20">
        <f>IF(DAY(A513)='Main Budget'!$J$30,'Main Budget'!$E$30,0)</f>
        <v>0</v>
      </c>
      <c r="L513" s="20">
        <f>IF(DAY(A513)='Main Budget'!$J$31,'Main Budget'!$E$31,0)</f>
        <v>0</v>
      </c>
      <c r="M513" s="20">
        <f>IF(DAY(A513)='Main Budget'!$J$27,'Main Budget'!$E$27,0)</f>
        <v>0</v>
      </c>
      <c r="O513" s="228">
        <f>B513+(SUM(H513:M513)+(SUM(D513:E513)))</f>
        <v>100</v>
      </c>
      <c r="P513" s="228">
        <f>C513+F513+G513+N513</f>
        <v>100</v>
      </c>
      <c r="Q513" s="252">
        <f>O513+P513</f>
        <v>200</v>
      </c>
      <c r="S513" s="231" t="str">
        <f>TEXT(A513,"dddd")</f>
        <v>Thursday</v>
      </c>
    </row>
    <row r="514" spans="1:19" x14ac:dyDescent="0.25">
      <c r="A514" s="226">
        <v>46535</v>
      </c>
      <c r="B514" s="227">
        <f>O513</f>
        <v>100</v>
      </c>
      <c r="C514" s="228">
        <f>P513</f>
        <v>100</v>
      </c>
      <c r="D514" s="228">
        <f>IF(OR(DAY(A514+2)=1,DAY(A514+2)=15),-SUM('Main Budget'!$H$26:$H$31),0)</f>
        <v>0</v>
      </c>
      <c r="E514" s="228">
        <f>IF(DAY(A514+2)=22,-SUM('Main Budget'!$F$26:$F$31),0)</f>
        <v>0</v>
      </c>
      <c r="F514" s="228">
        <f>IF(D514&gt;0,-'Main Budget'!$H$25+0.15,0)</f>
        <v>0</v>
      </c>
      <c r="G514" s="228">
        <f>IF(E514&gt;0,-'Main Budget'!$F$25+0.81,0)</f>
        <v>0</v>
      </c>
      <c r="H514" s="227">
        <f>IF(DAY(A514)='Main Budget'!$J$26,'Main Budget'!$E$26,0)</f>
        <v>0</v>
      </c>
      <c r="I514" s="227">
        <f>IF(DAY(A514)='Main Budget'!$J$28,'Main Budget'!$E$28,0)</f>
        <v>0</v>
      </c>
      <c r="J514" s="227">
        <f>IF(DAY(A514)='Main Budget'!$J$29,'Main Budget'!$E$29,0)</f>
        <v>0</v>
      </c>
      <c r="K514" s="20">
        <f>IF(DAY(A514)='Main Budget'!$J$30,'Main Budget'!$E$30,0)</f>
        <v>0</v>
      </c>
      <c r="L514" s="20">
        <f>IF(DAY(A514)='Main Budget'!$J$31,'Main Budget'!$E$31,0)</f>
        <v>0</v>
      </c>
      <c r="M514" s="20">
        <f>IF(DAY(A514)='Main Budget'!$J$27,'Main Budget'!$E$27,0)</f>
        <v>0</v>
      </c>
      <c r="O514" s="228">
        <f>B514+(SUM(H514:M514)+(SUM(D514:E514)))</f>
        <v>100</v>
      </c>
      <c r="P514" s="228">
        <f>C514+F514+G514+N514</f>
        <v>100</v>
      </c>
      <c r="Q514" s="252">
        <f>O514+P514</f>
        <v>200</v>
      </c>
      <c r="S514" s="231" t="str">
        <f>TEXT(A514,"dddd")</f>
        <v>Friday</v>
      </c>
    </row>
    <row r="515" spans="1:19" x14ac:dyDescent="0.25">
      <c r="A515" s="226">
        <v>46536</v>
      </c>
      <c r="B515" s="227">
        <f>O514</f>
        <v>100</v>
      </c>
      <c r="C515" s="228">
        <f>P514</f>
        <v>100</v>
      </c>
      <c r="D515" s="228">
        <f>IF(OR(DAY(A515+2)=1,DAY(A515+2)=15),-SUM('Main Budget'!$H$26:$H$31),0)</f>
        <v>0</v>
      </c>
      <c r="E515" s="228">
        <f>IF(DAY(A515+2)=22,-SUM('Main Budget'!$F$26:$F$31),0)</f>
        <v>0</v>
      </c>
      <c r="F515" s="228">
        <f>IF(D515&gt;0,-'Main Budget'!$H$25+0.15,0)</f>
        <v>0</v>
      </c>
      <c r="G515" s="228">
        <f>IF(E515&gt;0,-'Main Budget'!$F$25+0.81,0)</f>
        <v>0</v>
      </c>
      <c r="H515" s="227">
        <f>IF(DAY(A515)='Main Budget'!$J$26,'Main Budget'!$E$26,0)</f>
        <v>0</v>
      </c>
      <c r="I515" s="227">
        <f>IF(DAY(A515)='Main Budget'!$J$28,'Main Budget'!$E$28,0)</f>
        <v>0</v>
      </c>
      <c r="J515" s="227">
        <f>IF(DAY(A515)='Main Budget'!$J$29,'Main Budget'!$E$29,0)</f>
        <v>0</v>
      </c>
      <c r="K515" s="20">
        <f>IF(DAY(A515)='Main Budget'!$J$30,'Main Budget'!$E$30,0)</f>
        <v>0</v>
      </c>
      <c r="L515" s="20">
        <f>IF(DAY(A515)='Main Budget'!$J$31,'Main Budget'!$E$31,0)</f>
        <v>0</v>
      </c>
      <c r="M515" s="20">
        <f>IF(DAY(A515)='Main Budget'!$J$27,'Main Budget'!$E$27,0)</f>
        <v>0</v>
      </c>
      <c r="O515" s="228">
        <f>B515+(SUM(H515:M515)+(SUM(D515:E515)))</f>
        <v>100</v>
      </c>
      <c r="P515" s="228">
        <f>C515+F515+G515+N515</f>
        <v>100</v>
      </c>
      <c r="Q515" s="252">
        <f>O515+P515</f>
        <v>200</v>
      </c>
      <c r="S515" s="231" t="str">
        <f>TEXT(A515,"dddd")</f>
        <v>Saturday</v>
      </c>
    </row>
    <row r="516" spans="1:19" x14ac:dyDescent="0.25">
      <c r="A516" s="226">
        <v>46537</v>
      </c>
      <c r="B516" s="227">
        <f>O515</f>
        <v>100</v>
      </c>
      <c r="C516" s="228">
        <f>P515</f>
        <v>100</v>
      </c>
      <c r="D516" s="228">
        <f>IF(OR(DAY(A516+2)=1,DAY(A516+2)=15),-SUM('Main Budget'!$H$26:$H$31),0)</f>
        <v>0</v>
      </c>
      <c r="E516" s="228">
        <f>IF(DAY(A516+2)=22,-SUM('Main Budget'!$F$26:$F$31),0)</f>
        <v>0</v>
      </c>
      <c r="F516" s="228">
        <f>IF(D516&gt;0,-'Main Budget'!$H$25+0.15,0)</f>
        <v>0</v>
      </c>
      <c r="G516" s="228">
        <f>IF(E516&gt;0,-'Main Budget'!$F$25+0.81,0)</f>
        <v>0</v>
      </c>
      <c r="H516" s="227">
        <f>IF(DAY(A516)='Main Budget'!$J$26,'Main Budget'!$E$26,0)</f>
        <v>0</v>
      </c>
      <c r="I516" s="227">
        <f>IF(DAY(A516)='Main Budget'!$J$28,'Main Budget'!$E$28,0)</f>
        <v>0</v>
      </c>
      <c r="J516" s="227">
        <f>IF(DAY(A516)='Main Budget'!$J$29,'Main Budget'!$E$29,0)</f>
        <v>0</v>
      </c>
      <c r="K516" s="20">
        <f>IF(DAY(A516)='Main Budget'!$J$30,'Main Budget'!$E$30,0)</f>
        <v>0</v>
      </c>
      <c r="L516" s="20">
        <f>IF(DAY(A516)='Main Budget'!$J$31,'Main Budget'!$E$31,0)</f>
        <v>0</v>
      </c>
      <c r="M516" s="20">
        <f>IF(DAY(A516)='Main Budget'!$J$27,'Main Budget'!$E$27,0)</f>
        <v>0</v>
      </c>
      <c r="O516" s="228">
        <f>B516+(SUM(H516:M516)+(SUM(D516:E516)))</f>
        <v>100</v>
      </c>
      <c r="P516" s="228">
        <f>C516+F516+G516+N516</f>
        <v>100</v>
      </c>
      <c r="Q516" s="252">
        <f>O516+P516</f>
        <v>200</v>
      </c>
      <c r="S516" s="231" t="str">
        <f>TEXT(A516,"dddd")</f>
        <v>Sunday</v>
      </c>
    </row>
    <row r="517" spans="1:19" x14ac:dyDescent="0.25">
      <c r="A517" s="226">
        <v>46538</v>
      </c>
      <c r="B517" s="227">
        <f>O516</f>
        <v>100</v>
      </c>
      <c r="C517" s="228">
        <f>P516</f>
        <v>100</v>
      </c>
      <c r="D517" s="228">
        <f>IF(OR(DAY(A517+2)=1,DAY(A517+2)=15),-SUM('Main Budget'!$H$26:$H$31),0)</f>
        <v>0</v>
      </c>
      <c r="E517" s="228">
        <f>IF(DAY(A517+2)=22,-SUM('Main Budget'!$F$26:$F$31),0)</f>
        <v>0</v>
      </c>
      <c r="F517" s="228">
        <f>IF(D517&gt;0,-'Main Budget'!$H$25+0.15,0)</f>
        <v>0</v>
      </c>
      <c r="G517" s="228">
        <f>IF(E517&gt;0,-'Main Budget'!$F$25+0.81,0)</f>
        <v>0</v>
      </c>
      <c r="H517" s="227">
        <f>IF(DAY(A517)='Main Budget'!$J$26,'Main Budget'!$E$26,0)</f>
        <v>0</v>
      </c>
      <c r="I517" s="227">
        <f>IF(DAY(A517)='Main Budget'!$J$28,'Main Budget'!$E$28,0)</f>
        <v>0</v>
      </c>
      <c r="J517" s="227">
        <f>IF(DAY(A517)='Main Budget'!$J$29,'Main Budget'!$E$29,0)</f>
        <v>0</v>
      </c>
      <c r="K517" s="20">
        <f>IF(DAY(A517)='Main Budget'!$J$30,'Main Budget'!$E$30,0)</f>
        <v>0</v>
      </c>
      <c r="L517" s="20">
        <f>IF(DAY(A517)='Main Budget'!$J$31,'Main Budget'!$E$31,0)</f>
        <v>0</v>
      </c>
      <c r="M517" s="20">
        <f>IF(DAY(A517)='Main Budget'!$J$27,'Main Budget'!$E$27,0)</f>
        <v>0</v>
      </c>
      <c r="O517" s="228">
        <f>B517+(SUM(H517:M517)+(SUM(D517:E517)))</f>
        <v>100</v>
      </c>
      <c r="P517" s="228">
        <f>C517+F517+G517+N517</f>
        <v>100</v>
      </c>
      <c r="Q517" s="252">
        <f>O517+P517</f>
        <v>200</v>
      </c>
      <c r="S517" s="231" t="str">
        <f>TEXT(A517,"dddd")</f>
        <v>Monday</v>
      </c>
    </row>
    <row r="518" spans="1:19" x14ac:dyDescent="0.25">
      <c r="A518" s="226">
        <v>46539</v>
      </c>
      <c r="B518" s="227">
        <f>O517</f>
        <v>100</v>
      </c>
      <c r="C518" s="228">
        <f>P517</f>
        <v>100</v>
      </c>
      <c r="D518" s="228">
        <f>IF(OR(DAY(A518+2)=1,DAY(A518+2)=15),-SUM('Main Budget'!$H$26:$H$31),0)</f>
        <v>0</v>
      </c>
      <c r="E518" s="228">
        <f>IF(DAY(A518+2)=22,-SUM('Main Budget'!$F$26:$F$31),0)</f>
        <v>0</v>
      </c>
      <c r="F518" s="228">
        <f>IF(D518&gt;0,-'Main Budget'!$H$25+0.15,0)</f>
        <v>0</v>
      </c>
      <c r="G518" s="228">
        <f>IF(E518&gt;0,-'Main Budget'!$F$25+0.81,0)</f>
        <v>0</v>
      </c>
      <c r="H518" s="227">
        <f>IF(DAY(A518)='Main Budget'!$J$26,'Main Budget'!$E$26,0)</f>
        <v>0</v>
      </c>
      <c r="I518" s="227">
        <f>IF(DAY(A518)='Main Budget'!$J$28,'Main Budget'!$E$28,0)</f>
        <v>0</v>
      </c>
      <c r="J518" s="227">
        <f>IF(DAY(A518)='Main Budget'!$J$29,'Main Budget'!$E$29,0)</f>
        <v>0</v>
      </c>
      <c r="K518" s="20">
        <f>IF(DAY(A518)='Main Budget'!$J$30,'Main Budget'!$E$30,0)</f>
        <v>0</v>
      </c>
      <c r="L518" s="20">
        <f>IF(DAY(A518)='Main Budget'!$J$31,'Main Budget'!$E$31,0)</f>
        <v>0</v>
      </c>
      <c r="M518" s="20">
        <f>IF(DAY(A518)='Main Budget'!$J$27,'Main Budget'!$E$27,0)</f>
        <v>0</v>
      </c>
      <c r="O518" s="228">
        <f>B518+(SUM(H518:M518)+(SUM(D518:E518)))</f>
        <v>100</v>
      </c>
      <c r="P518" s="228">
        <f>C518+F518+G518+N518</f>
        <v>100</v>
      </c>
      <c r="Q518" s="252">
        <f>O518+P518</f>
        <v>200</v>
      </c>
      <c r="S518" s="231" t="str">
        <f>TEXT(A518,"dddd")</f>
        <v>Tuesday</v>
      </c>
    </row>
    <row r="519" spans="1:19" x14ac:dyDescent="0.25">
      <c r="A519" s="226">
        <v>46540</v>
      </c>
      <c r="B519" s="227">
        <f>O518</f>
        <v>100</v>
      </c>
      <c r="C519" s="228">
        <f>P518</f>
        <v>100</v>
      </c>
      <c r="D519" s="228">
        <f>IF(OR(DAY(A519+2)=1,DAY(A519+2)=15),-SUM('Main Budget'!$H$26:$H$31),0)</f>
        <v>0</v>
      </c>
      <c r="E519" s="228">
        <f>IF(DAY(A519+2)=22,-SUM('Main Budget'!$F$26:$F$31),0)</f>
        <v>0</v>
      </c>
      <c r="F519" s="228">
        <f>IF(D519&gt;0,-'Main Budget'!$H$25+0.15,0)</f>
        <v>0</v>
      </c>
      <c r="G519" s="228">
        <f>IF(E519&gt;0,-'Main Budget'!$F$25+0.81,0)</f>
        <v>0</v>
      </c>
      <c r="H519" s="227">
        <f>IF(DAY(A519)='Main Budget'!$J$26,'Main Budget'!$E$26,0)</f>
        <v>0</v>
      </c>
      <c r="I519" s="227">
        <f>IF(DAY(A519)='Main Budget'!$J$28,'Main Budget'!$E$28,0)</f>
        <v>0</v>
      </c>
      <c r="J519" s="227">
        <f>IF(DAY(A519)='Main Budget'!$J$29,'Main Budget'!$E$29,0)</f>
        <v>0</v>
      </c>
      <c r="K519" s="20">
        <f>IF(DAY(A519)='Main Budget'!$J$30,'Main Budget'!$E$30,0)</f>
        <v>0</v>
      </c>
      <c r="L519" s="20">
        <f>IF(DAY(A519)='Main Budget'!$J$31,'Main Budget'!$E$31,0)</f>
        <v>0</v>
      </c>
      <c r="M519" s="20">
        <f>IF(DAY(A519)='Main Budget'!$J$27,'Main Budget'!$E$27,0)</f>
        <v>0</v>
      </c>
      <c r="O519" s="228">
        <f>B519+(SUM(H519:M519)+(SUM(D519:E519)))</f>
        <v>100</v>
      </c>
      <c r="P519" s="228">
        <f>C519+F519+G519+N519</f>
        <v>100</v>
      </c>
      <c r="Q519" s="252">
        <f>O519+P519</f>
        <v>200</v>
      </c>
      <c r="S519" s="231" t="str">
        <f>TEXT(A519,"dddd")</f>
        <v>Wednesday</v>
      </c>
    </row>
    <row r="520" spans="1:19" x14ac:dyDescent="0.25">
      <c r="A520" s="226">
        <v>46541</v>
      </c>
      <c r="B520" s="227">
        <f>O519</f>
        <v>100</v>
      </c>
      <c r="C520" s="228">
        <f>P519</f>
        <v>100</v>
      </c>
      <c r="D520" s="228">
        <f>IF(OR(DAY(A520+2)=1,DAY(A520+2)=15),-SUM('Main Budget'!$H$26:$H$31),0)</f>
        <v>0</v>
      </c>
      <c r="E520" s="228">
        <f>IF(DAY(A520+2)=22,-SUM('Main Budget'!$F$26:$F$31),0)</f>
        <v>0</v>
      </c>
      <c r="F520" s="228">
        <f>IF(D520&gt;0,-'Main Budget'!$H$25+0.15,0)</f>
        <v>0</v>
      </c>
      <c r="G520" s="228">
        <f>IF(E520&gt;0,-'Main Budget'!$F$25+0.81,0)</f>
        <v>0</v>
      </c>
      <c r="H520" s="227">
        <f>IF(DAY(A520)='Main Budget'!$J$26,'Main Budget'!$E$26,0)</f>
        <v>0</v>
      </c>
      <c r="I520" s="227">
        <f>IF(DAY(A520)='Main Budget'!$J$28,'Main Budget'!$E$28,0)</f>
        <v>0</v>
      </c>
      <c r="J520" s="227">
        <f>IF(DAY(A520)='Main Budget'!$J$29,'Main Budget'!$E$29,0)</f>
        <v>0</v>
      </c>
      <c r="K520" s="20">
        <f>IF(DAY(A520)='Main Budget'!$J$30,'Main Budget'!$E$30,0)</f>
        <v>0</v>
      </c>
      <c r="L520" s="20">
        <f>IF(DAY(A520)='Main Budget'!$J$31,'Main Budget'!$E$31,0)</f>
        <v>0</v>
      </c>
      <c r="M520" s="20">
        <f>IF(DAY(A520)='Main Budget'!$J$27,'Main Budget'!$E$27,0)</f>
        <v>0</v>
      </c>
      <c r="O520" s="228">
        <f>B520+(SUM(H520:M520)+(SUM(D520:E520)))</f>
        <v>100</v>
      </c>
      <c r="P520" s="228">
        <f>C520+F520+G520+N520</f>
        <v>100</v>
      </c>
      <c r="Q520" s="252">
        <f>O520+P520</f>
        <v>200</v>
      </c>
      <c r="S520" s="231" t="str">
        <f>TEXT(A520,"dddd")</f>
        <v>Thursday</v>
      </c>
    </row>
    <row r="521" spans="1:19" x14ac:dyDescent="0.25">
      <c r="A521" s="226">
        <v>46542</v>
      </c>
      <c r="B521" s="227">
        <f>O520</f>
        <v>100</v>
      </c>
      <c r="C521" s="228">
        <f>P520</f>
        <v>100</v>
      </c>
      <c r="D521" s="228">
        <f>IF(OR(DAY(A521+2)=1,DAY(A521+2)=15),-SUM('Main Budget'!$H$26:$H$31),0)</f>
        <v>0</v>
      </c>
      <c r="E521" s="228">
        <f>IF(DAY(A521+2)=22,-SUM('Main Budget'!$F$26:$F$31),0)</f>
        <v>0</v>
      </c>
      <c r="F521" s="228">
        <f>IF(D521&gt;0,-'Main Budget'!$H$25+0.15,0)</f>
        <v>0</v>
      </c>
      <c r="G521" s="228">
        <f>IF(E521&gt;0,-'Main Budget'!$F$25+0.81,0)</f>
        <v>0</v>
      </c>
      <c r="H521" s="227">
        <f>IF(DAY(A521)='Main Budget'!$J$26,'Main Budget'!$E$26,0)</f>
        <v>0</v>
      </c>
      <c r="I521" s="227">
        <f>IF(DAY(A521)='Main Budget'!$J$28,'Main Budget'!$E$28,0)</f>
        <v>0</v>
      </c>
      <c r="J521" s="227">
        <f>IF(DAY(A521)='Main Budget'!$J$29,'Main Budget'!$E$29,0)</f>
        <v>0</v>
      </c>
      <c r="K521" s="20">
        <f>IF(DAY(A521)='Main Budget'!$J$30,'Main Budget'!$E$30,0)</f>
        <v>0</v>
      </c>
      <c r="L521" s="20">
        <f>IF(DAY(A521)='Main Budget'!$J$31,'Main Budget'!$E$31,0)</f>
        <v>0</v>
      </c>
      <c r="M521" s="20">
        <f>IF(DAY(A521)='Main Budget'!$J$27,'Main Budget'!$E$27,0)</f>
        <v>0</v>
      </c>
      <c r="O521" s="228">
        <f>B521+(SUM(H521:M521)+(SUM(D521:E521)))</f>
        <v>100</v>
      </c>
      <c r="P521" s="228">
        <f>C521+F521+G521+N521</f>
        <v>100</v>
      </c>
      <c r="Q521" s="252">
        <f>O521+P521</f>
        <v>200</v>
      </c>
      <c r="S521" s="231" t="str">
        <f>TEXT(A521,"dddd")</f>
        <v>Friday</v>
      </c>
    </row>
    <row r="522" spans="1:19" x14ac:dyDescent="0.25">
      <c r="A522" s="226">
        <v>46543</v>
      </c>
      <c r="B522" s="227">
        <f>O521</f>
        <v>100</v>
      </c>
      <c r="C522" s="228">
        <f>P521</f>
        <v>100</v>
      </c>
      <c r="D522" s="228">
        <f>IF(OR(DAY(A522+2)=1,DAY(A522+2)=15),-SUM('Main Budget'!$H$26:$H$31),0)</f>
        <v>0</v>
      </c>
      <c r="E522" s="228">
        <f>IF(DAY(A522+2)=22,-SUM('Main Budget'!$F$26:$F$31),0)</f>
        <v>0</v>
      </c>
      <c r="F522" s="228">
        <f>IF(D522&gt;0,-'Main Budget'!$H$25+0.15,0)</f>
        <v>0</v>
      </c>
      <c r="G522" s="228">
        <f>IF(E522&gt;0,-'Main Budget'!$F$25+0.81,0)</f>
        <v>0</v>
      </c>
      <c r="H522" s="227">
        <f>IF(DAY(A522)='Main Budget'!$J$26,'Main Budget'!$E$26,0)</f>
        <v>0</v>
      </c>
      <c r="I522" s="227">
        <f>IF(DAY(A522)='Main Budget'!$J$28,'Main Budget'!$E$28,0)</f>
        <v>0</v>
      </c>
      <c r="J522" s="227">
        <f>IF(DAY(A522)='Main Budget'!$J$29,'Main Budget'!$E$29,0)</f>
        <v>0</v>
      </c>
      <c r="K522" s="20">
        <f>IF(DAY(A522)='Main Budget'!$J$30,'Main Budget'!$E$30,0)</f>
        <v>0</v>
      </c>
      <c r="L522" s="20">
        <f>IF(DAY(A522)='Main Budget'!$J$31,'Main Budget'!$E$31,0)</f>
        <v>0</v>
      </c>
      <c r="M522" s="20">
        <f>IF(DAY(A522)='Main Budget'!$J$27,'Main Budget'!$E$27,0)</f>
        <v>0</v>
      </c>
      <c r="O522" s="228">
        <f>B522+(SUM(H522:M522)+(SUM(D522:E522)))</f>
        <v>100</v>
      </c>
      <c r="P522" s="228">
        <f>C522+F522+G522+N522</f>
        <v>100</v>
      </c>
      <c r="Q522" s="252">
        <f>O522+P522</f>
        <v>200</v>
      </c>
      <c r="S522" s="231" t="str">
        <f>TEXT(A522,"dddd")</f>
        <v>Saturday</v>
      </c>
    </row>
    <row r="523" spans="1:19" x14ac:dyDescent="0.25">
      <c r="A523" s="226">
        <v>46544</v>
      </c>
      <c r="B523" s="227">
        <f>O522</f>
        <v>100</v>
      </c>
      <c r="C523" s="228">
        <f>P522</f>
        <v>100</v>
      </c>
      <c r="D523" s="228">
        <f>IF(OR(DAY(A523+2)=1,DAY(A523+2)=15),-SUM('Main Budget'!$H$26:$H$31),0)</f>
        <v>0</v>
      </c>
      <c r="E523" s="228">
        <f>IF(DAY(A523+2)=22,-SUM('Main Budget'!$F$26:$F$31),0)</f>
        <v>0</v>
      </c>
      <c r="F523" s="228">
        <f>IF(D523&gt;0,-'Main Budget'!$H$25+0.15,0)</f>
        <v>0</v>
      </c>
      <c r="G523" s="228">
        <f>IF(E523&gt;0,-'Main Budget'!$F$25+0.81,0)</f>
        <v>0</v>
      </c>
      <c r="H523" s="227">
        <f>IF(DAY(A523)='Main Budget'!$J$26,'Main Budget'!$E$26,0)</f>
        <v>0</v>
      </c>
      <c r="I523" s="227">
        <f>IF(DAY(A523)='Main Budget'!$J$28,'Main Budget'!$E$28,0)</f>
        <v>0</v>
      </c>
      <c r="J523" s="227">
        <f>IF(DAY(A523)='Main Budget'!$J$29,'Main Budget'!$E$29,0)</f>
        <v>0</v>
      </c>
      <c r="K523" s="20">
        <f>IF(DAY(A523)='Main Budget'!$J$30,'Main Budget'!$E$30,0)</f>
        <v>0</v>
      </c>
      <c r="L523" s="20">
        <f>IF(DAY(A523)='Main Budget'!$J$31,'Main Budget'!$E$31,0)</f>
        <v>0</v>
      </c>
      <c r="M523" s="20">
        <f>IF(DAY(A523)='Main Budget'!$J$27,'Main Budget'!$E$27,0)</f>
        <v>0</v>
      </c>
      <c r="O523" s="228">
        <f>B523+(SUM(H523:M523)+(SUM(D523:E523)))</f>
        <v>100</v>
      </c>
      <c r="P523" s="228">
        <f>C523+F523+G523+N523</f>
        <v>100</v>
      </c>
      <c r="Q523" s="252">
        <f>O523+P523</f>
        <v>200</v>
      </c>
      <c r="S523" s="231" t="str">
        <f>TEXT(A523,"dddd")</f>
        <v>Sunday</v>
      </c>
    </row>
    <row r="524" spans="1:19" x14ac:dyDescent="0.25">
      <c r="A524" s="226">
        <v>46545</v>
      </c>
      <c r="B524" s="227">
        <f>O523</f>
        <v>100</v>
      </c>
      <c r="C524" s="228">
        <f>P523</f>
        <v>100</v>
      </c>
      <c r="D524" s="228">
        <f>IF(OR(DAY(A524+2)=1,DAY(A524+2)=15),-SUM('Main Budget'!$H$26:$H$31),0)</f>
        <v>0</v>
      </c>
      <c r="E524" s="228">
        <f>IF(DAY(A524+2)=22,-SUM('Main Budget'!$F$26:$F$31),0)</f>
        <v>0</v>
      </c>
      <c r="F524" s="228">
        <f>IF(D524&gt;0,-'Main Budget'!$H$25+0.15,0)</f>
        <v>0</v>
      </c>
      <c r="G524" s="228">
        <f>IF(E524&gt;0,-'Main Budget'!$F$25+0.81,0)</f>
        <v>0</v>
      </c>
      <c r="H524" s="227">
        <f>IF(DAY(A524)='Main Budget'!$J$26,'Main Budget'!$E$26,0)</f>
        <v>0</v>
      </c>
      <c r="I524" s="227">
        <f>IF(DAY(A524)='Main Budget'!$J$28,'Main Budget'!$E$28,0)</f>
        <v>0</v>
      </c>
      <c r="J524" s="227">
        <f>IF(DAY(A524)='Main Budget'!$J$29,'Main Budget'!$E$29,0)</f>
        <v>0</v>
      </c>
      <c r="K524" s="20">
        <f>IF(DAY(A524)='Main Budget'!$J$30,'Main Budget'!$E$30,0)</f>
        <v>0</v>
      </c>
      <c r="L524" s="20">
        <f>IF(DAY(A524)='Main Budget'!$J$31,'Main Budget'!$E$31,0)</f>
        <v>0</v>
      </c>
      <c r="M524" s="20">
        <f>IF(DAY(A524)='Main Budget'!$J$27,'Main Budget'!$E$27,0)</f>
        <v>0</v>
      </c>
      <c r="O524" s="228">
        <f>B524+(SUM(H524:M524)+(SUM(D524:E524)))</f>
        <v>100</v>
      </c>
      <c r="P524" s="228">
        <f>C524+F524+G524+N524</f>
        <v>100</v>
      </c>
      <c r="Q524" s="252">
        <f>O524+P524</f>
        <v>200</v>
      </c>
      <c r="S524" s="231" t="str">
        <f>TEXT(A524,"dddd")</f>
        <v>Monday</v>
      </c>
    </row>
    <row r="525" spans="1:19" x14ac:dyDescent="0.25">
      <c r="A525" s="226">
        <v>46546</v>
      </c>
      <c r="B525" s="227">
        <f>O524</f>
        <v>100</v>
      </c>
      <c r="C525" s="228">
        <f>P524</f>
        <v>100</v>
      </c>
      <c r="D525" s="228">
        <f>IF(OR(DAY(A525+2)=1,DAY(A525+2)=15),-SUM('Main Budget'!$H$26:$H$31),0)</f>
        <v>0</v>
      </c>
      <c r="E525" s="228">
        <f>IF(DAY(A525+2)=22,-SUM('Main Budget'!$F$26:$F$31),0)</f>
        <v>0</v>
      </c>
      <c r="F525" s="228">
        <f>IF(D525&gt;0,-'Main Budget'!$H$25+0.15,0)</f>
        <v>0</v>
      </c>
      <c r="G525" s="228">
        <f>IF(E525&gt;0,-'Main Budget'!$F$25+0.81,0)</f>
        <v>0</v>
      </c>
      <c r="H525" s="227">
        <f>IF(DAY(A525)='Main Budget'!$J$26,'Main Budget'!$E$26,0)</f>
        <v>0</v>
      </c>
      <c r="I525" s="227">
        <f>IF(DAY(A525)='Main Budget'!$J$28,'Main Budget'!$E$28,0)</f>
        <v>0</v>
      </c>
      <c r="J525" s="227">
        <f>IF(DAY(A525)='Main Budget'!$J$29,'Main Budget'!$E$29,0)</f>
        <v>0</v>
      </c>
      <c r="K525" s="20">
        <f>IF(DAY(A525)='Main Budget'!$J$30,'Main Budget'!$E$30,0)</f>
        <v>0</v>
      </c>
      <c r="L525" s="20">
        <f>IF(DAY(A525)='Main Budget'!$J$31,'Main Budget'!$E$31,0)</f>
        <v>0</v>
      </c>
      <c r="M525" s="20">
        <f>IF(DAY(A525)='Main Budget'!$J$27,'Main Budget'!$E$27,0)</f>
        <v>0</v>
      </c>
      <c r="O525" s="228">
        <f>B525+(SUM(H525:M525)+(SUM(D525:E525)))</f>
        <v>100</v>
      </c>
      <c r="P525" s="228">
        <f>C525+F525+G525+N525</f>
        <v>100</v>
      </c>
      <c r="Q525" s="252">
        <f>O525+P525</f>
        <v>200</v>
      </c>
      <c r="S525" s="231" t="str">
        <f>TEXT(A525,"dddd")</f>
        <v>Tuesday</v>
      </c>
    </row>
    <row r="526" spans="1:19" x14ac:dyDescent="0.25">
      <c r="A526" s="226">
        <v>46547</v>
      </c>
      <c r="B526" s="227">
        <f>O525</f>
        <v>100</v>
      </c>
      <c r="C526" s="228">
        <f>P525</f>
        <v>100</v>
      </c>
      <c r="D526" s="228">
        <f>IF(OR(DAY(A526+2)=1,DAY(A526+2)=15),-SUM('Main Budget'!$H$26:$H$31),0)</f>
        <v>0</v>
      </c>
      <c r="E526" s="228">
        <f>IF(DAY(A526+2)=22,-SUM('Main Budget'!$F$26:$F$31),0)</f>
        <v>0</v>
      </c>
      <c r="F526" s="228">
        <f>IF(D526&gt;0,-'Main Budget'!$H$25+0.15,0)</f>
        <v>0</v>
      </c>
      <c r="G526" s="228">
        <f>IF(E526&gt;0,-'Main Budget'!$F$25+0.81,0)</f>
        <v>0</v>
      </c>
      <c r="H526" s="227">
        <f>IF(DAY(A526)='Main Budget'!$J$26,'Main Budget'!$E$26,0)</f>
        <v>0</v>
      </c>
      <c r="I526" s="227">
        <f>IF(DAY(A526)='Main Budget'!$J$28,'Main Budget'!$E$28,0)</f>
        <v>0</v>
      </c>
      <c r="J526" s="227">
        <f>IF(DAY(A526)='Main Budget'!$J$29,'Main Budget'!$E$29,0)</f>
        <v>0</v>
      </c>
      <c r="K526" s="20">
        <f>IF(DAY(A526)='Main Budget'!$J$30,'Main Budget'!$E$30,0)</f>
        <v>0</v>
      </c>
      <c r="L526" s="20">
        <f>IF(DAY(A526)='Main Budget'!$J$31,'Main Budget'!$E$31,0)</f>
        <v>0</v>
      </c>
      <c r="M526" s="20">
        <f>IF(DAY(A526)='Main Budget'!$J$27,'Main Budget'!$E$27,0)</f>
        <v>0</v>
      </c>
      <c r="O526" s="228">
        <f>B526+(SUM(H526:M526)+(SUM(D526:E526)))</f>
        <v>100</v>
      </c>
      <c r="P526" s="228">
        <f>C526+F526+G526+N526</f>
        <v>100</v>
      </c>
      <c r="Q526" s="252">
        <f>O526+P526</f>
        <v>200</v>
      </c>
      <c r="S526" s="231" t="str">
        <f>TEXT(A526,"dddd")</f>
        <v>Wednesday</v>
      </c>
    </row>
    <row r="527" spans="1:19" x14ac:dyDescent="0.25">
      <c r="A527" s="226">
        <v>46548</v>
      </c>
      <c r="B527" s="227">
        <f>O526</f>
        <v>100</v>
      </c>
      <c r="C527" s="228">
        <f>P526</f>
        <v>100</v>
      </c>
      <c r="D527" s="228">
        <f>IF(OR(DAY(A527+2)=1,DAY(A527+2)=15),-SUM('Main Budget'!$H$26:$H$31),0)</f>
        <v>0</v>
      </c>
      <c r="E527" s="228">
        <f>IF(DAY(A527+2)=22,-SUM('Main Budget'!$F$26:$F$31),0)</f>
        <v>0</v>
      </c>
      <c r="F527" s="228">
        <f>IF(D527&gt;0,-'Main Budget'!$H$25+0.15,0)</f>
        <v>0</v>
      </c>
      <c r="G527" s="228">
        <f>IF(E527&gt;0,-'Main Budget'!$F$25+0.81,0)</f>
        <v>0</v>
      </c>
      <c r="H527" s="227">
        <f>IF(DAY(A527)='Main Budget'!$J$26,'Main Budget'!$E$26,0)</f>
        <v>0</v>
      </c>
      <c r="I527" s="227">
        <f>IF(DAY(A527)='Main Budget'!$J$28,'Main Budget'!$E$28,0)</f>
        <v>0</v>
      </c>
      <c r="J527" s="227">
        <f>IF(DAY(A527)='Main Budget'!$J$29,'Main Budget'!$E$29,0)</f>
        <v>0</v>
      </c>
      <c r="K527" s="20">
        <f>IF(DAY(A527)='Main Budget'!$J$30,'Main Budget'!$E$30,0)</f>
        <v>0</v>
      </c>
      <c r="L527" s="20">
        <f>IF(DAY(A527)='Main Budget'!$J$31,'Main Budget'!$E$31,0)</f>
        <v>0</v>
      </c>
      <c r="M527" s="20">
        <f>IF(DAY(A527)='Main Budget'!$J$27,'Main Budget'!$E$27,0)</f>
        <v>0</v>
      </c>
      <c r="O527" s="228">
        <f>B527+(SUM(H527:M527)+(SUM(D527:E527)))</f>
        <v>100</v>
      </c>
      <c r="P527" s="228">
        <f>C527+F527+G527+N527</f>
        <v>100</v>
      </c>
      <c r="Q527" s="252">
        <f>O527+P527</f>
        <v>200</v>
      </c>
      <c r="S527" s="231" t="str">
        <f>TEXT(A527,"dddd")</f>
        <v>Thursday</v>
      </c>
    </row>
    <row r="528" spans="1:19" x14ac:dyDescent="0.25">
      <c r="A528" s="226">
        <v>46549</v>
      </c>
      <c r="B528" s="227">
        <f>O527</f>
        <v>100</v>
      </c>
      <c r="C528" s="228">
        <f>P527</f>
        <v>100</v>
      </c>
      <c r="D528" s="228">
        <f>IF(OR(DAY(A528+2)=1,DAY(A528+2)=15),-SUM('Main Budget'!$H$26:$H$31),0)</f>
        <v>0</v>
      </c>
      <c r="E528" s="228">
        <f>IF(DAY(A528+2)=22,-SUM('Main Budget'!$F$26:$F$31),0)</f>
        <v>0</v>
      </c>
      <c r="F528" s="228">
        <f>IF(D528&gt;0,-'Main Budget'!$H$25+0.15,0)</f>
        <v>0</v>
      </c>
      <c r="G528" s="228">
        <f>IF(E528&gt;0,-'Main Budget'!$F$25+0.81,0)</f>
        <v>0</v>
      </c>
      <c r="H528" s="227">
        <f>IF(DAY(A528)='Main Budget'!$J$26,'Main Budget'!$E$26,0)</f>
        <v>0</v>
      </c>
      <c r="I528" s="227">
        <f>IF(DAY(A528)='Main Budget'!$J$28,'Main Budget'!$E$28,0)</f>
        <v>0</v>
      </c>
      <c r="J528" s="227">
        <f>IF(DAY(A528)='Main Budget'!$J$29,'Main Budget'!$E$29,0)</f>
        <v>0</v>
      </c>
      <c r="K528" s="20">
        <f>IF(DAY(A528)='Main Budget'!$J$30,'Main Budget'!$E$30,0)</f>
        <v>0</v>
      </c>
      <c r="L528" s="20">
        <f>IF(DAY(A528)='Main Budget'!$J$31,'Main Budget'!$E$31,0)</f>
        <v>0</v>
      </c>
      <c r="M528" s="20">
        <f>IF(DAY(A528)='Main Budget'!$J$27,'Main Budget'!$E$27,0)</f>
        <v>0</v>
      </c>
      <c r="O528" s="228">
        <f>B528+(SUM(H528:M528)+(SUM(D528:E528)))</f>
        <v>100</v>
      </c>
      <c r="P528" s="228">
        <f>C528+F528+G528+N528</f>
        <v>100</v>
      </c>
      <c r="Q528" s="252">
        <f>O528+P528</f>
        <v>200</v>
      </c>
      <c r="S528" s="231" t="str">
        <f>TEXT(A528,"dddd")</f>
        <v>Friday</v>
      </c>
    </row>
    <row r="529" spans="1:19" x14ac:dyDescent="0.25">
      <c r="A529" s="226">
        <v>46550</v>
      </c>
      <c r="B529" s="227">
        <f>O528</f>
        <v>100</v>
      </c>
      <c r="C529" s="228">
        <f>P528</f>
        <v>100</v>
      </c>
      <c r="D529" s="228">
        <f>IF(OR(DAY(A529+2)=1,DAY(A529+2)=15),-SUM('Main Budget'!$H$26:$H$31),0)</f>
        <v>0</v>
      </c>
      <c r="E529" s="228">
        <f>IF(DAY(A529+2)=22,-SUM('Main Budget'!$F$26:$F$31),0)</f>
        <v>0</v>
      </c>
      <c r="F529" s="228">
        <f>IF(D529&gt;0,-'Main Budget'!$H$25+0.15,0)</f>
        <v>0</v>
      </c>
      <c r="G529" s="228">
        <f>IF(E529&gt;0,-'Main Budget'!$F$25+0.81,0)</f>
        <v>0</v>
      </c>
      <c r="H529" s="227">
        <f>IF(DAY(A529)='Main Budget'!$J$26,'Main Budget'!$E$26,0)</f>
        <v>0</v>
      </c>
      <c r="I529" s="227">
        <f>IF(DAY(A529)='Main Budget'!$J$28,'Main Budget'!$E$28,0)</f>
        <v>0</v>
      </c>
      <c r="J529" s="227">
        <f>IF(DAY(A529)='Main Budget'!$J$29,'Main Budget'!$E$29,0)</f>
        <v>0</v>
      </c>
      <c r="K529" s="20">
        <f>IF(DAY(A529)='Main Budget'!$J$30,'Main Budget'!$E$30,0)</f>
        <v>0</v>
      </c>
      <c r="L529" s="20">
        <f>IF(DAY(A529)='Main Budget'!$J$31,'Main Budget'!$E$31,0)</f>
        <v>0</v>
      </c>
      <c r="M529" s="20">
        <f>IF(DAY(A529)='Main Budget'!$J$27,'Main Budget'!$E$27,0)</f>
        <v>0</v>
      </c>
      <c r="O529" s="228">
        <f>B529+(SUM(H529:M529)+(SUM(D529:E529)))</f>
        <v>100</v>
      </c>
      <c r="P529" s="228">
        <f>C529+F529+G529+N529</f>
        <v>100</v>
      </c>
      <c r="Q529" s="252">
        <f>O529+P529</f>
        <v>200</v>
      </c>
      <c r="S529" s="231" t="str">
        <f>TEXT(A529,"dddd")</f>
        <v>Saturday</v>
      </c>
    </row>
    <row r="530" spans="1:19" x14ac:dyDescent="0.25">
      <c r="A530" s="226">
        <v>46551</v>
      </c>
      <c r="B530" s="227">
        <f>O529</f>
        <v>100</v>
      </c>
      <c r="C530" s="228">
        <f>P529</f>
        <v>100</v>
      </c>
      <c r="D530" s="228">
        <f>IF(OR(DAY(A530+2)=1,DAY(A530+2)=15),-SUM('Main Budget'!$H$26:$H$31),0)</f>
        <v>0</v>
      </c>
      <c r="E530" s="228">
        <f>IF(DAY(A530+2)=22,-SUM('Main Budget'!$F$26:$F$31),0)</f>
        <v>0</v>
      </c>
      <c r="F530" s="228">
        <f>IF(D530&gt;0,-'Main Budget'!$H$25+0.15,0)</f>
        <v>0</v>
      </c>
      <c r="G530" s="228">
        <f>IF(E530&gt;0,-'Main Budget'!$F$25+0.81,0)</f>
        <v>0</v>
      </c>
      <c r="H530" s="227">
        <f>IF(DAY(A530)='Main Budget'!$J$26,'Main Budget'!$E$26,0)</f>
        <v>0</v>
      </c>
      <c r="I530" s="227">
        <f>IF(DAY(A530)='Main Budget'!$J$28,'Main Budget'!$E$28,0)</f>
        <v>0</v>
      </c>
      <c r="J530" s="227">
        <f>IF(DAY(A530)='Main Budget'!$J$29,'Main Budget'!$E$29,0)</f>
        <v>0</v>
      </c>
      <c r="K530" s="20">
        <f>IF(DAY(A530)='Main Budget'!$J$30,'Main Budget'!$E$30,0)</f>
        <v>0</v>
      </c>
      <c r="L530" s="20">
        <f>IF(DAY(A530)='Main Budget'!$J$31,'Main Budget'!$E$31,0)</f>
        <v>0</v>
      </c>
      <c r="M530" s="20">
        <f>IF(DAY(A530)='Main Budget'!$J$27,'Main Budget'!$E$27,0)</f>
        <v>0</v>
      </c>
      <c r="O530" s="228">
        <f>B530+(SUM(H530:M530)+(SUM(D530:E530)))</f>
        <v>100</v>
      </c>
      <c r="P530" s="228">
        <f>C530+F530+G530+N530</f>
        <v>100</v>
      </c>
      <c r="Q530" s="252">
        <f>O530+P530</f>
        <v>200</v>
      </c>
      <c r="S530" s="231" t="str">
        <f>TEXT(A530,"dddd")</f>
        <v>Sunday</v>
      </c>
    </row>
    <row r="531" spans="1:19" x14ac:dyDescent="0.25">
      <c r="A531" s="226">
        <v>46552</v>
      </c>
      <c r="B531" s="227">
        <f>O530</f>
        <v>100</v>
      </c>
      <c r="C531" s="228">
        <f>P530</f>
        <v>100</v>
      </c>
      <c r="D531" s="228">
        <f>IF(OR(DAY(A531+2)=1,DAY(A531+2)=15),-SUM('Main Budget'!$H$26:$H$31),0)</f>
        <v>0</v>
      </c>
      <c r="E531" s="228">
        <f>IF(DAY(A531+2)=22,-SUM('Main Budget'!$F$26:$F$31),0)</f>
        <v>0</v>
      </c>
      <c r="F531" s="228">
        <f>IF(D531&gt;0,-'Main Budget'!$H$25+0.15,0)</f>
        <v>0</v>
      </c>
      <c r="G531" s="228">
        <f>IF(E531&gt;0,-'Main Budget'!$F$25+0.81,0)</f>
        <v>0</v>
      </c>
      <c r="H531" s="227">
        <f>IF(DAY(A531)='Main Budget'!$J$26,'Main Budget'!$E$26,0)</f>
        <v>0</v>
      </c>
      <c r="I531" s="227">
        <f>IF(DAY(A531)='Main Budget'!$J$28,'Main Budget'!$E$28,0)</f>
        <v>0</v>
      </c>
      <c r="J531" s="227">
        <f>IF(DAY(A531)='Main Budget'!$J$29,'Main Budget'!$E$29,0)</f>
        <v>0</v>
      </c>
      <c r="K531" s="20">
        <f>IF(DAY(A531)='Main Budget'!$J$30,'Main Budget'!$E$30,0)</f>
        <v>0</v>
      </c>
      <c r="L531" s="20">
        <f>IF(DAY(A531)='Main Budget'!$J$31,'Main Budget'!$E$31,0)</f>
        <v>0</v>
      </c>
      <c r="M531" s="20">
        <f>IF(DAY(A531)='Main Budget'!$J$27,'Main Budget'!$E$27,0)</f>
        <v>0</v>
      </c>
      <c r="O531" s="228">
        <f>B531+(SUM(H531:M531)+(SUM(D531:E531)))</f>
        <v>100</v>
      </c>
      <c r="P531" s="228">
        <f>C531+F531+G531+N531</f>
        <v>100</v>
      </c>
      <c r="Q531" s="252">
        <f>O531+P531</f>
        <v>200</v>
      </c>
      <c r="S531" s="231" t="str">
        <f>TEXT(A531,"dddd")</f>
        <v>Monday</v>
      </c>
    </row>
    <row r="532" spans="1:19" x14ac:dyDescent="0.25">
      <c r="A532" s="226">
        <v>46553</v>
      </c>
      <c r="B532" s="227">
        <f>O531</f>
        <v>100</v>
      </c>
      <c r="C532" s="228">
        <f>P531</f>
        <v>100</v>
      </c>
      <c r="D532" s="228">
        <f>IF(OR(DAY(A532+2)=1,DAY(A532+2)=15),-SUM('Main Budget'!$H$26:$H$31),0)</f>
        <v>0</v>
      </c>
      <c r="E532" s="228">
        <f>IF(DAY(A532+2)=22,-SUM('Main Budget'!$F$26:$F$31),0)</f>
        <v>0</v>
      </c>
      <c r="F532" s="228">
        <f>IF(D532&gt;0,-'Main Budget'!$H$25+0.15,0)</f>
        <v>0</v>
      </c>
      <c r="G532" s="228">
        <f>IF(E532&gt;0,-'Main Budget'!$F$25+0.81,0)</f>
        <v>0</v>
      </c>
      <c r="H532" s="227">
        <f>IF(DAY(A532)='Main Budget'!$J$26,'Main Budget'!$E$26,0)</f>
        <v>0</v>
      </c>
      <c r="I532" s="227">
        <f>IF(DAY(A532)='Main Budget'!$J$28,'Main Budget'!$E$28,0)</f>
        <v>0</v>
      </c>
      <c r="J532" s="227">
        <f>IF(DAY(A532)='Main Budget'!$J$29,'Main Budget'!$E$29,0)</f>
        <v>0</v>
      </c>
      <c r="K532" s="20">
        <f>IF(DAY(A532)='Main Budget'!$J$30,'Main Budget'!$E$30,0)</f>
        <v>0</v>
      </c>
      <c r="L532" s="20">
        <f>IF(DAY(A532)='Main Budget'!$J$31,'Main Budget'!$E$31,0)</f>
        <v>0</v>
      </c>
      <c r="M532" s="20">
        <f>IF(DAY(A532)='Main Budget'!$J$27,'Main Budget'!$E$27,0)</f>
        <v>0</v>
      </c>
      <c r="O532" s="228">
        <f>B532+(SUM(H532:M532)+(SUM(D532:E532)))</f>
        <v>100</v>
      </c>
      <c r="P532" s="228">
        <f>C532+F532+G532+N532</f>
        <v>100</v>
      </c>
      <c r="Q532" s="252">
        <f>O532+P532</f>
        <v>200</v>
      </c>
      <c r="S532" s="231" t="str">
        <f>TEXT(A532,"dddd")</f>
        <v>Tuesday</v>
      </c>
    </row>
    <row r="533" spans="1:19" x14ac:dyDescent="0.25">
      <c r="A533" s="226">
        <v>46554</v>
      </c>
      <c r="B533" s="227">
        <f>O532</f>
        <v>100</v>
      </c>
      <c r="C533" s="228">
        <f>P532</f>
        <v>100</v>
      </c>
      <c r="D533" s="228">
        <f>IF(OR(DAY(A533+2)=1,DAY(A533+2)=15),-SUM('Main Budget'!$H$26:$H$31),0)</f>
        <v>0</v>
      </c>
      <c r="E533" s="228">
        <f>IF(DAY(A533+2)=22,-SUM('Main Budget'!$F$26:$F$31),0)</f>
        <v>0</v>
      </c>
      <c r="F533" s="228">
        <f>IF(D533&gt;0,-'Main Budget'!$H$25+0.15,0)</f>
        <v>0</v>
      </c>
      <c r="G533" s="228">
        <f>IF(E533&gt;0,-'Main Budget'!$F$25+0.81,0)</f>
        <v>0</v>
      </c>
      <c r="H533" s="227">
        <f>IF(DAY(A533)='Main Budget'!$J$26,'Main Budget'!$E$26,0)</f>
        <v>0</v>
      </c>
      <c r="I533" s="227">
        <f>IF(DAY(A533)='Main Budget'!$J$28,'Main Budget'!$E$28,0)</f>
        <v>0</v>
      </c>
      <c r="J533" s="227">
        <f>IF(DAY(A533)='Main Budget'!$J$29,'Main Budget'!$E$29,0)</f>
        <v>0</v>
      </c>
      <c r="K533" s="20">
        <f>IF(DAY(A533)='Main Budget'!$J$30,'Main Budget'!$E$30,0)</f>
        <v>0</v>
      </c>
      <c r="L533" s="20">
        <f>IF(DAY(A533)='Main Budget'!$J$31,'Main Budget'!$E$31,0)</f>
        <v>0</v>
      </c>
      <c r="M533" s="20">
        <f>IF(DAY(A533)='Main Budget'!$J$27,'Main Budget'!$E$27,0)</f>
        <v>0</v>
      </c>
      <c r="O533" s="228">
        <f>B533+(SUM(H533:M533)+(SUM(D533:E533)))</f>
        <v>100</v>
      </c>
      <c r="P533" s="228">
        <f>C533+F533+G533+N533</f>
        <v>100</v>
      </c>
      <c r="Q533" s="252">
        <f>O533+P533</f>
        <v>200</v>
      </c>
      <c r="S533" s="231" t="str">
        <f>TEXT(A533,"dddd")</f>
        <v>Wednesday</v>
      </c>
    </row>
    <row r="534" spans="1:19" x14ac:dyDescent="0.25">
      <c r="A534" s="226">
        <v>46555</v>
      </c>
      <c r="B534" s="227">
        <f>O533</f>
        <v>100</v>
      </c>
      <c r="C534" s="228">
        <f>P533</f>
        <v>100</v>
      </c>
      <c r="D534" s="228">
        <f>IF(OR(DAY(A534+2)=1,DAY(A534+2)=15),-SUM('Main Budget'!$H$26:$H$31),0)</f>
        <v>0</v>
      </c>
      <c r="E534" s="228">
        <f>IF(DAY(A534+2)=22,-SUM('Main Budget'!$F$26:$F$31),0)</f>
        <v>0</v>
      </c>
      <c r="F534" s="228">
        <f>IF(D534&gt;0,-'Main Budget'!$H$25+0.15,0)</f>
        <v>0</v>
      </c>
      <c r="G534" s="228">
        <f>IF(E534&gt;0,-'Main Budget'!$F$25+0.81,0)</f>
        <v>0</v>
      </c>
      <c r="H534" s="227">
        <f>IF(DAY(A534)='Main Budget'!$J$26,'Main Budget'!$E$26,0)</f>
        <v>0</v>
      </c>
      <c r="I534" s="227">
        <f>IF(DAY(A534)='Main Budget'!$J$28,'Main Budget'!$E$28,0)</f>
        <v>0</v>
      </c>
      <c r="J534" s="227">
        <f>IF(DAY(A534)='Main Budget'!$J$29,'Main Budget'!$E$29,0)</f>
        <v>0</v>
      </c>
      <c r="K534" s="20">
        <f>IF(DAY(A534)='Main Budget'!$J$30,'Main Budget'!$E$30,0)</f>
        <v>0</v>
      </c>
      <c r="L534" s="20">
        <f>IF(DAY(A534)='Main Budget'!$J$31,'Main Budget'!$E$31,0)</f>
        <v>0</v>
      </c>
      <c r="M534" s="20">
        <f>IF(DAY(A534)='Main Budget'!$J$27,'Main Budget'!$E$27,0)</f>
        <v>0</v>
      </c>
      <c r="O534" s="228">
        <f>B534+(SUM(H534:M534)+(SUM(D534:E534)))</f>
        <v>100</v>
      </c>
      <c r="P534" s="228">
        <f>C534+F534+G534+N534</f>
        <v>100</v>
      </c>
      <c r="Q534" s="252">
        <f>O534+P534</f>
        <v>200</v>
      </c>
      <c r="S534" s="231" t="str">
        <f>TEXT(A534,"dddd")</f>
        <v>Thursday</v>
      </c>
    </row>
    <row r="535" spans="1:19" x14ac:dyDescent="0.25">
      <c r="A535" s="226">
        <v>46556</v>
      </c>
      <c r="B535" s="227">
        <f>O534</f>
        <v>100</v>
      </c>
      <c r="C535" s="228">
        <f>P534</f>
        <v>100</v>
      </c>
      <c r="D535" s="228">
        <f>IF(OR(DAY(A535+2)=1,DAY(A535+2)=15),-SUM('Main Budget'!$H$26:$H$31),0)</f>
        <v>0</v>
      </c>
      <c r="E535" s="228">
        <f>IF(DAY(A535+2)=22,-SUM('Main Budget'!$F$26:$F$31),0)</f>
        <v>0</v>
      </c>
      <c r="F535" s="228">
        <f>IF(D535&gt;0,-'Main Budget'!$H$25+0.15,0)</f>
        <v>0</v>
      </c>
      <c r="G535" s="228">
        <f>IF(E535&gt;0,-'Main Budget'!$F$25+0.81,0)</f>
        <v>0</v>
      </c>
      <c r="H535" s="227">
        <f>IF(DAY(A535)='Main Budget'!$J$26,'Main Budget'!$E$26,0)</f>
        <v>0</v>
      </c>
      <c r="I535" s="227">
        <f>IF(DAY(A535)='Main Budget'!$J$28,'Main Budget'!$E$28,0)</f>
        <v>0</v>
      </c>
      <c r="J535" s="227">
        <f>IF(DAY(A535)='Main Budget'!$J$29,'Main Budget'!$E$29,0)</f>
        <v>0</v>
      </c>
      <c r="K535" s="20">
        <f>IF(DAY(A535)='Main Budget'!$J$30,'Main Budget'!$E$30,0)</f>
        <v>0</v>
      </c>
      <c r="L535" s="20">
        <f>IF(DAY(A535)='Main Budget'!$J$31,'Main Budget'!$E$31,0)</f>
        <v>0</v>
      </c>
      <c r="M535" s="20">
        <f>IF(DAY(A535)='Main Budget'!$J$27,'Main Budget'!$E$27,0)</f>
        <v>0</v>
      </c>
      <c r="O535" s="228">
        <f>B535+(SUM(H535:M535)+(SUM(D535:E535)))</f>
        <v>100</v>
      </c>
      <c r="P535" s="228">
        <f>C535+F535+G535+N535</f>
        <v>100</v>
      </c>
      <c r="Q535" s="252">
        <f>O535+P535</f>
        <v>200</v>
      </c>
      <c r="S535" s="231" t="str">
        <f>TEXT(A535,"dddd")</f>
        <v>Friday</v>
      </c>
    </row>
    <row r="536" spans="1:19" x14ac:dyDescent="0.25">
      <c r="A536" s="226">
        <v>46557</v>
      </c>
      <c r="B536" s="227">
        <f>O535</f>
        <v>100</v>
      </c>
      <c r="C536" s="228">
        <f>P535</f>
        <v>100</v>
      </c>
      <c r="D536" s="228">
        <f>IF(OR(DAY(A536+2)=1,DAY(A536+2)=15),-SUM('Main Budget'!$H$26:$H$31),0)</f>
        <v>0</v>
      </c>
      <c r="E536" s="228">
        <f>IF(DAY(A536+2)=22,-SUM('Main Budget'!$F$26:$F$31),0)</f>
        <v>0</v>
      </c>
      <c r="F536" s="228">
        <f>IF(D536&gt;0,-'Main Budget'!$H$25+0.15,0)</f>
        <v>0</v>
      </c>
      <c r="G536" s="228">
        <f>IF(E536&gt;0,-'Main Budget'!$F$25+0.81,0)</f>
        <v>0</v>
      </c>
      <c r="H536" s="227">
        <f>IF(DAY(A536)='Main Budget'!$J$26,'Main Budget'!$E$26,0)</f>
        <v>0</v>
      </c>
      <c r="I536" s="227">
        <f>IF(DAY(A536)='Main Budget'!$J$28,'Main Budget'!$E$28,0)</f>
        <v>0</v>
      </c>
      <c r="J536" s="227">
        <f>IF(DAY(A536)='Main Budget'!$J$29,'Main Budget'!$E$29,0)</f>
        <v>0</v>
      </c>
      <c r="K536" s="20">
        <f>IF(DAY(A536)='Main Budget'!$J$30,'Main Budget'!$E$30,0)</f>
        <v>0</v>
      </c>
      <c r="L536" s="20">
        <f>IF(DAY(A536)='Main Budget'!$J$31,'Main Budget'!$E$31,0)</f>
        <v>0</v>
      </c>
      <c r="M536" s="20">
        <f>IF(DAY(A536)='Main Budget'!$J$27,'Main Budget'!$E$27,0)</f>
        <v>0</v>
      </c>
      <c r="O536" s="228">
        <f>B536+(SUM(H536:M536)+(SUM(D536:E536)))</f>
        <v>100</v>
      </c>
      <c r="P536" s="228">
        <f>C536+F536+G536+N536</f>
        <v>100</v>
      </c>
      <c r="Q536" s="252">
        <f>O536+P536</f>
        <v>200</v>
      </c>
      <c r="S536" s="231" t="str">
        <f>TEXT(A536,"dddd")</f>
        <v>Saturday</v>
      </c>
    </row>
    <row r="537" spans="1:19" x14ac:dyDescent="0.25">
      <c r="A537" s="226">
        <v>46558</v>
      </c>
      <c r="B537" s="227">
        <f>O536</f>
        <v>100</v>
      </c>
      <c r="C537" s="228">
        <f>P536</f>
        <v>100</v>
      </c>
      <c r="D537" s="228">
        <f>IF(OR(DAY(A537+2)=1,DAY(A537+2)=15),-SUM('Main Budget'!$H$26:$H$31),0)</f>
        <v>0</v>
      </c>
      <c r="E537" s="228">
        <f>IF(DAY(A537+2)=22,-SUM('Main Budget'!$F$26:$F$31),0)</f>
        <v>0</v>
      </c>
      <c r="F537" s="228">
        <f>IF(D537&gt;0,-'Main Budget'!$H$25+0.15,0)</f>
        <v>0</v>
      </c>
      <c r="G537" s="228">
        <f>IF(E537&gt;0,-'Main Budget'!$F$25+0.81,0)</f>
        <v>0</v>
      </c>
      <c r="H537" s="227">
        <f>IF(DAY(A537)='Main Budget'!$J$26,'Main Budget'!$E$26,0)</f>
        <v>0</v>
      </c>
      <c r="I537" s="227">
        <f>IF(DAY(A537)='Main Budget'!$J$28,'Main Budget'!$E$28,0)</f>
        <v>0</v>
      </c>
      <c r="J537" s="227">
        <f>IF(DAY(A537)='Main Budget'!$J$29,'Main Budget'!$E$29,0)</f>
        <v>0</v>
      </c>
      <c r="K537" s="20">
        <f>IF(DAY(A537)='Main Budget'!$J$30,'Main Budget'!$E$30,0)</f>
        <v>0</v>
      </c>
      <c r="L537" s="20">
        <f>IF(DAY(A537)='Main Budget'!$J$31,'Main Budget'!$E$31,0)</f>
        <v>0</v>
      </c>
      <c r="M537" s="20">
        <f>IF(DAY(A537)='Main Budget'!$J$27,'Main Budget'!$E$27,0)</f>
        <v>0</v>
      </c>
      <c r="O537" s="228">
        <f>B537+(SUM(H537:M537)+(SUM(D537:E537)))</f>
        <v>100</v>
      </c>
      <c r="P537" s="228">
        <f>C537+F537+G537+N537</f>
        <v>100</v>
      </c>
      <c r="Q537" s="252">
        <f>O537+P537</f>
        <v>200</v>
      </c>
      <c r="S537" s="231" t="str">
        <f>TEXT(A537,"dddd")</f>
        <v>Sunday</v>
      </c>
    </row>
    <row r="538" spans="1:19" x14ac:dyDescent="0.25">
      <c r="A538" s="226">
        <v>46559</v>
      </c>
      <c r="B538" s="227">
        <f>O537</f>
        <v>100</v>
      </c>
      <c r="C538" s="228">
        <f>P537</f>
        <v>100</v>
      </c>
      <c r="D538" s="228">
        <f>IF(OR(DAY(A538+2)=1,DAY(A538+2)=15),-SUM('Main Budget'!$H$26:$H$31),0)</f>
        <v>0</v>
      </c>
      <c r="E538" s="228">
        <f>IF(DAY(A538+2)=22,-SUM('Main Budget'!$F$26:$F$31),0)</f>
        <v>0</v>
      </c>
      <c r="F538" s="228">
        <f>IF(D538&gt;0,-'Main Budget'!$H$25+0.15,0)</f>
        <v>0</v>
      </c>
      <c r="G538" s="228">
        <f>IF(E538&gt;0,-'Main Budget'!$F$25+0.81,0)</f>
        <v>0</v>
      </c>
      <c r="H538" s="227">
        <f>IF(DAY(A538)='Main Budget'!$J$26,'Main Budget'!$E$26,0)</f>
        <v>0</v>
      </c>
      <c r="I538" s="227">
        <f>IF(DAY(A538)='Main Budget'!$J$28,'Main Budget'!$E$28,0)</f>
        <v>0</v>
      </c>
      <c r="J538" s="227">
        <f>IF(DAY(A538)='Main Budget'!$J$29,'Main Budget'!$E$29,0)</f>
        <v>0</v>
      </c>
      <c r="K538" s="20">
        <f>IF(DAY(A538)='Main Budget'!$J$30,'Main Budget'!$E$30,0)</f>
        <v>0</v>
      </c>
      <c r="L538" s="20">
        <f>IF(DAY(A538)='Main Budget'!$J$31,'Main Budget'!$E$31,0)</f>
        <v>0</v>
      </c>
      <c r="M538" s="20">
        <f>IF(DAY(A538)='Main Budget'!$J$27,'Main Budget'!$E$27,0)</f>
        <v>0</v>
      </c>
      <c r="O538" s="228">
        <f>B538+(SUM(H538:M538)+(SUM(D538:E538)))</f>
        <v>100</v>
      </c>
      <c r="P538" s="228">
        <f>C538+F538+G538+N538</f>
        <v>100</v>
      </c>
      <c r="Q538" s="252">
        <f>O538+P538</f>
        <v>200</v>
      </c>
      <c r="S538" s="231" t="str">
        <f>TEXT(A538,"dddd")</f>
        <v>Monday</v>
      </c>
    </row>
    <row r="539" spans="1:19" x14ac:dyDescent="0.25">
      <c r="A539" s="226">
        <v>46560</v>
      </c>
      <c r="B539" s="227">
        <f>O538</f>
        <v>100</v>
      </c>
      <c r="C539" s="228">
        <f>P538</f>
        <v>100</v>
      </c>
      <c r="D539" s="228">
        <f>IF(OR(DAY(A539+2)=1,DAY(A539+2)=15),-SUM('Main Budget'!$H$26:$H$31),0)</f>
        <v>0</v>
      </c>
      <c r="E539" s="228">
        <f>IF(DAY(A539+2)=22,-SUM('Main Budget'!$F$26:$F$31),0)</f>
        <v>0</v>
      </c>
      <c r="F539" s="228">
        <f>IF(D539&gt;0,-'Main Budget'!$H$25+0.15,0)</f>
        <v>0</v>
      </c>
      <c r="G539" s="228">
        <f>IF(E539&gt;0,-'Main Budget'!$F$25+0.81,0)</f>
        <v>0</v>
      </c>
      <c r="H539" s="227">
        <f>IF(DAY(A539)='Main Budget'!$J$26,'Main Budget'!$E$26,0)</f>
        <v>0</v>
      </c>
      <c r="I539" s="227">
        <f>IF(DAY(A539)='Main Budget'!$J$28,'Main Budget'!$E$28,0)</f>
        <v>0</v>
      </c>
      <c r="J539" s="227">
        <f>IF(DAY(A539)='Main Budget'!$J$29,'Main Budget'!$E$29,0)</f>
        <v>0</v>
      </c>
      <c r="K539" s="20">
        <f>IF(DAY(A539)='Main Budget'!$J$30,'Main Budget'!$E$30,0)</f>
        <v>0</v>
      </c>
      <c r="L539" s="20">
        <f>IF(DAY(A539)='Main Budget'!$J$31,'Main Budget'!$E$31,0)</f>
        <v>0</v>
      </c>
      <c r="M539" s="20">
        <f>IF(DAY(A539)='Main Budget'!$J$27,'Main Budget'!$E$27,0)</f>
        <v>0</v>
      </c>
      <c r="O539" s="228">
        <f>B539+(SUM(H539:M539)+(SUM(D539:E539)))</f>
        <v>100</v>
      </c>
      <c r="P539" s="228">
        <f>C539+F539+G539+N539</f>
        <v>100</v>
      </c>
      <c r="Q539" s="252">
        <f>O539+P539</f>
        <v>200</v>
      </c>
      <c r="S539" s="231" t="str">
        <f>TEXT(A539,"dddd")</f>
        <v>Tuesday</v>
      </c>
    </row>
    <row r="540" spans="1:19" x14ac:dyDescent="0.25">
      <c r="A540" s="226">
        <v>46561</v>
      </c>
      <c r="B540" s="227">
        <f>O539</f>
        <v>100</v>
      </c>
      <c r="C540" s="228">
        <f>P539</f>
        <v>100</v>
      </c>
      <c r="D540" s="228">
        <f>IF(OR(DAY(A540+2)=1,DAY(A540+2)=15),-SUM('Main Budget'!$H$26:$H$31),0)</f>
        <v>0</v>
      </c>
      <c r="E540" s="228">
        <f>IF(DAY(A540+2)=22,-SUM('Main Budget'!$F$26:$F$31),0)</f>
        <v>0</v>
      </c>
      <c r="F540" s="228">
        <f>IF(D540&gt;0,-'Main Budget'!$H$25+0.15,0)</f>
        <v>0</v>
      </c>
      <c r="G540" s="228">
        <f>IF(E540&gt;0,-'Main Budget'!$F$25+0.81,0)</f>
        <v>0</v>
      </c>
      <c r="H540" s="227">
        <f>IF(DAY(A540)='Main Budget'!$J$26,'Main Budget'!$E$26,0)</f>
        <v>0</v>
      </c>
      <c r="I540" s="227">
        <f>IF(DAY(A540)='Main Budget'!$J$28,'Main Budget'!$E$28,0)</f>
        <v>0</v>
      </c>
      <c r="J540" s="227">
        <f>IF(DAY(A540)='Main Budget'!$J$29,'Main Budget'!$E$29,0)</f>
        <v>0</v>
      </c>
      <c r="K540" s="20">
        <f>IF(DAY(A540)='Main Budget'!$J$30,'Main Budget'!$E$30,0)</f>
        <v>0</v>
      </c>
      <c r="L540" s="20">
        <f>IF(DAY(A540)='Main Budget'!$J$31,'Main Budget'!$E$31,0)</f>
        <v>0</v>
      </c>
      <c r="M540" s="20">
        <f>IF(DAY(A540)='Main Budget'!$J$27,'Main Budget'!$E$27,0)</f>
        <v>0</v>
      </c>
      <c r="O540" s="228">
        <f>B540+(SUM(H540:M540)+(SUM(D540:E540)))</f>
        <v>100</v>
      </c>
      <c r="P540" s="228">
        <f>C540+F540+G540+N540</f>
        <v>100</v>
      </c>
      <c r="Q540" s="252">
        <f>O540+P540</f>
        <v>200</v>
      </c>
      <c r="S540" s="231" t="str">
        <f>TEXT(A540,"dddd")</f>
        <v>Wednesday</v>
      </c>
    </row>
    <row r="541" spans="1:19" x14ac:dyDescent="0.25">
      <c r="A541" s="226">
        <v>46562</v>
      </c>
      <c r="B541" s="227">
        <f>O540</f>
        <v>100</v>
      </c>
      <c r="C541" s="228">
        <f>P540</f>
        <v>100</v>
      </c>
      <c r="D541" s="228">
        <f>IF(OR(DAY(A541+2)=1,DAY(A541+2)=15),-SUM('Main Budget'!$H$26:$H$31),0)</f>
        <v>0</v>
      </c>
      <c r="E541" s="228">
        <f>IF(DAY(A541+2)=22,-SUM('Main Budget'!$F$26:$F$31),0)</f>
        <v>0</v>
      </c>
      <c r="F541" s="228">
        <f>IF(D541&gt;0,-'Main Budget'!$H$25+0.15,0)</f>
        <v>0</v>
      </c>
      <c r="G541" s="228">
        <f>IF(E541&gt;0,-'Main Budget'!$F$25+0.81,0)</f>
        <v>0</v>
      </c>
      <c r="H541" s="227">
        <f>IF(DAY(A541)='Main Budget'!$J$26,'Main Budget'!$E$26,0)</f>
        <v>0</v>
      </c>
      <c r="I541" s="227">
        <f>IF(DAY(A541)='Main Budget'!$J$28,'Main Budget'!$E$28,0)</f>
        <v>0</v>
      </c>
      <c r="J541" s="227">
        <f>IF(DAY(A541)='Main Budget'!$J$29,'Main Budget'!$E$29,0)</f>
        <v>0</v>
      </c>
      <c r="K541" s="20">
        <f>IF(DAY(A541)='Main Budget'!$J$30,'Main Budget'!$E$30,0)</f>
        <v>0</v>
      </c>
      <c r="L541" s="20">
        <f>IF(DAY(A541)='Main Budget'!$J$31,'Main Budget'!$E$31,0)</f>
        <v>0</v>
      </c>
      <c r="M541" s="20">
        <f>IF(DAY(A541)='Main Budget'!$J$27,'Main Budget'!$E$27,0)</f>
        <v>0</v>
      </c>
      <c r="O541" s="228">
        <f>B541+(SUM(H541:M541)+(SUM(D541:E541)))</f>
        <v>100</v>
      </c>
      <c r="P541" s="228">
        <f>C541+F541+G541+N541</f>
        <v>100</v>
      </c>
      <c r="Q541" s="252">
        <f>O541+P541</f>
        <v>200</v>
      </c>
      <c r="S541" s="231" t="str">
        <f>TEXT(A541,"dddd")</f>
        <v>Thursday</v>
      </c>
    </row>
    <row r="542" spans="1:19" x14ac:dyDescent="0.25">
      <c r="A542" s="226">
        <v>46563</v>
      </c>
      <c r="B542" s="227">
        <f>O541</f>
        <v>100</v>
      </c>
      <c r="C542" s="228">
        <f>P541</f>
        <v>100</v>
      </c>
      <c r="D542" s="228">
        <f>IF(OR(DAY(A542+2)=1,DAY(A542+2)=15),-SUM('Main Budget'!$H$26:$H$31),0)</f>
        <v>0</v>
      </c>
      <c r="E542" s="228">
        <f>IF(DAY(A542+2)=22,-SUM('Main Budget'!$F$26:$F$31),0)</f>
        <v>0</v>
      </c>
      <c r="F542" s="228">
        <f>IF(D542&gt;0,-'Main Budget'!$H$25+0.15,0)</f>
        <v>0</v>
      </c>
      <c r="G542" s="228">
        <f>IF(E542&gt;0,-'Main Budget'!$F$25+0.81,0)</f>
        <v>0</v>
      </c>
      <c r="H542" s="227">
        <f>IF(DAY(A542)='Main Budget'!$J$26,'Main Budget'!$E$26,0)</f>
        <v>0</v>
      </c>
      <c r="I542" s="227">
        <f>IF(DAY(A542)='Main Budget'!$J$28,'Main Budget'!$E$28,0)</f>
        <v>0</v>
      </c>
      <c r="J542" s="227">
        <f>IF(DAY(A542)='Main Budget'!$J$29,'Main Budget'!$E$29,0)</f>
        <v>0</v>
      </c>
      <c r="K542" s="20">
        <f>IF(DAY(A542)='Main Budget'!$J$30,'Main Budget'!$E$30,0)</f>
        <v>0</v>
      </c>
      <c r="L542" s="20">
        <f>IF(DAY(A542)='Main Budget'!$J$31,'Main Budget'!$E$31,0)</f>
        <v>0</v>
      </c>
      <c r="M542" s="20">
        <f>IF(DAY(A542)='Main Budget'!$J$27,'Main Budget'!$E$27,0)</f>
        <v>0</v>
      </c>
      <c r="O542" s="228">
        <f>B542+(SUM(H542:M542)+(SUM(D542:E542)))</f>
        <v>100</v>
      </c>
      <c r="P542" s="228">
        <f>C542+F542+G542+N542</f>
        <v>100</v>
      </c>
      <c r="Q542" s="252">
        <f>O542+P542</f>
        <v>200</v>
      </c>
      <c r="S542" s="231" t="str">
        <f>TEXT(A542,"dddd")</f>
        <v>Friday</v>
      </c>
    </row>
    <row r="543" spans="1:19" x14ac:dyDescent="0.25">
      <c r="A543" s="226">
        <v>46564</v>
      </c>
      <c r="B543" s="227">
        <f>O542</f>
        <v>100</v>
      </c>
      <c r="C543" s="228">
        <f>P542</f>
        <v>100</v>
      </c>
      <c r="D543" s="228">
        <f>IF(OR(DAY(A543+2)=1,DAY(A543+2)=15),-SUM('Main Budget'!$H$26:$H$31),0)</f>
        <v>0</v>
      </c>
      <c r="E543" s="228">
        <f>IF(DAY(A543+2)=22,-SUM('Main Budget'!$F$26:$F$31),0)</f>
        <v>0</v>
      </c>
      <c r="F543" s="228">
        <f>IF(D543&gt;0,-'Main Budget'!$H$25+0.15,0)</f>
        <v>0</v>
      </c>
      <c r="G543" s="228">
        <f>IF(E543&gt;0,-'Main Budget'!$F$25+0.81,0)</f>
        <v>0</v>
      </c>
      <c r="H543" s="227">
        <f>IF(DAY(A543)='Main Budget'!$J$26,'Main Budget'!$E$26,0)</f>
        <v>0</v>
      </c>
      <c r="I543" s="227">
        <f>IF(DAY(A543)='Main Budget'!$J$28,'Main Budget'!$E$28,0)</f>
        <v>0</v>
      </c>
      <c r="J543" s="227">
        <f>IF(DAY(A543)='Main Budget'!$J$29,'Main Budget'!$E$29,0)</f>
        <v>0</v>
      </c>
      <c r="K543" s="20">
        <f>IF(DAY(A543)='Main Budget'!$J$30,'Main Budget'!$E$30,0)</f>
        <v>0</v>
      </c>
      <c r="L543" s="20">
        <f>IF(DAY(A543)='Main Budget'!$J$31,'Main Budget'!$E$31,0)</f>
        <v>0</v>
      </c>
      <c r="M543" s="20">
        <f>IF(DAY(A543)='Main Budget'!$J$27,'Main Budget'!$E$27,0)</f>
        <v>0</v>
      </c>
      <c r="O543" s="228">
        <f>B543+(SUM(H543:M543)+(SUM(D543:E543)))</f>
        <v>100</v>
      </c>
      <c r="P543" s="228">
        <f>C543+F543+G543+N543</f>
        <v>100</v>
      </c>
      <c r="Q543" s="252">
        <f>O543+P543</f>
        <v>200</v>
      </c>
      <c r="S543" s="231" t="str">
        <f>TEXT(A543,"dddd")</f>
        <v>Saturday</v>
      </c>
    </row>
    <row r="544" spans="1:19" x14ac:dyDescent="0.25">
      <c r="A544" s="226">
        <v>46565</v>
      </c>
      <c r="B544" s="227">
        <f>O543</f>
        <v>100</v>
      </c>
      <c r="C544" s="228">
        <f>P543</f>
        <v>100</v>
      </c>
      <c r="D544" s="228">
        <f>IF(OR(DAY(A544+2)=1,DAY(A544+2)=15),-SUM('Main Budget'!$H$26:$H$31),0)</f>
        <v>0</v>
      </c>
      <c r="E544" s="228">
        <f>IF(DAY(A544+2)=22,-SUM('Main Budget'!$F$26:$F$31),0)</f>
        <v>0</v>
      </c>
      <c r="F544" s="228">
        <f>IF(D544&gt;0,-'Main Budget'!$H$25+0.15,0)</f>
        <v>0</v>
      </c>
      <c r="G544" s="228">
        <f>IF(E544&gt;0,-'Main Budget'!$F$25+0.81,0)</f>
        <v>0</v>
      </c>
      <c r="H544" s="227">
        <f>IF(DAY(A544)='Main Budget'!$J$26,'Main Budget'!$E$26,0)</f>
        <v>0</v>
      </c>
      <c r="I544" s="227">
        <f>IF(DAY(A544)='Main Budget'!$J$28,'Main Budget'!$E$28,0)</f>
        <v>0</v>
      </c>
      <c r="J544" s="227">
        <f>IF(DAY(A544)='Main Budget'!$J$29,'Main Budget'!$E$29,0)</f>
        <v>0</v>
      </c>
      <c r="K544" s="20">
        <f>IF(DAY(A544)='Main Budget'!$J$30,'Main Budget'!$E$30,0)</f>
        <v>0</v>
      </c>
      <c r="L544" s="20">
        <f>IF(DAY(A544)='Main Budget'!$J$31,'Main Budget'!$E$31,0)</f>
        <v>0</v>
      </c>
      <c r="M544" s="20">
        <f>IF(DAY(A544)='Main Budget'!$J$27,'Main Budget'!$E$27,0)</f>
        <v>0</v>
      </c>
      <c r="O544" s="228">
        <f>B544+(SUM(H544:M544)+(SUM(D544:E544)))</f>
        <v>100</v>
      </c>
      <c r="P544" s="228">
        <f>C544+F544+G544+N544</f>
        <v>100</v>
      </c>
      <c r="Q544" s="252">
        <f>O544+P544</f>
        <v>200</v>
      </c>
      <c r="S544" s="231" t="str">
        <f>TEXT(A544,"dddd")</f>
        <v>Sunday</v>
      </c>
    </row>
    <row r="545" spans="1:19" x14ac:dyDescent="0.25">
      <c r="A545" s="226">
        <v>46566</v>
      </c>
      <c r="B545" s="227">
        <f>O544</f>
        <v>100</v>
      </c>
      <c r="C545" s="228">
        <f>P544</f>
        <v>100</v>
      </c>
      <c r="D545" s="228">
        <f>IF(OR(DAY(A545+2)=1,DAY(A545+2)=15),-SUM('Main Budget'!$H$26:$H$31),0)</f>
        <v>0</v>
      </c>
      <c r="E545" s="228">
        <f>IF(DAY(A545+2)=22,-SUM('Main Budget'!$F$26:$F$31),0)</f>
        <v>0</v>
      </c>
      <c r="F545" s="228">
        <f>IF(D545&gt;0,-'Main Budget'!$H$25+0.15,0)</f>
        <v>0</v>
      </c>
      <c r="G545" s="228">
        <f>IF(E545&gt;0,-'Main Budget'!$F$25+0.81,0)</f>
        <v>0</v>
      </c>
      <c r="H545" s="227">
        <f>IF(DAY(A545)='Main Budget'!$J$26,'Main Budget'!$E$26,0)</f>
        <v>0</v>
      </c>
      <c r="I545" s="227">
        <f>IF(DAY(A545)='Main Budget'!$J$28,'Main Budget'!$E$28,0)</f>
        <v>0</v>
      </c>
      <c r="J545" s="227">
        <f>IF(DAY(A545)='Main Budget'!$J$29,'Main Budget'!$E$29,0)</f>
        <v>0</v>
      </c>
      <c r="K545" s="20">
        <f>IF(DAY(A545)='Main Budget'!$J$30,'Main Budget'!$E$30,0)</f>
        <v>0</v>
      </c>
      <c r="L545" s="20">
        <f>IF(DAY(A545)='Main Budget'!$J$31,'Main Budget'!$E$31,0)</f>
        <v>0</v>
      </c>
      <c r="M545" s="20">
        <f>IF(DAY(A545)='Main Budget'!$J$27,'Main Budget'!$E$27,0)</f>
        <v>0</v>
      </c>
      <c r="O545" s="228">
        <f>B545+(SUM(H545:M545)+(SUM(D545:E545)))</f>
        <v>100</v>
      </c>
      <c r="P545" s="228">
        <f>C545+F545+G545+N545</f>
        <v>100</v>
      </c>
      <c r="Q545" s="252">
        <f>O545+P545</f>
        <v>200</v>
      </c>
      <c r="S545" s="231" t="str">
        <f>TEXT(A545,"dddd")</f>
        <v>Monday</v>
      </c>
    </row>
    <row r="546" spans="1:19" x14ac:dyDescent="0.25">
      <c r="A546" s="226">
        <v>46567</v>
      </c>
      <c r="B546" s="227">
        <f>O545</f>
        <v>100</v>
      </c>
      <c r="C546" s="228">
        <f>P545</f>
        <v>100</v>
      </c>
      <c r="D546" s="228">
        <f>IF(OR(DAY(A546+2)=1,DAY(A546+2)=15),-SUM('Main Budget'!$H$26:$H$31),0)</f>
        <v>0</v>
      </c>
      <c r="E546" s="228">
        <f>IF(DAY(A546+2)=22,-SUM('Main Budget'!$F$26:$F$31),0)</f>
        <v>0</v>
      </c>
      <c r="F546" s="228">
        <f>IF(D546&gt;0,-'Main Budget'!$H$25+0.15,0)</f>
        <v>0</v>
      </c>
      <c r="G546" s="228">
        <f>IF(E546&gt;0,-'Main Budget'!$F$25+0.81,0)</f>
        <v>0</v>
      </c>
      <c r="H546" s="227">
        <f>IF(DAY(A546)='Main Budget'!$J$26,'Main Budget'!$E$26,0)</f>
        <v>0</v>
      </c>
      <c r="I546" s="227">
        <f>IF(DAY(A546)='Main Budget'!$J$28,'Main Budget'!$E$28,0)</f>
        <v>0</v>
      </c>
      <c r="J546" s="227">
        <f>IF(DAY(A546)='Main Budget'!$J$29,'Main Budget'!$E$29,0)</f>
        <v>0</v>
      </c>
      <c r="K546" s="20">
        <f>IF(DAY(A546)='Main Budget'!$J$30,'Main Budget'!$E$30,0)</f>
        <v>0</v>
      </c>
      <c r="L546" s="20">
        <f>IF(DAY(A546)='Main Budget'!$J$31,'Main Budget'!$E$31,0)</f>
        <v>0</v>
      </c>
      <c r="M546" s="20">
        <f>IF(DAY(A546)='Main Budget'!$J$27,'Main Budget'!$E$27,0)</f>
        <v>0</v>
      </c>
      <c r="O546" s="228">
        <f>B546+(SUM(H546:M546)+(SUM(D546:E546)))</f>
        <v>100</v>
      </c>
      <c r="P546" s="228">
        <f>C546+F546+G546+N546</f>
        <v>100</v>
      </c>
      <c r="Q546" s="252">
        <f>O546+P546</f>
        <v>200</v>
      </c>
      <c r="S546" s="231" t="str">
        <f>TEXT(A546,"dddd")</f>
        <v>Tuesday</v>
      </c>
    </row>
    <row r="547" spans="1:19" x14ac:dyDescent="0.25">
      <c r="A547" s="226">
        <v>46568</v>
      </c>
      <c r="B547" s="227">
        <f>O546</f>
        <v>100</v>
      </c>
      <c r="C547" s="228">
        <f>P546</f>
        <v>100</v>
      </c>
      <c r="D547" s="228">
        <f>IF(OR(DAY(A547+2)=1,DAY(A547+2)=15),-SUM('Main Budget'!$H$26:$H$31),0)</f>
        <v>0</v>
      </c>
      <c r="E547" s="228">
        <f>IF(DAY(A547+2)=22,-SUM('Main Budget'!$F$26:$F$31),0)</f>
        <v>0</v>
      </c>
      <c r="F547" s="228">
        <f>IF(D547&gt;0,-'Main Budget'!$H$25+0.15,0)</f>
        <v>0</v>
      </c>
      <c r="G547" s="228">
        <f>IF(E547&gt;0,-'Main Budget'!$F$25+0.81,0)</f>
        <v>0</v>
      </c>
      <c r="H547" s="227">
        <f>IF(DAY(A547)='Main Budget'!$J$26,'Main Budget'!$E$26,0)</f>
        <v>0</v>
      </c>
      <c r="I547" s="227">
        <f>IF(DAY(A547)='Main Budget'!$J$28,'Main Budget'!$E$28,0)</f>
        <v>0</v>
      </c>
      <c r="J547" s="227">
        <f>IF(DAY(A547)='Main Budget'!$J$29,'Main Budget'!$E$29,0)</f>
        <v>0</v>
      </c>
      <c r="K547" s="20">
        <f>IF(DAY(A547)='Main Budget'!$J$30,'Main Budget'!$E$30,0)</f>
        <v>0</v>
      </c>
      <c r="L547" s="20">
        <f>IF(DAY(A547)='Main Budget'!$J$31,'Main Budget'!$E$31,0)</f>
        <v>0</v>
      </c>
      <c r="M547" s="20">
        <f>IF(DAY(A547)='Main Budget'!$J$27,'Main Budget'!$E$27,0)</f>
        <v>0</v>
      </c>
      <c r="O547" s="228">
        <f>B547+(SUM(H547:M547)+(SUM(D547:E547)))</f>
        <v>100</v>
      </c>
      <c r="P547" s="228">
        <f>C547+F547+G547+N547</f>
        <v>100</v>
      </c>
      <c r="Q547" s="252">
        <f>O547+P547</f>
        <v>200</v>
      </c>
      <c r="S547" s="231" t="str">
        <f>TEXT(A547,"dddd")</f>
        <v>Wednesday</v>
      </c>
    </row>
    <row r="548" spans="1:19" x14ac:dyDescent="0.25">
      <c r="A548" s="226">
        <v>46569</v>
      </c>
      <c r="B548" s="227">
        <f>O547</f>
        <v>100</v>
      </c>
      <c r="C548" s="228">
        <f>P547</f>
        <v>100</v>
      </c>
      <c r="D548" s="228">
        <f>IF(OR(DAY(A548+2)=1,DAY(A548+2)=15),-SUM('Main Budget'!$H$26:$H$31),0)</f>
        <v>0</v>
      </c>
      <c r="E548" s="228">
        <f>IF(DAY(A548+2)=22,-SUM('Main Budget'!$F$26:$F$31),0)</f>
        <v>0</v>
      </c>
      <c r="F548" s="228">
        <f>IF(D548&gt;0,-'Main Budget'!$H$25+0.15,0)</f>
        <v>0</v>
      </c>
      <c r="G548" s="228">
        <f>IF(E548&gt;0,-'Main Budget'!$F$25+0.81,0)</f>
        <v>0</v>
      </c>
      <c r="H548" s="227">
        <f>IF(DAY(A548)='Main Budget'!$J$26,'Main Budget'!$E$26,0)</f>
        <v>0</v>
      </c>
      <c r="I548" s="227">
        <f>IF(DAY(A548)='Main Budget'!$J$28,'Main Budget'!$E$28,0)</f>
        <v>0</v>
      </c>
      <c r="J548" s="227">
        <f>IF(DAY(A548)='Main Budget'!$J$29,'Main Budget'!$E$29,0)</f>
        <v>0</v>
      </c>
      <c r="K548" s="20">
        <f>IF(DAY(A548)='Main Budget'!$J$30,'Main Budget'!$E$30,0)</f>
        <v>0</v>
      </c>
      <c r="L548" s="20">
        <f>IF(DAY(A548)='Main Budget'!$J$31,'Main Budget'!$E$31,0)</f>
        <v>0</v>
      </c>
      <c r="M548" s="20">
        <f>IF(DAY(A548)='Main Budget'!$J$27,'Main Budget'!$E$27,0)</f>
        <v>0</v>
      </c>
      <c r="O548" s="228">
        <f>B548+(SUM(H548:M548)+(SUM(D548:E548)))</f>
        <v>100</v>
      </c>
      <c r="P548" s="228">
        <f>C548+F548+G548+N548</f>
        <v>100</v>
      </c>
      <c r="Q548" s="252">
        <f>O548+P548</f>
        <v>200</v>
      </c>
      <c r="S548" s="231" t="str">
        <f>TEXT(A548,"dddd")</f>
        <v>Thursday</v>
      </c>
    </row>
    <row r="549" spans="1:19" x14ac:dyDescent="0.25">
      <c r="A549" s="226">
        <v>46570</v>
      </c>
      <c r="B549" s="227">
        <f>O548</f>
        <v>100</v>
      </c>
      <c r="C549" s="228">
        <f>P548</f>
        <v>100</v>
      </c>
      <c r="D549" s="228">
        <f>IF(OR(DAY(A549+2)=1,DAY(A549+2)=15),-SUM('Main Budget'!$H$26:$H$31),0)</f>
        <v>0</v>
      </c>
      <c r="E549" s="228">
        <f>IF(DAY(A549+2)=22,-SUM('Main Budget'!$F$26:$F$31),0)</f>
        <v>0</v>
      </c>
      <c r="F549" s="228">
        <f>IF(D549&gt;0,-'Main Budget'!$H$25+0.15,0)</f>
        <v>0</v>
      </c>
      <c r="G549" s="228">
        <f>IF(E549&gt;0,-'Main Budget'!$F$25+0.81,0)</f>
        <v>0</v>
      </c>
      <c r="H549" s="227">
        <f>IF(DAY(A549)='Main Budget'!$J$26,'Main Budget'!$E$26,0)</f>
        <v>0</v>
      </c>
      <c r="I549" s="227">
        <f>IF(DAY(A549)='Main Budget'!$J$28,'Main Budget'!$E$28,0)</f>
        <v>0</v>
      </c>
      <c r="J549" s="227">
        <f>IF(DAY(A549)='Main Budget'!$J$29,'Main Budget'!$E$29,0)</f>
        <v>0</v>
      </c>
      <c r="K549" s="20">
        <f>IF(DAY(A549)='Main Budget'!$J$30,'Main Budget'!$E$30,0)</f>
        <v>0</v>
      </c>
      <c r="L549" s="20">
        <f>IF(DAY(A549)='Main Budget'!$J$31,'Main Budget'!$E$31,0)</f>
        <v>0</v>
      </c>
      <c r="M549" s="20">
        <f>IF(DAY(A549)='Main Budget'!$J$27,'Main Budget'!$E$27,0)</f>
        <v>0</v>
      </c>
      <c r="O549" s="228">
        <f>B549+(SUM(H549:M549)+(SUM(D549:E549)))</f>
        <v>100</v>
      </c>
      <c r="P549" s="228">
        <f>C549+F549+G549+N549</f>
        <v>100</v>
      </c>
      <c r="Q549" s="252">
        <f>O549+P549</f>
        <v>200</v>
      </c>
      <c r="S549" s="231" t="str">
        <f>TEXT(A549,"dddd")</f>
        <v>Friday</v>
      </c>
    </row>
    <row r="550" spans="1:19" x14ac:dyDescent="0.25">
      <c r="A550" s="226">
        <v>46571</v>
      </c>
      <c r="B550" s="227">
        <f>O549</f>
        <v>100</v>
      </c>
      <c r="C550" s="228">
        <f>P549</f>
        <v>100</v>
      </c>
      <c r="D550" s="228">
        <f>IF(OR(DAY(A550+2)=1,DAY(A550+2)=15),-SUM('Main Budget'!$H$26:$H$31),0)</f>
        <v>0</v>
      </c>
      <c r="E550" s="228">
        <f>IF(DAY(A550+2)=22,-SUM('Main Budget'!$F$26:$F$31),0)</f>
        <v>0</v>
      </c>
      <c r="F550" s="228">
        <f>IF(D550&gt;0,-'Main Budget'!$H$25+0.15,0)</f>
        <v>0</v>
      </c>
      <c r="G550" s="228">
        <f>IF(E550&gt;0,-'Main Budget'!$F$25+0.81,0)</f>
        <v>0</v>
      </c>
      <c r="H550" s="227">
        <f>IF(DAY(A550)='Main Budget'!$J$26,'Main Budget'!$E$26,0)</f>
        <v>0</v>
      </c>
      <c r="I550" s="227">
        <f>IF(DAY(A550)='Main Budget'!$J$28,'Main Budget'!$E$28,0)</f>
        <v>0</v>
      </c>
      <c r="J550" s="227">
        <f>IF(DAY(A550)='Main Budget'!$J$29,'Main Budget'!$E$29,0)</f>
        <v>0</v>
      </c>
      <c r="K550" s="20">
        <f>IF(DAY(A550)='Main Budget'!$J$30,'Main Budget'!$E$30,0)</f>
        <v>0</v>
      </c>
      <c r="L550" s="20">
        <f>IF(DAY(A550)='Main Budget'!$J$31,'Main Budget'!$E$31,0)</f>
        <v>0</v>
      </c>
      <c r="M550" s="20">
        <f>IF(DAY(A550)='Main Budget'!$J$27,'Main Budget'!$E$27,0)</f>
        <v>0</v>
      </c>
      <c r="O550" s="228">
        <f>B550+(SUM(H550:M550)+(SUM(D550:E550)))</f>
        <v>100</v>
      </c>
      <c r="P550" s="228">
        <f>C550+F550+G550+N550</f>
        <v>100</v>
      </c>
      <c r="Q550" s="252">
        <f>O550+P550</f>
        <v>200</v>
      </c>
      <c r="S550" s="231" t="str">
        <f>TEXT(A550,"dddd")</f>
        <v>Saturday</v>
      </c>
    </row>
    <row r="551" spans="1:19" x14ac:dyDescent="0.25">
      <c r="A551" s="226">
        <v>46572</v>
      </c>
      <c r="B551" s="227">
        <f>O550</f>
        <v>100</v>
      </c>
      <c r="C551" s="228">
        <f>P550</f>
        <v>100</v>
      </c>
      <c r="D551" s="228">
        <f>IF(OR(DAY(A551+2)=1,DAY(A551+2)=15),-SUM('Main Budget'!$H$26:$H$31),0)</f>
        <v>0</v>
      </c>
      <c r="E551" s="228">
        <f>IF(DAY(A551+2)=22,-SUM('Main Budget'!$F$26:$F$31),0)</f>
        <v>0</v>
      </c>
      <c r="F551" s="228">
        <f>IF(D551&gt;0,-'Main Budget'!$H$25+0.15,0)</f>
        <v>0</v>
      </c>
      <c r="G551" s="228">
        <f>IF(E551&gt;0,-'Main Budget'!$F$25+0.81,0)</f>
        <v>0</v>
      </c>
      <c r="H551" s="227">
        <f>IF(DAY(A551)='Main Budget'!$J$26,'Main Budget'!$E$26,0)</f>
        <v>0</v>
      </c>
      <c r="I551" s="227">
        <f>IF(DAY(A551)='Main Budget'!$J$28,'Main Budget'!$E$28,0)</f>
        <v>0</v>
      </c>
      <c r="J551" s="227">
        <f>IF(DAY(A551)='Main Budget'!$J$29,'Main Budget'!$E$29,0)</f>
        <v>0</v>
      </c>
      <c r="K551" s="20">
        <f>IF(DAY(A551)='Main Budget'!$J$30,'Main Budget'!$E$30,0)</f>
        <v>0</v>
      </c>
      <c r="L551" s="20">
        <f>IF(DAY(A551)='Main Budget'!$J$31,'Main Budget'!$E$31,0)</f>
        <v>0</v>
      </c>
      <c r="M551" s="20">
        <f>IF(DAY(A551)='Main Budget'!$J$27,'Main Budget'!$E$27,0)</f>
        <v>0</v>
      </c>
      <c r="O551" s="228">
        <f>B551+(SUM(H551:M551)+(SUM(D551:E551)))</f>
        <v>100</v>
      </c>
      <c r="P551" s="228">
        <f>C551+F551+G551+N551</f>
        <v>100</v>
      </c>
      <c r="Q551" s="252">
        <f>O551+P551</f>
        <v>200</v>
      </c>
      <c r="S551" s="231" t="str">
        <f>TEXT(A551,"dddd")</f>
        <v>Sunday</v>
      </c>
    </row>
    <row r="552" spans="1:19" x14ac:dyDescent="0.25">
      <c r="A552" s="226">
        <v>46573</v>
      </c>
      <c r="B552" s="227">
        <f>O551</f>
        <v>100</v>
      </c>
      <c r="C552" s="228">
        <f>P551</f>
        <v>100</v>
      </c>
      <c r="D552" s="228">
        <f>IF(OR(DAY(A552+2)=1,DAY(A552+2)=15),-SUM('Main Budget'!$H$26:$H$31),0)</f>
        <v>0</v>
      </c>
      <c r="E552" s="228">
        <f>IF(DAY(A552+2)=22,-SUM('Main Budget'!$F$26:$F$31),0)</f>
        <v>0</v>
      </c>
      <c r="F552" s="228">
        <f>IF(D552&gt;0,-'Main Budget'!$H$25+0.15,0)</f>
        <v>0</v>
      </c>
      <c r="G552" s="228">
        <f>IF(E552&gt;0,-'Main Budget'!$F$25+0.81,0)</f>
        <v>0</v>
      </c>
      <c r="H552" s="227">
        <f>IF(DAY(A552)='Main Budget'!$J$26,'Main Budget'!$E$26,0)</f>
        <v>0</v>
      </c>
      <c r="I552" s="227">
        <f>IF(DAY(A552)='Main Budget'!$J$28,'Main Budget'!$E$28,0)</f>
        <v>0</v>
      </c>
      <c r="J552" s="227">
        <f>IF(DAY(A552)='Main Budget'!$J$29,'Main Budget'!$E$29,0)</f>
        <v>0</v>
      </c>
      <c r="K552" s="20">
        <f>IF(DAY(A552)='Main Budget'!$J$30,'Main Budget'!$E$30,0)</f>
        <v>0</v>
      </c>
      <c r="L552" s="20">
        <f>IF(DAY(A552)='Main Budget'!$J$31,'Main Budget'!$E$31,0)</f>
        <v>0</v>
      </c>
      <c r="M552" s="20">
        <f>IF(DAY(A552)='Main Budget'!$J$27,'Main Budget'!$E$27,0)</f>
        <v>0</v>
      </c>
      <c r="O552" s="228">
        <f>B552+(SUM(H552:M552)+(SUM(D552:E552)))</f>
        <v>100</v>
      </c>
      <c r="P552" s="228">
        <f>C552+F552+G552+N552</f>
        <v>100</v>
      </c>
      <c r="Q552" s="252">
        <f>O552+P552</f>
        <v>200</v>
      </c>
      <c r="S552" s="231" t="str">
        <f>TEXT(A552,"dddd")</f>
        <v>Monday</v>
      </c>
    </row>
    <row r="553" spans="1:19" x14ac:dyDescent="0.25">
      <c r="A553" s="226">
        <v>46574</v>
      </c>
      <c r="B553" s="227">
        <f>O552</f>
        <v>100</v>
      </c>
      <c r="C553" s="228">
        <f>P552</f>
        <v>100</v>
      </c>
      <c r="D553" s="228">
        <f>IF(OR(DAY(A553+2)=1,DAY(A553+2)=15),-SUM('Main Budget'!$H$26:$H$31),0)</f>
        <v>0</v>
      </c>
      <c r="E553" s="228">
        <f>IF(DAY(A553+2)=22,-SUM('Main Budget'!$F$26:$F$31),0)</f>
        <v>0</v>
      </c>
      <c r="F553" s="228">
        <f>IF(D553&gt;0,-'Main Budget'!$H$25+0.15,0)</f>
        <v>0</v>
      </c>
      <c r="G553" s="228">
        <f>IF(E553&gt;0,-'Main Budget'!$F$25+0.81,0)</f>
        <v>0</v>
      </c>
      <c r="H553" s="227">
        <f>IF(DAY(A553)='Main Budget'!$J$26,'Main Budget'!$E$26,0)</f>
        <v>0</v>
      </c>
      <c r="I553" s="227">
        <f>IF(DAY(A553)='Main Budget'!$J$28,'Main Budget'!$E$28,0)</f>
        <v>0</v>
      </c>
      <c r="J553" s="227">
        <f>IF(DAY(A553)='Main Budget'!$J$29,'Main Budget'!$E$29,0)</f>
        <v>0</v>
      </c>
      <c r="K553" s="20">
        <f>IF(DAY(A553)='Main Budget'!$J$30,'Main Budget'!$E$30,0)</f>
        <v>0</v>
      </c>
      <c r="L553" s="20">
        <f>IF(DAY(A553)='Main Budget'!$J$31,'Main Budget'!$E$31,0)</f>
        <v>0</v>
      </c>
      <c r="M553" s="20">
        <f>IF(DAY(A553)='Main Budget'!$J$27,'Main Budget'!$E$27,0)</f>
        <v>0</v>
      </c>
      <c r="O553" s="228">
        <f>B553+(SUM(H553:M553)+(SUM(D553:E553)))</f>
        <v>100</v>
      </c>
      <c r="P553" s="228">
        <f>C553+F553+G553+N553</f>
        <v>100</v>
      </c>
      <c r="Q553" s="252">
        <f>O553+P553</f>
        <v>200</v>
      </c>
      <c r="S553" s="231" t="str">
        <f>TEXT(A553,"dddd")</f>
        <v>Tuesday</v>
      </c>
    </row>
    <row r="554" spans="1:19" x14ac:dyDescent="0.25">
      <c r="A554" s="226">
        <v>46575</v>
      </c>
      <c r="B554" s="227">
        <f>O553</f>
        <v>100</v>
      </c>
      <c r="C554" s="228">
        <f>P553</f>
        <v>100</v>
      </c>
      <c r="D554" s="228">
        <f>IF(OR(DAY(A554+2)=1,DAY(A554+2)=15),-SUM('Main Budget'!$H$26:$H$31),0)</f>
        <v>0</v>
      </c>
      <c r="E554" s="228">
        <f>IF(DAY(A554+2)=22,-SUM('Main Budget'!$F$26:$F$31),0)</f>
        <v>0</v>
      </c>
      <c r="F554" s="228">
        <f>IF(D554&gt;0,-'Main Budget'!$H$25+0.15,0)</f>
        <v>0</v>
      </c>
      <c r="G554" s="228">
        <f>IF(E554&gt;0,-'Main Budget'!$F$25+0.81,0)</f>
        <v>0</v>
      </c>
      <c r="H554" s="227">
        <f>IF(DAY(A554)='Main Budget'!$J$26,'Main Budget'!$E$26,0)</f>
        <v>0</v>
      </c>
      <c r="I554" s="227">
        <f>IF(DAY(A554)='Main Budget'!$J$28,'Main Budget'!$E$28,0)</f>
        <v>0</v>
      </c>
      <c r="J554" s="227">
        <f>IF(DAY(A554)='Main Budget'!$J$29,'Main Budget'!$E$29,0)</f>
        <v>0</v>
      </c>
      <c r="K554" s="20">
        <f>IF(DAY(A554)='Main Budget'!$J$30,'Main Budget'!$E$30,0)</f>
        <v>0</v>
      </c>
      <c r="L554" s="20">
        <f>IF(DAY(A554)='Main Budget'!$J$31,'Main Budget'!$E$31,0)</f>
        <v>0</v>
      </c>
      <c r="M554" s="20">
        <f>IF(DAY(A554)='Main Budget'!$J$27,'Main Budget'!$E$27,0)</f>
        <v>0</v>
      </c>
      <c r="O554" s="228">
        <f>B554+(SUM(H554:M554)+(SUM(D554:E554)))</f>
        <v>100</v>
      </c>
      <c r="P554" s="228">
        <f>C554+F554+G554+N554</f>
        <v>100</v>
      </c>
      <c r="Q554" s="252">
        <f>O554+P554</f>
        <v>200</v>
      </c>
      <c r="S554" s="231" t="str">
        <f>TEXT(A554,"dddd")</f>
        <v>Wednesday</v>
      </c>
    </row>
    <row r="555" spans="1:19" x14ac:dyDescent="0.25">
      <c r="A555" s="226">
        <v>46576</v>
      </c>
      <c r="B555" s="227">
        <f>O554</f>
        <v>100</v>
      </c>
      <c r="C555" s="228">
        <f>P554</f>
        <v>100</v>
      </c>
      <c r="D555" s="228">
        <f>IF(OR(DAY(A555+2)=1,DAY(A555+2)=15),-SUM('Main Budget'!$H$26:$H$31),0)</f>
        <v>0</v>
      </c>
      <c r="E555" s="228">
        <f>IF(DAY(A555+2)=22,-SUM('Main Budget'!$F$26:$F$31),0)</f>
        <v>0</v>
      </c>
      <c r="F555" s="228">
        <f>IF(D555&gt;0,-'Main Budget'!$H$25+0.15,0)</f>
        <v>0</v>
      </c>
      <c r="G555" s="228">
        <f>IF(E555&gt;0,-'Main Budget'!$F$25+0.81,0)</f>
        <v>0</v>
      </c>
      <c r="H555" s="227">
        <f>IF(DAY(A555)='Main Budget'!$J$26,'Main Budget'!$E$26,0)</f>
        <v>0</v>
      </c>
      <c r="I555" s="227">
        <f>IF(DAY(A555)='Main Budget'!$J$28,'Main Budget'!$E$28,0)</f>
        <v>0</v>
      </c>
      <c r="J555" s="227">
        <f>IF(DAY(A555)='Main Budget'!$J$29,'Main Budget'!$E$29,0)</f>
        <v>0</v>
      </c>
      <c r="K555" s="20">
        <f>IF(DAY(A555)='Main Budget'!$J$30,'Main Budget'!$E$30,0)</f>
        <v>0</v>
      </c>
      <c r="L555" s="20">
        <f>IF(DAY(A555)='Main Budget'!$J$31,'Main Budget'!$E$31,0)</f>
        <v>0</v>
      </c>
      <c r="M555" s="20">
        <f>IF(DAY(A555)='Main Budget'!$J$27,'Main Budget'!$E$27,0)</f>
        <v>0</v>
      </c>
      <c r="O555" s="228">
        <f>B555+(SUM(H555:M555)+(SUM(D555:E555)))</f>
        <v>100</v>
      </c>
      <c r="P555" s="228">
        <f>C555+F555+G555+N555</f>
        <v>100</v>
      </c>
      <c r="Q555" s="252">
        <f>O555+P555</f>
        <v>200</v>
      </c>
      <c r="S555" s="231" t="str">
        <f>TEXT(A555,"dddd")</f>
        <v>Thursday</v>
      </c>
    </row>
    <row r="556" spans="1:19" x14ac:dyDescent="0.25">
      <c r="A556" s="226">
        <v>46577</v>
      </c>
      <c r="B556" s="227">
        <f>O555</f>
        <v>100</v>
      </c>
      <c r="C556" s="228">
        <f>P555</f>
        <v>100</v>
      </c>
      <c r="D556" s="228">
        <f>IF(OR(DAY(A556+2)=1,DAY(A556+2)=15),-SUM('Main Budget'!$H$26:$H$31),0)</f>
        <v>0</v>
      </c>
      <c r="E556" s="228">
        <f>IF(DAY(A556+2)=22,-SUM('Main Budget'!$F$26:$F$31),0)</f>
        <v>0</v>
      </c>
      <c r="F556" s="228">
        <f>IF(D556&gt;0,-'Main Budget'!$H$25+0.15,0)</f>
        <v>0</v>
      </c>
      <c r="G556" s="228">
        <f>IF(E556&gt;0,-'Main Budget'!$F$25+0.81,0)</f>
        <v>0</v>
      </c>
      <c r="H556" s="227">
        <f>IF(DAY(A556)='Main Budget'!$J$26,'Main Budget'!$E$26,0)</f>
        <v>0</v>
      </c>
      <c r="I556" s="227">
        <f>IF(DAY(A556)='Main Budget'!$J$28,'Main Budget'!$E$28,0)</f>
        <v>0</v>
      </c>
      <c r="J556" s="227">
        <f>IF(DAY(A556)='Main Budget'!$J$29,'Main Budget'!$E$29,0)</f>
        <v>0</v>
      </c>
      <c r="K556" s="20">
        <f>IF(DAY(A556)='Main Budget'!$J$30,'Main Budget'!$E$30,0)</f>
        <v>0</v>
      </c>
      <c r="L556" s="20">
        <f>IF(DAY(A556)='Main Budget'!$J$31,'Main Budget'!$E$31,0)</f>
        <v>0</v>
      </c>
      <c r="M556" s="20">
        <f>IF(DAY(A556)='Main Budget'!$J$27,'Main Budget'!$E$27,0)</f>
        <v>0</v>
      </c>
      <c r="O556" s="228">
        <f>B556+(SUM(H556:M556)+(SUM(D556:E556)))</f>
        <v>100</v>
      </c>
      <c r="P556" s="228">
        <f>C556+F556+G556+N556</f>
        <v>100</v>
      </c>
      <c r="Q556" s="252">
        <f>O556+P556</f>
        <v>200</v>
      </c>
      <c r="S556" s="231" t="str">
        <f>TEXT(A556,"dddd")</f>
        <v>Friday</v>
      </c>
    </row>
    <row r="557" spans="1:19" x14ac:dyDescent="0.25">
      <c r="A557" s="226">
        <v>46578</v>
      </c>
      <c r="B557" s="227">
        <f>O556</f>
        <v>100</v>
      </c>
      <c r="C557" s="228">
        <f>P556</f>
        <v>100</v>
      </c>
      <c r="D557" s="228">
        <f>IF(OR(DAY(A557+2)=1,DAY(A557+2)=15),-SUM('Main Budget'!$H$26:$H$31),0)</f>
        <v>0</v>
      </c>
      <c r="E557" s="228">
        <f>IF(DAY(A557+2)=22,-SUM('Main Budget'!$F$26:$F$31),0)</f>
        <v>0</v>
      </c>
      <c r="F557" s="228">
        <f>IF(D557&gt;0,-'Main Budget'!$H$25+0.15,0)</f>
        <v>0</v>
      </c>
      <c r="G557" s="228">
        <f>IF(E557&gt;0,-'Main Budget'!$F$25+0.81,0)</f>
        <v>0</v>
      </c>
      <c r="H557" s="227">
        <f>IF(DAY(A557)='Main Budget'!$J$26,'Main Budget'!$E$26,0)</f>
        <v>0</v>
      </c>
      <c r="I557" s="227">
        <f>IF(DAY(A557)='Main Budget'!$J$28,'Main Budget'!$E$28,0)</f>
        <v>0</v>
      </c>
      <c r="J557" s="227">
        <f>IF(DAY(A557)='Main Budget'!$J$29,'Main Budget'!$E$29,0)</f>
        <v>0</v>
      </c>
      <c r="K557" s="20">
        <f>IF(DAY(A557)='Main Budget'!$J$30,'Main Budget'!$E$30,0)</f>
        <v>0</v>
      </c>
      <c r="L557" s="20">
        <f>IF(DAY(A557)='Main Budget'!$J$31,'Main Budget'!$E$31,0)</f>
        <v>0</v>
      </c>
      <c r="M557" s="20">
        <f>IF(DAY(A557)='Main Budget'!$J$27,'Main Budget'!$E$27,0)</f>
        <v>0</v>
      </c>
      <c r="O557" s="228">
        <f>B557+(SUM(H557:M557)+(SUM(D557:E557)))</f>
        <v>100</v>
      </c>
      <c r="P557" s="228">
        <f>C557+F557+G557+N557</f>
        <v>100</v>
      </c>
      <c r="Q557" s="252">
        <f>O557+P557</f>
        <v>200</v>
      </c>
      <c r="S557" s="231" t="str">
        <f>TEXT(A557,"dddd")</f>
        <v>Saturday</v>
      </c>
    </row>
    <row r="558" spans="1:19" x14ac:dyDescent="0.25">
      <c r="A558" s="226">
        <v>46579</v>
      </c>
      <c r="B558" s="227">
        <f>O557</f>
        <v>100</v>
      </c>
      <c r="C558" s="228">
        <f>P557</f>
        <v>100</v>
      </c>
      <c r="D558" s="228">
        <f>IF(OR(DAY(A558+2)=1,DAY(A558+2)=15),-SUM('Main Budget'!$H$26:$H$31),0)</f>
        <v>0</v>
      </c>
      <c r="E558" s="228">
        <f>IF(DAY(A558+2)=22,-SUM('Main Budget'!$F$26:$F$31),0)</f>
        <v>0</v>
      </c>
      <c r="F558" s="228">
        <f>IF(D558&gt;0,-'Main Budget'!$H$25+0.15,0)</f>
        <v>0</v>
      </c>
      <c r="G558" s="228">
        <f>IF(E558&gt;0,-'Main Budget'!$F$25+0.81,0)</f>
        <v>0</v>
      </c>
      <c r="H558" s="227">
        <f>IF(DAY(A558)='Main Budget'!$J$26,'Main Budget'!$E$26,0)</f>
        <v>0</v>
      </c>
      <c r="I558" s="227">
        <f>IF(DAY(A558)='Main Budget'!$J$28,'Main Budget'!$E$28,0)</f>
        <v>0</v>
      </c>
      <c r="J558" s="227">
        <f>IF(DAY(A558)='Main Budget'!$J$29,'Main Budget'!$E$29,0)</f>
        <v>0</v>
      </c>
      <c r="K558" s="20">
        <f>IF(DAY(A558)='Main Budget'!$J$30,'Main Budget'!$E$30,0)</f>
        <v>0</v>
      </c>
      <c r="L558" s="20">
        <f>IF(DAY(A558)='Main Budget'!$J$31,'Main Budget'!$E$31,0)</f>
        <v>0</v>
      </c>
      <c r="M558" s="20">
        <f>IF(DAY(A558)='Main Budget'!$J$27,'Main Budget'!$E$27,0)</f>
        <v>0</v>
      </c>
      <c r="O558" s="228">
        <f>B558+(SUM(H558:M558)+(SUM(D558:E558)))</f>
        <v>100</v>
      </c>
      <c r="P558" s="228">
        <f>C558+F558+G558+N558</f>
        <v>100</v>
      </c>
      <c r="Q558" s="252">
        <f>O558+P558</f>
        <v>200</v>
      </c>
      <c r="S558" s="231" t="str">
        <f>TEXT(A558,"dddd")</f>
        <v>Sunday</v>
      </c>
    </row>
    <row r="559" spans="1:19" x14ac:dyDescent="0.25">
      <c r="A559" s="226">
        <v>46580</v>
      </c>
      <c r="B559" s="227">
        <f>O558</f>
        <v>100</v>
      </c>
      <c r="C559" s="228">
        <f>P558</f>
        <v>100</v>
      </c>
      <c r="D559" s="228">
        <f>IF(OR(DAY(A559+2)=1,DAY(A559+2)=15),-SUM('Main Budget'!$H$26:$H$31),0)</f>
        <v>0</v>
      </c>
      <c r="E559" s="228">
        <f>IF(DAY(A559+2)=22,-SUM('Main Budget'!$F$26:$F$31),0)</f>
        <v>0</v>
      </c>
      <c r="F559" s="228">
        <f>IF(D559&gt;0,-'Main Budget'!$H$25+0.15,0)</f>
        <v>0</v>
      </c>
      <c r="G559" s="228">
        <f>IF(E559&gt;0,-'Main Budget'!$F$25+0.81,0)</f>
        <v>0</v>
      </c>
      <c r="H559" s="227">
        <f>IF(DAY(A559)='Main Budget'!$J$26,'Main Budget'!$E$26,0)</f>
        <v>0</v>
      </c>
      <c r="I559" s="227">
        <f>IF(DAY(A559)='Main Budget'!$J$28,'Main Budget'!$E$28,0)</f>
        <v>0</v>
      </c>
      <c r="J559" s="227">
        <f>IF(DAY(A559)='Main Budget'!$J$29,'Main Budget'!$E$29,0)</f>
        <v>0</v>
      </c>
      <c r="K559" s="20">
        <f>IF(DAY(A559)='Main Budget'!$J$30,'Main Budget'!$E$30,0)</f>
        <v>0</v>
      </c>
      <c r="L559" s="20">
        <f>IF(DAY(A559)='Main Budget'!$J$31,'Main Budget'!$E$31,0)</f>
        <v>0</v>
      </c>
      <c r="M559" s="20">
        <f>IF(DAY(A559)='Main Budget'!$J$27,'Main Budget'!$E$27,0)</f>
        <v>0</v>
      </c>
      <c r="O559" s="228">
        <f>B559+(SUM(H559:M559)+(SUM(D559:E559)))</f>
        <v>100</v>
      </c>
      <c r="P559" s="228">
        <f>C559+F559+G559+N559</f>
        <v>100</v>
      </c>
      <c r="Q559" s="252">
        <f>O559+P559</f>
        <v>200</v>
      </c>
      <c r="S559" s="231" t="str">
        <f>TEXT(A559,"dddd")</f>
        <v>Monday</v>
      </c>
    </row>
    <row r="560" spans="1:19" x14ac:dyDescent="0.25">
      <c r="A560" s="226">
        <v>46581</v>
      </c>
      <c r="B560" s="227">
        <f>O559</f>
        <v>100</v>
      </c>
      <c r="C560" s="228">
        <f>P559</f>
        <v>100</v>
      </c>
      <c r="D560" s="228">
        <f>IF(OR(DAY(A560+2)=1,DAY(A560+2)=15),-SUM('Main Budget'!$H$26:$H$31),0)</f>
        <v>0</v>
      </c>
      <c r="E560" s="228">
        <f>IF(DAY(A560+2)=22,-SUM('Main Budget'!$F$26:$F$31),0)</f>
        <v>0</v>
      </c>
      <c r="F560" s="228">
        <f>IF(D560&gt;0,-'Main Budget'!$H$25+0.15,0)</f>
        <v>0</v>
      </c>
      <c r="G560" s="228">
        <f>IF(E560&gt;0,-'Main Budget'!$F$25+0.81,0)</f>
        <v>0</v>
      </c>
      <c r="H560" s="227">
        <f>IF(DAY(A560)='Main Budget'!$J$26,'Main Budget'!$E$26,0)</f>
        <v>0</v>
      </c>
      <c r="I560" s="227">
        <f>IF(DAY(A560)='Main Budget'!$J$28,'Main Budget'!$E$28,0)</f>
        <v>0</v>
      </c>
      <c r="J560" s="227">
        <f>IF(DAY(A560)='Main Budget'!$J$29,'Main Budget'!$E$29,0)</f>
        <v>0</v>
      </c>
      <c r="K560" s="20">
        <f>IF(DAY(A560)='Main Budget'!$J$30,'Main Budget'!$E$30,0)</f>
        <v>0</v>
      </c>
      <c r="L560" s="20">
        <f>IF(DAY(A560)='Main Budget'!$J$31,'Main Budget'!$E$31,0)</f>
        <v>0</v>
      </c>
      <c r="M560" s="20">
        <f>IF(DAY(A560)='Main Budget'!$J$27,'Main Budget'!$E$27,0)</f>
        <v>0</v>
      </c>
      <c r="O560" s="228">
        <f>B560+(SUM(H560:M560)+(SUM(D560:E560)))</f>
        <v>100</v>
      </c>
      <c r="P560" s="228">
        <f>C560+F560+G560+N560</f>
        <v>100</v>
      </c>
      <c r="Q560" s="252">
        <f>O560+P560</f>
        <v>200</v>
      </c>
      <c r="S560" s="231" t="str">
        <f>TEXT(A560,"dddd")</f>
        <v>Tuesday</v>
      </c>
    </row>
    <row r="561" spans="1:19" x14ac:dyDescent="0.25">
      <c r="A561" s="226">
        <v>46582</v>
      </c>
      <c r="B561" s="227">
        <f>O560</f>
        <v>100</v>
      </c>
      <c r="C561" s="228">
        <f>P560</f>
        <v>100</v>
      </c>
      <c r="D561" s="228">
        <f>IF(OR(DAY(A561+2)=1,DAY(A561+2)=15),-SUM('Main Budget'!$H$26:$H$31),0)</f>
        <v>0</v>
      </c>
      <c r="E561" s="228">
        <f>IF(DAY(A561+2)=22,-SUM('Main Budget'!$F$26:$F$31),0)</f>
        <v>0</v>
      </c>
      <c r="F561" s="228">
        <f>IF(D561&gt;0,-'Main Budget'!$H$25+0.15,0)</f>
        <v>0</v>
      </c>
      <c r="G561" s="228">
        <f>IF(E561&gt;0,-'Main Budget'!$F$25+0.81,0)</f>
        <v>0</v>
      </c>
      <c r="H561" s="227">
        <f>IF(DAY(A561)='Main Budget'!$J$26,'Main Budget'!$E$26,0)</f>
        <v>0</v>
      </c>
      <c r="I561" s="227">
        <f>IF(DAY(A561)='Main Budget'!$J$28,'Main Budget'!$E$28,0)</f>
        <v>0</v>
      </c>
      <c r="J561" s="227">
        <f>IF(DAY(A561)='Main Budget'!$J$29,'Main Budget'!$E$29,0)</f>
        <v>0</v>
      </c>
      <c r="K561" s="20">
        <f>IF(DAY(A561)='Main Budget'!$J$30,'Main Budget'!$E$30,0)</f>
        <v>0</v>
      </c>
      <c r="L561" s="20">
        <f>IF(DAY(A561)='Main Budget'!$J$31,'Main Budget'!$E$31,0)</f>
        <v>0</v>
      </c>
      <c r="M561" s="20">
        <f>IF(DAY(A561)='Main Budget'!$J$27,'Main Budget'!$E$27,0)</f>
        <v>0</v>
      </c>
      <c r="O561" s="228">
        <f>B561+(SUM(H561:M561)+(SUM(D561:E561)))</f>
        <v>100</v>
      </c>
      <c r="P561" s="228">
        <f>C561+F561+G561+N561</f>
        <v>100</v>
      </c>
      <c r="Q561" s="252">
        <f>O561+P561</f>
        <v>200</v>
      </c>
      <c r="S561" s="231" t="str">
        <f>TEXT(A561,"dddd")</f>
        <v>Wednesday</v>
      </c>
    </row>
    <row r="562" spans="1:19" x14ac:dyDescent="0.25">
      <c r="A562" s="226">
        <v>46583</v>
      </c>
      <c r="B562" s="227">
        <f>O561</f>
        <v>100</v>
      </c>
      <c r="C562" s="228">
        <f>P561</f>
        <v>100</v>
      </c>
      <c r="D562" s="228">
        <f>IF(OR(DAY(A562+2)=1,DAY(A562+2)=15),-SUM('Main Budget'!$H$26:$H$31),0)</f>
        <v>0</v>
      </c>
      <c r="E562" s="228">
        <f>IF(DAY(A562+2)=22,-SUM('Main Budget'!$F$26:$F$31),0)</f>
        <v>0</v>
      </c>
      <c r="F562" s="228">
        <f>IF(D562&gt;0,-'Main Budget'!$H$25+0.15,0)</f>
        <v>0</v>
      </c>
      <c r="G562" s="228">
        <f>IF(E562&gt;0,-'Main Budget'!$F$25+0.81,0)</f>
        <v>0</v>
      </c>
      <c r="H562" s="227">
        <f>IF(DAY(A562)='Main Budget'!$J$26,'Main Budget'!$E$26,0)</f>
        <v>0</v>
      </c>
      <c r="I562" s="227">
        <f>IF(DAY(A562)='Main Budget'!$J$28,'Main Budget'!$E$28,0)</f>
        <v>0</v>
      </c>
      <c r="J562" s="227">
        <f>IF(DAY(A562)='Main Budget'!$J$29,'Main Budget'!$E$29,0)</f>
        <v>0</v>
      </c>
      <c r="K562" s="20">
        <f>IF(DAY(A562)='Main Budget'!$J$30,'Main Budget'!$E$30,0)</f>
        <v>0</v>
      </c>
      <c r="L562" s="20">
        <f>IF(DAY(A562)='Main Budget'!$J$31,'Main Budget'!$E$31,0)</f>
        <v>0</v>
      </c>
      <c r="M562" s="20">
        <f>IF(DAY(A562)='Main Budget'!$J$27,'Main Budget'!$E$27,0)</f>
        <v>0</v>
      </c>
      <c r="O562" s="228">
        <f>B562+(SUM(H562:M562)+(SUM(D562:E562)))</f>
        <v>100</v>
      </c>
      <c r="P562" s="228">
        <f>C562+F562+G562+N562</f>
        <v>100</v>
      </c>
      <c r="Q562" s="252">
        <f>O562+P562</f>
        <v>200</v>
      </c>
      <c r="S562" s="231" t="str">
        <f>TEXT(A562,"dddd")</f>
        <v>Thursday</v>
      </c>
    </row>
    <row r="563" spans="1:19" x14ac:dyDescent="0.25">
      <c r="A563" s="226">
        <v>46584</v>
      </c>
      <c r="B563" s="227">
        <f>O562</f>
        <v>100</v>
      </c>
      <c r="C563" s="228">
        <f>P562</f>
        <v>100</v>
      </c>
      <c r="D563" s="228">
        <f>IF(OR(DAY(A563+2)=1,DAY(A563+2)=15),-SUM('Main Budget'!$H$26:$H$31),0)</f>
        <v>0</v>
      </c>
      <c r="E563" s="228">
        <f>IF(DAY(A563+2)=22,-SUM('Main Budget'!$F$26:$F$31),0)</f>
        <v>0</v>
      </c>
      <c r="F563" s="228">
        <f>IF(D563&gt;0,-'Main Budget'!$H$25+0.15,0)</f>
        <v>0</v>
      </c>
      <c r="G563" s="228">
        <f>IF(E563&gt;0,-'Main Budget'!$F$25+0.81,0)</f>
        <v>0</v>
      </c>
      <c r="H563" s="227">
        <f>IF(DAY(A563)='Main Budget'!$J$26,'Main Budget'!$E$26,0)</f>
        <v>0</v>
      </c>
      <c r="I563" s="227">
        <f>IF(DAY(A563)='Main Budget'!$J$28,'Main Budget'!$E$28,0)</f>
        <v>0</v>
      </c>
      <c r="J563" s="227">
        <f>IF(DAY(A563)='Main Budget'!$J$29,'Main Budget'!$E$29,0)</f>
        <v>0</v>
      </c>
      <c r="K563" s="20">
        <f>IF(DAY(A563)='Main Budget'!$J$30,'Main Budget'!$E$30,0)</f>
        <v>0</v>
      </c>
      <c r="L563" s="20">
        <f>IF(DAY(A563)='Main Budget'!$J$31,'Main Budget'!$E$31,0)</f>
        <v>0</v>
      </c>
      <c r="M563" s="20">
        <f>IF(DAY(A563)='Main Budget'!$J$27,'Main Budget'!$E$27,0)</f>
        <v>0</v>
      </c>
      <c r="O563" s="228">
        <f>B563+(SUM(H563:M563)+(SUM(D563:E563)))</f>
        <v>100</v>
      </c>
      <c r="P563" s="228">
        <f>C563+F563+G563+N563</f>
        <v>100</v>
      </c>
      <c r="Q563" s="252">
        <f>O563+P563</f>
        <v>200</v>
      </c>
      <c r="S563" s="231" t="str">
        <f>TEXT(A563,"dddd")</f>
        <v>Friday</v>
      </c>
    </row>
    <row r="564" spans="1:19" x14ac:dyDescent="0.25">
      <c r="A564" s="226">
        <v>46585</v>
      </c>
      <c r="B564" s="227">
        <f>O563</f>
        <v>100</v>
      </c>
      <c r="C564" s="228">
        <f>P563</f>
        <v>100</v>
      </c>
      <c r="D564" s="228">
        <f>IF(OR(DAY(A564+2)=1,DAY(A564+2)=15),-SUM('Main Budget'!$H$26:$H$31),0)</f>
        <v>0</v>
      </c>
      <c r="E564" s="228">
        <f>IF(DAY(A564+2)=22,-SUM('Main Budget'!$F$26:$F$31),0)</f>
        <v>0</v>
      </c>
      <c r="F564" s="228">
        <f>IF(D564&gt;0,-'Main Budget'!$H$25+0.15,0)</f>
        <v>0</v>
      </c>
      <c r="G564" s="228">
        <f>IF(E564&gt;0,-'Main Budget'!$F$25+0.81,0)</f>
        <v>0</v>
      </c>
      <c r="H564" s="227">
        <f>IF(DAY(A564)='Main Budget'!$J$26,'Main Budget'!$E$26,0)</f>
        <v>0</v>
      </c>
      <c r="I564" s="227">
        <f>IF(DAY(A564)='Main Budget'!$J$28,'Main Budget'!$E$28,0)</f>
        <v>0</v>
      </c>
      <c r="J564" s="227">
        <f>IF(DAY(A564)='Main Budget'!$J$29,'Main Budget'!$E$29,0)</f>
        <v>0</v>
      </c>
      <c r="K564" s="20">
        <f>IF(DAY(A564)='Main Budget'!$J$30,'Main Budget'!$E$30,0)</f>
        <v>0</v>
      </c>
      <c r="L564" s="20">
        <f>IF(DAY(A564)='Main Budget'!$J$31,'Main Budget'!$E$31,0)</f>
        <v>0</v>
      </c>
      <c r="M564" s="20">
        <f>IF(DAY(A564)='Main Budget'!$J$27,'Main Budget'!$E$27,0)</f>
        <v>0</v>
      </c>
      <c r="O564" s="228">
        <f>B564+(SUM(H564:M564)+(SUM(D564:E564)))</f>
        <v>100</v>
      </c>
      <c r="P564" s="228">
        <f>C564+F564+G564+N564</f>
        <v>100</v>
      </c>
      <c r="Q564" s="252">
        <f>O564+P564</f>
        <v>200</v>
      </c>
      <c r="S564" s="231" t="str">
        <f>TEXT(A564,"dddd")</f>
        <v>Saturday</v>
      </c>
    </row>
    <row r="565" spans="1:19" x14ac:dyDescent="0.25">
      <c r="A565" s="226">
        <v>46586</v>
      </c>
      <c r="B565" s="227">
        <f>O564</f>
        <v>100</v>
      </c>
      <c r="C565" s="228">
        <f>P564</f>
        <v>100</v>
      </c>
      <c r="D565" s="228">
        <f>IF(OR(DAY(A565+2)=1,DAY(A565+2)=15),-SUM('Main Budget'!$H$26:$H$31),0)</f>
        <v>0</v>
      </c>
      <c r="E565" s="228">
        <f>IF(DAY(A565+2)=22,-SUM('Main Budget'!$F$26:$F$31),0)</f>
        <v>0</v>
      </c>
      <c r="F565" s="228">
        <f>IF(D565&gt;0,-'Main Budget'!$H$25+0.15,0)</f>
        <v>0</v>
      </c>
      <c r="G565" s="228">
        <f>IF(E565&gt;0,-'Main Budget'!$F$25+0.81,0)</f>
        <v>0</v>
      </c>
      <c r="H565" s="227">
        <f>IF(DAY(A565)='Main Budget'!$J$26,'Main Budget'!$E$26,0)</f>
        <v>0</v>
      </c>
      <c r="I565" s="227">
        <f>IF(DAY(A565)='Main Budget'!$J$28,'Main Budget'!$E$28,0)</f>
        <v>0</v>
      </c>
      <c r="J565" s="227">
        <f>IF(DAY(A565)='Main Budget'!$J$29,'Main Budget'!$E$29,0)</f>
        <v>0</v>
      </c>
      <c r="K565" s="20">
        <f>IF(DAY(A565)='Main Budget'!$J$30,'Main Budget'!$E$30,0)</f>
        <v>0</v>
      </c>
      <c r="L565" s="20">
        <f>IF(DAY(A565)='Main Budget'!$J$31,'Main Budget'!$E$31,0)</f>
        <v>0</v>
      </c>
      <c r="M565" s="20">
        <f>IF(DAY(A565)='Main Budget'!$J$27,'Main Budget'!$E$27,0)</f>
        <v>0</v>
      </c>
      <c r="O565" s="228">
        <f>B565+(SUM(H565:M565)+(SUM(D565:E565)))</f>
        <v>100</v>
      </c>
      <c r="P565" s="228">
        <f>C565+F565+G565+N565</f>
        <v>100</v>
      </c>
      <c r="Q565" s="252">
        <f>O565+P565</f>
        <v>200</v>
      </c>
      <c r="S565" s="231" t="str">
        <f>TEXT(A565,"dddd")</f>
        <v>Sunday</v>
      </c>
    </row>
    <row r="566" spans="1:19" x14ac:dyDescent="0.25">
      <c r="A566" s="226">
        <v>46587</v>
      </c>
      <c r="B566" s="227">
        <f>O565</f>
        <v>100</v>
      </c>
      <c r="C566" s="228">
        <f>P565</f>
        <v>100</v>
      </c>
      <c r="D566" s="228">
        <f>IF(OR(DAY(A566+2)=1,DAY(A566+2)=15),-SUM('Main Budget'!$H$26:$H$31),0)</f>
        <v>0</v>
      </c>
      <c r="E566" s="228">
        <f>IF(DAY(A566+2)=22,-SUM('Main Budget'!$F$26:$F$31),0)</f>
        <v>0</v>
      </c>
      <c r="F566" s="228">
        <f>IF(D566&gt;0,-'Main Budget'!$H$25+0.15,0)</f>
        <v>0</v>
      </c>
      <c r="G566" s="228">
        <f>IF(E566&gt;0,-'Main Budget'!$F$25+0.81,0)</f>
        <v>0</v>
      </c>
      <c r="H566" s="227">
        <f>IF(DAY(A566)='Main Budget'!$J$26,'Main Budget'!$E$26,0)</f>
        <v>0</v>
      </c>
      <c r="I566" s="227">
        <f>IF(DAY(A566)='Main Budget'!$J$28,'Main Budget'!$E$28,0)</f>
        <v>0</v>
      </c>
      <c r="J566" s="227">
        <f>IF(DAY(A566)='Main Budget'!$J$29,'Main Budget'!$E$29,0)</f>
        <v>0</v>
      </c>
      <c r="K566" s="20">
        <f>IF(DAY(A566)='Main Budget'!$J$30,'Main Budget'!$E$30,0)</f>
        <v>0</v>
      </c>
      <c r="L566" s="20">
        <f>IF(DAY(A566)='Main Budget'!$J$31,'Main Budget'!$E$31,0)</f>
        <v>0</v>
      </c>
      <c r="M566" s="20">
        <f>IF(DAY(A566)='Main Budget'!$J$27,'Main Budget'!$E$27,0)</f>
        <v>0</v>
      </c>
      <c r="O566" s="228">
        <f>B566+(SUM(H566:M566)+(SUM(D566:E566)))</f>
        <v>100</v>
      </c>
      <c r="P566" s="228">
        <f>C566+F566+G566+N566</f>
        <v>100</v>
      </c>
      <c r="Q566" s="252">
        <f>O566+P566</f>
        <v>200</v>
      </c>
      <c r="S566" s="231" t="str">
        <f>TEXT(A566,"dddd")</f>
        <v>Monday</v>
      </c>
    </row>
    <row r="567" spans="1:19" x14ac:dyDescent="0.25">
      <c r="A567" s="226">
        <v>46588</v>
      </c>
      <c r="B567" s="227">
        <f>O566</f>
        <v>100</v>
      </c>
      <c r="C567" s="228">
        <f>P566</f>
        <v>100</v>
      </c>
      <c r="D567" s="228">
        <f>IF(OR(DAY(A567+2)=1,DAY(A567+2)=15),-SUM('Main Budget'!$H$26:$H$31),0)</f>
        <v>0</v>
      </c>
      <c r="E567" s="228">
        <f>IF(DAY(A567+2)=22,-SUM('Main Budget'!$F$26:$F$31),0)</f>
        <v>0</v>
      </c>
      <c r="F567" s="228">
        <f>IF(D567&gt;0,-'Main Budget'!$H$25+0.15,0)</f>
        <v>0</v>
      </c>
      <c r="G567" s="228">
        <f>IF(E567&gt;0,-'Main Budget'!$F$25+0.81,0)</f>
        <v>0</v>
      </c>
      <c r="H567" s="227">
        <f>IF(DAY(A567)='Main Budget'!$J$26,'Main Budget'!$E$26,0)</f>
        <v>0</v>
      </c>
      <c r="I567" s="227">
        <f>IF(DAY(A567)='Main Budget'!$J$28,'Main Budget'!$E$28,0)</f>
        <v>0</v>
      </c>
      <c r="J567" s="227">
        <f>IF(DAY(A567)='Main Budget'!$J$29,'Main Budget'!$E$29,0)</f>
        <v>0</v>
      </c>
      <c r="K567" s="20">
        <f>IF(DAY(A567)='Main Budget'!$J$30,'Main Budget'!$E$30,0)</f>
        <v>0</v>
      </c>
      <c r="L567" s="20">
        <f>IF(DAY(A567)='Main Budget'!$J$31,'Main Budget'!$E$31,0)</f>
        <v>0</v>
      </c>
      <c r="M567" s="20">
        <f>IF(DAY(A567)='Main Budget'!$J$27,'Main Budget'!$E$27,0)</f>
        <v>0</v>
      </c>
      <c r="O567" s="228">
        <f>B567+(SUM(H567:M567)+(SUM(D567:E567)))</f>
        <v>100</v>
      </c>
      <c r="P567" s="228">
        <f>C567+F567+G567+N567</f>
        <v>100</v>
      </c>
      <c r="Q567" s="252">
        <f>O567+P567</f>
        <v>200</v>
      </c>
      <c r="S567" s="231" t="str">
        <f>TEXT(A567,"dddd")</f>
        <v>Tuesday</v>
      </c>
    </row>
    <row r="568" spans="1:19" x14ac:dyDescent="0.25">
      <c r="A568" s="226">
        <v>46589</v>
      </c>
      <c r="B568" s="227">
        <f>O567</f>
        <v>100</v>
      </c>
      <c r="C568" s="228">
        <f>P567</f>
        <v>100</v>
      </c>
      <c r="D568" s="228">
        <f>IF(OR(DAY(A568+2)=1,DAY(A568+2)=15),-SUM('Main Budget'!$H$26:$H$31),0)</f>
        <v>0</v>
      </c>
      <c r="E568" s="228">
        <f>IF(DAY(A568+2)=22,-SUM('Main Budget'!$F$26:$F$31),0)</f>
        <v>0</v>
      </c>
      <c r="F568" s="228">
        <f>IF(D568&gt;0,-'Main Budget'!$H$25+0.15,0)</f>
        <v>0</v>
      </c>
      <c r="G568" s="228">
        <f>IF(E568&gt;0,-'Main Budget'!$F$25+0.81,0)</f>
        <v>0</v>
      </c>
      <c r="H568" s="227">
        <f>IF(DAY(A568)='Main Budget'!$J$26,'Main Budget'!$E$26,0)</f>
        <v>0</v>
      </c>
      <c r="I568" s="227">
        <f>IF(DAY(A568)='Main Budget'!$J$28,'Main Budget'!$E$28,0)</f>
        <v>0</v>
      </c>
      <c r="J568" s="227">
        <f>IF(DAY(A568)='Main Budget'!$J$29,'Main Budget'!$E$29,0)</f>
        <v>0</v>
      </c>
      <c r="K568" s="20">
        <f>IF(DAY(A568)='Main Budget'!$J$30,'Main Budget'!$E$30,0)</f>
        <v>0</v>
      </c>
      <c r="L568" s="20">
        <f>IF(DAY(A568)='Main Budget'!$J$31,'Main Budget'!$E$31,0)</f>
        <v>0</v>
      </c>
      <c r="M568" s="20">
        <f>IF(DAY(A568)='Main Budget'!$J$27,'Main Budget'!$E$27,0)</f>
        <v>0</v>
      </c>
      <c r="O568" s="228">
        <f>B568+(SUM(H568:M568)+(SUM(D568:E568)))</f>
        <v>100</v>
      </c>
      <c r="P568" s="228">
        <f>C568+F568+G568+N568</f>
        <v>100</v>
      </c>
      <c r="Q568" s="252">
        <f>O568+P568</f>
        <v>200</v>
      </c>
      <c r="S568" s="231" t="str">
        <f>TEXT(A568,"dddd")</f>
        <v>Wednesday</v>
      </c>
    </row>
    <row r="569" spans="1:19" x14ac:dyDescent="0.25">
      <c r="A569" s="226">
        <v>46590</v>
      </c>
      <c r="B569" s="227">
        <f>O568</f>
        <v>100</v>
      </c>
      <c r="C569" s="228">
        <f>P568</f>
        <v>100</v>
      </c>
      <c r="D569" s="228">
        <f>IF(OR(DAY(A569+2)=1,DAY(A569+2)=15),-SUM('Main Budget'!$H$26:$H$31),0)</f>
        <v>0</v>
      </c>
      <c r="E569" s="228">
        <f>IF(DAY(A569+2)=22,-SUM('Main Budget'!$F$26:$F$31),0)</f>
        <v>0</v>
      </c>
      <c r="F569" s="228">
        <f>IF(D569&gt;0,-'Main Budget'!$H$25+0.15,0)</f>
        <v>0</v>
      </c>
      <c r="G569" s="228">
        <f>IF(E569&gt;0,-'Main Budget'!$F$25+0.81,0)</f>
        <v>0</v>
      </c>
      <c r="H569" s="227">
        <f>IF(DAY(A569)='Main Budget'!$J$26,'Main Budget'!$E$26,0)</f>
        <v>0</v>
      </c>
      <c r="I569" s="227">
        <f>IF(DAY(A569)='Main Budget'!$J$28,'Main Budget'!$E$28,0)</f>
        <v>0</v>
      </c>
      <c r="J569" s="227">
        <f>IF(DAY(A569)='Main Budget'!$J$29,'Main Budget'!$E$29,0)</f>
        <v>0</v>
      </c>
      <c r="K569" s="20">
        <f>IF(DAY(A569)='Main Budget'!$J$30,'Main Budget'!$E$30,0)</f>
        <v>0</v>
      </c>
      <c r="L569" s="20">
        <f>IF(DAY(A569)='Main Budget'!$J$31,'Main Budget'!$E$31,0)</f>
        <v>0</v>
      </c>
      <c r="M569" s="20">
        <f>IF(DAY(A569)='Main Budget'!$J$27,'Main Budget'!$E$27,0)</f>
        <v>0</v>
      </c>
      <c r="O569" s="228">
        <f>B569+(SUM(H569:M569)+(SUM(D569:E569)))</f>
        <v>100</v>
      </c>
      <c r="P569" s="228">
        <f>C569+F569+G569+N569</f>
        <v>100</v>
      </c>
      <c r="Q569" s="252">
        <f>O569+P569</f>
        <v>200</v>
      </c>
      <c r="S569" s="231" t="str">
        <f>TEXT(A569,"dddd")</f>
        <v>Thursday</v>
      </c>
    </row>
    <row r="570" spans="1:19" x14ac:dyDescent="0.25">
      <c r="A570" s="226">
        <v>46591</v>
      </c>
      <c r="B570" s="227">
        <f>O569</f>
        <v>100</v>
      </c>
      <c r="C570" s="228">
        <f>P569</f>
        <v>100</v>
      </c>
      <c r="D570" s="228">
        <f>IF(OR(DAY(A570+2)=1,DAY(A570+2)=15),-SUM('Main Budget'!$H$26:$H$31),0)</f>
        <v>0</v>
      </c>
      <c r="E570" s="228">
        <f>IF(DAY(A570+2)=22,-SUM('Main Budget'!$F$26:$F$31),0)</f>
        <v>0</v>
      </c>
      <c r="F570" s="228">
        <f>IF(D570&gt;0,-'Main Budget'!$H$25+0.15,0)</f>
        <v>0</v>
      </c>
      <c r="G570" s="228">
        <f>IF(E570&gt;0,-'Main Budget'!$F$25+0.81,0)</f>
        <v>0</v>
      </c>
      <c r="H570" s="227">
        <f>IF(DAY(A570)='Main Budget'!$J$26,'Main Budget'!$E$26,0)</f>
        <v>0</v>
      </c>
      <c r="I570" s="227">
        <f>IF(DAY(A570)='Main Budget'!$J$28,'Main Budget'!$E$28,0)</f>
        <v>0</v>
      </c>
      <c r="J570" s="227">
        <f>IF(DAY(A570)='Main Budget'!$J$29,'Main Budget'!$E$29,0)</f>
        <v>0</v>
      </c>
      <c r="K570" s="20">
        <f>IF(DAY(A570)='Main Budget'!$J$30,'Main Budget'!$E$30,0)</f>
        <v>0</v>
      </c>
      <c r="L570" s="20">
        <f>IF(DAY(A570)='Main Budget'!$J$31,'Main Budget'!$E$31,0)</f>
        <v>0</v>
      </c>
      <c r="M570" s="20">
        <f>IF(DAY(A570)='Main Budget'!$J$27,'Main Budget'!$E$27,0)</f>
        <v>0</v>
      </c>
      <c r="O570" s="228">
        <f>B570+(SUM(H570:M570)+(SUM(D570:E570)))</f>
        <v>100</v>
      </c>
      <c r="P570" s="228">
        <f>C570+F570+G570+N570</f>
        <v>100</v>
      </c>
      <c r="Q570" s="252">
        <f>O570+P570</f>
        <v>200</v>
      </c>
      <c r="S570" s="231" t="str">
        <f>TEXT(A570,"dddd")</f>
        <v>Friday</v>
      </c>
    </row>
    <row r="571" spans="1:19" x14ac:dyDescent="0.25">
      <c r="A571" s="226">
        <v>46592</v>
      </c>
      <c r="B571" s="227">
        <f>O570</f>
        <v>100</v>
      </c>
      <c r="C571" s="228">
        <f>P570</f>
        <v>100</v>
      </c>
      <c r="D571" s="228">
        <f>IF(OR(DAY(A571+2)=1,DAY(A571+2)=15),-SUM('Main Budget'!$H$26:$H$31),0)</f>
        <v>0</v>
      </c>
      <c r="E571" s="228">
        <f>IF(DAY(A571+2)=22,-SUM('Main Budget'!$F$26:$F$31),0)</f>
        <v>0</v>
      </c>
      <c r="F571" s="228">
        <f>IF(D571&gt;0,-'Main Budget'!$H$25+0.15,0)</f>
        <v>0</v>
      </c>
      <c r="G571" s="228">
        <f>IF(E571&gt;0,-'Main Budget'!$F$25+0.81,0)</f>
        <v>0</v>
      </c>
      <c r="H571" s="227">
        <f>IF(DAY(A571)='Main Budget'!$J$26,'Main Budget'!$E$26,0)</f>
        <v>0</v>
      </c>
      <c r="I571" s="227">
        <f>IF(DAY(A571)='Main Budget'!$J$28,'Main Budget'!$E$28,0)</f>
        <v>0</v>
      </c>
      <c r="J571" s="227">
        <f>IF(DAY(A571)='Main Budget'!$J$29,'Main Budget'!$E$29,0)</f>
        <v>0</v>
      </c>
      <c r="K571" s="20">
        <f>IF(DAY(A571)='Main Budget'!$J$30,'Main Budget'!$E$30,0)</f>
        <v>0</v>
      </c>
      <c r="L571" s="20">
        <f>IF(DAY(A571)='Main Budget'!$J$31,'Main Budget'!$E$31,0)</f>
        <v>0</v>
      </c>
      <c r="M571" s="20">
        <f>IF(DAY(A571)='Main Budget'!$J$27,'Main Budget'!$E$27,0)</f>
        <v>0</v>
      </c>
      <c r="O571" s="228">
        <f>B571+(SUM(H571:M571)+(SUM(D571:E571)))</f>
        <v>100</v>
      </c>
      <c r="P571" s="228">
        <f>C571+F571+G571+N571</f>
        <v>100</v>
      </c>
      <c r="Q571" s="252">
        <f>O571+P571</f>
        <v>200</v>
      </c>
      <c r="S571" s="231" t="str">
        <f>TEXT(A571,"dddd")</f>
        <v>Saturday</v>
      </c>
    </row>
    <row r="572" spans="1:19" x14ac:dyDescent="0.25">
      <c r="A572" s="226">
        <v>46593</v>
      </c>
      <c r="B572" s="227">
        <f>O571</f>
        <v>100</v>
      </c>
      <c r="C572" s="228">
        <f>P571</f>
        <v>100</v>
      </c>
      <c r="D572" s="228">
        <f>IF(OR(DAY(A572+2)=1,DAY(A572+2)=15),-SUM('Main Budget'!$H$26:$H$31),0)</f>
        <v>0</v>
      </c>
      <c r="E572" s="228">
        <f>IF(DAY(A572+2)=22,-SUM('Main Budget'!$F$26:$F$31),0)</f>
        <v>0</v>
      </c>
      <c r="F572" s="228">
        <f>IF(D572&gt;0,-'Main Budget'!$H$25+0.15,0)</f>
        <v>0</v>
      </c>
      <c r="G572" s="228">
        <f>IF(E572&gt;0,-'Main Budget'!$F$25+0.81,0)</f>
        <v>0</v>
      </c>
      <c r="H572" s="227">
        <f>IF(DAY(A572)='Main Budget'!$J$26,'Main Budget'!$E$26,0)</f>
        <v>0</v>
      </c>
      <c r="I572" s="227">
        <f>IF(DAY(A572)='Main Budget'!$J$28,'Main Budget'!$E$28,0)</f>
        <v>0</v>
      </c>
      <c r="J572" s="227">
        <f>IF(DAY(A572)='Main Budget'!$J$29,'Main Budget'!$E$29,0)</f>
        <v>0</v>
      </c>
      <c r="K572" s="20">
        <f>IF(DAY(A572)='Main Budget'!$J$30,'Main Budget'!$E$30,0)</f>
        <v>0</v>
      </c>
      <c r="L572" s="20">
        <f>IF(DAY(A572)='Main Budget'!$J$31,'Main Budget'!$E$31,0)</f>
        <v>0</v>
      </c>
      <c r="M572" s="20">
        <f>IF(DAY(A572)='Main Budget'!$J$27,'Main Budget'!$E$27,0)</f>
        <v>0</v>
      </c>
      <c r="O572" s="228">
        <f>B572+(SUM(H572:M572)+(SUM(D572:E572)))</f>
        <v>100</v>
      </c>
      <c r="P572" s="228">
        <f>C572+F572+G572+N572</f>
        <v>100</v>
      </c>
      <c r="Q572" s="252">
        <f>O572+P572</f>
        <v>200</v>
      </c>
      <c r="S572" s="231" t="str">
        <f>TEXT(A572,"dddd")</f>
        <v>Sunday</v>
      </c>
    </row>
    <row r="573" spans="1:19" x14ac:dyDescent="0.25">
      <c r="A573" s="226">
        <v>46594</v>
      </c>
      <c r="B573" s="227">
        <f>O572</f>
        <v>100</v>
      </c>
      <c r="C573" s="228">
        <f>P572</f>
        <v>100</v>
      </c>
      <c r="D573" s="228">
        <f>IF(OR(DAY(A573+2)=1,DAY(A573+2)=15),-SUM('Main Budget'!$H$26:$H$31),0)</f>
        <v>0</v>
      </c>
      <c r="E573" s="228">
        <f>IF(DAY(A573+2)=22,-SUM('Main Budget'!$F$26:$F$31),0)</f>
        <v>0</v>
      </c>
      <c r="F573" s="228">
        <f>IF(D573&gt;0,-'Main Budget'!$H$25+0.15,0)</f>
        <v>0</v>
      </c>
      <c r="G573" s="228">
        <f>IF(E573&gt;0,-'Main Budget'!$F$25+0.81,0)</f>
        <v>0</v>
      </c>
      <c r="H573" s="227">
        <f>IF(DAY(A573)='Main Budget'!$J$26,'Main Budget'!$E$26,0)</f>
        <v>0</v>
      </c>
      <c r="I573" s="227">
        <f>IF(DAY(A573)='Main Budget'!$J$28,'Main Budget'!$E$28,0)</f>
        <v>0</v>
      </c>
      <c r="J573" s="227">
        <f>IF(DAY(A573)='Main Budget'!$J$29,'Main Budget'!$E$29,0)</f>
        <v>0</v>
      </c>
      <c r="K573" s="20">
        <f>IF(DAY(A573)='Main Budget'!$J$30,'Main Budget'!$E$30,0)</f>
        <v>0</v>
      </c>
      <c r="L573" s="20">
        <f>IF(DAY(A573)='Main Budget'!$J$31,'Main Budget'!$E$31,0)</f>
        <v>0</v>
      </c>
      <c r="M573" s="20">
        <f>IF(DAY(A573)='Main Budget'!$J$27,'Main Budget'!$E$27,0)</f>
        <v>0</v>
      </c>
      <c r="O573" s="228">
        <f>B573+(SUM(H573:M573)+(SUM(D573:E573)))</f>
        <v>100</v>
      </c>
      <c r="P573" s="228">
        <f>C573+F573+G573+N573</f>
        <v>100</v>
      </c>
      <c r="Q573" s="252">
        <f>O573+P573</f>
        <v>200</v>
      </c>
      <c r="S573" s="231" t="str">
        <f>TEXT(A573,"dddd")</f>
        <v>Monday</v>
      </c>
    </row>
    <row r="574" spans="1:19" x14ac:dyDescent="0.25">
      <c r="A574" s="226">
        <v>46595</v>
      </c>
      <c r="B574" s="227">
        <f>O573</f>
        <v>100</v>
      </c>
      <c r="C574" s="228">
        <f>P573</f>
        <v>100</v>
      </c>
      <c r="D574" s="228">
        <f>IF(OR(DAY(A574+2)=1,DAY(A574+2)=15),-SUM('Main Budget'!$H$26:$H$31),0)</f>
        <v>0</v>
      </c>
      <c r="E574" s="228">
        <f>IF(DAY(A574+2)=22,-SUM('Main Budget'!$F$26:$F$31),0)</f>
        <v>0</v>
      </c>
      <c r="F574" s="228">
        <f>IF(D574&gt;0,-'Main Budget'!$H$25+0.15,0)</f>
        <v>0</v>
      </c>
      <c r="G574" s="228">
        <f>IF(E574&gt;0,-'Main Budget'!$F$25+0.81,0)</f>
        <v>0</v>
      </c>
      <c r="H574" s="227">
        <f>IF(DAY(A574)='Main Budget'!$J$26,'Main Budget'!$E$26,0)</f>
        <v>0</v>
      </c>
      <c r="I574" s="227">
        <f>IF(DAY(A574)='Main Budget'!$J$28,'Main Budget'!$E$28,0)</f>
        <v>0</v>
      </c>
      <c r="J574" s="227">
        <f>IF(DAY(A574)='Main Budget'!$J$29,'Main Budget'!$E$29,0)</f>
        <v>0</v>
      </c>
      <c r="K574" s="20">
        <f>IF(DAY(A574)='Main Budget'!$J$30,'Main Budget'!$E$30,0)</f>
        <v>0</v>
      </c>
      <c r="L574" s="20">
        <f>IF(DAY(A574)='Main Budget'!$J$31,'Main Budget'!$E$31,0)</f>
        <v>0</v>
      </c>
      <c r="M574" s="20">
        <f>IF(DAY(A574)='Main Budget'!$J$27,'Main Budget'!$E$27,0)</f>
        <v>0</v>
      </c>
      <c r="O574" s="228">
        <f>B574+(SUM(H574:M574)+(SUM(D574:E574)))</f>
        <v>100</v>
      </c>
      <c r="P574" s="228">
        <f>C574+F574+G574+N574</f>
        <v>100</v>
      </c>
      <c r="Q574" s="252">
        <f>O574+P574</f>
        <v>200</v>
      </c>
      <c r="S574" s="231" t="str">
        <f>TEXT(A574,"dddd")</f>
        <v>Tuesday</v>
      </c>
    </row>
    <row r="575" spans="1:19" x14ac:dyDescent="0.25">
      <c r="A575" s="226">
        <v>46596</v>
      </c>
      <c r="B575" s="227">
        <f>O574</f>
        <v>100</v>
      </c>
      <c r="C575" s="228">
        <f>P574</f>
        <v>100</v>
      </c>
      <c r="D575" s="228">
        <f>IF(OR(DAY(A575+2)=1,DAY(A575+2)=15),-SUM('Main Budget'!$H$26:$H$31),0)</f>
        <v>0</v>
      </c>
      <c r="E575" s="228">
        <f>IF(DAY(A575+2)=22,-SUM('Main Budget'!$F$26:$F$31),0)</f>
        <v>0</v>
      </c>
      <c r="F575" s="228">
        <f>IF(D575&gt;0,-'Main Budget'!$H$25+0.15,0)</f>
        <v>0</v>
      </c>
      <c r="G575" s="228">
        <f>IF(E575&gt;0,-'Main Budget'!$F$25+0.81,0)</f>
        <v>0</v>
      </c>
      <c r="H575" s="227">
        <f>IF(DAY(A575)='Main Budget'!$J$26,'Main Budget'!$E$26,0)</f>
        <v>0</v>
      </c>
      <c r="I575" s="227">
        <f>IF(DAY(A575)='Main Budget'!$J$28,'Main Budget'!$E$28,0)</f>
        <v>0</v>
      </c>
      <c r="J575" s="227">
        <f>IF(DAY(A575)='Main Budget'!$J$29,'Main Budget'!$E$29,0)</f>
        <v>0</v>
      </c>
      <c r="K575" s="20">
        <f>IF(DAY(A575)='Main Budget'!$J$30,'Main Budget'!$E$30,0)</f>
        <v>0</v>
      </c>
      <c r="L575" s="20">
        <f>IF(DAY(A575)='Main Budget'!$J$31,'Main Budget'!$E$31,0)</f>
        <v>0</v>
      </c>
      <c r="M575" s="20">
        <f>IF(DAY(A575)='Main Budget'!$J$27,'Main Budget'!$E$27,0)</f>
        <v>0</v>
      </c>
      <c r="O575" s="228">
        <f>B575+(SUM(H575:M575)+(SUM(D575:E575)))</f>
        <v>100</v>
      </c>
      <c r="P575" s="228">
        <f>C575+F575+G575+N575</f>
        <v>100</v>
      </c>
      <c r="Q575" s="252">
        <f>O575+P575</f>
        <v>200</v>
      </c>
      <c r="S575" s="231" t="str">
        <f>TEXT(A575,"dddd")</f>
        <v>Wednesday</v>
      </c>
    </row>
    <row r="576" spans="1:19" x14ac:dyDescent="0.25">
      <c r="A576" s="226">
        <v>46597</v>
      </c>
      <c r="B576" s="227">
        <f>O575</f>
        <v>100</v>
      </c>
      <c r="C576" s="228">
        <f>P575</f>
        <v>100</v>
      </c>
      <c r="D576" s="228">
        <f>IF(OR(DAY(A576+2)=1,DAY(A576+2)=15),-SUM('Main Budget'!$H$26:$H$31),0)</f>
        <v>0</v>
      </c>
      <c r="E576" s="228">
        <f>IF(DAY(A576+2)=22,-SUM('Main Budget'!$F$26:$F$31),0)</f>
        <v>0</v>
      </c>
      <c r="F576" s="228">
        <f>IF(D576&gt;0,-'Main Budget'!$H$25+0.15,0)</f>
        <v>0</v>
      </c>
      <c r="G576" s="228">
        <f>IF(E576&gt;0,-'Main Budget'!$F$25+0.81,0)</f>
        <v>0</v>
      </c>
      <c r="H576" s="227">
        <f>IF(DAY(A576)='Main Budget'!$J$26,'Main Budget'!$E$26,0)</f>
        <v>0</v>
      </c>
      <c r="I576" s="227">
        <f>IF(DAY(A576)='Main Budget'!$J$28,'Main Budget'!$E$28,0)</f>
        <v>0</v>
      </c>
      <c r="J576" s="227">
        <f>IF(DAY(A576)='Main Budget'!$J$29,'Main Budget'!$E$29,0)</f>
        <v>0</v>
      </c>
      <c r="K576" s="20">
        <f>IF(DAY(A576)='Main Budget'!$J$30,'Main Budget'!$E$30,0)</f>
        <v>0</v>
      </c>
      <c r="L576" s="20">
        <f>IF(DAY(A576)='Main Budget'!$J$31,'Main Budget'!$E$31,0)</f>
        <v>0</v>
      </c>
      <c r="M576" s="20">
        <f>IF(DAY(A576)='Main Budget'!$J$27,'Main Budget'!$E$27,0)</f>
        <v>0</v>
      </c>
      <c r="O576" s="228">
        <f>B576+(SUM(H576:M576)+(SUM(D576:E576)))</f>
        <v>100</v>
      </c>
      <c r="P576" s="228">
        <f>C576+F576+G576+N576</f>
        <v>100</v>
      </c>
      <c r="Q576" s="252">
        <f>O576+P576</f>
        <v>200</v>
      </c>
      <c r="S576" s="231" t="str">
        <f>TEXT(A576,"dddd")</f>
        <v>Thursday</v>
      </c>
    </row>
    <row r="577" spans="1:19" x14ac:dyDescent="0.25">
      <c r="A577" s="226">
        <v>46598</v>
      </c>
      <c r="B577" s="227">
        <f>O576</f>
        <v>100</v>
      </c>
      <c r="C577" s="228">
        <f>P576</f>
        <v>100</v>
      </c>
      <c r="D577" s="228">
        <f>IF(OR(DAY(A577+2)=1,DAY(A577+2)=15),-SUM('Main Budget'!$H$26:$H$31),0)</f>
        <v>0</v>
      </c>
      <c r="E577" s="228">
        <f>IF(DAY(A577+2)=22,-SUM('Main Budget'!$F$26:$F$31),0)</f>
        <v>0</v>
      </c>
      <c r="F577" s="228">
        <f>IF(D577&gt;0,-'Main Budget'!$H$25+0.15,0)</f>
        <v>0</v>
      </c>
      <c r="G577" s="228">
        <f>IF(E577&gt;0,-'Main Budget'!$F$25+0.81,0)</f>
        <v>0</v>
      </c>
      <c r="H577" s="227">
        <f>IF(DAY(A577)='Main Budget'!$J$26,'Main Budget'!$E$26,0)</f>
        <v>0</v>
      </c>
      <c r="I577" s="227">
        <f>IF(DAY(A577)='Main Budget'!$J$28,'Main Budget'!$E$28,0)</f>
        <v>0</v>
      </c>
      <c r="J577" s="227">
        <f>IF(DAY(A577)='Main Budget'!$J$29,'Main Budget'!$E$29,0)</f>
        <v>0</v>
      </c>
      <c r="K577" s="20">
        <f>IF(DAY(A577)='Main Budget'!$J$30,'Main Budget'!$E$30,0)</f>
        <v>0</v>
      </c>
      <c r="L577" s="20">
        <f>IF(DAY(A577)='Main Budget'!$J$31,'Main Budget'!$E$31,0)</f>
        <v>0</v>
      </c>
      <c r="M577" s="20">
        <f>IF(DAY(A577)='Main Budget'!$J$27,'Main Budget'!$E$27,0)</f>
        <v>0</v>
      </c>
      <c r="O577" s="228">
        <f>B577+(SUM(H577:M577)+(SUM(D577:E577)))</f>
        <v>100</v>
      </c>
      <c r="P577" s="228">
        <f>C577+F577+G577+N577</f>
        <v>100</v>
      </c>
      <c r="Q577" s="252">
        <f>O577+P577</f>
        <v>200</v>
      </c>
      <c r="S577" s="231" t="str">
        <f>TEXT(A577,"dddd")</f>
        <v>Friday</v>
      </c>
    </row>
    <row r="578" spans="1:19" x14ac:dyDescent="0.25">
      <c r="A578" s="226">
        <v>46599</v>
      </c>
      <c r="B578" s="227">
        <f>O577</f>
        <v>100</v>
      </c>
      <c r="C578" s="228">
        <f>P577</f>
        <v>100</v>
      </c>
      <c r="D578" s="228">
        <f>IF(OR(DAY(A578+2)=1,DAY(A578+2)=15),-SUM('Main Budget'!$H$26:$H$31),0)</f>
        <v>0</v>
      </c>
      <c r="E578" s="228">
        <f>IF(DAY(A578+2)=22,-SUM('Main Budget'!$F$26:$F$31),0)</f>
        <v>0</v>
      </c>
      <c r="F578" s="228">
        <f>IF(D578&gt;0,-'Main Budget'!$H$25+0.15,0)</f>
        <v>0</v>
      </c>
      <c r="G578" s="228">
        <f>IF(E578&gt;0,-'Main Budget'!$F$25+0.81,0)</f>
        <v>0</v>
      </c>
      <c r="H578" s="227">
        <f>IF(DAY(A578)='Main Budget'!$J$26,'Main Budget'!$E$26,0)</f>
        <v>0</v>
      </c>
      <c r="I578" s="227">
        <f>IF(DAY(A578)='Main Budget'!$J$28,'Main Budget'!$E$28,0)</f>
        <v>0</v>
      </c>
      <c r="J578" s="227">
        <f>IF(DAY(A578)='Main Budget'!$J$29,'Main Budget'!$E$29,0)</f>
        <v>0</v>
      </c>
      <c r="K578" s="20">
        <f>IF(DAY(A578)='Main Budget'!$J$30,'Main Budget'!$E$30,0)</f>
        <v>0</v>
      </c>
      <c r="L578" s="20">
        <f>IF(DAY(A578)='Main Budget'!$J$31,'Main Budget'!$E$31,0)</f>
        <v>0</v>
      </c>
      <c r="M578" s="20">
        <f>IF(DAY(A578)='Main Budget'!$J$27,'Main Budget'!$E$27,0)</f>
        <v>0</v>
      </c>
      <c r="O578" s="228">
        <f>B578+(SUM(H578:M578)+(SUM(D578:E578)))</f>
        <v>100</v>
      </c>
      <c r="P578" s="228">
        <f>C578+F578+G578+N578</f>
        <v>100</v>
      </c>
      <c r="Q578" s="252">
        <f>O578+P578</f>
        <v>200</v>
      </c>
      <c r="S578" s="231" t="str">
        <f>TEXT(A578,"dddd")</f>
        <v>Saturday</v>
      </c>
    </row>
    <row r="579" spans="1:19" x14ac:dyDescent="0.25">
      <c r="A579" s="226">
        <v>46600</v>
      </c>
      <c r="B579" s="227">
        <f>O578</f>
        <v>100</v>
      </c>
      <c r="C579" s="228">
        <f>P578</f>
        <v>100</v>
      </c>
      <c r="D579" s="228">
        <f>IF(OR(DAY(A579+2)=1,DAY(A579+2)=15),-SUM('Main Budget'!$H$26:$H$31),0)</f>
        <v>0</v>
      </c>
      <c r="E579" s="228">
        <f>IF(DAY(A579+2)=22,-SUM('Main Budget'!$F$26:$F$31),0)</f>
        <v>0</v>
      </c>
      <c r="F579" s="228">
        <f>IF(D579&gt;0,-'Main Budget'!$H$25+0.15,0)</f>
        <v>0</v>
      </c>
      <c r="G579" s="228">
        <f>IF(E579&gt;0,-'Main Budget'!$F$25+0.81,0)</f>
        <v>0</v>
      </c>
      <c r="H579" s="227">
        <f>IF(DAY(A579)='Main Budget'!$J$26,'Main Budget'!$E$26,0)</f>
        <v>0</v>
      </c>
      <c r="I579" s="227">
        <f>IF(DAY(A579)='Main Budget'!$J$28,'Main Budget'!$E$28,0)</f>
        <v>0</v>
      </c>
      <c r="J579" s="227">
        <f>IF(DAY(A579)='Main Budget'!$J$29,'Main Budget'!$E$29,0)</f>
        <v>0</v>
      </c>
      <c r="K579" s="20">
        <f>IF(DAY(A579)='Main Budget'!$J$30,'Main Budget'!$E$30,0)</f>
        <v>0</v>
      </c>
      <c r="L579" s="20">
        <f>IF(DAY(A579)='Main Budget'!$J$31,'Main Budget'!$E$31,0)</f>
        <v>0</v>
      </c>
      <c r="M579" s="20">
        <f>IF(DAY(A579)='Main Budget'!$J$27,'Main Budget'!$E$27,0)</f>
        <v>0</v>
      </c>
      <c r="O579" s="228">
        <f>B579+(SUM(H579:M579)+(SUM(D579:E579)))</f>
        <v>100</v>
      </c>
      <c r="P579" s="228">
        <f>C579+F579+G579+N579</f>
        <v>100</v>
      </c>
      <c r="Q579" s="252">
        <f>O579+P579</f>
        <v>200</v>
      </c>
      <c r="S579" s="231" t="str">
        <f>TEXT(A579,"dddd")</f>
        <v>Sunday</v>
      </c>
    </row>
    <row r="580" spans="1:19" x14ac:dyDescent="0.25">
      <c r="A580" s="226">
        <v>46601</v>
      </c>
      <c r="B580" s="227">
        <f>O579</f>
        <v>100</v>
      </c>
      <c r="C580" s="228">
        <f>P579</f>
        <v>100</v>
      </c>
      <c r="D580" s="228">
        <f>IF(OR(DAY(A580+2)=1,DAY(A580+2)=15),-SUM('Main Budget'!$H$26:$H$31),0)</f>
        <v>0</v>
      </c>
      <c r="E580" s="228">
        <f>IF(DAY(A580+2)=22,-SUM('Main Budget'!$F$26:$F$31),0)</f>
        <v>0</v>
      </c>
      <c r="F580" s="228">
        <f>IF(D580&gt;0,-'Main Budget'!$H$25+0.15,0)</f>
        <v>0</v>
      </c>
      <c r="G580" s="228">
        <f>IF(E580&gt;0,-'Main Budget'!$F$25+0.81,0)</f>
        <v>0</v>
      </c>
      <c r="H580" s="227">
        <f>IF(DAY(A580)='Main Budget'!$J$26,'Main Budget'!$E$26,0)</f>
        <v>0</v>
      </c>
      <c r="I580" s="227">
        <f>IF(DAY(A580)='Main Budget'!$J$28,'Main Budget'!$E$28,0)</f>
        <v>0</v>
      </c>
      <c r="J580" s="227">
        <f>IF(DAY(A580)='Main Budget'!$J$29,'Main Budget'!$E$29,0)</f>
        <v>0</v>
      </c>
      <c r="K580" s="20">
        <f>IF(DAY(A580)='Main Budget'!$J$30,'Main Budget'!$E$30,0)</f>
        <v>0</v>
      </c>
      <c r="L580" s="20">
        <f>IF(DAY(A580)='Main Budget'!$J$31,'Main Budget'!$E$31,0)</f>
        <v>0</v>
      </c>
      <c r="M580" s="20">
        <f>IF(DAY(A580)='Main Budget'!$J$27,'Main Budget'!$E$27,0)</f>
        <v>0</v>
      </c>
      <c r="O580" s="228">
        <f>B580+(SUM(H580:M580)+(SUM(D580:E580)))</f>
        <v>100</v>
      </c>
      <c r="P580" s="228">
        <f>C580+F580+G580+N580</f>
        <v>100</v>
      </c>
      <c r="Q580" s="252">
        <f>O580+P580</f>
        <v>200</v>
      </c>
      <c r="S580" s="231" t="str">
        <f>TEXT(A580,"dddd")</f>
        <v>Monday</v>
      </c>
    </row>
    <row r="581" spans="1:19" x14ac:dyDescent="0.25">
      <c r="A581" s="226">
        <v>46602</v>
      </c>
      <c r="B581" s="227">
        <f>O580</f>
        <v>100</v>
      </c>
      <c r="C581" s="228">
        <f>P580</f>
        <v>100</v>
      </c>
      <c r="D581" s="228">
        <f>IF(OR(DAY(A581+2)=1,DAY(A581+2)=15),-SUM('Main Budget'!$H$26:$H$31),0)</f>
        <v>0</v>
      </c>
      <c r="E581" s="228">
        <f>IF(DAY(A581+2)=22,-SUM('Main Budget'!$F$26:$F$31),0)</f>
        <v>0</v>
      </c>
      <c r="F581" s="228">
        <f>IF(D581&gt;0,-'Main Budget'!$H$25+0.15,0)</f>
        <v>0</v>
      </c>
      <c r="G581" s="228">
        <f>IF(E581&gt;0,-'Main Budget'!$F$25+0.81,0)</f>
        <v>0</v>
      </c>
      <c r="H581" s="227">
        <f>IF(DAY(A581)='Main Budget'!$J$26,'Main Budget'!$E$26,0)</f>
        <v>0</v>
      </c>
      <c r="I581" s="227">
        <f>IF(DAY(A581)='Main Budget'!$J$28,'Main Budget'!$E$28,0)</f>
        <v>0</v>
      </c>
      <c r="J581" s="227">
        <f>IF(DAY(A581)='Main Budget'!$J$29,'Main Budget'!$E$29,0)</f>
        <v>0</v>
      </c>
      <c r="K581" s="20">
        <f>IF(DAY(A581)='Main Budget'!$J$30,'Main Budget'!$E$30,0)</f>
        <v>0</v>
      </c>
      <c r="L581" s="20">
        <f>IF(DAY(A581)='Main Budget'!$J$31,'Main Budget'!$E$31,0)</f>
        <v>0</v>
      </c>
      <c r="M581" s="20">
        <f>IF(DAY(A581)='Main Budget'!$J$27,'Main Budget'!$E$27,0)</f>
        <v>0</v>
      </c>
      <c r="O581" s="228">
        <f>B581+(SUM(H581:M581)+(SUM(D581:E581)))</f>
        <v>100</v>
      </c>
      <c r="P581" s="228">
        <f>C581+F581+G581+N581</f>
        <v>100</v>
      </c>
      <c r="Q581" s="252">
        <f>O581+P581</f>
        <v>200</v>
      </c>
      <c r="S581" s="231" t="str">
        <f>TEXT(A581,"dddd")</f>
        <v>Tuesday</v>
      </c>
    </row>
    <row r="582" spans="1:19" x14ac:dyDescent="0.25">
      <c r="A582" s="226">
        <v>46603</v>
      </c>
      <c r="B582" s="227">
        <f>O581</f>
        <v>100</v>
      </c>
      <c r="C582" s="228">
        <f>P581</f>
        <v>100</v>
      </c>
      <c r="D582" s="228">
        <f>IF(OR(DAY(A582+2)=1,DAY(A582+2)=15),-SUM('Main Budget'!$H$26:$H$31),0)</f>
        <v>0</v>
      </c>
      <c r="E582" s="228">
        <f>IF(DAY(A582+2)=22,-SUM('Main Budget'!$F$26:$F$31),0)</f>
        <v>0</v>
      </c>
      <c r="F582" s="228">
        <f>IF(D582&gt;0,-'Main Budget'!$H$25+0.15,0)</f>
        <v>0</v>
      </c>
      <c r="G582" s="228">
        <f>IF(E582&gt;0,-'Main Budget'!$F$25+0.81,0)</f>
        <v>0</v>
      </c>
      <c r="H582" s="227">
        <f>IF(DAY(A582)='Main Budget'!$J$26,'Main Budget'!$E$26,0)</f>
        <v>0</v>
      </c>
      <c r="I582" s="227">
        <f>IF(DAY(A582)='Main Budget'!$J$28,'Main Budget'!$E$28,0)</f>
        <v>0</v>
      </c>
      <c r="J582" s="227">
        <f>IF(DAY(A582)='Main Budget'!$J$29,'Main Budget'!$E$29,0)</f>
        <v>0</v>
      </c>
      <c r="K582" s="20">
        <f>IF(DAY(A582)='Main Budget'!$J$30,'Main Budget'!$E$30,0)</f>
        <v>0</v>
      </c>
      <c r="L582" s="20">
        <f>IF(DAY(A582)='Main Budget'!$J$31,'Main Budget'!$E$31,0)</f>
        <v>0</v>
      </c>
      <c r="M582" s="20">
        <f>IF(DAY(A582)='Main Budget'!$J$27,'Main Budget'!$E$27,0)</f>
        <v>0</v>
      </c>
      <c r="O582" s="228">
        <f>B582+(SUM(H582:M582)+(SUM(D582:E582)))</f>
        <v>100</v>
      </c>
      <c r="P582" s="228">
        <f>C582+F582+G582+N582</f>
        <v>100</v>
      </c>
      <c r="Q582" s="252">
        <f>O582+P582</f>
        <v>200</v>
      </c>
      <c r="S582" s="231" t="str">
        <f>TEXT(A582,"dddd")</f>
        <v>Wednesday</v>
      </c>
    </row>
    <row r="583" spans="1:19" x14ac:dyDescent="0.25">
      <c r="A583" s="226">
        <v>46604</v>
      </c>
      <c r="B583" s="227">
        <f>O582</f>
        <v>100</v>
      </c>
      <c r="C583" s="228">
        <f>P582</f>
        <v>100</v>
      </c>
      <c r="D583" s="228">
        <f>IF(OR(DAY(A583+2)=1,DAY(A583+2)=15),-SUM('Main Budget'!$H$26:$H$31),0)</f>
        <v>0</v>
      </c>
      <c r="E583" s="228">
        <f>IF(DAY(A583+2)=22,-SUM('Main Budget'!$F$26:$F$31),0)</f>
        <v>0</v>
      </c>
      <c r="F583" s="228">
        <f>IF(D583&gt;0,-'Main Budget'!$H$25+0.15,0)</f>
        <v>0</v>
      </c>
      <c r="G583" s="228">
        <f>IF(E583&gt;0,-'Main Budget'!$F$25+0.81,0)</f>
        <v>0</v>
      </c>
      <c r="H583" s="227">
        <f>IF(DAY(A583)='Main Budget'!$J$26,'Main Budget'!$E$26,0)</f>
        <v>0</v>
      </c>
      <c r="I583" s="227">
        <f>IF(DAY(A583)='Main Budget'!$J$28,'Main Budget'!$E$28,0)</f>
        <v>0</v>
      </c>
      <c r="J583" s="227">
        <f>IF(DAY(A583)='Main Budget'!$J$29,'Main Budget'!$E$29,0)</f>
        <v>0</v>
      </c>
      <c r="K583" s="20">
        <f>IF(DAY(A583)='Main Budget'!$J$30,'Main Budget'!$E$30,0)</f>
        <v>0</v>
      </c>
      <c r="L583" s="20">
        <f>IF(DAY(A583)='Main Budget'!$J$31,'Main Budget'!$E$31,0)</f>
        <v>0</v>
      </c>
      <c r="M583" s="20">
        <f>IF(DAY(A583)='Main Budget'!$J$27,'Main Budget'!$E$27,0)</f>
        <v>0</v>
      </c>
      <c r="O583" s="228">
        <f>B583+(SUM(H583:M583)+(SUM(D583:E583)))</f>
        <v>100</v>
      </c>
      <c r="P583" s="228">
        <f>C583+F583+G583+N583</f>
        <v>100</v>
      </c>
      <c r="Q583" s="252">
        <f>O583+P583</f>
        <v>200</v>
      </c>
      <c r="S583" s="231" t="str">
        <f>TEXT(A583,"dddd")</f>
        <v>Thursday</v>
      </c>
    </row>
    <row r="584" spans="1:19" x14ac:dyDescent="0.25">
      <c r="A584" s="226">
        <v>46605</v>
      </c>
      <c r="B584" s="227">
        <f>O583</f>
        <v>100</v>
      </c>
      <c r="C584" s="228">
        <f>P583</f>
        <v>100</v>
      </c>
      <c r="D584" s="228">
        <f>IF(OR(DAY(A584+2)=1,DAY(A584+2)=15),-SUM('Main Budget'!$H$26:$H$31),0)</f>
        <v>0</v>
      </c>
      <c r="E584" s="228">
        <f>IF(DAY(A584+2)=22,-SUM('Main Budget'!$F$26:$F$31),0)</f>
        <v>0</v>
      </c>
      <c r="F584" s="228">
        <f>IF(D584&gt;0,-'Main Budget'!$H$25+0.15,0)</f>
        <v>0</v>
      </c>
      <c r="G584" s="228">
        <f>IF(E584&gt;0,-'Main Budget'!$F$25+0.81,0)</f>
        <v>0</v>
      </c>
      <c r="H584" s="227">
        <f>IF(DAY(A584)='Main Budget'!$J$26,'Main Budget'!$E$26,0)</f>
        <v>0</v>
      </c>
      <c r="I584" s="227">
        <f>IF(DAY(A584)='Main Budget'!$J$28,'Main Budget'!$E$28,0)</f>
        <v>0</v>
      </c>
      <c r="J584" s="227">
        <f>IF(DAY(A584)='Main Budget'!$J$29,'Main Budget'!$E$29,0)</f>
        <v>0</v>
      </c>
      <c r="K584" s="20">
        <f>IF(DAY(A584)='Main Budget'!$J$30,'Main Budget'!$E$30,0)</f>
        <v>0</v>
      </c>
      <c r="L584" s="20">
        <f>IF(DAY(A584)='Main Budget'!$J$31,'Main Budget'!$E$31,0)</f>
        <v>0</v>
      </c>
      <c r="M584" s="20">
        <f>IF(DAY(A584)='Main Budget'!$J$27,'Main Budget'!$E$27,0)</f>
        <v>0</v>
      </c>
      <c r="O584" s="228">
        <f>B584+(SUM(H584:M584)+(SUM(D584:E584)))</f>
        <v>100</v>
      </c>
      <c r="P584" s="228">
        <f>C584+F584+G584+N584</f>
        <v>100</v>
      </c>
      <c r="Q584" s="252">
        <f>O584+P584</f>
        <v>200</v>
      </c>
      <c r="S584" s="231" t="str">
        <f>TEXT(A584,"dddd")</f>
        <v>Friday</v>
      </c>
    </row>
    <row r="585" spans="1:19" x14ac:dyDescent="0.25">
      <c r="A585" s="226">
        <v>46606</v>
      </c>
      <c r="B585" s="227">
        <f>O584</f>
        <v>100</v>
      </c>
      <c r="C585" s="228">
        <f>P584</f>
        <v>100</v>
      </c>
      <c r="D585" s="228">
        <f>IF(OR(DAY(A585+2)=1,DAY(A585+2)=15),-SUM('Main Budget'!$H$26:$H$31),0)</f>
        <v>0</v>
      </c>
      <c r="E585" s="228">
        <f>IF(DAY(A585+2)=22,-SUM('Main Budget'!$F$26:$F$31),0)</f>
        <v>0</v>
      </c>
      <c r="F585" s="228">
        <f>IF(D585&gt;0,-'Main Budget'!$H$25+0.15,0)</f>
        <v>0</v>
      </c>
      <c r="G585" s="228">
        <f>IF(E585&gt;0,-'Main Budget'!$F$25+0.81,0)</f>
        <v>0</v>
      </c>
      <c r="H585" s="227">
        <f>IF(DAY(A585)='Main Budget'!$J$26,'Main Budget'!$E$26,0)</f>
        <v>0</v>
      </c>
      <c r="I585" s="227">
        <f>IF(DAY(A585)='Main Budget'!$J$28,'Main Budget'!$E$28,0)</f>
        <v>0</v>
      </c>
      <c r="J585" s="227">
        <f>IF(DAY(A585)='Main Budget'!$J$29,'Main Budget'!$E$29,0)</f>
        <v>0</v>
      </c>
      <c r="K585" s="20">
        <f>IF(DAY(A585)='Main Budget'!$J$30,'Main Budget'!$E$30,0)</f>
        <v>0</v>
      </c>
      <c r="L585" s="20">
        <f>IF(DAY(A585)='Main Budget'!$J$31,'Main Budget'!$E$31,0)</f>
        <v>0</v>
      </c>
      <c r="M585" s="20">
        <f>IF(DAY(A585)='Main Budget'!$J$27,'Main Budget'!$E$27,0)</f>
        <v>0</v>
      </c>
      <c r="O585" s="228">
        <f>B585+(SUM(H585:M585)+(SUM(D585:E585)))</f>
        <v>100</v>
      </c>
      <c r="P585" s="228">
        <f>C585+F585+G585+N585</f>
        <v>100</v>
      </c>
      <c r="Q585" s="252">
        <f>O585+P585</f>
        <v>200</v>
      </c>
      <c r="S585" s="231" t="str">
        <f>TEXT(A585,"dddd")</f>
        <v>Saturday</v>
      </c>
    </row>
    <row r="586" spans="1:19" x14ac:dyDescent="0.25">
      <c r="A586" s="226">
        <v>46607</v>
      </c>
      <c r="B586" s="227">
        <f>O585</f>
        <v>100</v>
      </c>
      <c r="C586" s="228">
        <f>P585</f>
        <v>100</v>
      </c>
      <c r="D586" s="228">
        <f>IF(OR(DAY(A586+2)=1,DAY(A586+2)=15),-SUM('Main Budget'!$H$26:$H$31),0)</f>
        <v>0</v>
      </c>
      <c r="E586" s="228">
        <f>IF(DAY(A586+2)=22,-SUM('Main Budget'!$F$26:$F$31),0)</f>
        <v>0</v>
      </c>
      <c r="F586" s="228">
        <f>IF(D586&gt;0,-'Main Budget'!$H$25+0.15,0)</f>
        <v>0</v>
      </c>
      <c r="G586" s="228">
        <f>IF(E586&gt;0,-'Main Budget'!$F$25+0.81,0)</f>
        <v>0</v>
      </c>
      <c r="H586" s="227">
        <f>IF(DAY(A586)='Main Budget'!$J$26,'Main Budget'!$E$26,0)</f>
        <v>0</v>
      </c>
      <c r="I586" s="227">
        <f>IF(DAY(A586)='Main Budget'!$J$28,'Main Budget'!$E$28,0)</f>
        <v>0</v>
      </c>
      <c r="J586" s="227">
        <f>IF(DAY(A586)='Main Budget'!$J$29,'Main Budget'!$E$29,0)</f>
        <v>0</v>
      </c>
      <c r="K586" s="20">
        <f>IF(DAY(A586)='Main Budget'!$J$30,'Main Budget'!$E$30,0)</f>
        <v>0</v>
      </c>
      <c r="L586" s="20">
        <f>IF(DAY(A586)='Main Budget'!$J$31,'Main Budget'!$E$31,0)</f>
        <v>0</v>
      </c>
      <c r="M586" s="20">
        <f>IF(DAY(A586)='Main Budget'!$J$27,'Main Budget'!$E$27,0)</f>
        <v>0</v>
      </c>
      <c r="O586" s="228">
        <f>B586+(SUM(H586:M586)+(SUM(D586:E586)))</f>
        <v>100</v>
      </c>
      <c r="P586" s="228">
        <f>C586+F586+G586+N586</f>
        <v>100</v>
      </c>
      <c r="Q586" s="252">
        <f>O586+P586</f>
        <v>200</v>
      </c>
      <c r="S586" s="231" t="str">
        <f>TEXT(A586,"dddd")</f>
        <v>Sunday</v>
      </c>
    </row>
    <row r="587" spans="1:19" x14ac:dyDescent="0.25">
      <c r="A587" s="226">
        <v>46608</v>
      </c>
      <c r="B587" s="227">
        <f>O586</f>
        <v>100</v>
      </c>
      <c r="C587" s="228">
        <f>P586</f>
        <v>100</v>
      </c>
      <c r="D587" s="228">
        <f>IF(OR(DAY(A587+2)=1,DAY(A587+2)=15),-SUM('Main Budget'!$H$26:$H$31),0)</f>
        <v>0</v>
      </c>
      <c r="E587" s="228">
        <f>IF(DAY(A587+2)=22,-SUM('Main Budget'!$F$26:$F$31),0)</f>
        <v>0</v>
      </c>
      <c r="F587" s="228">
        <f>IF(D587&gt;0,-'Main Budget'!$H$25+0.15,0)</f>
        <v>0</v>
      </c>
      <c r="G587" s="228">
        <f>IF(E587&gt;0,-'Main Budget'!$F$25+0.81,0)</f>
        <v>0</v>
      </c>
      <c r="H587" s="227">
        <f>IF(DAY(A587)='Main Budget'!$J$26,'Main Budget'!$E$26,0)</f>
        <v>0</v>
      </c>
      <c r="I587" s="227">
        <f>IF(DAY(A587)='Main Budget'!$J$28,'Main Budget'!$E$28,0)</f>
        <v>0</v>
      </c>
      <c r="J587" s="227">
        <f>IF(DAY(A587)='Main Budget'!$J$29,'Main Budget'!$E$29,0)</f>
        <v>0</v>
      </c>
      <c r="K587" s="20">
        <f>IF(DAY(A587)='Main Budget'!$J$30,'Main Budget'!$E$30,0)</f>
        <v>0</v>
      </c>
      <c r="L587" s="20">
        <f>IF(DAY(A587)='Main Budget'!$J$31,'Main Budget'!$E$31,0)</f>
        <v>0</v>
      </c>
      <c r="M587" s="20">
        <f>IF(DAY(A587)='Main Budget'!$J$27,'Main Budget'!$E$27,0)</f>
        <v>0</v>
      </c>
      <c r="O587" s="228">
        <f>B587+(SUM(H587:M587)+(SUM(D587:E587)))</f>
        <v>100</v>
      </c>
      <c r="P587" s="228">
        <f>C587+F587+G587+N587</f>
        <v>100</v>
      </c>
      <c r="Q587" s="252">
        <f>O587+P587</f>
        <v>200</v>
      </c>
      <c r="S587" s="231" t="str">
        <f>TEXT(A587,"dddd")</f>
        <v>Monday</v>
      </c>
    </row>
    <row r="588" spans="1:19" x14ac:dyDescent="0.25">
      <c r="A588" s="226">
        <v>46609</v>
      </c>
      <c r="B588" s="227">
        <f>O587</f>
        <v>100</v>
      </c>
      <c r="C588" s="228">
        <f>P587</f>
        <v>100</v>
      </c>
      <c r="D588" s="228">
        <f>IF(OR(DAY(A588+2)=1,DAY(A588+2)=15),-SUM('Main Budget'!$H$26:$H$31),0)</f>
        <v>0</v>
      </c>
      <c r="E588" s="228">
        <f>IF(DAY(A588+2)=22,-SUM('Main Budget'!$F$26:$F$31),0)</f>
        <v>0</v>
      </c>
      <c r="F588" s="228">
        <f>IF(D588&gt;0,-'Main Budget'!$H$25+0.15,0)</f>
        <v>0</v>
      </c>
      <c r="G588" s="228">
        <f>IF(E588&gt;0,-'Main Budget'!$F$25+0.81,0)</f>
        <v>0</v>
      </c>
      <c r="H588" s="227">
        <f>IF(DAY(A588)='Main Budget'!$J$26,'Main Budget'!$E$26,0)</f>
        <v>0</v>
      </c>
      <c r="I588" s="227">
        <f>IF(DAY(A588)='Main Budget'!$J$28,'Main Budget'!$E$28,0)</f>
        <v>0</v>
      </c>
      <c r="J588" s="227">
        <f>IF(DAY(A588)='Main Budget'!$J$29,'Main Budget'!$E$29,0)</f>
        <v>0</v>
      </c>
      <c r="K588" s="20">
        <f>IF(DAY(A588)='Main Budget'!$J$30,'Main Budget'!$E$30,0)</f>
        <v>0</v>
      </c>
      <c r="L588" s="20">
        <f>IF(DAY(A588)='Main Budget'!$J$31,'Main Budget'!$E$31,0)</f>
        <v>0</v>
      </c>
      <c r="M588" s="20">
        <f>IF(DAY(A588)='Main Budget'!$J$27,'Main Budget'!$E$27,0)</f>
        <v>0</v>
      </c>
      <c r="O588" s="228">
        <f>B588+(SUM(H588:M588)+(SUM(D588:E588)))</f>
        <v>100</v>
      </c>
      <c r="P588" s="228">
        <f>C588+F588+G588+N588</f>
        <v>100</v>
      </c>
      <c r="Q588" s="252">
        <f>O588+P588</f>
        <v>200</v>
      </c>
      <c r="S588" s="231" t="str">
        <f>TEXT(A588,"dddd")</f>
        <v>Tuesday</v>
      </c>
    </row>
    <row r="589" spans="1:19" x14ac:dyDescent="0.25">
      <c r="A589" s="226">
        <v>46610</v>
      </c>
      <c r="B589" s="227">
        <f>O588</f>
        <v>100</v>
      </c>
      <c r="C589" s="228">
        <f>P588</f>
        <v>100</v>
      </c>
      <c r="D589" s="228">
        <f>IF(OR(DAY(A589+2)=1,DAY(A589+2)=15),-SUM('Main Budget'!$H$26:$H$31),0)</f>
        <v>0</v>
      </c>
      <c r="E589" s="228">
        <f>IF(DAY(A589+2)=22,-SUM('Main Budget'!$F$26:$F$31),0)</f>
        <v>0</v>
      </c>
      <c r="F589" s="228">
        <f>IF(D589&gt;0,-'Main Budget'!$H$25+0.15,0)</f>
        <v>0</v>
      </c>
      <c r="G589" s="228">
        <f>IF(E589&gt;0,-'Main Budget'!$F$25+0.81,0)</f>
        <v>0</v>
      </c>
      <c r="H589" s="227">
        <f>IF(DAY(A589)='Main Budget'!$J$26,'Main Budget'!$E$26,0)</f>
        <v>0</v>
      </c>
      <c r="I589" s="227">
        <f>IF(DAY(A589)='Main Budget'!$J$28,'Main Budget'!$E$28,0)</f>
        <v>0</v>
      </c>
      <c r="J589" s="227">
        <f>IF(DAY(A589)='Main Budget'!$J$29,'Main Budget'!$E$29,0)</f>
        <v>0</v>
      </c>
      <c r="K589" s="20">
        <f>IF(DAY(A589)='Main Budget'!$J$30,'Main Budget'!$E$30,0)</f>
        <v>0</v>
      </c>
      <c r="L589" s="20">
        <f>IF(DAY(A589)='Main Budget'!$J$31,'Main Budget'!$E$31,0)</f>
        <v>0</v>
      </c>
      <c r="M589" s="20">
        <f>IF(DAY(A589)='Main Budget'!$J$27,'Main Budget'!$E$27,0)</f>
        <v>0</v>
      </c>
      <c r="O589" s="228">
        <f>B589+(SUM(H589:M589)+(SUM(D589:E589)))</f>
        <v>100</v>
      </c>
      <c r="P589" s="228">
        <f>C589+F589+G589+N589</f>
        <v>100</v>
      </c>
      <c r="Q589" s="252">
        <f>O589+P589</f>
        <v>200</v>
      </c>
      <c r="S589" s="231" t="str">
        <f>TEXT(A589,"dddd")</f>
        <v>Wednesday</v>
      </c>
    </row>
    <row r="590" spans="1:19" x14ac:dyDescent="0.25">
      <c r="A590" s="226">
        <v>46611</v>
      </c>
      <c r="B590" s="227">
        <f>O589</f>
        <v>100</v>
      </c>
      <c r="C590" s="228">
        <f>P589</f>
        <v>100</v>
      </c>
      <c r="D590" s="228">
        <f>IF(OR(DAY(A590+2)=1,DAY(A590+2)=15),-SUM('Main Budget'!$H$26:$H$31),0)</f>
        <v>0</v>
      </c>
      <c r="E590" s="228">
        <f>IF(DAY(A590+2)=22,-SUM('Main Budget'!$F$26:$F$31),0)</f>
        <v>0</v>
      </c>
      <c r="F590" s="228">
        <f>IF(D590&gt;0,-'Main Budget'!$H$25+0.15,0)</f>
        <v>0</v>
      </c>
      <c r="G590" s="228">
        <f>IF(E590&gt;0,-'Main Budget'!$F$25+0.81,0)</f>
        <v>0</v>
      </c>
      <c r="H590" s="227">
        <f>IF(DAY(A590)='Main Budget'!$J$26,'Main Budget'!$E$26,0)</f>
        <v>0</v>
      </c>
      <c r="I590" s="227">
        <f>IF(DAY(A590)='Main Budget'!$J$28,'Main Budget'!$E$28,0)</f>
        <v>0</v>
      </c>
      <c r="J590" s="227">
        <f>IF(DAY(A590)='Main Budget'!$J$29,'Main Budget'!$E$29,0)</f>
        <v>0</v>
      </c>
      <c r="K590" s="20">
        <f>IF(DAY(A590)='Main Budget'!$J$30,'Main Budget'!$E$30,0)</f>
        <v>0</v>
      </c>
      <c r="L590" s="20">
        <f>IF(DAY(A590)='Main Budget'!$J$31,'Main Budget'!$E$31,0)</f>
        <v>0</v>
      </c>
      <c r="M590" s="20">
        <f>IF(DAY(A590)='Main Budget'!$J$27,'Main Budget'!$E$27,0)</f>
        <v>0</v>
      </c>
      <c r="O590" s="228">
        <f>B590+(SUM(H590:M590)+(SUM(D590:E590)))</f>
        <v>100</v>
      </c>
      <c r="P590" s="228">
        <f>C590+F590+G590+N590</f>
        <v>100</v>
      </c>
      <c r="Q590" s="252">
        <f>O590+P590</f>
        <v>200</v>
      </c>
      <c r="S590" s="231" t="str">
        <f>TEXT(A590,"dddd")</f>
        <v>Thursday</v>
      </c>
    </row>
    <row r="591" spans="1:19" x14ac:dyDescent="0.25">
      <c r="A591" s="226">
        <v>46612</v>
      </c>
      <c r="B591" s="227">
        <f>O590</f>
        <v>100</v>
      </c>
      <c r="C591" s="228">
        <f>P590</f>
        <v>100</v>
      </c>
      <c r="D591" s="228">
        <f>IF(OR(DAY(A591+2)=1,DAY(A591+2)=15),-SUM('Main Budget'!$H$26:$H$31),0)</f>
        <v>0</v>
      </c>
      <c r="E591" s="228">
        <f>IF(DAY(A591+2)=22,-SUM('Main Budget'!$F$26:$F$31),0)</f>
        <v>0</v>
      </c>
      <c r="F591" s="228">
        <f>IF(D591&gt;0,-'Main Budget'!$H$25+0.15,0)</f>
        <v>0</v>
      </c>
      <c r="G591" s="228">
        <f>IF(E591&gt;0,-'Main Budget'!$F$25+0.81,0)</f>
        <v>0</v>
      </c>
      <c r="H591" s="227">
        <f>IF(DAY(A591)='Main Budget'!$J$26,'Main Budget'!$E$26,0)</f>
        <v>0</v>
      </c>
      <c r="I591" s="227">
        <f>IF(DAY(A591)='Main Budget'!$J$28,'Main Budget'!$E$28,0)</f>
        <v>0</v>
      </c>
      <c r="J591" s="227">
        <f>IF(DAY(A591)='Main Budget'!$J$29,'Main Budget'!$E$29,0)</f>
        <v>0</v>
      </c>
      <c r="K591" s="20">
        <f>IF(DAY(A591)='Main Budget'!$J$30,'Main Budget'!$E$30,0)</f>
        <v>0</v>
      </c>
      <c r="L591" s="20">
        <f>IF(DAY(A591)='Main Budget'!$J$31,'Main Budget'!$E$31,0)</f>
        <v>0</v>
      </c>
      <c r="M591" s="20">
        <f>IF(DAY(A591)='Main Budget'!$J$27,'Main Budget'!$E$27,0)</f>
        <v>0</v>
      </c>
      <c r="O591" s="228">
        <f>B591+(SUM(H591:M591)+(SUM(D591:E591)))</f>
        <v>100</v>
      </c>
      <c r="P591" s="228">
        <f>C591+F591+G591+N591</f>
        <v>100</v>
      </c>
      <c r="Q591" s="252">
        <f>O591+P591</f>
        <v>200</v>
      </c>
      <c r="S591" s="231" t="str">
        <f>TEXT(A591,"dddd")</f>
        <v>Friday</v>
      </c>
    </row>
    <row r="592" spans="1:19" x14ac:dyDescent="0.25">
      <c r="A592" s="226">
        <v>46613</v>
      </c>
      <c r="B592" s="227">
        <f>O591</f>
        <v>100</v>
      </c>
      <c r="C592" s="228">
        <f>P591</f>
        <v>100</v>
      </c>
      <c r="D592" s="228">
        <f>IF(OR(DAY(A592+2)=1,DAY(A592+2)=15),-SUM('Main Budget'!$H$26:$H$31),0)</f>
        <v>0</v>
      </c>
      <c r="E592" s="228">
        <f>IF(DAY(A592+2)=22,-SUM('Main Budget'!$F$26:$F$31),0)</f>
        <v>0</v>
      </c>
      <c r="F592" s="228">
        <f>IF(D592&gt;0,-'Main Budget'!$H$25+0.15,0)</f>
        <v>0</v>
      </c>
      <c r="G592" s="228">
        <f>IF(E592&gt;0,-'Main Budget'!$F$25+0.81,0)</f>
        <v>0</v>
      </c>
      <c r="H592" s="227">
        <f>IF(DAY(A592)='Main Budget'!$J$26,'Main Budget'!$E$26,0)</f>
        <v>0</v>
      </c>
      <c r="I592" s="227">
        <f>IF(DAY(A592)='Main Budget'!$J$28,'Main Budget'!$E$28,0)</f>
        <v>0</v>
      </c>
      <c r="J592" s="227">
        <f>IF(DAY(A592)='Main Budget'!$J$29,'Main Budget'!$E$29,0)</f>
        <v>0</v>
      </c>
      <c r="K592" s="20">
        <f>IF(DAY(A592)='Main Budget'!$J$30,'Main Budget'!$E$30,0)</f>
        <v>0</v>
      </c>
      <c r="L592" s="20">
        <f>IF(DAY(A592)='Main Budget'!$J$31,'Main Budget'!$E$31,0)</f>
        <v>0</v>
      </c>
      <c r="M592" s="20">
        <f>IF(DAY(A592)='Main Budget'!$J$27,'Main Budget'!$E$27,0)</f>
        <v>0</v>
      </c>
      <c r="O592" s="228">
        <f>B592+(SUM(H592:M592)+(SUM(D592:E592)))</f>
        <v>100</v>
      </c>
      <c r="P592" s="228">
        <f>C592+F592+G592+N592</f>
        <v>100</v>
      </c>
      <c r="Q592" s="252">
        <f>O592+P592</f>
        <v>200</v>
      </c>
      <c r="S592" s="231" t="str">
        <f>TEXT(A592,"dddd")</f>
        <v>Saturday</v>
      </c>
    </row>
    <row r="593" spans="1:19" x14ac:dyDescent="0.25">
      <c r="A593" s="226">
        <v>46614</v>
      </c>
      <c r="B593" s="227">
        <f>O592</f>
        <v>100</v>
      </c>
      <c r="C593" s="228">
        <f>P592</f>
        <v>100</v>
      </c>
      <c r="D593" s="228">
        <f>IF(OR(DAY(A593+2)=1,DAY(A593+2)=15),-SUM('Main Budget'!$H$26:$H$31),0)</f>
        <v>0</v>
      </c>
      <c r="E593" s="228">
        <f>IF(DAY(A593+2)=22,-SUM('Main Budget'!$F$26:$F$31),0)</f>
        <v>0</v>
      </c>
      <c r="F593" s="228">
        <f>IF(D593&gt;0,-'Main Budget'!$H$25+0.15,0)</f>
        <v>0</v>
      </c>
      <c r="G593" s="228">
        <f>IF(E593&gt;0,-'Main Budget'!$F$25+0.81,0)</f>
        <v>0</v>
      </c>
      <c r="H593" s="227">
        <f>IF(DAY(A593)='Main Budget'!$J$26,'Main Budget'!$E$26,0)</f>
        <v>0</v>
      </c>
      <c r="I593" s="227">
        <f>IF(DAY(A593)='Main Budget'!$J$28,'Main Budget'!$E$28,0)</f>
        <v>0</v>
      </c>
      <c r="J593" s="227">
        <f>IF(DAY(A593)='Main Budget'!$J$29,'Main Budget'!$E$29,0)</f>
        <v>0</v>
      </c>
      <c r="K593" s="20">
        <f>IF(DAY(A593)='Main Budget'!$J$30,'Main Budget'!$E$30,0)</f>
        <v>0</v>
      </c>
      <c r="L593" s="20">
        <f>IF(DAY(A593)='Main Budget'!$J$31,'Main Budget'!$E$31,0)</f>
        <v>0</v>
      </c>
      <c r="M593" s="20">
        <f>IF(DAY(A593)='Main Budget'!$J$27,'Main Budget'!$E$27,0)</f>
        <v>0</v>
      </c>
      <c r="O593" s="228">
        <f>B593+(SUM(H593:M593)+(SUM(D593:E593)))</f>
        <v>100</v>
      </c>
      <c r="P593" s="228">
        <f>C593+F593+G593+N593</f>
        <v>100</v>
      </c>
      <c r="Q593" s="252">
        <f>O593+P593</f>
        <v>200</v>
      </c>
      <c r="S593" s="231" t="str">
        <f>TEXT(A593,"dddd")</f>
        <v>Sunday</v>
      </c>
    </row>
    <row r="594" spans="1:19" x14ac:dyDescent="0.25">
      <c r="A594" s="226">
        <v>46615</v>
      </c>
      <c r="B594" s="227">
        <f>O593</f>
        <v>100</v>
      </c>
      <c r="C594" s="228">
        <f>P593</f>
        <v>100</v>
      </c>
      <c r="D594" s="228">
        <f>IF(OR(DAY(A594+2)=1,DAY(A594+2)=15),-SUM('Main Budget'!$H$26:$H$31),0)</f>
        <v>0</v>
      </c>
      <c r="E594" s="228">
        <f>IF(DAY(A594+2)=22,-SUM('Main Budget'!$F$26:$F$31),0)</f>
        <v>0</v>
      </c>
      <c r="F594" s="228">
        <f>IF(D594&gt;0,-'Main Budget'!$H$25+0.15,0)</f>
        <v>0</v>
      </c>
      <c r="G594" s="228">
        <f>IF(E594&gt;0,-'Main Budget'!$F$25+0.81,0)</f>
        <v>0</v>
      </c>
      <c r="H594" s="227">
        <f>IF(DAY(A594)='Main Budget'!$J$26,'Main Budget'!$E$26,0)</f>
        <v>0</v>
      </c>
      <c r="I594" s="227">
        <f>IF(DAY(A594)='Main Budget'!$J$28,'Main Budget'!$E$28,0)</f>
        <v>0</v>
      </c>
      <c r="J594" s="227">
        <f>IF(DAY(A594)='Main Budget'!$J$29,'Main Budget'!$E$29,0)</f>
        <v>0</v>
      </c>
      <c r="K594" s="20">
        <f>IF(DAY(A594)='Main Budget'!$J$30,'Main Budget'!$E$30,0)</f>
        <v>0</v>
      </c>
      <c r="L594" s="20">
        <f>IF(DAY(A594)='Main Budget'!$J$31,'Main Budget'!$E$31,0)</f>
        <v>0</v>
      </c>
      <c r="M594" s="20">
        <f>IF(DAY(A594)='Main Budget'!$J$27,'Main Budget'!$E$27,0)</f>
        <v>0</v>
      </c>
      <c r="O594" s="228">
        <f>B594+(SUM(H594:M594)+(SUM(D594:E594)))</f>
        <v>100</v>
      </c>
      <c r="P594" s="228">
        <f>C594+F594+G594+N594</f>
        <v>100</v>
      </c>
      <c r="Q594" s="252">
        <f>O594+P594</f>
        <v>200</v>
      </c>
      <c r="S594" s="231" t="str">
        <f>TEXT(A594,"dddd")</f>
        <v>Monday</v>
      </c>
    </row>
    <row r="595" spans="1:19" x14ac:dyDescent="0.25">
      <c r="A595" s="226">
        <v>46616</v>
      </c>
      <c r="B595" s="227">
        <f>O594</f>
        <v>100</v>
      </c>
      <c r="C595" s="228">
        <f>P594</f>
        <v>100</v>
      </c>
      <c r="D595" s="228">
        <f>IF(OR(DAY(A595+2)=1,DAY(A595+2)=15),-SUM('Main Budget'!$H$26:$H$31),0)</f>
        <v>0</v>
      </c>
      <c r="E595" s="228">
        <f>IF(DAY(A595+2)=22,-SUM('Main Budget'!$F$26:$F$31),0)</f>
        <v>0</v>
      </c>
      <c r="F595" s="228">
        <f>IF(D595&gt;0,-'Main Budget'!$H$25+0.15,0)</f>
        <v>0</v>
      </c>
      <c r="G595" s="228">
        <f>IF(E595&gt;0,-'Main Budget'!$F$25+0.81,0)</f>
        <v>0</v>
      </c>
      <c r="H595" s="227">
        <f>IF(DAY(A595)='Main Budget'!$J$26,'Main Budget'!$E$26,0)</f>
        <v>0</v>
      </c>
      <c r="I595" s="227">
        <f>IF(DAY(A595)='Main Budget'!$J$28,'Main Budget'!$E$28,0)</f>
        <v>0</v>
      </c>
      <c r="J595" s="227">
        <f>IF(DAY(A595)='Main Budget'!$J$29,'Main Budget'!$E$29,0)</f>
        <v>0</v>
      </c>
      <c r="K595" s="20">
        <f>IF(DAY(A595)='Main Budget'!$J$30,'Main Budget'!$E$30,0)</f>
        <v>0</v>
      </c>
      <c r="L595" s="20">
        <f>IF(DAY(A595)='Main Budget'!$J$31,'Main Budget'!$E$31,0)</f>
        <v>0</v>
      </c>
      <c r="M595" s="20">
        <f>IF(DAY(A595)='Main Budget'!$J$27,'Main Budget'!$E$27,0)</f>
        <v>0</v>
      </c>
      <c r="O595" s="228">
        <f>B595+(SUM(H595:M595)+(SUM(D595:E595)))</f>
        <v>100</v>
      </c>
      <c r="P595" s="228">
        <f>C595+F595+G595+N595</f>
        <v>100</v>
      </c>
      <c r="Q595" s="252">
        <f>O595+P595</f>
        <v>200</v>
      </c>
      <c r="S595" s="231" t="str">
        <f>TEXT(A595,"dddd")</f>
        <v>Tuesday</v>
      </c>
    </row>
    <row r="596" spans="1:19" x14ac:dyDescent="0.25">
      <c r="A596" s="226">
        <v>46617</v>
      </c>
      <c r="B596" s="227">
        <f>O595</f>
        <v>100</v>
      </c>
      <c r="C596" s="228">
        <f>P595</f>
        <v>100</v>
      </c>
      <c r="D596" s="228">
        <f>IF(OR(DAY(A596+2)=1,DAY(A596+2)=15),-SUM('Main Budget'!$H$26:$H$31),0)</f>
        <v>0</v>
      </c>
      <c r="E596" s="228">
        <f>IF(DAY(A596+2)=22,-SUM('Main Budget'!$F$26:$F$31),0)</f>
        <v>0</v>
      </c>
      <c r="F596" s="228">
        <f>IF(D596&gt;0,-'Main Budget'!$H$25+0.15,0)</f>
        <v>0</v>
      </c>
      <c r="G596" s="228">
        <f>IF(E596&gt;0,-'Main Budget'!$F$25+0.81,0)</f>
        <v>0</v>
      </c>
      <c r="H596" s="227">
        <f>IF(DAY(A596)='Main Budget'!$J$26,'Main Budget'!$E$26,0)</f>
        <v>0</v>
      </c>
      <c r="I596" s="227">
        <f>IF(DAY(A596)='Main Budget'!$J$28,'Main Budget'!$E$28,0)</f>
        <v>0</v>
      </c>
      <c r="J596" s="227">
        <f>IF(DAY(A596)='Main Budget'!$J$29,'Main Budget'!$E$29,0)</f>
        <v>0</v>
      </c>
      <c r="K596" s="20">
        <f>IF(DAY(A596)='Main Budget'!$J$30,'Main Budget'!$E$30,0)</f>
        <v>0</v>
      </c>
      <c r="L596" s="20">
        <f>IF(DAY(A596)='Main Budget'!$J$31,'Main Budget'!$E$31,0)</f>
        <v>0</v>
      </c>
      <c r="M596" s="20">
        <f>IF(DAY(A596)='Main Budget'!$J$27,'Main Budget'!$E$27,0)</f>
        <v>0</v>
      </c>
      <c r="O596" s="228">
        <f>B596+(SUM(H596:M596)+(SUM(D596:E596)))</f>
        <v>100</v>
      </c>
      <c r="P596" s="228">
        <f>C596+F596+G596+N596</f>
        <v>100</v>
      </c>
      <c r="Q596" s="252">
        <f>O596+P596</f>
        <v>200</v>
      </c>
      <c r="S596" s="231" t="str">
        <f>TEXT(A596,"dddd")</f>
        <v>Wednesday</v>
      </c>
    </row>
    <row r="597" spans="1:19" x14ac:dyDescent="0.25">
      <c r="A597" s="226">
        <v>46618</v>
      </c>
      <c r="B597" s="227">
        <f>O596</f>
        <v>100</v>
      </c>
      <c r="C597" s="228">
        <f>P596</f>
        <v>100</v>
      </c>
      <c r="D597" s="228">
        <f>IF(OR(DAY(A597+2)=1,DAY(A597+2)=15),-SUM('Main Budget'!$H$26:$H$31),0)</f>
        <v>0</v>
      </c>
      <c r="E597" s="228">
        <f>IF(DAY(A597+2)=22,-SUM('Main Budget'!$F$26:$F$31),0)</f>
        <v>0</v>
      </c>
      <c r="F597" s="228">
        <f>IF(D597&gt;0,-'Main Budget'!$H$25+0.15,0)</f>
        <v>0</v>
      </c>
      <c r="G597" s="228">
        <f>IF(E597&gt;0,-'Main Budget'!$F$25+0.81,0)</f>
        <v>0</v>
      </c>
      <c r="H597" s="227">
        <f>IF(DAY(A597)='Main Budget'!$J$26,'Main Budget'!$E$26,0)</f>
        <v>0</v>
      </c>
      <c r="I597" s="227">
        <f>IF(DAY(A597)='Main Budget'!$J$28,'Main Budget'!$E$28,0)</f>
        <v>0</v>
      </c>
      <c r="J597" s="227">
        <f>IF(DAY(A597)='Main Budget'!$J$29,'Main Budget'!$E$29,0)</f>
        <v>0</v>
      </c>
      <c r="K597" s="20">
        <f>IF(DAY(A597)='Main Budget'!$J$30,'Main Budget'!$E$30,0)</f>
        <v>0</v>
      </c>
      <c r="L597" s="20">
        <f>IF(DAY(A597)='Main Budget'!$J$31,'Main Budget'!$E$31,0)</f>
        <v>0</v>
      </c>
      <c r="M597" s="20">
        <f>IF(DAY(A597)='Main Budget'!$J$27,'Main Budget'!$E$27,0)</f>
        <v>0</v>
      </c>
      <c r="O597" s="228">
        <f>B597+(SUM(H597:M597)+(SUM(D597:E597)))</f>
        <v>100</v>
      </c>
      <c r="P597" s="228">
        <f>C597+F597+G597+N597</f>
        <v>100</v>
      </c>
      <c r="Q597" s="252">
        <f>O597+P597</f>
        <v>200</v>
      </c>
      <c r="S597" s="231" t="str">
        <f>TEXT(A597,"dddd")</f>
        <v>Thursday</v>
      </c>
    </row>
    <row r="598" spans="1:19" x14ac:dyDescent="0.25">
      <c r="A598" s="226">
        <v>46619</v>
      </c>
      <c r="B598" s="227">
        <f>O597</f>
        <v>100</v>
      </c>
      <c r="C598" s="228">
        <f>P597</f>
        <v>100</v>
      </c>
      <c r="D598" s="228">
        <f>IF(OR(DAY(A598+2)=1,DAY(A598+2)=15),-SUM('Main Budget'!$H$26:$H$31),0)</f>
        <v>0</v>
      </c>
      <c r="E598" s="228">
        <f>IF(DAY(A598+2)=22,-SUM('Main Budget'!$F$26:$F$31),0)</f>
        <v>0</v>
      </c>
      <c r="F598" s="228">
        <f>IF(D598&gt;0,-'Main Budget'!$H$25+0.15,0)</f>
        <v>0</v>
      </c>
      <c r="G598" s="228">
        <f>IF(E598&gt;0,-'Main Budget'!$F$25+0.81,0)</f>
        <v>0</v>
      </c>
      <c r="H598" s="227">
        <f>IF(DAY(A598)='Main Budget'!$J$26,'Main Budget'!$E$26,0)</f>
        <v>0</v>
      </c>
      <c r="I598" s="227">
        <f>IF(DAY(A598)='Main Budget'!$J$28,'Main Budget'!$E$28,0)</f>
        <v>0</v>
      </c>
      <c r="J598" s="227">
        <f>IF(DAY(A598)='Main Budget'!$J$29,'Main Budget'!$E$29,0)</f>
        <v>0</v>
      </c>
      <c r="K598" s="20">
        <f>IF(DAY(A598)='Main Budget'!$J$30,'Main Budget'!$E$30,0)</f>
        <v>0</v>
      </c>
      <c r="L598" s="20">
        <f>IF(DAY(A598)='Main Budget'!$J$31,'Main Budget'!$E$31,0)</f>
        <v>0</v>
      </c>
      <c r="M598" s="20">
        <f>IF(DAY(A598)='Main Budget'!$J$27,'Main Budget'!$E$27,0)</f>
        <v>0</v>
      </c>
      <c r="O598" s="228">
        <f>B598+(SUM(H598:M598)+(SUM(D598:E598)))</f>
        <v>100</v>
      </c>
      <c r="P598" s="228">
        <f>C598+F598+G598+N598</f>
        <v>100</v>
      </c>
      <c r="Q598" s="252">
        <f>O598+P598</f>
        <v>200</v>
      </c>
      <c r="S598" s="231" t="str">
        <f>TEXT(A598,"dddd")</f>
        <v>Friday</v>
      </c>
    </row>
    <row r="599" spans="1:19" x14ac:dyDescent="0.25">
      <c r="A599" s="226">
        <v>46620</v>
      </c>
      <c r="B599" s="227">
        <f>O598</f>
        <v>100</v>
      </c>
      <c r="C599" s="228">
        <f>P598</f>
        <v>100</v>
      </c>
      <c r="D599" s="228">
        <f>IF(OR(DAY(A599+2)=1,DAY(A599+2)=15),-SUM('Main Budget'!$H$26:$H$31),0)</f>
        <v>0</v>
      </c>
      <c r="E599" s="228">
        <f>IF(DAY(A599+2)=22,-SUM('Main Budget'!$F$26:$F$31),0)</f>
        <v>0</v>
      </c>
      <c r="F599" s="228">
        <f>IF(D599&gt;0,-'Main Budget'!$H$25+0.15,0)</f>
        <v>0</v>
      </c>
      <c r="G599" s="228">
        <f>IF(E599&gt;0,-'Main Budget'!$F$25+0.81,0)</f>
        <v>0</v>
      </c>
      <c r="H599" s="227">
        <f>IF(DAY(A599)='Main Budget'!$J$26,'Main Budget'!$E$26,0)</f>
        <v>0</v>
      </c>
      <c r="I599" s="227">
        <f>IF(DAY(A599)='Main Budget'!$J$28,'Main Budget'!$E$28,0)</f>
        <v>0</v>
      </c>
      <c r="J599" s="227">
        <f>IF(DAY(A599)='Main Budget'!$J$29,'Main Budget'!$E$29,0)</f>
        <v>0</v>
      </c>
      <c r="K599" s="20">
        <f>IF(DAY(A599)='Main Budget'!$J$30,'Main Budget'!$E$30,0)</f>
        <v>0</v>
      </c>
      <c r="L599" s="20">
        <f>IF(DAY(A599)='Main Budget'!$J$31,'Main Budget'!$E$31,0)</f>
        <v>0</v>
      </c>
      <c r="M599" s="20">
        <f>IF(DAY(A599)='Main Budget'!$J$27,'Main Budget'!$E$27,0)</f>
        <v>0</v>
      </c>
      <c r="O599" s="228">
        <f>B599+(SUM(H599:M599)+(SUM(D599:E599)))</f>
        <v>100</v>
      </c>
      <c r="P599" s="228">
        <f>C599+F599+G599+N599</f>
        <v>100</v>
      </c>
      <c r="Q599" s="252">
        <f>O599+P599</f>
        <v>200</v>
      </c>
      <c r="S599" s="231" t="str">
        <f>TEXT(A599,"dddd")</f>
        <v>Saturday</v>
      </c>
    </row>
    <row r="600" spans="1:19" x14ac:dyDescent="0.25">
      <c r="A600" s="226">
        <v>46621</v>
      </c>
      <c r="B600" s="227">
        <f>O599</f>
        <v>100</v>
      </c>
      <c r="C600" s="228">
        <f>P599</f>
        <v>100</v>
      </c>
      <c r="D600" s="228">
        <f>IF(OR(DAY(A600+2)=1,DAY(A600+2)=15),-SUM('Main Budget'!$H$26:$H$31),0)</f>
        <v>0</v>
      </c>
      <c r="E600" s="228">
        <f>IF(DAY(A600+2)=22,-SUM('Main Budget'!$F$26:$F$31),0)</f>
        <v>0</v>
      </c>
      <c r="F600" s="228">
        <f>IF(D600&gt;0,-'Main Budget'!$H$25+0.15,0)</f>
        <v>0</v>
      </c>
      <c r="G600" s="228">
        <f>IF(E600&gt;0,-'Main Budget'!$F$25+0.81,0)</f>
        <v>0</v>
      </c>
      <c r="H600" s="227">
        <f>IF(DAY(A600)='Main Budget'!$J$26,'Main Budget'!$E$26,0)</f>
        <v>0</v>
      </c>
      <c r="I600" s="227">
        <f>IF(DAY(A600)='Main Budget'!$J$28,'Main Budget'!$E$28,0)</f>
        <v>0</v>
      </c>
      <c r="J600" s="227">
        <f>IF(DAY(A600)='Main Budget'!$J$29,'Main Budget'!$E$29,0)</f>
        <v>0</v>
      </c>
      <c r="K600" s="20">
        <f>IF(DAY(A600)='Main Budget'!$J$30,'Main Budget'!$E$30,0)</f>
        <v>0</v>
      </c>
      <c r="L600" s="20">
        <f>IF(DAY(A600)='Main Budget'!$J$31,'Main Budget'!$E$31,0)</f>
        <v>0</v>
      </c>
      <c r="M600" s="20">
        <f>IF(DAY(A600)='Main Budget'!$J$27,'Main Budget'!$E$27,0)</f>
        <v>0</v>
      </c>
      <c r="O600" s="228">
        <f>B600+(SUM(H600:M600)+(SUM(D600:E600)))</f>
        <v>100</v>
      </c>
      <c r="P600" s="228">
        <f>C600+F600+G600+N600</f>
        <v>100</v>
      </c>
      <c r="Q600" s="252">
        <f>O600+P600</f>
        <v>200</v>
      </c>
      <c r="S600" s="231" t="str">
        <f>TEXT(A600,"dddd")</f>
        <v>Sunday</v>
      </c>
    </row>
    <row r="601" spans="1:19" x14ac:dyDescent="0.25">
      <c r="A601" s="226">
        <v>46622</v>
      </c>
      <c r="B601" s="227">
        <f>O600</f>
        <v>100</v>
      </c>
      <c r="C601" s="228">
        <f>P600</f>
        <v>100</v>
      </c>
      <c r="D601" s="228">
        <f>IF(OR(DAY(A601+2)=1,DAY(A601+2)=15),-SUM('Main Budget'!$H$26:$H$31),0)</f>
        <v>0</v>
      </c>
      <c r="E601" s="228">
        <f>IF(DAY(A601+2)=22,-SUM('Main Budget'!$F$26:$F$31),0)</f>
        <v>0</v>
      </c>
      <c r="F601" s="228">
        <f>IF(D601&gt;0,-'Main Budget'!$H$25+0.15,0)</f>
        <v>0</v>
      </c>
      <c r="G601" s="228">
        <f>IF(E601&gt;0,-'Main Budget'!$F$25+0.81,0)</f>
        <v>0</v>
      </c>
      <c r="H601" s="227">
        <f>IF(DAY(A601)='Main Budget'!$J$26,'Main Budget'!$E$26,0)</f>
        <v>0</v>
      </c>
      <c r="I601" s="227">
        <f>IF(DAY(A601)='Main Budget'!$J$28,'Main Budget'!$E$28,0)</f>
        <v>0</v>
      </c>
      <c r="J601" s="227">
        <f>IF(DAY(A601)='Main Budget'!$J$29,'Main Budget'!$E$29,0)</f>
        <v>0</v>
      </c>
      <c r="K601" s="20">
        <f>IF(DAY(A601)='Main Budget'!$J$30,'Main Budget'!$E$30,0)</f>
        <v>0</v>
      </c>
      <c r="L601" s="20">
        <f>IF(DAY(A601)='Main Budget'!$J$31,'Main Budget'!$E$31,0)</f>
        <v>0</v>
      </c>
      <c r="M601" s="20">
        <f>IF(DAY(A601)='Main Budget'!$J$27,'Main Budget'!$E$27,0)</f>
        <v>0</v>
      </c>
      <c r="O601" s="228">
        <f>B601+(SUM(H601:M601)+(SUM(D601:E601)))</f>
        <v>100</v>
      </c>
      <c r="P601" s="228">
        <f>C601+F601+G601+N601</f>
        <v>100</v>
      </c>
      <c r="Q601" s="252">
        <f>O601+P601</f>
        <v>200</v>
      </c>
      <c r="S601" s="231" t="str">
        <f>TEXT(A601,"dddd")</f>
        <v>Monday</v>
      </c>
    </row>
    <row r="602" spans="1:19" x14ac:dyDescent="0.25">
      <c r="A602" s="226">
        <v>46623</v>
      </c>
      <c r="B602" s="227">
        <f>O601</f>
        <v>100</v>
      </c>
      <c r="C602" s="228">
        <f>P601</f>
        <v>100</v>
      </c>
      <c r="D602" s="228">
        <f>IF(OR(DAY(A602+2)=1,DAY(A602+2)=15),-SUM('Main Budget'!$H$26:$H$31),0)</f>
        <v>0</v>
      </c>
      <c r="E602" s="228">
        <f>IF(DAY(A602+2)=22,-SUM('Main Budget'!$F$26:$F$31),0)</f>
        <v>0</v>
      </c>
      <c r="F602" s="228">
        <f>IF(D602&gt;0,-'Main Budget'!$H$25+0.15,0)</f>
        <v>0</v>
      </c>
      <c r="G602" s="228">
        <f>IF(E602&gt;0,-'Main Budget'!$F$25+0.81,0)</f>
        <v>0</v>
      </c>
      <c r="H602" s="227">
        <f>IF(DAY(A602)='Main Budget'!$J$26,'Main Budget'!$E$26,0)</f>
        <v>0</v>
      </c>
      <c r="I602" s="227">
        <f>IF(DAY(A602)='Main Budget'!$J$28,'Main Budget'!$E$28,0)</f>
        <v>0</v>
      </c>
      <c r="J602" s="227">
        <f>IF(DAY(A602)='Main Budget'!$J$29,'Main Budget'!$E$29,0)</f>
        <v>0</v>
      </c>
      <c r="K602" s="20">
        <f>IF(DAY(A602)='Main Budget'!$J$30,'Main Budget'!$E$30,0)</f>
        <v>0</v>
      </c>
      <c r="L602" s="20">
        <f>IF(DAY(A602)='Main Budget'!$J$31,'Main Budget'!$E$31,0)</f>
        <v>0</v>
      </c>
      <c r="M602" s="20">
        <f>IF(DAY(A602)='Main Budget'!$J$27,'Main Budget'!$E$27,0)</f>
        <v>0</v>
      </c>
      <c r="O602" s="228">
        <f>B602+(SUM(H602:M602)+(SUM(D602:E602)))</f>
        <v>100</v>
      </c>
      <c r="P602" s="228">
        <f>C602+F602+G602+N602</f>
        <v>100</v>
      </c>
      <c r="Q602" s="252">
        <f>O602+P602</f>
        <v>200</v>
      </c>
      <c r="S602" s="231" t="str">
        <f>TEXT(A602,"dddd")</f>
        <v>Tuesday</v>
      </c>
    </row>
    <row r="603" spans="1:19" x14ac:dyDescent="0.25">
      <c r="A603" s="226">
        <v>46624</v>
      </c>
      <c r="B603" s="227">
        <f>O602</f>
        <v>100</v>
      </c>
      <c r="C603" s="228">
        <f>P602</f>
        <v>100</v>
      </c>
      <c r="D603" s="228">
        <f>IF(OR(DAY(A603+2)=1,DAY(A603+2)=15),-SUM('Main Budget'!$H$26:$H$31),0)</f>
        <v>0</v>
      </c>
      <c r="E603" s="228">
        <f>IF(DAY(A603+2)=22,-SUM('Main Budget'!$F$26:$F$31),0)</f>
        <v>0</v>
      </c>
      <c r="F603" s="228">
        <f>IF(D603&gt;0,-'Main Budget'!$H$25+0.15,0)</f>
        <v>0</v>
      </c>
      <c r="G603" s="228">
        <f>IF(E603&gt;0,-'Main Budget'!$F$25+0.81,0)</f>
        <v>0</v>
      </c>
      <c r="H603" s="227">
        <f>IF(DAY(A603)='Main Budget'!$J$26,'Main Budget'!$E$26,0)</f>
        <v>0</v>
      </c>
      <c r="I603" s="227">
        <f>IF(DAY(A603)='Main Budget'!$J$28,'Main Budget'!$E$28,0)</f>
        <v>0</v>
      </c>
      <c r="J603" s="227">
        <f>IF(DAY(A603)='Main Budget'!$J$29,'Main Budget'!$E$29,0)</f>
        <v>0</v>
      </c>
      <c r="K603" s="20">
        <f>IF(DAY(A603)='Main Budget'!$J$30,'Main Budget'!$E$30,0)</f>
        <v>0</v>
      </c>
      <c r="L603" s="20">
        <f>IF(DAY(A603)='Main Budget'!$J$31,'Main Budget'!$E$31,0)</f>
        <v>0</v>
      </c>
      <c r="M603" s="20">
        <f>IF(DAY(A603)='Main Budget'!$J$27,'Main Budget'!$E$27,0)</f>
        <v>0</v>
      </c>
      <c r="O603" s="228">
        <f>B603+(SUM(H603:M603)+(SUM(D603:E603)))</f>
        <v>100</v>
      </c>
      <c r="P603" s="228">
        <f>C603+F603+G603+N603</f>
        <v>100</v>
      </c>
      <c r="Q603" s="252">
        <f>O603+P603</f>
        <v>200</v>
      </c>
      <c r="S603" s="231" t="str">
        <f>TEXT(A603,"dddd")</f>
        <v>Wednesday</v>
      </c>
    </row>
    <row r="604" spans="1:19" x14ac:dyDescent="0.25">
      <c r="A604" s="226">
        <v>46625</v>
      </c>
      <c r="B604" s="227">
        <f>O603</f>
        <v>100</v>
      </c>
      <c r="C604" s="228">
        <f>P603</f>
        <v>100</v>
      </c>
      <c r="D604" s="228">
        <f>IF(OR(DAY(A604+2)=1,DAY(A604+2)=15),-SUM('Main Budget'!$H$26:$H$31),0)</f>
        <v>0</v>
      </c>
      <c r="E604" s="228">
        <f>IF(DAY(A604+2)=22,-SUM('Main Budget'!$F$26:$F$31),0)</f>
        <v>0</v>
      </c>
      <c r="F604" s="228">
        <f>IF(D604&gt;0,-'Main Budget'!$H$25+0.15,0)</f>
        <v>0</v>
      </c>
      <c r="G604" s="228">
        <f>IF(E604&gt;0,-'Main Budget'!$F$25+0.81,0)</f>
        <v>0</v>
      </c>
      <c r="H604" s="227">
        <f>IF(DAY(A604)='Main Budget'!$J$26,'Main Budget'!$E$26,0)</f>
        <v>0</v>
      </c>
      <c r="I604" s="227">
        <f>IF(DAY(A604)='Main Budget'!$J$28,'Main Budget'!$E$28,0)</f>
        <v>0</v>
      </c>
      <c r="J604" s="227">
        <f>IF(DAY(A604)='Main Budget'!$J$29,'Main Budget'!$E$29,0)</f>
        <v>0</v>
      </c>
      <c r="K604" s="20">
        <f>IF(DAY(A604)='Main Budget'!$J$30,'Main Budget'!$E$30,0)</f>
        <v>0</v>
      </c>
      <c r="L604" s="20">
        <f>IF(DAY(A604)='Main Budget'!$J$31,'Main Budget'!$E$31,0)</f>
        <v>0</v>
      </c>
      <c r="M604" s="20">
        <f>IF(DAY(A604)='Main Budget'!$J$27,'Main Budget'!$E$27,0)</f>
        <v>0</v>
      </c>
      <c r="O604" s="228">
        <f>B604+(SUM(H604:M604)+(SUM(D604:E604)))</f>
        <v>100</v>
      </c>
      <c r="P604" s="228">
        <f>C604+F604+G604+N604</f>
        <v>100</v>
      </c>
      <c r="Q604" s="252">
        <f>O604+P604</f>
        <v>200</v>
      </c>
      <c r="S604" s="231" t="str">
        <f>TEXT(A604,"dddd")</f>
        <v>Thursday</v>
      </c>
    </row>
    <row r="605" spans="1:19" x14ac:dyDescent="0.25">
      <c r="A605" s="226">
        <v>46626</v>
      </c>
      <c r="B605" s="227">
        <f>O604</f>
        <v>100</v>
      </c>
      <c r="C605" s="228">
        <f>P604</f>
        <v>100</v>
      </c>
      <c r="D605" s="228">
        <f>IF(OR(DAY(A605+2)=1,DAY(A605+2)=15),-SUM('Main Budget'!$H$26:$H$31),0)</f>
        <v>0</v>
      </c>
      <c r="E605" s="228">
        <f>IF(DAY(A605+2)=22,-SUM('Main Budget'!$F$26:$F$31),0)</f>
        <v>0</v>
      </c>
      <c r="F605" s="228">
        <f>IF(D605&gt;0,-'Main Budget'!$H$25+0.15,0)</f>
        <v>0</v>
      </c>
      <c r="G605" s="228">
        <f>IF(E605&gt;0,-'Main Budget'!$F$25+0.81,0)</f>
        <v>0</v>
      </c>
      <c r="H605" s="227">
        <f>IF(DAY(A605)='Main Budget'!$J$26,'Main Budget'!$E$26,0)</f>
        <v>0</v>
      </c>
      <c r="I605" s="227">
        <f>IF(DAY(A605)='Main Budget'!$J$28,'Main Budget'!$E$28,0)</f>
        <v>0</v>
      </c>
      <c r="J605" s="227">
        <f>IF(DAY(A605)='Main Budget'!$J$29,'Main Budget'!$E$29,0)</f>
        <v>0</v>
      </c>
      <c r="K605" s="20">
        <f>IF(DAY(A605)='Main Budget'!$J$30,'Main Budget'!$E$30,0)</f>
        <v>0</v>
      </c>
      <c r="L605" s="20">
        <f>IF(DAY(A605)='Main Budget'!$J$31,'Main Budget'!$E$31,0)</f>
        <v>0</v>
      </c>
      <c r="M605" s="20">
        <f>IF(DAY(A605)='Main Budget'!$J$27,'Main Budget'!$E$27,0)</f>
        <v>0</v>
      </c>
      <c r="O605" s="228">
        <f>B605+(SUM(H605:M605)+(SUM(D605:E605)))</f>
        <v>100</v>
      </c>
      <c r="P605" s="228">
        <f>C605+F605+G605+N605</f>
        <v>100</v>
      </c>
      <c r="Q605" s="252">
        <f>O605+P605</f>
        <v>200</v>
      </c>
      <c r="S605" s="231" t="str">
        <f>TEXT(A605,"dddd")</f>
        <v>Friday</v>
      </c>
    </row>
    <row r="606" spans="1:19" x14ac:dyDescent="0.25">
      <c r="A606" s="226">
        <v>46627</v>
      </c>
      <c r="B606" s="227">
        <f>O605</f>
        <v>100</v>
      </c>
      <c r="C606" s="228">
        <f>P605</f>
        <v>100</v>
      </c>
      <c r="D606" s="228">
        <f>IF(OR(DAY(A606+2)=1,DAY(A606+2)=15),-SUM('Main Budget'!$H$26:$H$31),0)</f>
        <v>0</v>
      </c>
      <c r="E606" s="228">
        <f>IF(DAY(A606+2)=22,-SUM('Main Budget'!$F$26:$F$31),0)</f>
        <v>0</v>
      </c>
      <c r="F606" s="228">
        <f>IF(D606&gt;0,-'Main Budget'!$H$25+0.15,0)</f>
        <v>0</v>
      </c>
      <c r="G606" s="228">
        <f>IF(E606&gt;0,-'Main Budget'!$F$25+0.81,0)</f>
        <v>0</v>
      </c>
      <c r="H606" s="227">
        <f>IF(DAY(A606)='Main Budget'!$J$26,'Main Budget'!$E$26,0)</f>
        <v>0</v>
      </c>
      <c r="I606" s="227">
        <f>IF(DAY(A606)='Main Budget'!$J$28,'Main Budget'!$E$28,0)</f>
        <v>0</v>
      </c>
      <c r="J606" s="227">
        <f>IF(DAY(A606)='Main Budget'!$J$29,'Main Budget'!$E$29,0)</f>
        <v>0</v>
      </c>
      <c r="K606" s="20">
        <f>IF(DAY(A606)='Main Budget'!$J$30,'Main Budget'!$E$30,0)</f>
        <v>0</v>
      </c>
      <c r="L606" s="20">
        <f>IF(DAY(A606)='Main Budget'!$J$31,'Main Budget'!$E$31,0)</f>
        <v>0</v>
      </c>
      <c r="M606" s="20">
        <f>IF(DAY(A606)='Main Budget'!$J$27,'Main Budget'!$E$27,0)</f>
        <v>0</v>
      </c>
      <c r="O606" s="228">
        <f>B606+(SUM(H606:M606)+(SUM(D606:E606)))</f>
        <v>100</v>
      </c>
      <c r="P606" s="228">
        <f>C606+F606+G606+N606</f>
        <v>100</v>
      </c>
      <c r="Q606" s="252">
        <f>O606+P606</f>
        <v>200</v>
      </c>
      <c r="S606" s="231" t="str">
        <f>TEXT(A606,"dddd")</f>
        <v>Saturday</v>
      </c>
    </row>
    <row r="607" spans="1:19" x14ac:dyDescent="0.25">
      <c r="A607" s="226">
        <v>46628</v>
      </c>
      <c r="B607" s="227">
        <f>O606</f>
        <v>100</v>
      </c>
      <c r="C607" s="228">
        <f>P606</f>
        <v>100</v>
      </c>
      <c r="D607" s="228">
        <f>IF(OR(DAY(A607+2)=1,DAY(A607+2)=15),-SUM('Main Budget'!$H$26:$H$31),0)</f>
        <v>0</v>
      </c>
      <c r="E607" s="228">
        <f>IF(DAY(A607+2)=22,-SUM('Main Budget'!$F$26:$F$31),0)</f>
        <v>0</v>
      </c>
      <c r="F607" s="228">
        <f>IF(D607&gt;0,-'Main Budget'!$H$25+0.15,0)</f>
        <v>0</v>
      </c>
      <c r="G607" s="228">
        <f>IF(E607&gt;0,-'Main Budget'!$F$25+0.81,0)</f>
        <v>0</v>
      </c>
      <c r="H607" s="227">
        <f>IF(DAY(A607)='Main Budget'!$J$26,'Main Budget'!$E$26,0)</f>
        <v>0</v>
      </c>
      <c r="I607" s="227">
        <f>IF(DAY(A607)='Main Budget'!$J$28,'Main Budget'!$E$28,0)</f>
        <v>0</v>
      </c>
      <c r="J607" s="227">
        <f>IF(DAY(A607)='Main Budget'!$J$29,'Main Budget'!$E$29,0)</f>
        <v>0</v>
      </c>
      <c r="K607" s="20">
        <f>IF(DAY(A607)='Main Budget'!$J$30,'Main Budget'!$E$30,0)</f>
        <v>0</v>
      </c>
      <c r="L607" s="20">
        <f>IF(DAY(A607)='Main Budget'!$J$31,'Main Budget'!$E$31,0)</f>
        <v>0</v>
      </c>
      <c r="M607" s="20">
        <f>IF(DAY(A607)='Main Budget'!$J$27,'Main Budget'!$E$27,0)</f>
        <v>0</v>
      </c>
      <c r="O607" s="228">
        <f>B607+(SUM(H607:M607)+(SUM(D607:E607)))</f>
        <v>100</v>
      </c>
      <c r="P607" s="228">
        <f>C607+F607+G607+N607</f>
        <v>100</v>
      </c>
      <c r="Q607" s="252">
        <f>O607+P607</f>
        <v>200</v>
      </c>
      <c r="S607" s="231" t="str">
        <f>TEXT(A607,"dddd")</f>
        <v>Sunday</v>
      </c>
    </row>
    <row r="608" spans="1:19" x14ac:dyDescent="0.25">
      <c r="A608" s="226">
        <v>46629</v>
      </c>
      <c r="B608" s="227">
        <f>O607</f>
        <v>100</v>
      </c>
      <c r="C608" s="228">
        <f>P607</f>
        <v>100</v>
      </c>
      <c r="D608" s="228">
        <f>IF(OR(DAY(A608+2)=1,DAY(A608+2)=15),-SUM('Main Budget'!$H$26:$H$31),0)</f>
        <v>0</v>
      </c>
      <c r="E608" s="228">
        <f>IF(DAY(A608+2)=22,-SUM('Main Budget'!$F$26:$F$31),0)</f>
        <v>0</v>
      </c>
      <c r="F608" s="228">
        <f>IF(D608&gt;0,-'Main Budget'!$H$25+0.15,0)</f>
        <v>0</v>
      </c>
      <c r="G608" s="228">
        <f>IF(E608&gt;0,-'Main Budget'!$F$25+0.81,0)</f>
        <v>0</v>
      </c>
      <c r="H608" s="227">
        <f>IF(DAY(A608)='Main Budget'!$J$26,'Main Budget'!$E$26,0)</f>
        <v>0</v>
      </c>
      <c r="I608" s="227">
        <f>IF(DAY(A608)='Main Budget'!$J$28,'Main Budget'!$E$28,0)</f>
        <v>0</v>
      </c>
      <c r="J608" s="227">
        <f>IF(DAY(A608)='Main Budget'!$J$29,'Main Budget'!$E$29,0)</f>
        <v>0</v>
      </c>
      <c r="K608" s="20">
        <f>IF(DAY(A608)='Main Budget'!$J$30,'Main Budget'!$E$30,0)</f>
        <v>0</v>
      </c>
      <c r="L608" s="20">
        <f>IF(DAY(A608)='Main Budget'!$J$31,'Main Budget'!$E$31,0)</f>
        <v>0</v>
      </c>
      <c r="M608" s="20">
        <f>IF(DAY(A608)='Main Budget'!$J$27,'Main Budget'!$E$27,0)</f>
        <v>0</v>
      </c>
      <c r="O608" s="228">
        <f>B608+(SUM(H608:M608)+(SUM(D608:E608)))</f>
        <v>100</v>
      </c>
      <c r="P608" s="228">
        <f>C608+F608+G608+N608</f>
        <v>100</v>
      </c>
      <c r="Q608" s="252">
        <f>O608+P608</f>
        <v>200</v>
      </c>
      <c r="S608" s="231" t="str">
        <f>TEXT(A608,"dddd")</f>
        <v>Monday</v>
      </c>
    </row>
    <row r="609" spans="1:19" x14ac:dyDescent="0.25">
      <c r="A609" s="226">
        <v>46630</v>
      </c>
      <c r="B609" s="227">
        <f>O608</f>
        <v>100</v>
      </c>
      <c r="C609" s="228">
        <f>P608</f>
        <v>100</v>
      </c>
      <c r="D609" s="228">
        <f>IF(OR(DAY(A609+2)=1,DAY(A609+2)=15),-SUM('Main Budget'!$H$26:$H$31),0)</f>
        <v>0</v>
      </c>
      <c r="E609" s="228">
        <f>IF(DAY(A609+2)=22,-SUM('Main Budget'!$F$26:$F$31),0)</f>
        <v>0</v>
      </c>
      <c r="F609" s="228">
        <f>IF(D609&gt;0,-'Main Budget'!$H$25+0.15,0)</f>
        <v>0</v>
      </c>
      <c r="G609" s="228">
        <f>IF(E609&gt;0,-'Main Budget'!$F$25+0.81,0)</f>
        <v>0</v>
      </c>
      <c r="H609" s="227">
        <f>IF(DAY(A609)='Main Budget'!$J$26,'Main Budget'!$E$26,0)</f>
        <v>0</v>
      </c>
      <c r="I609" s="227">
        <f>IF(DAY(A609)='Main Budget'!$J$28,'Main Budget'!$E$28,0)</f>
        <v>0</v>
      </c>
      <c r="J609" s="227">
        <f>IF(DAY(A609)='Main Budget'!$J$29,'Main Budget'!$E$29,0)</f>
        <v>0</v>
      </c>
      <c r="K609" s="20">
        <f>IF(DAY(A609)='Main Budget'!$J$30,'Main Budget'!$E$30,0)</f>
        <v>0</v>
      </c>
      <c r="L609" s="20">
        <f>IF(DAY(A609)='Main Budget'!$J$31,'Main Budget'!$E$31,0)</f>
        <v>0</v>
      </c>
      <c r="M609" s="20">
        <f>IF(DAY(A609)='Main Budget'!$J$27,'Main Budget'!$E$27,0)</f>
        <v>0</v>
      </c>
      <c r="O609" s="228">
        <f>B609+(SUM(H609:M609)+(SUM(D609:E609)))</f>
        <v>100</v>
      </c>
      <c r="P609" s="228">
        <f>C609+F609+G609+N609</f>
        <v>100</v>
      </c>
      <c r="Q609" s="252">
        <f>O609+P609</f>
        <v>200</v>
      </c>
      <c r="S609" s="231" t="str">
        <f>TEXT(A609,"dddd")</f>
        <v>Tuesday</v>
      </c>
    </row>
    <row r="610" spans="1:19" x14ac:dyDescent="0.25">
      <c r="A610" s="226">
        <v>46631</v>
      </c>
      <c r="B610" s="227">
        <f>O609</f>
        <v>100</v>
      </c>
      <c r="C610" s="228">
        <f>P609</f>
        <v>100</v>
      </c>
      <c r="D610" s="228">
        <f>IF(OR(DAY(A610+2)=1,DAY(A610+2)=15),-SUM('Main Budget'!$H$26:$H$31),0)</f>
        <v>0</v>
      </c>
      <c r="E610" s="228">
        <f>IF(DAY(A610+2)=22,-SUM('Main Budget'!$F$26:$F$31),0)</f>
        <v>0</v>
      </c>
      <c r="F610" s="228">
        <f>IF(D610&gt;0,-'Main Budget'!$H$25+0.15,0)</f>
        <v>0</v>
      </c>
      <c r="G610" s="228">
        <f>IF(E610&gt;0,-'Main Budget'!$F$25+0.81,0)</f>
        <v>0</v>
      </c>
      <c r="H610" s="227">
        <f>IF(DAY(A610)='Main Budget'!$J$26,'Main Budget'!$E$26,0)</f>
        <v>0</v>
      </c>
      <c r="I610" s="227">
        <f>IF(DAY(A610)='Main Budget'!$J$28,'Main Budget'!$E$28,0)</f>
        <v>0</v>
      </c>
      <c r="J610" s="227">
        <f>IF(DAY(A610)='Main Budget'!$J$29,'Main Budget'!$E$29,0)</f>
        <v>0</v>
      </c>
      <c r="K610" s="20">
        <f>IF(DAY(A610)='Main Budget'!$J$30,'Main Budget'!$E$30,0)</f>
        <v>0</v>
      </c>
      <c r="L610" s="20">
        <f>IF(DAY(A610)='Main Budget'!$J$31,'Main Budget'!$E$31,0)</f>
        <v>0</v>
      </c>
      <c r="M610" s="20">
        <f>IF(DAY(A610)='Main Budget'!$J$27,'Main Budget'!$E$27,0)</f>
        <v>0</v>
      </c>
      <c r="O610" s="228">
        <f>B610+(SUM(H610:M610)+(SUM(D610:E610)))</f>
        <v>100</v>
      </c>
      <c r="P610" s="228">
        <f>C610+F610+G610+N610</f>
        <v>100</v>
      </c>
      <c r="Q610" s="252">
        <f>O610+P610</f>
        <v>200</v>
      </c>
      <c r="S610" s="231" t="str">
        <f>TEXT(A610,"dddd")</f>
        <v>Wednesday</v>
      </c>
    </row>
    <row r="611" spans="1:19" x14ac:dyDescent="0.25">
      <c r="A611" s="226">
        <v>46632</v>
      </c>
      <c r="B611" s="227">
        <f>O610</f>
        <v>100</v>
      </c>
      <c r="C611" s="228">
        <f>P610</f>
        <v>100</v>
      </c>
      <c r="D611" s="228">
        <f>IF(OR(DAY(A611+2)=1,DAY(A611+2)=15),-SUM('Main Budget'!$H$26:$H$31),0)</f>
        <v>0</v>
      </c>
      <c r="E611" s="228">
        <f>IF(DAY(A611+2)=22,-SUM('Main Budget'!$F$26:$F$31),0)</f>
        <v>0</v>
      </c>
      <c r="F611" s="228">
        <f>IF(D611&gt;0,-'Main Budget'!$H$25+0.15,0)</f>
        <v>0</v>
      </c>
      <c r="G611" s="228">
        <f>IF(E611&gt;0,-'Main Budget'!$F$25+0.81,0)</f>
        <v>0</v>
      </c>
      <c r="H611" s="227">
        <f>IF(DAY(A611)='Main Budget'!$J$26,'Main Budget'!$E$26,0)</f>
        <v>0</v>
      </c>
      <c r="I611" s="227">
        <f>IF(DAY(A611)='Main Budget'!$J$28,'Main Budget'!$E$28,0)</f>
        <v>0</v>
      </c>
      <c r="J611" s="227">
        <f>IF(DAY(A611)='Main Budget'!$J$29,'Main Budget'!$E$29,0)</f>
        <v>0</v>
      </c>
      <c r="K611" s="20">
        <f>IF(DAY(A611)='Main Budget'!$J$30,'Main Budget'!$E$30,0)</f>
        <v>0</v>
      </c>
      <c r="L611" s="20">
        <f>IF(DAY(A611)='Main Budget'!$J$31,'Main Budget'!$E$31,0)</f>
        <v>0</v>
      </c>
      <c r="M611" s="20">
        <f>IF(DAY(A611)='Main Budget'!$J$27,'Main Budget'!$E$27,0)</f>
        <v>0</v>
      </c>
      <c r="O611" s="228">
        <f>B611+(SUM(H611:M611)+(SUM(D611:E611)))</f>
        <v>100</v>
      </c>
      <c r="P611" s="228">
        <f>C611+F611+G611+N611</f>
        <v>100</v>
      </c>
      <c r="Q611" s="252">
        <f>O611+P611</f>
        <v>200</v>
      </c>
      <c r="S611" s="231" t="str">
        <f>TEXT(A611,"dddd")</f>
        <v>Thursday</v>
      </c>
    </row>
    <row r="612" spans="1:19" x14ac:dyDescent="0.25">
      <c r="A612" s="226">
        <v>46633</v>
      </c>
      <c r="B612" s="227">
        <f>O611</f>
        <v>100</v>
      </c>
      <c r="C612" s="228">
        <f>P611</f>
        <v>100</v>
      </c>
      <c r="D612" s="228">
        <f>IF(OR(DAY(A612+2)=1,DAY(A612+2)=15),-SUM('Main Budget'!$H$26:$H$31),0)</f>
        <v>0</v>
      </c>
      <c r="E612" s="228">
        <f>IF(DAY(A612+2)=22,-SUM('Main Budget'!$F$26:$F$31),0)</f>
        <v>0</v>
      </c>
      <c r="F612" s="228">
        <f>IF(D612&gt;0,-'Main Budget'!$H$25+0.15,0)</f>
        <v>0</v>
      </c>
      <c r="G612" s="228">
        <f>IF(E612&gt;0,-'Main Budget'!$F$25+0.81,0)</f>
        <v>0</v>
      </c>
      <c r="H612" s="227">
        <f>IF(DAY(A612)='Main Budget'!$J$26,'Main Budget'!$E$26,0)</f>
        <v>0</v>
      </c>
      <c r="I612" s="227">
        <f>IF(DAY(A612)='Main Budget'!$J$28,'Main Budget'!$E$28,0)</f>
        <v>0</v>
      </c>
      <c r="J612" s="227">
        <f>IF(DAY(A612)='Main Budget'!$J$29,'Main Budget'!$E$29,0)</f>
        <v>0</v>
      </c>
      <c r="K612" s="20">
        <f>IF(DAY(A612)='Main Budget'!$J$30,'Main Budget'!$E$30,0)</f>
        <v>0</v>
      </c>
      <c r="L612" s="20">
        <f>IF(DAY(A612)='Main Budget'!$J$31,'Main Budget'!$E$31,0)</f>
        <v>0</v>
      </c>
      <c r="M612" s="20">
        <f>IF(DAY(A612)='Main Budget'!$J$27,'Main Budget'!$E$27,0)</f>
        <v>0</v>
      </c>
      <c r="O612" s="228">
        <f>B612+(SUM(H612:M612)+(SUM(D612:E612)))</f>
        <v>100</v>
      </c>
      <c r="P612" s="228">
        <f>C612+F612+G612+N612</f>
        <v>100</v>
      </c>
      <c r="Q612" s="252">
        <f>O612+P612</f>
        <v>200</v>
      </c>
      <c r="S612" s="231" t="str">
        <f>TEXT(A612,"dddd")</f>
        <v>Friday</v>
      </c>
    </row>
    <row r="613" spans="1:19" x14ac:dyDescent="0.25">
      <c r="A613" s="226">
        <v>46634</v>
      </c>
      <c r="B613" s="227">
        <f>O612</f>
        <v>100</v>
      </c>
      <c r="C613" s="228">
        <f>P612</f>
        <v>100</v>
      </c>
      <c r="D613" s="228">
        <f>IF(OR(DAY(A613+2)=1,DAY(A613+2)=15),-SUM('Main Budget'!$H$26:$H$31),0)</f>
        <v>0</v>
      </c>
      <c r="E613" s="228">
        <f>IF(DAY(A613+2)=22,-SUM('Main Budget'!$F$26:$F$31),0)</f>
        <v>0</v>
      </c>
      <c r="F613" s="228">
        <f>IF(D613&gt;0,-'Main Budget'!$H$25+0.15,0)</f>
        <v>0</v>
      </c>
      <c r="G613" s="228">
        <f>IF(E613&gt;0,-'Main Budget'!$F$25+0.81,0)</f>
        <v>0</v>
      </c>
      <c r="H613" s="227">
        <f>IF(DAY(A613)='Main Budget'!$J$26,'Main Budget'!$E$26,0)</f>
        <v>0</v>
      </c>
      <c r="I613" s="227">
        <f>IF(DAY(A613)='Main Budget'!$J$28,'Main Budget'!$E$28,0)</f>
        <v>0</v>
      </c>
      <c r="J613" s="227">
        <f>IF(DAY(A613)='Main Budget'!$J$29,'Main Budget'!$E$29,0)</f>
        <v>0</v>
      </c>
      <c r="K613" s="20">
        <f>IF(DAY(A613)='Main Budget'!$J$30,'Main Budget'!$E$30,0)</f>
        <v>0</v>
      </c>
      <c r="L613" s="20">
        <f>IF(DAY(A613)='Main Budget'!$J$31,'Main Budget'!$E$31,0)</f>
        <v>0</v>
      </c>
      <c r="M613" s="20">
        <f>IF(DAY(A613)='Main Budget'!$J$27,'Main Budget'!$E$27,0)</f>
        <v>0</v>
      </c>
      <c r="O613" s="228">
        <f>B613+(SUM(H613:M613)+(SUM(D613:E613)))</f>
        <v>100</v>
      </c>
      <c r="P613" s="228">
        <f>C613+F613+G613+N613</f>
        <v>100</v>
      </c>
      <c r="Q613" s="252">
        <f>O613+P613</f>
        <v>200</v>
      </c>
      <c r="S613" s="231" t="str">
        <f>TEXT(A613,"dddd")</f>
        <v>Saturday</v>
      </c>
    </row>
    <row r="614" spans="1:19" x14ac:dyDescent="0.25">
      <c r="A614" s="226">
        <v>46635</v>
      </c>
      <c r="B614" s="227">
        <f>O613</f>
        <v>100</v>
      </c>
      <c r="C614" s="228">
        <f>P613</f>
        <v>100</v>
      </c>
      <c r="D614" s="228">
        <f>IF(OR(DAY(A614+2)=1,DAY(A614+2)=15),-SUM('Main Budget'!$H$26:$H$31),0)</f>
        <v>0</v>
      </c>
      <c r="E614" s="228">
        <f>IF(DAY(A614+2)=22,-SUM('Main Budget'!$F$26:$F$31),0)</f>
        <v>0</v>
      </c>
      <c r="F614" s="228">
        <f>IF(D614&gt;0,-'Main Budget'!$H$25+0.15,0)</f>
        <v>0</v>
      </c>
      <c r="G614" s="228">
        <f>IF(E614&gt;0,-'Main Budget'!$F$25+0.81,0)</f>
        <v>0</v>
      </c>
      <c r="H614" s="227">
        <f>IF(DAY(A614)='Main Budget'!$J$26,'Main Budget'!$E$26,0)</f>
        <v>0</v>
      </c>
      <c r="I614" s="227">
        <f>IF(DAY(A614)='Main Budget'!$J$28,'Main Budget'!$E$28,0)</f>
        <v>0</v>
      </c>
      <c r="J614" s="227">
        <f>IF(DAY(A614)='Main Budget'!$J$29,'Main Budget'!$E$29,0)</f>
        <v>0</v>
      </c>
      <c r="K614" s="20">
        <f>IF(DAY(A614)='Main Budget'!$J$30,'Main Budget'!$E$30,0)</f>
        <v>0</v>
      </c>
      <c r="L614" s="20">
        <f>IF(DAY(A614)='Main Budget'!$J$31,'Main Budget'!$E$31,0)</f>
        <v>0</v>
      </c>
      <c r="M614" s="20">
        <f>IF(DAY(A614)='Main Budget'!$J$27,'Main Budget'!$E$27,0)</f>
        <v>0</v>
      </c>
      <c r="O614" s="228">
        <f>B614+(SUM(H614:M614)+(SUM(D614:E614)))</f>
        <v>100</v>
      </c>
      <c r="P614" s="228">
        <f>C614+F614+G614+N614</f>
        <v>100</v>
      </c>
      <c r="Q614" s="252">
        <f>O614+P614</f>
        <v>200</v>
      </c>
      <c r="S614" s="231" t="str">
        <f>TEXT(A614,"dddd")</f>
        <v>Sunday</v>
      </c>
    </row>
    <row r="615" spans="1:19" x14ac:dyDescent="0.25">
      <c r="A615" s="226">
        <v>46636</v>
      </c>
      <c r="B615" s="227">
        <f>O614</f>
        <v>100</v>
      </c>
      <c r="C615" s="228">
        <f>P614</f>
        <v>100</v>
      </c>
      <c r="D615" s="228">
        <f>IF(OR(DAY(A615+2)=1,DAY(A615+2)=15),-SUM('Main Budget'!$H$26:$H$31),0)</f>
        <v>0</v>
      </c>
      <c r="E615" s="228">
        <f>IF(DAY(A615+2)=22,-SUM('Main Budget'!$F$26:$F$31),0)</f>
        <v>0</v>
      </c>
      <c r="F615" s="228">
        <f>IF(D615&gt;0,-'Main Budget'!$H$25+0.15,0)</f>
        <v>0</v>
      </c>
      <c r="G615" s="228">
        <f>IF(E615&gt;0,-'Main Budget'!$F$25+0.81,0)</f>
        <v>0</v>
      </c>
      <c r="H615" s="227">
        <f>IF(DAY(A615)='Main Budget'!$J$26,'Main Budget'!$E$26,0)</f>
        <v>0</v>
      </c>
      <c r="I615" s="227">
        <f>IF(DAY(A615)='Main Budget'!$J$28,'Main Budget'!$E$28,0)</f>
        <v>0</v>
      </c>
      <c r="J615" s="227">
        <f>IF(DAY(A615)='Main Budget'!$J$29,'Main Budget'!$E$29,0)</f>
        <v>0</v>
      </c>
      <c r="K615" s="20">
        <f>IF(DAY(A615)='Main Budget'!$J$30,'Main Budget'!$E$30,0)</f>
        <v>0</v>
      </c>
      <c r="L615" s="20">
        <f>IF(DAY(A615)='Main Budget'!$J$31,'Main Budget'!$E$31,0)</f>
        <v>0</v>
      </c>
      <c r="M615" s="20">
        <f>IF(DAY(A615)='Main Budget'!$J$27,'Main Budget'!$E$27,0)</f>
        <v>0</v>
      </c>
      <c r="O615" s="228">
        <f>B615+(SUM(H615:M615)+(SUM(D615:E615)))</f>
        <v>100</v>
      </c>
      <c r="P615" s="228">
        <f>C615+F615+G615+N615</f>
        <v>100</v>
      </c>
      <c r="Q615" s="252">
        <f>O615+P615</f>
        <v>200</v>
      </c>
      <c r="S615" s="231" t="str">
        <f>TEXT(A615,"dddd")</f>
        <v>Monday</v>
      </c>
    </row>
    <row r="616" spans="1:19" x14ac:dyDescent="0.25">
      <c r="A616" s="226">
        <v>46637</v>
      </c>
      <c r="B616" s="227">
        <f>O615</f>
        <v>100</v>
      </c>
      <c r="C616" s="228">
        <f>P615</f>
        <v>100</v>
      </c>
      <c r="D616" s="228">
        <f>IF(OR(DAY(A616+2)=1,DAY(A616+2)=15),-SUM('Main Budget'!$H$26:$H$31),0)</f>
        <v>0</v>
      </c>
      <c r="E616" s="228">
        <f>IF(DAY(A616+2)=22,-SUM('Main Budget'!$F$26:$F$31),0)</f>
        <v>0</v>
      </c>
      <c r="F616" s="228">
        <f>IF(D616&gt;0,-'Main Budget'!$H$25+0.15,0)</f>
        <v>0</v>
      </c>
      <c r="G616" s="228">
        <f>IF(E616&gt;0,-'Main Budget'!$F$25+0.81,0)</f>
        <v>0</v>
      </c>
      <c r="H616" s="227">
        <f>IF(DAY(A616)='Main Budget'!$J$26,'Main Budget'!$E$26,0)</f>
        <v>0</v>
      </c>
      <c r="I616" s="227">
        <f>IF(DAY(A616)='Main Budget'!$J$28,'Main Budget'!$E$28,0)</f>
        <v>0</v>
      </c>
      <c r="J616" s="227">
        <f>IF(DAY(A616)='Main Budget'!$J$29,'Main Budget'!$E$29,0)</f>
        <v>0</v>
      </c>
      <c r="K616" s="20">
        <f>IF(DAY(A616)='Main Budget'!$J$30,'Main Budget'!$E$30,0)</f>
        <v>0</v>
      </c>
      <c r="L616" s="20">
        <f>IF(DAY(A616)='Main Budget'!$J$31,'Main Budget'!$E$31,0)</f>
        <v>0</v>
      </c>
      <c r="M616" s="20">
        <f>IF(DAY(A616)='Main Budget'!$J$27,'Main Budget'!$E$27,0)</f>
        <v>0</v>
      </c>
      <c r="O616" s="228">
        <f>B616+(SUM(H616:M616)+(SUM(D616:E616)))</f>
        <v>100</v>
      </c>
      <c r="P616" s="228">
        <f>C616+F616+G616+N616</f>
        <v>100</v>
      </c>
      <c r="Q616" s="252">
        <f>O616+P616</f>
        <v>200</v>
      </c>
      <c r="S616" s="231" t="str">
        <f>TEXT(A616,"dddd")</f>
        <v>Tuesday</v>
      </c>
    </row>
    <row r="617" spans="1:19" x14ac:dyDescent="0.25">
      <c r="A617" s="226">
        <v>46638</v>
      </c>
      <c r="B617" s="227">
        <f>O616</f>
        <v>100</v>
      </c>
      <c r="C617" s="228">
        <f>P616</f>
        <v>100</v>
      </c>
      <c r="D617" s="228">
        <f>IF(OR(DAY(A617+2)=1,DAY(A617+2)=15),-SUM('Main Budget'!$H$26:$H$31),0)</f>
        <v>0</v>
      </c>
      <c r="E617" s="228">
        <f>IF(DAY(A617+2)=22,-SUM('Main Budget'!$F$26:$F$31),0)</f>
        <v>0</v>
      </c>
      <c r="F617" s="228">
        <f>IF(D617&gt;0,-'Main Budget'!$H$25+0.15,0)</f>
        <v>0</v>
      </c>
      <c r="G617" s="228">
        <f>IF(E617&gt;0,-'Main Budget'!$F$25+0.81,0)</f>
        <v>0</v>
      </c>
      <c r="H617" s="227">
        <f>IF(DAY(A617)='Main Budget'!$J$26,'Main Budget'!$E$26,0)</f>
        <v>0</v>
      </c>
      <c r="I617" s="227">
        <f>IF(DAY(A617)='Main Budget'!$J$28,'Main Budget'!$E$28,0)</f>
        <v>0</v>
      </c>
      <c r="J617" s="227">
        <f>IF(DAY(A617)='Main Budget'!$J$29,'Main Budget'!$E$29,0)</f>
        <v>0</v>
      </c>
      <c r="K617" s="20">
        <f>IF(DAY(A617)='Main Budget'!$J$30,'Main Budget'!$E$30,0)</f>
        <v>0</v>
      </c>
      <c r="L617" s="20">
        <f>IF(DAY(A617)='Main Budget'!$J$31,'Main Budget'!$E$31,0)</f>
        <v>0</v>
      </c>
      <c r="M617" s="20">
        <f>IF(DAY(A617)='Main Budget'!$J$27,'Main Budget'!$E$27,0)</f>
        <v>0</v>
      </c>
      <c r="O617" s="228">
        <f>B617+(SUM(H617:M617)+(SUM(D617:E617)))</f>
        <v>100</v>
      </c>
      <c r="P617" s="228">
        <f>C617+F617+G617+N617</f>
        <v>100</v>
      </c>
      <c r="Q617" s="252">
        <f>O617+P617</f>
        <v>200</v>
      </c>
      <c r="S617" s="231" t="str">
        <f>TEXT(A617,"dddd")</f>
        <v>Wednesday</v>
      </c>
    </row>
    <row r="618" spans="1:19" x14ac:dyDescent="0.25">
      <c r="A618" s="226">
        <v>46639</v>
      </c>
      <c r="B618" s="227">
        <f>O617</f>
        <v>100</v>
      </c>
      <c r="C618" s="228">
        <f>P617</f>
        <v>100</v>
      </c>
      <c r="D618" s="228">
        <f>IF(OR(DAY(A618+2)=1,DAY(A618+2)=15),-SUM('Main Budget'!$H$26:$H$31),0)</f>
        <v>0</v>
      </c>
      <c r="E618" s="228">
        <f>IF(DAY(A618+2)=22,-SUM('Main Budget'!$F$26:$F$31),0)</f>
        <v>0</v>
      </c>
      <c r="F618" s="228">
        <f>IF(D618&gt;0,-'Main Budget'!$H$25+0.15,0)</f>
        <v>0</v>
      </c>
      <c r="G618" s="228">
        <f>IF(E618&gt;0,-'Main Budget'!$F$25+0.81,0)</f>
        <v>0</v>
      </c>
      <c r="H618" s="227">
        <f>IF(DAY(A618)='Main Budget'!$J$26,'Main Budget'!$E$26,0)</f>
        <v>0</v>
      </c>
      <c r="I618" s="227">
        <f>IF(DAY(A618)='Main Budget'!$J$28,'Main Budget'!$E$28,0)</f>
        <v>0</v>
      </c>
      <c r="J618" s="227">
        <f>IF(DAY(A618)='Main Budget'!$J$29,'Main Budget'!$E$29,0)</f>
        <v>0</v>
      </c>
      <c r="K618" s="20">
        <f>IF(DAY(A618)='Main Budget'!$J$30,'Main Budget'!$E$30,0)</f>
        <v>0</v>
      </c>
      <c r="L618" s="20">
        <f>IF(DAY(A618)='Main Budget'!$J$31,'Main Budget'!$E$31,0)</f>
        <v>0</v>
      </c>
      <c r="M618" s="20">
        <f>IF(DAY(A618)='Main Budget'!$J$27,'Main Budget'!$E$27,0)</f>
        <v>0</v>
      </c>
      <c r="O618" s="228">
        <f>B618+(SUM(H618:M618)+(SUM(D618:E618)))</f>
        <v>100</v>
      </c>
      <c r="P618" s="228">
        <f>C618+F618+G618+N618</f>
        <v>100</v>
      </c>
      <c r="Q618" s="252">
        <f>O618+P618</f>
        <v>200</v>
      </c>
      <c r="S618" s="231" t="str">
        <f>TEXT(A618,"dddd")</f>
        <v>Thursday</v>
      </c>
    </row>
    <row r="619" spans="1:19" x14ac:dyDescent="0.25">
      <c r="A619" s="226">
        <v>46640</v>
      </c>
      <c r="B619" s="227">
        <f>O618</f>
        <v>100</v>
      </c>
      <c r="C619" s="228">
        <f>P618</f>
        <v>100</v>
      </c>
      <c r="D619" s="228">
        <f>IF(OR(DAY(A619+2)=1,DAY(A619+2)=15),-SUM('Main Budget'!$H$26:$H$31),0)</f>
        <v>0</v>
      </c>
      <c r="E619" s="228">
        <f>IF(DAY(A619+2)=22,-SUM('Main Budget'!$F$26:$F$31),0)</f>
        <v>0</v>
      </c>
      <c r="F619" s="228">
        <f>IF(D619&gt;0,-'Main Budget'!$H$25+0.15,0)</f>
        <v>0</v>
      </c>
      <c r="G619" s="228">
        <f>IF(E619&gt;0,-'Main Budget'!$F$25+0.81,0)</f>
        <v>0</v>
      </c>
      <c r="H619" s="227">
        <f>IF(DAY(A619)='Main Budget'!$J$26,'Main Budget'!$E$26,0)</f>
        <v>0</v>
      </c>
      <c r="I619" s="227">
        <f>IF(DAY(A619)='Main Budget'!$J$28,'Main Budget'!$E$28,0)</f>
        <v>0</v>
      </c>
      <c r="J619" s="227">
        <f>IF(DAY(A619)='Main Budget'!$J$29,'Main Budget'!$E$29,0)</f>
        <v>0</v>
      </c>
      <c r="K619" s="20">
        <f>IF(DAY(A619)='Main Budget'!$J$30,'Main Budget'!$E$30,0)</f>
        <v>0</v>
      </c>
      <c r="L619" s="20">
        <f>IF(DAY(A619)='Main Budget'!$J$31,'Main Budget'!$E$31,0)</f>
        <v>0</v>
      </c>
      <c r="M619" s="20">
        <f>IF(DAY(A619)='Main Budget'!$J$27,'Main Budget'!$E$27,0)</f>
        <v>0</v>
      </c>
      <c r="O619" s="228">
        <f>B619+(SUM(H619:M619)+(SUM(D619:E619)))</f>
        <v>100</v>
      </c>
      <c r="P619" s="228">
        <f>C619+F619+G619+N619</f>
        <v>100</v>
      </c>
      <c r="Q619" s="252">
        <f>O619+P619</f>
        <v>200</v>
      </c>
      <c r="S619" s="231" t="str">
        <f>TEXT(A619,"dddd")</f>
        <v>Friday</v>
      </c>
    </row>
    <row r="620" spans="1:19" x14ac:dyDescent="0.25">
      <c r="A620" s="226">
        <v>46641</v>
      </c>
      <c r="B620" s="227">
        <f>O619</f>
        <v>100</v>
      </c>
      <c r="C620" s="228">
        <f>P619</f>
        <v>100</v>
      </c>
      <c r="D620" s="228">
        <f>IF(OR(DAY(A620+2)=1,DAY(A620+2)=15),-SUM('Main Budget'!$H$26:$H$31),0)</f>
        <v>0</v>
      </c>
      <c r="E620" s="228">
        <f>IF(DAY(A620+2)=22,-SUM('Main Budget'!$F$26:$F$31),0)</f>
        <v>0</v>
      </c>
      <c r="F620" s="228">
        <f>IF(D620&gt;0,-'Main Budget'!$H$25+0.15,0)</f>
        <v>0</v>
      </c>
      <c r="G620" s="228">
        <f>IF(E620&gt;0,-'Main Budget'!$F$25+0.81,0)</f>
        <v>0</v>
      </c>
      <c r="H620" s="227">
        <f>IF(DAY(A620)='Main Budget'!$J$26,'Main Budget'!$E$26,0)</f>
        <v>0</v>
      </c>
      <c r="I620" s="227">
        <f>IF(DAY(A620)='Main Budget'!$J$28,'Main Budget'!$E$28,0)</f>
        <v>0</v>
      </c>
      <c r="J620" s="227">
        <f>IF(DAY(A620)='Main Budget'!$J$29,'Main Budget'!$E$29,0)</f>
        <v>0</v>
      </c>
      <c r="K620" s="20">
        <f>IF(DAY(A620)='Main Budget'!$J$30,'Main Budget'!$E$30,0)</f>
        <v>0</v>
      </c>
      <c r="L620" s="20">
        <f>IF(DAY(A620)='Main Budget'!$J$31,'Main Budget'!$E$31,0)</f>
        <v>0</v>
      </c>
      <c r="M620" s="20">
        <f>IF(DAY(A620)='Main Budget'!$J$27,'Main Budget'!$E$27,0)</f>
        <v>0</v>
      </c>
      <c r="O620" s="228">
        <f>B620+(SUM(H620:M620)+(SUM(D620:E620)))</f>
        <v>100</v>
      </c>
      <c r="P620" s="228">
        <f>C620+F620+G620+N620</f>
        <v>100</v>
      </c>
      <c r="Q620" s="252">
        <f>O620+P620</f>
        <v>200</v>
      </c>
      <c r="S620" s="231" t="str">
        <f>TEXT(A620,"dddd")</f>
        <v>Saturday</v>
      </c>
    </row>
    <row r="621" spans="1:19" x14ac:dyDescent="0.25">
      <c r="A621" s="226">
        <v>46642</v>
      </c>
      <c r="B621" s="227">
        <f>O620</f>
        <v>100</v>
      </c>
      <c r="C621" s="228">
        <f>P620</f>
        <v>100</v>
      </c>
      <c r="D621" s="228">
        <f>IF(OR(DAY(A621+2)=1,DAY(A621+2)=15),-SUM('Main Budget'!$H$26:$H$31),0)</f>
        <v>0</v>
      </c>
      <c r="E621" s="228">
        <f>IF(DAY(A621+2)=22,-SUM('Main Budget'!$F$26:$F$31),0)</f>
        <v>0</v>
      </c>
      <c r="F621" s="228">
        <f>IF(D621&gt;0,-'Main Budget'!$H$25+0.15,0)</f>
        <v>0</v>
      </c>
      <c r="G621" s="228">
        <f>IF(E621&gt;0,-'Main Budget'!$F$25+0.81,0)</f>
        <v>0</v>
      </c>
      <c r="H621" s="227">
        <f>IF(DAY(A621)='Main Budget'!$J$26,'Main Budget'!$E$26,0)</f>
        <v>0</v>
      </c>
      <c r="I621" s="227">
        <f>IF(DAY(A621)='Main Budget'!$J$28,'Main Budget'!$E$28,0)</f>
        <v>0</v>
      </c>
      <c r="J621" s="227">
        <f>IF(DAY(A621)='Main Budget'!$J$29,'Main Budget'!$E$29,0)</f>
        <v>0</v>
      </c>
      <c r="K621" s="20">
        <f>IF(DAY(A621)='Main Budget'!$J$30,'Main Budget'!$E$30,0)</f>
        <v>0</v>
      </c>
      <c r="L621" s="20">
        <f>IF(DAY(A621)='Main Budget'!$J$31,'Main Budget'!$E$31,0)</f>
        <v>0</v>
      </c>
      <c r="M621" s="20">
        <f>IF(DAY(A621)='Main Budget'!$J$27,'Main Budget'!$E$27,0)</f>
        <v>0</v>
      </c>
      <c r="O621" s="228">
        <f>B621+(SUM(H621:M621)+(SUM(D621:E621)))</f>
        <v>100</v>
      </c>
      <c r="P621" s="228">
        <f>C621+F621+G621+N621</f>
        <v>100</v>
      </c>
      <c r="Q621" s="252">
        <f>O621+P621</f>
        <v>200</v>
      </c>
      <c r="S621" s="231" t="str">
        <f>TEXT(A621,"dddd")</f>
        <v>Sunday</v>
      </c>
    </row>
    <row r="622" spans="1:19" x14ac:dyDescent="0.25">
      <c r="A622" s="226">
        <v>46643</v>
      </c>
      <c r="B622" s="227">
        <f>O621</f>
        <v>100</v>
      </c>
      <c r="C622" s="228">
        <f>P621</f>
        <v>100</v>
      </c>
      <c r="D622" s="228">
        <f>IF(OR(DAY(A622+2)=1,DAY(A622+2)=15),-SUM('Main Budget'!$H$26:$H$31),0)</f>
        <v>0</v>
      </c>
      <c r="E622" s="228">
        <f>IF(DAY(A622+2)=22,-SUM('Main Budget'!$F$26:$F$31),0)</f>
        <v>0</v>
      </c>
      <c r="F622" s="228">
        <f>IF(D622&gt;0,-'Main Budget'!$H$25+0.15,0)</f>
        <v>0</v>
      </c>
      <c r="G622" s="228">
        <f>IF(E622&gt;0,-'Main Budget'!$F$25+0.81,0)</f>
        <v>0</v>
      </c>
      <c r="H622" s="227">
        <f>IF(DAY(A622)='Main Budget'!$J$26,'Main Budget'!$E$26,0)</f>
        <v>0</v>
      </c>
      <c r="I622" s="227">
        <f>IF(DAY(A622)='Main Budget'!$J$28,'Main Budget'!$E$28,0)</f>
        <v>0</v>
      </c>
      <c r="J622" s="227">
        <f>IF(DAY(A622)='Main Budget'!$J$29,'Main Budget'!$E$29,0)</f>
        <v>0</v>
      </c>
      <c r="K622" s="20">
        <f>IF(DAY(A622)='Main Budget'!$J$30,'Main Budget'!$E$30,0)</f>
        <v>0</v>
      </c>
      <c r="L622" s="20">
        <f>IF(DAY(A622)='Main Budget'!$J$31,'Main Budget'!$E$31,0)</f>
        <v>0</v>
      </c>
      <c r="M622" s="20">
        <f>IF(DAY(A622)='Main Budget'!$J$27,'Main Budget'!$E$27,0)</f>
        <v>0</v>
      </c>
      <c r="O622" s="228">
        <f>B622+(SUM(H622:M622)+(SUM(D622:E622)))</f>
        <v>100</v>
      </c>
      <c r="P622" s="228">
        <f>C622+F622+G622+N622</f>
        <v>100</v>
      </c>
      <c r="Q622" s="252">
        <f>O622+P622</f>
        <v>200</v>
      </c>
      <c r="S622" s="231" t="str">
        <f>TEXT(A622,"dddd")</f>
        <v>Monday</v>
      </c>
    </row>
    <row r="623" spans="1:19" x14ac:dyDescent="0.25">
      <c r="A623" s="226">
        <v>46644</v>
      </c>
      <c r="B623" s="227">
        <f>O622</f>
        <v>100</v>
      </c>
      <c r="C623" s="228">
        <f>P622</f>
        <v>100</v>
      </c>
      <c r="D623" s="228">
        <f>IF(OR(DAY(A623+2)=1,DAY(A623+2)=15),-SUM('Main Budget'!$H$26:$H$31),0)</f>
        <v>0</v>
      </c>
      <c r="E623" s="228">
        <f>IF(DAY(A623+2)=22,-SUM('Main Budget'!$F$26:$F$31),0)</f>
        <v>0</v>
      </c>
      <c r="F623" s="228">
        <f>IF(D623&gt;0,-'Main Budget'!$H$25+0.15,0)</f>
        <v>0</v>
      </c>
      <c r="G623" s="228">
        <f>IF(E623&gt;0,-'Main Budget'!$F$25+0.81,0)</f>
        <v>0</v>
      </c>
      <c r="H623" s="227">
        <f>IF(DAY(A623)='Main Budget'!$J$26,'Main Budget'!$E$26,0)</f>
        <v>0</v>
      </c>
      <c r="I623" s="227">
        <f>IF(DAY(A623)='Main Budget'!$J$28,'Main Budget'!$E$28,0)</f>
        <v>0</v>
      </c>
      <c r="J623" s="227">
        <f>IF(DAY(A623)='Main Budget'!$J$29,'Main Budget'!$E$29,0)</f>
        <v>0</v>
      </c>
      <c r="K623" s="20">
        <f>IF(DAY(A623)='Main Budget'!$J$30,'Main Budget'!$E$30,0)</f>
        <v>0</v>
      </c>
      <c r="L623" s="20">
        <f>IF(DAY(A623)='Main Budget'!$J$31,'Main Budget'!$E$31,0)</f>
        <v>0</v>
      </c>
      <c r="M623" s="20">
        <f>IF(DAY(A623)='Main Budget'!$J$27,'Main Budget'!$E$27,0)</f>
        <v>0</v>
      </c>
      <c r="O623" s="228">
        <f>B623+(SUM(H623:M623)+(SUM(D623:E623)))</f>
        <v>100</v>
      </c>
      <c r="P623" s="228">
        <f>C623+F623+G623+N623</f>
        <v>100</v>
      </c>
      <c r="Q623" s="252">
        <f>O623+P623</f>
        <v>200</v>
      </c>
      <c r="S623" s="231" t="str">
        <f>TEXT(A623,"dddd")</f>
        <v>Tuesday</v>
      </c>
    </row>
    <row r="624" spans="1:19" x14ac:dyDescent="0.25">
      <c r="A624" s="226">
        <v>46645</v>
      </c>
      <c r="B624" s="227">
        <f>O623</f>
        <v>100</v>
      </c>
      <c r="C624" s="228">
        <f>P623</f>
        <v>100</v>
      </c>
      <c r="D624" s="228">
        <f>IF(OR(DAY(A624+2)=1,DAY(A624+2)=15),-SUM('Main Budget'!$H$26:$H$31),0)</f>
        <v>0</v>
      </c>
      <c r="E624" s="228">
        <f>IF(DAY(A624+2)=22,-SUM('Main Budget'!$F$26:$F$31),0)</f>
        <v>0</v>
      </c>
      <c r="F624" s="228">
        <f>IF(D624&gt;0,-'Main Budget'!$H$25+0.15,0)</f>
        <v>0</v>
      </c>
      <c r="G624" s="228">
        <f>IF(E624&gt;0,-'Main Budget'!$F$25+0.81,0)</f>
        <v>0</v>
      </c>
      <c r="H624" s="227">
        <f>IF(DAY(A624)='Main Budget'!$J$26,'Main Budget'!$E$26,0)</f>
        <v>0</v>
      </c>
      <c r="I624" s="227">
        <f>IF(DAY(A624)='Main Budget'!$J$28,'Main Budget'!$E$28,0)</f>
        <v>0</v>
      </c>
      <c r="J624" s="227">
        <f>IF(DAY(A624)='Main Budget'!$J$29,'Main Budget'!$E$29,0)</f>
        <v>0</v>
      </c>
      <c r="K624" s="20">
        <f>IF(DAY(A624)='Main Budget'!$J$30,'Main Budget'!$E$30,0)</f>
        <v>0</v>
      </c>
      <c r="L624" s="20">
        <f>IF(DAY(A624)='Main Budget'!$J$31,'Main Budget'!$E$31,0)</f>
        <v>0</v>
      </c>
      <c r="M624" s="20">
        <f>IF(DAY(A624)='Main Budget'!$J$27,'Main Budget'!$E$27,0)</f>
        <v>0</v>
      </c>
      <c r="O624" s="228">
        <f>B624+(SUM(H624:M624)+(SUM(D624:E624)))</f>
        <v>100</v>
      </c>
      <c r="P624" s="228">
        <f>C624+F624+G624+N624</f>
        <v>100</v>
      </c>
      <c r="Q624" s="252">
        <f>O624+P624</f>
        <v>200</v>
      </c>
      <c r="S624" s="231" t="str">
        <f>TEXT(A624,"dddd")</f>
        <v>Wednesday</v>
      </c>
    </row>
    <row r="625" spans="1:19" x14ac:dyDescent="0.25">
      <c r="A625" s="226">
        <v>46646</v>
      </c>
      <c r="B625" s="227">
        <f>O624</f>
        <v>100</v>
      </c>
      <c r="C625" s="228">
        <f>P624</f>
        <v>100</v>
      </c>
      <c r="D625" s="228">
        <f>IF(OR(DAY(A625+2)=1,DAY(A625+2)=15),-SUM('Main Budget'!$H$26:$H$31),0)</f>
        <v>0</v>
      </c>
      <c r="E625" s="228">
        <f>IF(DAY(A625+2)=22,-SUM('Main Budget'!$F$26:$F$31),0)</f>
        <v>0</v>
      </c>
      <c r="F625" s="228">
        <f>IF(D625&gt;0,-'Main Budget'!$H$25+0.15,0)</f>
        <v>0</v>
      </c>
      <c r="G625" s="228">
        <f>IF(E625&gt;0,-'Main Budget'!$F$25+0.81,0)</f>
        <v>0</v>
      </c>
      <c r="H625" s="227">
        <f>IF(DAY(A625)='Main Budget'!$J$26,'Main Budget'!$E$26,0)</f>
        <v>0</v>
      </c>
      <c r="I625" s="227">
        <f>IF(DAY(A625)='Main Budget'!$J$28,'Main Budget'!$E$28,0)</f>
        <v>0</v>
      </c>
      <c r="J625" s="227">
        <f>IF(DAY(A625)='Main Budget'!$J$29,'Main Budget'!$E$29,0)</f>
        <v>0</v>
      </c>
      <c r="K625" s="20">
        <f>IF(DAY(A625)='Main Budget'!$J$30,'Main Budget'!$E$30,0)</f>
        <v>0</v>
      </c>
      <c r="L625" s="20">
        <f>IF(DAY(A625)='Main Budget'!$J$31,'Main Budget'!$E$31,0)</f>
        <v>0</v>
      </c>
      <c r="M625" s="20">
        <f>IF(DAY(A625)='Main Budget'!$J$27,'Main Budget'!$E$27,0)</f>
        <v>0</v>
      </c>
      <c r="O625" s="228">
        <f>B625+(SUM(H625:M625)+(SUM(D625:E625)))</f>
        <v>100</v>
      </c>
      <c r="P625" s="228">
        <f>C625+F625+G625+N625</f>
        <v>100</v>
      </c>
      <c r="Q625" s="252">
        <f>O625+P625</f>
        <v>200</v>
      </c>
      <c r="S625" s="231" t="str">
        <f>TEXT(A625,"dddd")</f>
        <v>Thursday</v>
      </c>
    </row>
    <row r="626" spans="1:19" x14ac:dyDescent="0.25">
      <c r="A626" s="226">
        <v>46647</v>
      </c>
      <c r="B626" s="227">
        <f>O625</f>
        <v>100</v>
      </c>
      <c r="C626" s="228">
        <f>P625</f>
        <v>100</v>
      </c>
      <c r="D626" s="228">
        <f>IF(OR(DAY(A626+2)=1,DAY(A626+2)=15),-SUM('Main Budget'!$H$26:$H$31),0)</f>
        <v>0</v>
      </c>
      <c r="E626" s="228">
        <f>IF(DAY(A626+2)=22,-SUM('Main Budget'!$F$26:$F$31),0)</f>
        <v>0</v>
      </c>
      <c r="F626" s="228">
        <f>IF(D626&gt;0,-'Main Budget'!$H$25+0.15,0)</f>
        <v>0</v>
      </c>
      <c r="G626" s="228">
        <f>IF(E626&gt;0,-'Main Budget'!$F$25+0.81,0)</f>
        <v>0</v>
      </c>
      <c r="H626" s="227">
        <f>IF(DAY(A626)='Main Budget'!$J$26,'Main Budget'!$E$26,0)</f>
        <v>0</v>
      </c>
      <c r="I626" s="227">
        <f>IF(DAY(A626)='Main Budget'!$J$28,'Main Budget'!$E$28,0)</f>
        <v>0</v>
      </c>
      <c r="J626" s="227">
        <f>IF(DAY(A626)='Main Budget'!$J$29,'Main Budget'!$E$29,0)</f>
        <v>0</v>
      </c>
      <c r="K626" s="20">
        <f>IF(DAY(A626)='Main Budget'!$J$30,'Main Budget'!$E$30,0)</f>
        <v>0</v>
      </c>
      <c r="L626" s="20">
        <f>IF(DAY(A626)='Main Budget'!$J$31,'Main Budget'!$E$31,0)</f>
        <v>0</v>
      </c>
      <c r="M626" s="20">
        <f>IF(DAY(A626)='Main Budget'!$J$27,'Main Budget'!$E$27,0)</f>
        <v>0</v>
      </c>
      <c r="O626" s="228">
        <f>B626+(SUM(H626:M626)+(SUM(D626:E626)))</f>
        <v>100</v>
      </c>
      <c r="P626" s="228">
        <f>C626+F626+G626+N626</f>
        <v>100</v>
      </c>
      <c r="Q626" s="252">
        <f>O626+P626</f>
        <v>200</v>
      </c>
      <c r="S626" s="231" t="str">
        <f>TEXT(A626,"dddd")</f>
        <v>Friday</v>
      </c>
    </row>
    <row r="627" spans="1:19" x14ac:dyDescent="0.25">
      <c r="A627" s="226">
        <v>46648</v>
      </c>
      <c r="B627" s="227">
        <f>O626</f>
        <v>100</v>
      </c>
      <c r="C627" s="228">
        <f>P626</f>
        <v>100</v>
      </c>
      <c r="D627" s="228">
        <f>IF(OR(DAY(A627+2)=1,DAY(A627+2)=15),-SUM('Main Budget'!$H$26:$H$31),0)</f>
        <v>0</v>
      </c>
      <c r="E627" s="228">
        <f>IF(DAY(A627+2)=22,-SUM('Main Budget'!$F$26:$F$31),0)</f>
        <v>0</v>
      </c>
      <c r="F627" s="228">
        <f>IF(D627&gt;0,-'Main Budget'!$H$25+0.15,0)</f>
        <v>0</v>
      </c>
      <c r="G627" s="228">
        <f>IF(E627&gt;0,-'Main Budget'!$F$25+0.81,0)</f>
        <v>0</v>
      </c>
      <c r="H627" s="227">
        <f>IF(DAY(A627)='Main Budget'!$J$26,'Main Budget'!$E$26,0)</f>
        <v>0</v>
      </c>
      <c r="I627" s="227">
        <f>IF(DAY(A627)='Main Budget'!$J$28,'Main Budget'!$E$28,0)</f>
        <v>0</v>
      </c>
      <c r="J627" s="227">
        <f>IF(DAY(A627)='Main Budget'!$J$29,'Main Budget'!$E$29,0)</f>
        <v>0</v>
      </c>
      <c r="K627" s="20">
        <f>IF(DAY(A627)='Main Budget'!$J$30,'Main Budget'!$E$30,0)</f>
        <v>0</v>
      </c>
      <c r="L627" s="20">
        <f>IF(DAY(A627)='Main Budget'!$J$31,'Main Budget'!$E$31,0)</f>
        <v>0</v>
      </c>
      <c r="M627" s="20">
        <f>IF(DAY(A627)='Main Budget'!$J$27,'Main Budget'!$E$27,0)</f>
        <v>0</v>
      </c>
      <c r="O627" s="228">
        <f>B627+(SUM(H627:M627)+(SUM(D627:E627)))</f>
        <v>100</v>
      </c>
      <c r="P627" s="228">
        <f>C627+F627+G627+N627</f>
        <v>100</v>
      </c>
      <c r="Q627" s="252">
        <f>O627+P627</f>
        <v>200</v>
      </c>
      <c r="S627" s="231" t="str">
        <f>TEXT(A627,"dddd")</f>
        <v>Saturday</v>
      </c>
    </row>
    <row r="628" spans="1:19" x14ac:dyDescent="0.25">
      <c r="A628" s="226">
        <v>46649</v>
      </c>
      <c r="B628" s="227">
        <f>O627</f>
        <v>100</v>
      </c>
      <c r="C628" s="228">
        <f>P627</f>
        <v>100</v>
      </c>
      <c r="D628" s="228">
        <f>IF(OR(DAY(A628+2)=1,DAY(A628+2)=15),-SUM('Main Budget'!$H$26:$H$31),0)</f>
        <v>0</v>
      </c>
      <c r="E628" s="228">
        <f>IF(DAY(A628+2)=22,-SUM('Main Budget'!$F$26:$F$31),0)</f>
        <v>0</v>
      </c>
      <c r="F628" s="228">
        <f>IF(D628&gt;0,-'Main Budget'!$H$25+0.15,0)</f>
        <v>0</v>
      </c>
      <c r="G628" s="228">
        <f>IF(E628&gt;0,-'Main Budget'!$F$25+0.81,0)</f>
        <v>0</v>
      </c>
      <c r="H628" s="227">
        <f>IF(DAY(A628)='Main Budget'!$J$26,'Main Budget'!$E$26,0)</f>
        <v>0</v>
      </c>
      <c r="I628" s="227">
        <f>IF(DAY(A628)='Main Budget'!$J$28,'Main Budget'!$E$28,0)</f>
        <v>0</v>
      </c>
      <c r="J628" s="227">
        <f>IF(DAY(A628)='Main Budget'!$J$29,'Main Budget'!$E$29,0)</f>
        <v>0</v>
      </c>
      <c r="K628" s="20">
        <f>IF(DAY(A628)='Main Budget'!$J$30,'Main Budget'!$E$30,0)</f>
        <v>0</v>
      </c>
      <c r="L628" s="20">
        <f>IF(DAY(A628)='Main Budget'!$J$31,'Main Budget'!$E$31,0)</f>
        <v>0</v>
      </c>
      <c r="M628" s="20">
        <f>IF(DAY(A628)='Main Budget'!$J$27,'Main Budget'!$E$27,0)</f>
        <v>0</v>
      </c>
      <c r="O628" s="228">
        <f>B628+(SUM(H628:M628)+(SUM(D628:E628)))</f>
        <v>100</v>
      </c>
      <c r="P628" s="228">
        <f>C628+F628+G628+N628</f>
        <v>100</v>
      </c>
      <c r="Q628" s="252">
        <f>O628+P628</f>
        <v>200</v>
      </c>
      <c r="S628" s="231" t="str">
        <f>TEXT(A628,"dddd")</f>
        <v>Sunday</v>
      </c>
    </row>
    <row r="629" spans="1:19" x14ac:dyDescent="0.25">
      <c r="A629" s="226">
        <v>46650</v>
      </c>
      <c r="B629" s="227">
        <f>O628</f>
        <v>100</v>
      </c>
      <c r="C629" s="228">
        <f>P628</f>
        <v>100</v>
      </c>
      <c r="D629" s="228">
        <f>IF(OR(DAY(A629+2)=1,DAY(A629+2)=15),-SUM('Main Budget'!$H$26:$H$31),0)</f>
        <v>0</v>
      </c>
      <c r="E629" s="228">
        <f>IF(DAY(A629+2)=22,-SUM('Main Budget'!$F$26:$F$31),0)</f>
        <v>0</v>
      </c>
      <c r="F629" s="228">
        <f>IF(D629&gt;0,-'Main Budget'!$H$25+0.15,0)</f>
        <v>0</v>
      </c>
      <c r="G629" s="228">
        <f>IF(E629&gt;0,-'Main Budget'!$F$25+0.81,0)</f>
        <v>0</v>
      </c>
      <c r="H629" s="227">
        <f>IF(DAY(A629)='Main Budget'!$J$26,'Main Budget'!$E$26,0)</f>
        <v>0</v>
      </c>
      <c r="I629" s="227">
        <f>IF(DAY(A629)='Main Budget'!$J$28,'Main Budget'!$E$28,0)</f>
        <v>0</v>
      </c>
      <c r="J629" s="227">
        <f>IF(DAY(A629)='Main Budget'!$J$29,'Main Budget'!$E$29,0)</f>
        <v>0</v>
      </c>
      <c r="K629" s="20">
        <f>IF(DAY(A629)='Main Budget'!$J$30,'Main Budget'!$E$30,0)</f>
        <v>0</v>
      </c>
      <c r="L629" s="20">
        <f>IF(DAY(A629)='Main Budget'!$J$31,'Main Budget'!$E$31,0)</f>
        <v>0</v>
      </c>
      <c r="M629" s="20">
        <f>IF(DAY(A629)='Main Budget'!$J$27,'Main Budget'!$E$27,0)</f>
        <v>0</v>
      </c>
      <c r="O629" s="228">
        <f>B629+(SUM(H629:M629)+(SUM(D629:E629)))</f>
        <v>100</v>
      </c>
      <c r="P629" s="228">
        <f>C629+F629+G629+N629</f>
        <v>100</v>
      </c>
      <c r="Q629" s="252">
        <f>O629+P629</f>
        <v>200</v>
      </c>
      <c r="S629" s="231" t="str">
        <f>TEXT(A629,"dddd")</f>
        <v>Monday</v>
      </c>
    </row>
    <row r="630" spans="1:19" x14ac:dyDescent="0.25">
      <c r="A630" s="226">
        <v>46651</v>
      </c>
      <c r="B630" s="227">
        <f>O629</f>
        <v>100</v>
      </c>
      <c r="C630" s="228">
        <f>P629</f>
        <v>100</v>
      </c>
      <c r="D630" s="228">
        <f>IF(OR(DAY(A630+2)=1,DAY(A630+2)=15),-SUM('Main Budget'!$H$26:$H$31),0)</f>
        <v>0</v>
      </c>
      <c r="E630" s="228">
        <f>IF(DAY(A630+2)=22,-SUM('Main Budget'!$F$26:$F$31),0)</f>
        <v>0</v>
      </c>
      <c r="F630" s="228">
        <f>IF(D630&gt;0,-'Main Budget'!$H$25+0.15,0)</f>
        <v>0</v>
      </c>
      <c r="G630" s="228">
        <f>IF(E630&gt;0,-'Main Budget'!$F$25+0.81,0)</f>
        <v>0</v>
      </c>
      <c r="H630" s="227">
        <f>IF(DAY(A630)='Main Budget'!$J$26,'Main Budget'!$E$26,0)</f>
        <v>0</v>
      </c>
      <c r="I630" s="227">
        <f>IF(DAY(A630)='Main Budget'!$J$28,'Main Budget'!$E$28,0)</f>
        <v>0</v>
      </c>
      <c r="J630" s="227">
        <f>IF(DAY(A630)='Main Budget'!$J$29,'Main Budget'!$E$29,0)</f>
        <v>0</v>
      </c>
      <c r="K630" s="20">
        <f>IF(DAY(A630)='Main Budget'!$J$30,'Main Budget'!$E$30,0)</f>
        <v>0</v>
      </c>
      <c r="L630" s="20">
        <f>IF(DAY(A630)='Main Budget'!$J$31,'Main Budget'!$E$31,0)</f>
        <v>0</v>
      </c>
      <c r="M630" s="20">
        <f>IF(DAY(A630)='Main Budget'!$J$27,'Main Budget'!$E$27,0)</f>
        <v>0</v>
      </c>
      <c r="O630" s="228">
        <f>B630+(SUM(H630:M630)+(SUM(D630:E630)))</f>
        <v>100</v>
      </c>
      <c r="P630" s="228">
        <f>C630+F630+G630+N630</f>
        <v>100</v>
      </c>
      <c r="Q630" s="252">
        <f>O630+P630</f>
        <v>200</v>
      </c>
      <c r="S630" s="231" t="str">
        <f>TEXT(A630,"dddd")</f>
        <v>Tuesday</v>
      </c>
    </row>
    <row r="631" spans="1:19" x14ac:dyDescent="0.25">
      <c r="A631" s="226">
        <v>46652</v>
      </c>
      <c r="B631" s="227">
        <f>O630</f>
        <v>100</v>
      </c>
      <c r="C631" s="228">
        <f>P630</f>
        <v>100</v>
      </c>
      <c r="D631" s="228">
        <f>IF(OR(DAY(A631+2)=1,DAY(A631+2)=15),-SUM('Main Budget'!$H$26:$H$31),0)</f>
        <v>0</v>
      </c>
      <c r="E631" s="228">
        <f>IF(DAY(A631+2)=22,-SUM('Main Budget'!$F$26:$F$31),0)</f>
        <v>0</v>
      </c>
      <c r="F631" s="228">
        <f>IF(D631&gt;0,-'Main Budget'!$H$25+0.15,0)</f>
        <v>0</v>
      </c>
      <c r="G631" s="228">
        <f>IF(E631&gt;0,-'Main Budget'!$F$25+0.81,0)</f>
        <v>0</v>
      </c>
      <c r="H631" s="227">
        <f>IF(DAY(A631)='Main Budget'!$J$26,'Main Budget'!$E$26,0)</f>
        <v>0</v>
      </c>
      <c r="I631" s="227">
        <f>IF(DAY(A631)='Main Budget'!$J$28,'Main Budget'!$E$28,0)</f>
        <v>0</v>
      </c>
      <c r="J631" s="227">
        <f>IF(DAY(A631)='Main Budget'!$J$29,'Main Budget'!$E$29,0)</f>
        <v>0</v>
      </c>
      <c r="K631" s="20">
        <f>IF(DAY(A631)='Main Budget'!$J$30,'Main Budget'!$E$30,0)</f>
        <v>0</v>
      </c>
      <c r="L631" s="20">
        <f>IF(DAY(A631)='Main Budget'!$J$31,'Main Budget'!$E$31,0)</f>
        <v>0</v>
      </c>
      <c r="M631" s="20">
        <f>IF(DAY(A631)='Main Budget'!$J$27,'Main Budget'!$E$27,0)</f>
        <v>0</v>
      </c>
      <c r="O631" s="228">
        <f>B631+(SUM(H631:M631)+(SUM(D631:E631)))</f>
        <v>100</v>
      </c>
      <c r="P631" s="228">
        <f>C631+F631+G631+N631</f>
        <v>100</v>
      </c>
      <c r="Q631" s="252">
        <f>O631+P631</f>
        <v>200</v>
      </c>
      <c r="S631" s="231" t="str">
        <f>TEXT(A631,"dddd")</f>
        <v>Wednesday</v>
      </c>
    </row>
    <row r="632" spans="1:19" x14ac:dyDescent="0.25">
      <c r="A632" s="226">
        <v>46653</v>
      </c>
      <c r="B632" s="227">
        <f>O631</f>
        <v>100</v>
      </c>
      <c r="C632" s="228">
        <f>P631</f>
        <v>100</v>
      </c>
      <c r="D632" s="228">
        <f>IF(OR(DAY(A632+2)=1,DAY(A632+2)=15),-SUM('Main Budget'!$H$26:$H$31),0)</f>
        <v>0</v>
      </c>
      <c r="E632" s="228">
        <f>IF(DAY(A632+2)=22,-SUM('Main Budget'!$F$26:$F$31),0)</f>
        <v>0</v>
      </c>
      <c r="F632" s="228">
        <f>IF(D632&gt;0,-'Main Budget'!$H$25+0.15,0)</f>
        <v>0</v>
      </c>
      <c r="G632" s="228">
        <f>IF(E632&gt;0,-'Main Budget'!$F$25+0.81,0)</f>
        <v>0</v>
      </c>
      <c r="H632" s="227">
        <f>IF(DAY(A632)='Main Budget'!$J$26,'Main Budget'!$E$26,0)</f>
        <v>0</v>
      </c>
      <c r="I632" s="227">
        <f>IF(DAY(A632)='Main Budget'!$J$28,'Main Budget'!$E$28,0)</f>
        <v>0</v>
      </c>
      <c r="J632" s="227">
        <f>IF(DAY(A632)='Main Budget'!$J$29,'Main Budget'!$E$29,0)</f>
        <v>0</v>
      </c>
      <c r="K632" s="20">
        <f>IF(DAY(A632)='Main Budget'!$J$30,'Main Budget'!$E$30,0)</f>
        <v>0</v>
      </c>
      <c r="L632" s="20">
        <f>IF(DAY(A632)='Main Budget'!$J$31,'Main Budget'!$E$31,0)</f>
        <v>0</v>
      </c>
      <c r="M632" s="20">
        <f>IF(DAY(A632)='Main Budget'!$J$27,'Main Budget'!$E$27,0)</f>
        <v>0</v>
      </c>
      <c r="O632" s="228">
        <f>B632+(SUM(H632:M632)+(SUM(D632:E632)))</f>
        <v>100</v>
      </c>
      <c r="P632" s="228">
        <f>C632+F632+G632+N632</f>
        <v>100</v>
      </c>
      <c r="Q632" s="252">
        <f>O632+P632</f>
        <v>200</v>
      </c>
      <c r="S632" s="231" t="str">
        <f>TEXT(A632,"dddd")</f>
        <v>Thursday</v>
      </c>
    </row>
    <row r="633" spans="1:19" x14ac:dyDescent="0.25">
      <c r="A633" s="226">
        <v>46654</v>
      </c>
      <c r="B633" s="227">
        <f>O632</f>
        <v>100</v>
      </c>
      <c r="C633" s="228">
        <f>P632</f>
        <v>100</v>
      </c>
      <c r="D633" s="228">
        <f>IF(OR(DAY(A633+2)=1,DAY(A633+2)=15),-SUM('Main Budget'!$H$26:$H$31),0)</f>
        <v>0</v>
      </c>
      <c r="E633" s="228">
        <f>IF(DAY(A633+2)=22,-SUM('Main Budget'!$F$26:$F$31),0)</f>
        <v>0</v>
      </c>
      <c r="F633" s="228">
        <f>IF(D633&gt;0,-'Main Budget'!$H$25+0.15,0)</f>
        <v>0</v>
      </c>
      <c r="G633" s="228">
        <f>IF(E633&gt;0,-'Main Budget'!$F$25+0.81,0)</f>
        <v>0</v>
      </c>
      <c r="H633" s="227">
        <f>IF(DAY(A633)='Main Budget'!$J$26,'Main Budget'!$E$26,0)</f>
        <v>0</v>
      </c>
      <c r="I633" s="227">
        <f>IF(DAY(A633)='Main Budget'!$J$28,'Main Budget'!$E$28,0)</f>
        <v>0</v>
      </c>
      <c r="J633" s="227">
        <f>IF(DAY(A633)='Main Budget'!$J$29,'Main Budget'!$E$29,0)</f>
        <v>0</v>
      </c>
      <c r="K633" s="20">
        <f>IF(DAY(A633)='Main Budget'!$J$30,'Main Budget'!$E$30,0)</f>
        <v>0</v>
      </c>
      <c r="L633" s="20">
        <f>IF(DAY(A633)='Main Budget'!$J$31,'Main Budget'!$E$31,0)</f>
        <v>0</v>
      </c>
      <c r="M633" s="20">
        <f>IF(DAY(A633)='Main Budget'!$J$27,'Main Budget'!$E$27,0)</f>
        <v>0</v>
      </c>
      <c r="O633" s="228">
        <f>B633+(SUM(H633:M633)+(SUM(D633:E633)))</f>
        <v>100</v>
      </c>
      <c r="P633" s="228">
        <f>C633+F633+G633+N633</f>
        <v>100</v>
      </c>
      <c r="Q633" s="252">
        <f>O633+P633</f>
        <v>200</v>
      </c>
      <c r="S633" s="231" t="str">
        <f>TEXT(A633,"dddd")</f>
        <v>Friday</v>
      </c>
    </row>
    <row r="634" spans="1:19" x14ac:dyDescent="0.25">
      <c r="A634" s="226">
        <v>46655</v>
      </c>
      <c r="B634" s="227">
        <f>O633</f>
        <v>100</v>
      </c>
      <c r="C634" s="228">
        <f>P633</f>
        <v>100</v>
      </c>
      <c r="D634" s="228">
        <f>IF(OR(DAY(A634+2)=1,DAY(A634+2)=15),-SUM('Main Budget'!$H$26:$H$31),0)</f>
        <v>0</v>
      </c>
      <c r="E634" s="228">
        <f>IF(DAY(A634+2)=22,-SUM('Main Budget'!$F$26:$F$31),0)</f>
        <v>0</v>
      </c>
      <c r="F634" s="228">
        <f>IF(D634&gt;0,-'Main Budget'!$H$25+0.15,0)</f>
        <v>0</v>
      </c>
      <c r="G634" s="228">
        <f>IF(E634&gt;0,-'Main Budget'!$F$25+0.81,0)</f>
        <v>0</v>
      </c>
      <c r="H634" s="227">
        <f>IF(DAY(A634)='Main Budget'!$J$26,'Main Budget'!$E$26,0)</f>
        <v>0</v>
      </c>
      <c r="I634" s="227">
        <f>IF(DAY(A634)='Main Budget'!$J$28,'Main Budget'!$E$28,0)</f>
        <v>0</v>
      </c>
      <c r="J634" s="227">
        <f>IF(DAY(A634)='Main Budget'!$J$29,'Main Budget'!$E$29,0)</f>
        <v>0</v>
      </c>
      <c r="K634" s="20">
        <f>IF(DAY(A634)='Main Budget'!$J$30,'Main Budget'!$E$30,0)</f>
        <v>0</v>
      </c>
      <c r="L634" s="20">
        <f>IF(DAY(A634)='Main Budget'!$J$31,'Main Budget'!$E$31,0)</f>
        <v>0</v>
      </c>
      <c r="M634" s="20">
        <f>IF(DAY(A634)='Main Budget'!$J$27,'Main Budget'!$E$27,0)</f>
        <v>0</v>
      </c>
      <c r="O634" s="228">
        <f>B634+(SUM(H634:M634)+(SUM(D634:E634)))</f>
        <v>100</v>
      </c>
      <c r="P634" s="228">
        <f>C634+F634+G634+N634</f>
        <v>100</v>
      </c>
      <c r="Q634" s="252">
        <f>O634+P634</f>
        <v>200</v>
      </c>
      <c r="S634" s="231" t="str">
        <f>TEXT(A634,"dddd")</f>
        <v>Saturday</v>
      </c>
    </row>
    <row r="635" spans="1:19" x14ac:dyDescent="0.25">
      <c r="A635" s="226">
        <v>46656</v>
      </c>
      <c r="B635" s="227">
        <f>O634</f>
        <v>100</v>
      </c>
      <c r="C635" s="228">
        <f>P634</f>
        <v>100</v>
      </c>
      <c r="D635" s="228">
        <f>IF(OR(DAY(A635+2)=1,DAY(A635+2)=15),-SUM('Main Budget'!$H$26:$H$31),0)</f>
        <v>0</v>
      </c>
      <c r="E635" s="228">
        <f>IF(DAY(A635+2)=22,-SUM('Main Budget'!$F$26:$F$31),0)</f>
        <v>0</v>
      </c>
      <c r="F635" s="228">
        <f>IF(D635&gt;0,-'Main Budget'!$H$25+0.15,0)</f>
        <v>0</v>
      </c>
      <c r="G635" s="228">
        <f>IF(E635&gt;0,-'Main Budget'!$F$25+0.81,0)</f>
        <v>0</v>
      </c>
      <c r="H635" s="227">
        <f>IF(DAY(A635)='Main Budget'!$J$26,'Main Budget'!$E$26,0)</f>
        <v>0</v>
      </c>
      <c r="I635" s="227">
        <f>IF(DAY(A635)='Main Budget'!$J$28,'Main Budget'!$E$28,0)</f>
        <v>0</v>
      </c>
      <c r="J635" s="227">
        <f>IF(DAY(A635)='Main Budget'!$J$29,'Main Budget'!$E$29,0)</f>
        <v>0</v>
      </c>
      <c r="K635" s="20">
        <f>IF(DAY(A635)='Main Budget'!$J$30,'Main Budget'!$E$30,0)</f>
        <v>0</v>
      </c>
      <c r="L635" s="20">
        <f>IF(DAY(A635)='Main Budget'!$J$31,'Main Budget'!$E$31,0)</f>
        <v>0</v>
      </c>
      <c r="M635" s="20">
        <f>IF(DAY(A635)='Main Budget'!$J$27,'Main Budget'!$E$27,0)</f>
        <v>0</v>
      </c>
      <c r="O635" s="228">
        <f>B635+(SUM(H635:M635)+(SUM(D635:E635)))</f>
        <v>100</v>
      </c>
      <c r="P635" s="228">
        <f>C635+F635+G635+N635</f>
        <v>100</v>
      </c>
      <c r="Q635" s="252">
        <f>O635+P635</f>
        <v>200</v>
      </c>
      <c r="S635" s="231" t="str">
        <f>TEXT(A635,"dddd")</f>
        <v>Sunday</v>
      </c>
    </row>
    <row r="636" spans="1:19" x14ac:dyDescent="0.25">
      <c r="A636" s="226">
        <v>46657</v>
      </c>
      <c r="B636" s="227">
        <f>O635</f>
        <v>100</v>
      </c>
      <c r="C636" s="228">
        <f>P635</f>
        <v>100</v>
      </c>
      <c r="D636" s="228">
        <f>IF(OR(DAY(A636+2)=1,DAY(A636+2)=15),-SUM('Main Budget'!$H$26:$H$31),0)</f>
        <v>0</v>
      </c>
      <c r="E636" s="228">
        <f>IF(DAY(A636+2)=22,-SUM('Main Budget'!$F$26:$F$31),0)</f>
        <v>0</v>
      </c>
      <c r="F636" s="228">
        <f>IF(D636&gt;0,-'Main Budget'!$H$25+0.15,0)</f>
        <v>0</v>
      </c>
      <c r="G636" s="228">
        <f>IF(E636&gt;0,-'Main Budget'!$F$25+0.81,0)</f>
        <v>0</v>
      </c>
      <c r="H636" s="227">
        <f>IF(DAY(A636)='Main Budget'!$J$26,'Main Budget'!$E$26,0)</f>
        <v>0</v>
      </c>
      <c r="I636" s="227">
        <f>IF(DAY(A636)='Main Budget'!$J$28,'Main Budget'!$E$28,0)</f>
        <v>0</v>
      </c>
      <c r="J636" s="227">
        <f>IF(DAY(A636)='Main Budget'!$J$29,'Main Budget'!$E$29,0)</f>
        <v>0</v>
      </c>
      <c r="K636" s="20">
        <f>IF(DAY(A636)='Main Budget'!$J$30,'Main Budget'!$E$30,0)</f>
        <v>0</v>
      </c>
      <c r="L636" s="20">
        <f>IF(DAY(A636)='Main Budget'!$J$31,'Main Budget'!$E$31,0)</f>
        <v>0</v>
      </c>
      <c r="M636" s="20">
        <f>IF(DAY(A636)='Main Budget'!$J$27,'Main Budget'!$E$27,0)</f>
        <v>0</v>
      </c>
      <c r="O636" s="228">
        <f>B636+(SUM(H636:M636)+(SUM(D636:E636)))</f>
        <v>100</v>
      </c>
      <c r="P636" s="228">
        <f>C636+F636+G636+N636</f>
        <v>100</v>
      </c>
      <c r="Q636" s="252">
        <f>O636+P636</f>
        <v>200</v>
      </c>
      <c r="S636" s="231" t="str">
        <f>TEXT(A636,"dddd")</f>
        <v>Monday</v>
      </c>
    </row>
    <row r="637" spans="1:19" x14ac:dyDescent="0.25">
      <c r="A637" s="226">
        <v>46658</v>
      </c>
      <c r="B637" s="227">
        <f>O636</f>
        <v>100</v>
      </c>
      <c r="C637" s="228">
        <f>P636</f>
        <v>100</v>
      </c>
      <c r="D637" s="228">
        <f>IF(OR(DAY(A637+2)=1,DAY(A637+2)=15),-SUM('Main Budget'!$H$26:$H$31),0)</f>
        <v>0</v>
      </c>
      <c r="E637" s="228">
        <f>IF(DAY(A637+2)=22,-SUM('Main Budget'!$F$26:$F$31),0)</f>
        <v>0</v>
      </c>
      <c r="F637" s="228">
        <f>IF(D637&gt;0,-'Main Budget'!$H$25+0.15,0)</f>
        <v>0</v>
      </c>
      <c r="G637" s="228">
        <f>IF(E637&gt;0,-'Main Budget'!$F$25+0.81,0)</f>
        <v>0</v>
      </c>
      <c r="H637" s="227">
        <f>IF(DAY(A637)='Main Budget'!$J$26,'Main Budget'!$E$26,0)</f>
        <v>0</v>
      </c>
      <c r="I637" s="227">
        <f>IF(DAY(A637)='Main Budget'!$J$28,'Main Budget'!$E$28,0)</f>
        <v>0</v>
      </c>
      <c r="J637" s="227">
        <f>IF(DAY(A637)='Main Budget'!$J$29,'Main Budget'!$E$29,0)</f>
        <v>0</v>
      </c>
      <c r="K637" s="20">
        <f>IF(DAY(A637)='Main Budget'!$J$30,'Main Budget'!$E$30,0)</f>
        <v>0</v>
      </c>
      <c r="L637" s="20">
        <f>IF(DAY(A637)='Main Budget'!$J$31,'Main Budget'!$E$31,0)</f>
        <v>0</v>
      </c>
      <c r="M637" s="20">
        <f>IF(DAY(A637)='Main Budget'!$J$27,'Main Budget'!$E$27,0)</f>
        <v>0</v>
      </c>
      <c r="O637" s="228">
        <f>B637+(SUM(H637:M637)+(SUM(D637:E637)))</f>
        <v>100</v>
      </c>
      <c r="P637" s="228">
        <f>C637+F637+G637+N637</f>
        <v>100</v>
      </c>
      <c r="Q637" s="252">
        <f>O637+P637</f>
        <v>200</v>
      </c>
      <c r="S637" s="231" t="str">
        <f>TEXT(A637,"dddd")</f>
        <v>Tuesday</v>
      </c>
    </row>
    <row r="638" spans="1:19" x14ac:dyDescent="0.25">
      <c r="A638" s="226">
        <v>46659</v>
      </c>
      <c r="B638" s="227">
        <f>O637</f>
        <v>100</v>
      </c>
      <c r="C638" s="228">
        <f>P637</f>
        <v>100</v>
      </c>
      <c r="D638" s="228">
        <f>IF(OR(DAY(A638+2)=1,DAY(A638+2)=15),-SUM('Main Budget'!$H$26:$H$31),0)</f>
        <v>0</v>
      </c>
      <c r="E638" s="228">
        <f>IF(DAY(A638+2)=22,-SUM('Main Budget'!$F$26:$F$31),0)</f>
        <v>0</v>
      </c>
      <c r="F638" s="228">
        <f>IF(D638&gt;0,-'Main Budget'!$H$25+0.15,0)</f>
        <v>0</v>
      </c>
      <c r="G638" s="228">
        <f>IF(E638&gt;0,-'Main Budget'!$F$25+0.81,0)</f>
        <v>0</v>
      </c>
      <c r="H638" s="227">
        <f>IF(DAY(A638)='Main Budget'!$J$26,'Main Budget'!$E$26,0)</f>
        <v>0</v>
      </c>
      <c r="I638" s="227">
        <f>IF(DAY(A638)='Main Budget'!$J$28,'Main Budget'!$E$28,0)</f>
        <v>0</v>
      </c>
      <c r="J638" s="227">
        <f>IF(DAY(A638)='Main Budget'!$J$29,'Main Budget'!$E$29,0)</f>
        <v>0</v>
      </c>
      <c r="K638" s="20">
        <f>IF(DAY(A638)='Main Budget'!$J$30,'Main Budget'!$E$30,0)</f>
        <v>0</v>
      </c>
      <c r="L638" s="20">
        <f>IF(DAY(A638)='Main Budget'!$J$31,'Main Budget'!$E$31,0)</f>
        <v>0</v>
      </c>
      <c r="M638" s="20">
        <f>IF(DAY(A638)='Main Budget'!$J$27,'Main Budget'!$E$27,0)</f>
        <v>0</v>
      </c>
      <c r="O638" s="228">
        <f>B638+(SUM(H638:M638)+(SUM(D638:E638)))</f>
        <v>100</v>
      </c>
      <c r="P638" s="228">
        <f>C638+F638+G638+N638</f>
        <v>100</v>
      </c>
      <c r="Q638" s="252">
        <f>O638+P638</f>
        <v>200</v>
      </c>
      <c r="S638" s="231" t="str">
        <f>TEXT(A638,"dddd")</f>
        <v>Wednesday</v>
      </c>
    </row>
    <row r="639" spans="1:19" x14ac:dyDescent="0.25">
      <c r="A639" s="226">
        <v>46660</v>
      </c>
      <c r="B639" s="227">
        <f>O638</f>
        <v>100</v>
      </c>
      <c r="C639" s="228">
        <f>P638</f>
        <v>100</v>
      </c>
      <c r="D639" s="228">
        <f>IF(OR(DAY(A639+2)=1,DAY(A639+2)=15),-SUM('Main Budget'!$H$26:$H$31),0)</f>
        <v>0</v>
      </c>
      <c r="E639" s="228">
        <f>IF(DAY(A639+2)=22,-SUM('Main Budget'!$F$26:$F$31),0)</f>
        <v>0</v>
      </c>
      <c r="F639" s="228">
        <f>IF(D639&gt;0,-'Main Budget'!$H$25+0.15,0)</f>
        <v>0</v>
      </c>
      <c r="G639" s="228">
        <f>IF(E639&gt;0,-'Main Budget'!$F$25+0.81,0)</f>
        <v>0</v>
      </c>
      <c r="H639" s="227">
        <f>IF(DAY(A639)='Main Budget'!$J$26,'Main Budget'!$E$26,0)</f>
        <v>0</v>
      </c>
      <c r="I639" s="227">
        <f>IF(DAY(A639)='Main Budget'!$J$28,'Main Budget'!$E$28,0)</f>
        <v>0</v>
      </c>
      <c r="J639" s="227">
        <f>IF(DAY(A639)='Main Budget'!$J$29,'Main Budget'!$E$29,0)</f>
        <v>0</v>
      </c>
      <c r="K639" s="20">
        <f>IF(DAY(A639)='Main Budget'!$J$30,'Main Budget'!$E$30,0)</f>
        <v>0</v>
      </c>
      <c r="L639" s="20">
        <f>IF(DAY(A639)='Main Budget'!$J$31,'Main Budget'!$E$31,0)</f>
        <v>0</v>
      </c>
      <c r="M639" s="20">
        <f>IF(DAY(A639)='Main Budget'!$J$27,'Main Budget'!$E$27,0)</f>
        <v>0</v>
      </c>
      <c r="O639" s="228">
        <f>B639+(SUM(H639:M639)+(SUM(D639:E639)))</f>
        <v>100</v>
      </c>
      <c r="P639" s="228">
        <f>C639+F639+G639+N639</f>
        <v>100</v>
      </c>
      <c r="Q639" s="252">
        <f>O639+P639</f>
        <v>200</v>
      </c>
      <c r="S639" s="231" t="str">
        <f>TEXT(A639,"dddd")</f>
        <v>Thursday</v>
      </c>
    </row>
    <row r="640" spans="1:19" x14ac:dyDescent="0.25">
      <c r="A640" s="226">
        <v>46661</v>
      </c>
      <c r="B640" s="227">
        <f>O639</f>
        <v>100</v>
      </c>
      <c r="C640" s="228">
        <f>P639</f>
        <v>100</v>
      </c>
      <c r="D640" s="228">
        <f>IF(OR(DAY(A640+2)=1,DAY(A640+2)=15),-SUM('Main Budget'!$H$26:$H$31),0)</f>
        <v>0</v>
      </c>
      <c r="E640" s="228">
        <f>IF(DAY(A640+2)=22,-SUM('Main Budget'!$F$26:$F$31),0)</f>
        <v>0</v>
      </c>
      <c r="F640" s="228">
        <f>IF(D640&gt;0,-'Main Budget'!$H$25+0.15,0)</f>
        <v>0</v>
      </c>
      <c r="G640" s="228">
        <f>IF(E640&gt;0,-'Main Budget'!$F$25+0.81,0)</f>
        <v>0</v>
      </c>
      <c r="H640" s="227">
        <f>IF(DAY(A640)='Main Budget'!$J$26,'Main Budget'!$E$26,0)</f>
        <v>0</v>
      </c>
      <c r="I640" s="227">
        <f>IF(DAY(A640)='Main Budget'!$J$28,'Main Budget'!$E$28,0)</f>
        <v>0</v>
      </c>
      <c r="J640" s="227">
        <f>IF(DAY(A640)='Main Budget'!$J$29,'Main Budget'!$E$29,0)</f>
        <v>0</v>
      </c>
      <c r="K640" s="20">
        <f>IF(DAY(A640)='Main Budget'!$J$30,'Main Budget'!$E$30,0)</f>
        <v>0</v>
      </c>
      <c r="L640" s="20">
        <f>IF(DAY(A640)='Main Budget'!$J$31,'Main Budget'!$E$31,0)</f>
        <v>0</v>
      </c>
      <c r="M640" s="20">
        <f>IF(DAY(A640)='Main Budget'!$J$27,'Main Budget'!$E$27,0)</f>
        <v>0</v>
      </c>
      <c r="O640" s="228">
        <f>B640+(SUM(H640:M640)+(SUM(D640:E640)))</f>
        <v>100</v>
      </c>
      <c r="P640" s="228">
        <f>C640+F640+G640+N640</f>
        <v>100</v>
      </c>
      <c r="Q640" s="252">
        <f>O640+P640</f>
        <v>200</v>
      </c>
      <c r="S640" s="231" t="str">
        <f>TEXT(A640,"dddd")</f>
        <v>Friday</v>
      </c>
    </row>
    <row r="641" spans="1:19" x14ac:dyDescent="0.25">
      <c r="A641" s="226">
        <v>46662</v>
      </c>
      <c r="B641" s="227">
        <f>O640</f>
        <v>100</v>
      </c>
      <c r="C641" s="228">
        <f>P640</f>
        <v>100</v>
      </c>
      <c r="D641" s="228">
        <f>IF(OR(DAY(A641+2)=1,DAY(A641+2)=15),-SUM('Main Budget'!$H$26:$H$31),0)</f>
        <v>0</v>
      </c>
      <c r="E641" s="228">
        <f>IF(DAY(A641+2)=22,-SUM('Main Budget'!$F$26:$F$31),0)</f>
        <v>0</v>
      </c>
      <c r="F641" s="228">
        <f>IF(D641&gt;0,-'Main Budget'!$H$25+0.15,0)</f>
        <v>0</v>
      </c>
      <c r="G641" s="228">
        <f>IF(E641&gt;0,-'Main Budget'!$F$25+0.81,0)</f>
        <v>0</v>
      </c>
      <c r="H641" s="227">
        <f>IF(DAY(A641)='Main Budget'!$J$26,'Main Budget'!$E$26,0)</f>
        <v>0</v>
      </c>
      <c r="I641" s="227">
        <f>IF(DAY(A641)='Main Budget'!$J$28,'Main Budget'!$E$28,0)</f>
        <v>0</v>
      </c>
      <c r="J641" s="227">
        <f>IF(DAY(A641)='Main Budget'!$J$29,'Main Budget'!$E$29,0)</f>
        <v>0</v>
      </c>
      <c r="K641" s="20">
        <f>IF(DAY(A641)='Main Budget'!$J$30,'Main Budget'!$E$30,0)</f>
        <v>0</v>
      </c>
      <c r="L641" s="20">
        <f>IF(DAY(A641)='Main Budget'!$J$31,'Main Budget'!$E$31,0)</f>
        <v>0</v>
      </c>
      <c r="M641" s="20">
        <f>IF(DAY(A641)='Main Budget'!$J$27,'Main Budget'!$E$27,0)</f>
        <v>0</v>
      </c>
      <c r="O641" s="228">
        <f>B641+(SUM(H641:M641)+(SUM(D641:E641)))</f>
        <v>100</v>
      </c>
      <c r="P641" s="228">
        <f>C641+F641+G641+N641</f>
        <v>100</v>
      </c>
      <c r="Q641" s="252">
        <f>O641+P641</f>
        <v>200</v>
      </c>
      <c r="S641" s="231" t="str">
        <f>TEXT(A641,"dddd")</f>
        <v>Saturday</v>
      </c>
    </row>
    <row r="642" spans="1:19" x14ac:dyDescent="0.25">
      <c r="A642" s="226">
        <v>46663</v>
      </c>
      <c r="B642" s="227">
        <f>O641</f>
        <v>100</v>
      </c>
      <c r="C642" s="228">
        <f>P641</f>
        <v>100</v>
      </c>
      <c r="D642" s="228">
        <f>IF(OR(DAY(A642+2)=1,DAY(A642+2)=15),-SUM('Main Budget'!$H$26:$H$31),0)</f>
        <v>0</v>
      </c>
      <c r="E642" s="228">
        <f>IF(DAY(A642+2)=22,-SUM('Main Budget'!$F$26:$F$31),0)</f>
        <v>0</v>
      </c>
      <c r="F642" s="228">
        <f>IF(D642&gt;0,-'Main Budget'!$H$25+0.15,0)</f>
        <v>0</v>
      </c>
      <c r="G642" s="228">
        <f>IF(E642&gt;0,-'Main Budget'!$F$25+0.81,0)</f>
        <v>0</v>
      </c>
      <c r="H642" s="227">
        <f>IF(DAY(A642)='Main Budget'!$J$26,'Main Budget'!$E$26,0)</f>
        <v>0</v>
      </c>
      <c r="I642" s="227">
        <f>IF(DAY(A642)='Main Budget'!$J$28,'Main Budget'!$E$28,0)</f>
        <v>0</v>
      </c>
      <c r="J642" s="227">
        <f>IF(DAY(A642)='Main Budget'!$J$29,'Main Budget'!$E$29,0)</f>
        <v>0</v>
      </c>
      <c r="K642" s="20">
        <f>IF(DAY(A642)='Main Budget'!$J$30,'Main Budget'!$E$30,0)</f>
        <v>0</v>
      </c>
      <c r="L642" s="20">
        <f>IF(DAY(A642)='Main Budget'!$J$31,'Main Budget'!$E$31,0)</f>
        <v>0</v>
      </c>
      <c r="M642" s="20">
        <f>IF(DAY(A642)='Main Budget'!$J$27,'Main Budget'!$E$27,0)</f>
        <v>0</v>
      </c>
      <c r="O642" s="228">
        <f>B642+(SUM(H642:M642)+(SUM(D642:E642)))</f>
        <v>100</v>
      </c>
      <c r="P642" s="228">
        <f>C642+F642+G642+N642</f>
        <v>100</v>
      </c>
      <c r="Q642" s="252">
        <f>O642+P642</f>
        <v>200</v>
      </c>
      <c r="S642" s="231" t="str">
        <f>TEXT(A642,"dddd")</f>
        <v>Sunday</v>
      </c>
    </row>
    <row r="643" spans="1:19" x14ac:dyDescent="0.25">
      <c r="A643" s="226">
        <v>46664</v>
      </c>
      <c r="B643" s="227">
        <f>O642</f>
        <v>100</v>
      </c>
      <c r="C643" s="228">
        <f>P642</f>
        <v>100</v>
      </c>
      <c r="D643" s="228">
        <f>IF(OR(DAY(A643+2)=1,DAY(A643+2)=15),-SUM('Main Budget'!$H$26:$H$31),0)</f>
        <v>0</v>
      </c>
      <c r="E643" s="228">
        <f>IF(DAY(A643+2)=22,-SUM('Main Budget'!$F$26:$F$31),0)</f>
        <v>0</v>
      </c>
      <c r="F643" s="228">
        <f>IF(D643&gt;0,-'Main Budget'!$H$25+0.15,0)</f>
        <v>0</v>
      </c>
      <c r="G643" s="228">
        <f>IF(E643&gt;0,-'Main Budget'!$F$25+0.81,0)</f>
        <v>0</v>
      </c>
      <c r="H643" s="227">
        <f>IF(DAY(A643)='Main Budget'!$J$26,'Main Budget'!$E$26,0)</f>
        <v>0</v>
      </c>
      <c r="I643" s="227">
        <f>IF(DAY(A643)='Main Budget'!$J$28,'Main Budget'!$E$28,0)</f>
        <v>0</v>
      </c>
      <c r="J643" s="227">
        <f>IF(DAY(A643)='Main Budget'!$J$29,'Main Budget'!$E$29,0)</f>
        <v>0</v>
      </c>
      <c r="K643" s="20">
        <f>IF(DAY(A643)='Main Budget'!$J$30,'Main Budget'!$E$30,0)</f>
        <v>0</v>
      </c>
      <c r="L643" s="20">
        <f>IF(DAY(A643)='Main Budget'!$J$31,'Main Budget'!$E$31,0)</f>
        <v>0</v>
      </c>
      <c r="M643" s="20">
        <f>IF(DAY(A643)='Main Budget'!$J$27,'Main Budget'!$E$27,0)</f>
        <v>0</v>
      </c>
      <c r="O643" s="228">
        <f>B643+(SUM(H643:M643)+(SUM(D643:E643)))</f>
        <v>100</v>
      </c>
      <c r="P643" s="228">
        <f>C643+F643+G643+N643</f>
        <v>100</v>
      </c>
      <c r="Q643" s="252">
        <f>O643+P643</f>
        <v>200</v>
      </c>
      <c r="S643" s="231" t="str">
        <f>TEXT(A643,"dddd")</f>
        <v>Monday</v>
      </c>
    </row>
    <row r="644" spans="1:19" x14ac:dyDescent="0.25">
      <c r="A644" s="226">
        <v>46665</v>
      </c>
      <c r="B644" s="227">
        <f>O643</f>
        <v>100</v>
      </c>
      <c r="C644" s="228">
        <f>P643</f>
        <v>100</v>
      </c>
      <c r="D644" s="228">
        <f>IF(OR(DAY(A644+2)=1,DAY(A644+2)=15),-SUM('Main Budget'!$H$26:$H$31),0)</f>
        <v>0</v>
      </c>
      <c r="E644" s="228">
        <f>IF(DAY(A644+2)=22,-SUM('Main Budget'!$F$26:$F$31),0)</f>
        <v>0</v>
      </c>
      <c r="F644" s="228">
        <f>IF(D644&gt;0,-'Main Budget'!$H$25+0.15,0)</f>
        <v>0</v>
      </c>
      <c r="G644" s="228">
        <f>IF(E644&gt;0,-'Main Budget'!$F$25+0.81,0)</f>
        <v>0</v>
      </c>
      <c r="H644" s="227">
        <f>IF(DAY(A644)='Main Budget'!$J$26,'Main Budget'!$E$26,0)</f>
        <v>0</v>
      </c>
      <c r="I644" s="227">
        <f>IF(DAY(A644)='Main Budget'!$J$28,'Main Budget'!$E$28,0)</f>
        <v>0</v>
      </c>
      <c r="J644" s="227">
        <f>IF(DAY(A644)='Main Budget'!$J$29,'Main Budget'!$E$29,0)</f>
        <v>0</v>
      </c>
      <c r="K644" s="20">
        <f>IF(DAY(A644)='Main Budget'!$J$30,'Main Budget'!$E$30,0)</f>
        <v>0</v>
      </c>
      <c r="L644" s="20">
        <f>IF(DAY(A644)='Main Budget'!$J$31,'Main Budget'!$E$31,0)</f>
        <v>0</v>
      </c>
      <c r="M644" s="20">
        <f>IF(DAY(A644)='Main Budget'!$J$27,'Main Budget'!$E$27,0)</f>
        <v>0</v>
      </c>
      <c r="O644" s="228">
        <f>B644+(SUM(H644:M644)+(SUM(D644:E644)))</f>
        <v>100</v>
      </c>
      <c r="P644" s="228">
        <f>C644+F644+G644+N644</f>
        <v>100</v>
      </c>
      <c r="Q644" s="252">
        <f>O644+P644</f>
        <v>200</v>
      </c>
      <c r="S644" s="231" t="str">
        <f>TEXT(A644,"dddd")</f>
        <v>Tuesday</v>
      </c>
    </row>
    <row r="645" spans="1:19" x14ac:dyDescent="0.25">
      <c r="A645" s="226">
        <v>46666</v>
      </c>
      <c r="B645" s="227">
        <f>O644</f>
        <v>100</v>
      </c>
      <c r="C645" s="228">
        <f>P644</f>
        <v>100</v>
      </c>
      <c r="D645" s="228">
        <f>IF(OR(DAY(A645+2)=1,DAY(A645+2)=15),-SUM('Main Budget'!$H$26:$H$31),0)</f>
        <v>0</v>
      </c>
      <c r="E645" s="228">
        <f>IF(DAY(A645+2)=22,-SUM('Main Budget'!$F$26:$F$31),0)</f>
        <v>0</v>
      </c>
      <c r="F645" s="228">
        <f>IF(D645&gt;0,-'Main Budget'!$H$25+0.15,0)</f>
        <v>0</v>
      </c>
      <c r="G645" s="228">
        <f>IF(E645&gt;0,-'Main Budget'!$F$25+0.81,0)</f>
        <v>0</v>
      </c>
      <c r="H645" s="227">
        <f>IF(DAY(A645)='Main Budget'!$J$26,'Main Budget'!$E$26,0)</f>
        <v>0</v>
      </c>
      <c r="I645" s="227">
        <f>IF(DAY(A645)='Main Budget'!$J$28,'Main Budget'!$E$28,0)</f>
        <v>0</v>
      </c>
      <c r="J645" s="227">
        <f>IF(DAY(A645)='Main Budget'!$J$29,'Main Budget'!$E$29,0)</f>
        <v>0</v>
      </c>
      <c r="K645" s="20">
        <f>IF(DAY(A645)='Main Budget'!$J$30,'Main Budget'!$E$30,0)</f>
        <v>0</v>
      </c>
      <c r="L645" s="20">
        <f>IF(DAY(A645)='Main Budget'!$J$31,'Main Budget'!$E$31,0)</f>
        <v>0</v>
      </c>
      <c r="M645" s="20">
        <f>IF(DAY(A645)='Main Budget'!$J$27,'Main Budget'!$E$27,0)</f>
        <v>0</v>
      </c>
      <c r="O645" s="228">
        <f>B645+(SUM(H645:M645)+(SUM(D645:E645)))</f>
        <v>100</v>
      </c>
      <c r="P645" s="228">
        <f>C645+F645+G645+N645</f>
        <v>100</v>
      </c>
      <c r="Q645" s="252">
        <f>O645+P645</f>
        <v>200</v>
      </c>
      <c r="S645" s="231" t="str">
        <f>TEXT(A645,"dddd")</f>
        <v>Wednesday</v>
      </c>
    </row>
    <row r="646" spans="1:19" x14ac:dyDescent="0.25">
      <c r="A646" s="226">
        <v>46667</v>
      </c>
      <c r="B646" s="227">
        <f>O645</f>
        <v>100</v>
      </c>
      <c r="C646" s="228">
        <f>P645</f>
        <v>100</v>
      </c>
      <c r="D646" s="228">
        <f>IF(OR(DAY(A646+2)=1,DAY(A646+2)=15),-SUM('Main Budget'!$H$26:$H$31),0)</f>
        <v>0</v>
      </c>
      <c r="E646" s="228">
        <f>IF(DAY(A646+2)=22,-SUM('Main Budget'!$F$26:$F$31),0)</f>
        <v>0</v>
      </c>
      <c r="F646" s="228">
        <f>IF(D646&gt;0,-'Main Budget'!$H$25+0.15,0)</f>
        <v>0</v>
      </c>
      <c r="G646" s="228">
        <f>IF(E646&gt;0,-'Main Budget'!$F$25+0.81,0)</f>
        <v>0</v>
      </c>
      <c r="H646" s="227">
        <f>IF(DAY(A646)='Main Budget'!$J$26,'Main Budget'!$E$26,0)</f>
        <v>0</v>
      </c>
      <c r="I646" s="227">
        <f>IF(DAY(A646)='Main Budget'!$J$28,'Main Budget'!$E$28,0)</f>
        <v>0</v>
      </c>
      <c r="J646" s="227">
        <f>IF(DAY(A646)='Main Budget'!$J$29,'Main Budget'!$E$29,0)</f>
        <v>0</v>
      </c>
      <c r="K646" s="20">
        <f>IF(DAY(A646)='Main Budget'!$J$30,'Main Budget'!$E$30,0)</f>
        <v>0</v>
      </c>
      <c r="L646" s="20">
        <f>IF(DAY(A646)='Main Budget'!$J$31,'Main Budget'!$E$31,0)</f>
        <v>0</v>
      </c>
      <c r="M646" s="20">
        <f>IF(DAY(A646)='Main Budget'!$J$27,'Main Budget'!$E$27,0)</f>
        <v>0</v>
      </c>
      <c r="O646" s="228">
        <f>B646+(SUM(H646:M646)+(SUM(D646:E646)))</f>
        <v>100</v>
      </c>
      <c r="P646" s="228">
        <f>C646+F646+G646+N646</f>
        <v>100</v>
      </c>
      <c r="Q646" s="252">
        <f>O646+P646</f>
        <v>200</v>
      </c>
      <c r="S646" s="231" t="str">
        <f>TEXT(A646,"dddd")</f>
        <v>Thursday</v>
      </c>
    </row>
    <row r="647" spans="1:19" x14ac:dyDescent="0.25">
      <c r="A647" s="226">
        <v>46668</v>
      </c>
      <c r="B647" s="227">
        <f>O646</f>
        <v>100</v>
      </c>
      <c r="C647" s="228">
        <f>P646</f>
        <v>100</v>
      </c>
      <c r="D647" s="228">
        <f>IF(OR(DAY(A647+2)=1,DAY(A647+2)=15),-SUM('Main Budget'!$H$26:$H$31),0)</f>
        <v>0</v>
      </c>
      <c r="E647" s="228">
        <f>IF(DAY(A647+2)=22,-SUM('Main Budget'!$F$26:$F$31),0)</f>
        <v>0</v>
      </c>
      <c r="F647" s="228">
        <f>IF(D647&gt;0,-'Main Budget'!$H$25+0.15,0)</f>
        <v>0</v>
      </c>
      <c r="G647" s="228">
        <f>IF(E647&gt;0,-'Main Budget'!$F$25+0.81,0)</f>
        <v>0</v>
      </c>
      <c r="H647" s="227">
        <f>IF(DAY(A647)='Main Budget'!$J$26,'Main Budget'!$E$26,0)</f>
        <v>0</v>
      </c>
      <c r="I647" s="227">
        <f>IF(DAY(A647)='Main Budget'!$J$28,'Main Budget'!$E$28,0)</f>
        <v>0</v>
      </c>
      <c r="J647" s="227">
        <f>IF(DAY(A647)='Main Budget'!$J$29,'Main Budget'!$E$29,0)</f>
        <v>0</v>
      </c>
      <c r="K647" s="20">
        <f>IF(DAY(A647)='Main Budget'!$J$30,'Main Budget'!$E$30,0)</f>
        <v>0</v>
      </c>
      <c r="L647" s="20">
        <f>IF(DAY(A647)='Main Budget'!$J$31,'Main Budget'!$E$31,0)</f>
        <v>0</v>
      </c>
      <c r="M647" s="20">
        <f>IF(DAY(A647)='Main Budget'!$J$27,'Main Budget'!$E$27,0)</f>
        <v>0</v>
      </c>
      <c r="O647" s="228">
        <f>B647+(SUM(H647:M647)+(SUM(D647:E647)))</f>
        <v>100</v>
      </c>
      <c r="P647" s="228">
        <f>C647+F647+G647+N647</f>
        <v>100</v>
      </c>
      <c r="Q647" s="252">
        <f>O647+P647</f>
        <v>200</v>
      </c>
      <c r="S647" s="231" t="str">
        <f>TEXT(A647,"dddd")</f>
        <v>Friday</v>
      </c>
    </row>
    <row r="648" spans="1:19" x14ac:dyDescent="0.25">
      <c r="A648" s="226">
        <v>46669</v>
      </c>
      <c r="B648" s="227">
        <f>O647</f>
        <v>100</v>
      </c>
      <c r="C648" s="228">
        <f>P647</f>
        <v>100</v>
      </c>
      <c r="D648" s="228">
        <f>IF(OR(DAY(A648+2)=1,DAY(A648+2)=15),-SUM('Main Budget'!$H$26:$H$31),0)</f>
        <v>0</v>
      </c>
      <c r="E648" s="228">
        <f>IF(DAY(A648+2)=22,-SUM('Main Budget'!$F$26:$F$31),0)</f>
        <v>0</v>
      </c>
      <c r="F648" s="228">
        <f>IF(D648&gt;0,-'Main Budget'!$H$25+0.15,0)</f>
        <v>0</v>
      </c>
      <c r="G648" s="228">
        <f>IF(E648&gt;0,-'Main Budget'!$F$25+0.81,0)</f>
        <v>0</v>
      </c>
      <c r="H648" s="227">
        <f>IF(DAY(A648)='Main Budget'!$J$26,'Main Budget'!$E$26,0)</f>
        <v>0</v>
      </c>
      <c r="I648" s="227">
        <f>IF(DAY(A648)='Main Budget'!$J$28,'Main Budget'!$E$28,0)</f>
        <v>0</v>
      </c>
      <c r="J648" s="227">
        <f>IF(DAY(A648)='Main Budget'!$J$29,'Main Budget'!$E$29,0)</f>
        <v>0</v>
      </c>
      <c r="K648" s="20">
        <f>IF(DAY(A648)='Main Budget'!$J$30,'Main Budget'!$E$30,0)</f>
        <v>0</v>
      </c>
      <c r="L648" s="20">
        <f>IF(DAY(A648)='Main Budget'!$J$31,'Main Budget'!$E$31,0)</f>
        <v>0</v>
      </c>
      <c r="M648" s="20">
        <f>IF(DAY(A648)='Main Budget'!$J$27,'Main Budget'!$E$27,0)</f>
        <v>0</v>
      </c>
      <c r="O648" s="228">
        <f>B648+(SUM(H648:M648)+(SUM(D648:E648)))</f>
        <v>100</v>
      </c>
      <c r="P648" s="228">
        <f>C648+F648+G648+N648</f>
        <v>100</v>
      </c>
      <c r="Q648" s="252">
        <f>O648+P648</f>
        <v>200</v>
      </c>
      <c r="S648" s="231" t="str">
        <f>TEXT(A648,"dddd")</f>
        <v>Saturday</v>
      </c>
    </row>
    <row r="649" spans="1:19" x14ac:dyDescent="0.25">
      <c r="A649" s="226">
        <v>46670</v>
      </c>
      <c r="B649" s="227">
        <f>O648</f>
        <v>100</v>
      </c>
      <c r="C649" s="228">
        <f>P648</f>
        <v>100</v>
      </c>
      <c r="D649" s="228">
        <f>IF(OR(DAY(A649+2)=1,DAY(A649+2)=15),-SUM('Main Budget'!$H$26:$H$31),0)</f>
        <v>0</v>
      </c>
      <c r="E649" s="228">
        <f>IF(DAY(A649+2)=22,-SUM('Main Budget'!$F$26:$F$31),0)</f>
        <v>0</v>
      </c>
      <c r="F649" s="228">
        <f>IF(D649&gt;0,-'Main Budget'!$H$25+0.15,0)</f>
        <v>0</v>
      </c>
      <c r="G649" s="228">
        <f>IF(E649&gt;0,-'Main Budget'!$F$25+0.81,0)</f>
        <v>0</v>
      </c>
      <c r="H649" s="227">
        <f>IF(DAY(A649)='Main Budget'!$J$26,'Main Budget'!$E$26,0)</f>
        <v>0</v>
      </c>
      <c r="I649" s="227">
        <f>IF(DAY(A649)='Main Budget'!$J$28,'Main Budget'!$E$28,0)</f>
        <v>0</v>
      </c>
      <c r="J649" s="227">
        <f>IF(DAY(A649)='Main Budget'!$J$29,'Main Budget'!$E$29,0)</f>
        <v>0</v>
      </c>
      <c r="K649" s="20">
        <f>IF(DAY(A649)='Main Budget'!$J$30,'Main Budget'!$E$30,0)</f>
        <v>0</v>
      </c>
      <c r="L649" s="20">
        <f>IF(DAY(A649)='Main Budget'!$J$31,'Main Budget'!$E$31,0)</f>
        <v>0</v>
      </c>
      <c r="M649" s="20">
        <f>IF(DAY(A649)='Main Budget'!$J$27,'Main Budget'!$E$27,0)</f>
        <v>0</v>
      </c>
      <c r="O649" s="228">
        <f>B649+(SUM(H649:M649)+(SUM(D649:E649)))</f>
        <v>100</v>
      </c>
      <c r="P649" s="228">
        <f>C649+F649+G649+N649</f>
        <v>100</v>
      </c>
      <c r="Q649" s="252">
        <f>O649+P649</f>
        <v>200</v>
      </c>
      <c r="S649" s="231" t="str">
        <f>TEXT(A649,"dddd")</f>
        <v>Sunday</v>
      </c>
    </row>
    <row r="650" spans="1:19" x14ac:dyDescent="0.25">
      <c r="A650" s="226">
        <v>46671</v>
      </c>
      <c r="B650" s="227">
        <f>O649</f>
        <v>100</v>
      </c>
      <c r="C650" s="228">
        <f>P649</f>
        <v>100</v>
      </c>
      <c r="D650" s="228">
        <f>IF(OR(DAY(A650+2)=1,DAY(A650+2)=15),-SUM('Main Budget'!$H$26:$H$31),0)</f>
        <v>0</v>
      </c>
      <c r="E650" s="228">
        <f>IF(DAY(A650+2)=22,-SUM('Main Budget'!$F$26:$F$31),0)</f>
        <v>0</v>
      </c>
      <c r="F650" s="228">
        <f>IF(D650&gt;0,-'Main Budget'!$H$25+0.15,0)</f>
        <v>0</v>
      </c>
      <c r="G650" s="228">
        <f>IF(E650&gt;0,-'Main Budget'!$F$25+0.81,0)</f>
        <v>0</v>
      </c>
      <c r="H650" s="227">
        <f>IF(DAY(A650)='Main Budget'!$J$26,'Main Budget'!$E$26,0)</f>
        <v>0</v>
      </c>
      <c r="I650" s="227">
        <f>IF(DAY(A650)='Main Budget'!$J$28,'Main Budget'!$E$28,0)</f>
        <v>0</v>
      </c>
      <c r="J650" s="227">
        <f>IF(DAY(A650)='Main Budget'!$J$29,'Main Budget'!$E$29,0)</f>
        <v>0</v>
      </c>
      <c r="K650" s="20">
        <f>IF(DAY(A650)='Main Budget'!$J$30,'Main Budget'!$E$30,0)</f>
        <v>0</v>
      </c>
      <c r="L650" s="20">
        <f>IF(DAY(A650)='Main Budget'!$J$31,'Main Budget'!$E$31,0)</f>
        <v>0</v>
      </c>
      <c r="M650" s="20">
        <f>IF(DAY(A650)='Main Budget'!$J$27,'Main Budget'!$E$27,0)</f>
        <v>0</v>
      </c>
      <c r="O650" s="228">
        <f>B650+(SUM(H650:M650)+(SUM(D650:E650)))</f>
        <v>100</v>
      </c>
      <c r="P650" s="228">
        <f>C650+F650+G650+N650</f>
        <v>100</v>
      </c>
      <c r="Q650" s="252">
        <f>O650+P650</f>
        <v>200</v>
      </c>
      <c r="S650" s="231" t="str">
        <f>TEXT(A650,"dddd")</f>
        <v>Monday</v>
      </c>
    </row>
    <row r="651" spans="1:19" x14ac:dyDescent="0.25">
      <c r="A651" s="226">
        <v>46672</v>
      </c>
      <c r="B651" s="227">
        <f>O650</f>
        <v>100</v>
      </c>
      <c r="C651" s="228">
        <f>P650</f>
        <v>100</v>
      </c>
      <c r="D651" s="228">
        <f>IF(OR(DAY(A651+2)=1,DAY(A651+2)=15),-SUM('Main Budget'!$H$26:$H$31),0)</f>
        <v>0</v>
      </c>
      <c r="E651" s="228">
        <f>IF(DAY(A651+2)=22,-SUM('Main Budget'!$F$26:$F$31),0)</f>
        <v>0</v>
      </c>
      <c r="F651" s="228">
        <f>IF(D651&gt;0,-'Main Budget'!$H$25+0.15,0)</f>
        <v>0</v>
      </c>
      <c r="G651" s="228">
        <f>IF(E651&gt;0,-'Main Budget'!$F$25+0.81,0)</f>
        <v>0</v>
      </c>
      <c r="H651" s="227">
        <f>IF(DAY(A651)='Main Budget'!$J$26,'Main Budget'!$E$26,0)</f>
        <v>0</v>
      </c>
      <c r="I651" s="227">
        <f>IF(DAY(A651)='Main Budget'!$J$28,'Main Budget'!$E$28,0)</f>
        <v>0</v>
      </c>
      <c r="J651" s="227">
        <f>IF(DAY(A651)='Main Budget'!$J$29,'Main Budget'!$E$29,0)</f>
        <v>0</v>
      </c>
      <c r="K651" s="20">
        <f>IF(DAY(A651)='Main Budget'!$J$30,'Main Budget'!$E$30,0)</f>
        <v>0</v>
      </c>
      <c r="L651" s="20">
        <f>IF(DAY(A651)='Main Budget'!$J$31,'Main Budget'!$E$31,0)</f>
        <v>0</v>
      </c>
      <c r="M651" s="20">
        <f>IF(DAY(A651)='Main Budget'!$J$27,'Main Budget'!$E$27,0)</f>
        <v>0</v>
      </c>
      <c r="O651" s="228">
        <f>B651+(SUM(H651:M651)+(SUM(D651:E651)))</f>
        <v>100</v>
      </c>
      <c r="P651" s="228">
        <f>C651+F651+G651+N651</f>
        <v>100</v>
      </c>
      <c r="Q651" s="252">
        <f>O651+P651</f>
        <v>200</v>
      </c>
      <c r="S651" s="231" t="str">
        <f>TEXT(A651,"dddd")</f>
        <v>Tuesday</v>
      </c>
    </row>
    <row r="652" spans="1:19" x14ac:dyDescent="0.25">
      <c r="A652" s="226">
        <v>46673</v>
      </c>
      <c r="B652" s="227">
        <f>O651</f>
        <v>100</v>
      </c>
      <c r="C652" s="228">
        <f>P651</f>
        <v>100</v>
      </c>
      <c r="D652" s="228">
        <f>IF(OR(DAY(A652+2)=1,DAY(A652+2)=15),-SUM('Main Budget'!$H$26:$H$31),0)</f>
        <v>0</v>
      </c>
      <c r="E652" s="228">
        <f>IF(DAY(A652+2)=22,-SUM('Main Budget'!$F$26:$F$31),0)</f>
        <v>0</v>
      </c>
      <c r="F652" s="228">
        <f>IF(D652&gt;0,-'Main Budget'!$H$25+0.15,0)</f>
        <v>0</v>
      </c>
      <c r="G652" s="228">
        <f>IF(E652&gt;0,-'Main Budget'!$F$25+0.81,0)</f>
        <v>0</v>
      </c>
      <c r="H652" s="227">
        <f>IF(DAY(A652)='Main Budget'!$J$26,'Main Budget'!$E$26,0)</f>
        <v>0</v>
      </c>
      <c r="I652" s="227">
        <f>IF(DAY(A652)='Main Budget'!$J$28,'Main Budget'!$E$28,0)</f>
        <v>0</v>
      </c>
      <c r="J652" s="227">
        <f>IF(DAY(A652)='Main Budget'!$J$29,'Main Budget'!$E$29,0)</f>
        <v>0</v>
      </c>
      <c r="K652" s="20">
        <f>IF(DAY(A652)='Main Budget'!$J$30,'Main Budget'!$E$30,0)</f>
        <v>0</v>
      </c>
      <c r="L652" s="20">
        <f>IF(DAY(A652)='Main Budget'!$J$31,'Main Budget'!$E$31,0)</f>
        <v>0</v>
      </c>
      <c r="M652" s="20">
        <f>IF(DAY(A652)='Main Budget'!$J$27,'Main Budget'!$E$27,0)</f>
        <v>0</v>
      </c>
      <c r="O652" s="228">
        <f>B652+(SUM(H652:M652)+(SUM(D652:E652)))</f>
        <v>100</v>
      </c>
      <c r="P652" s="228">
        <f>C652+F652+G652+N652</f>
        <v>100</v>
      </c>
      <c r="Q652" s="252">
        <f>O652+P652</f>
        <v>200</v>
      </c>
      <c r="S652" s="231" t="str">
        <f>TEXT(A652,"dddd")</f>
        <v>Wednesday</v>
      </c>
    </row>
    <row r="653" spans="1:19" x14ac:dyDescent="0.25">
      <c r="A653" s="226">
        <v>46674</v>
      </c>
      <c r="B653" s="227">
        <f>O652</f>
        <v>100</v>
      </c>
      <c r="C653" s="228">
        <f>P652</f>
        <v>100</v>
      </c>
      <c r="D653" s="228">
        <f>IF(OR(DAY(A653+2)=1,DAY(A653+2)=15),-SUM('Main Budget'!$H$26:$H$31),0)</f>
        <v>0</v>
      </c>
      <c r="E653" s="228">
        <f>IF(DAY(A653+2)=22,-SUM('Main Budget'!$F$26:$F$31),0)</f>
        <v>0</v>
      </c>
      <c r="F653" s="228">
        <f>IF(D653&gt;0,-'Main Budget'!$H$25+0.15,0)</f>
        <v>0</v>
      </c>
      <c r="G653" s="228">
        <f>IF(E653&gt;0,-'Main Budget'!$F$25+0.81,0)</f>
        <v>0</v>
      </c>
      <c r="H653" s="227">
        <f>IF(DAY(A653)='Main Budget'!$J$26,'Main Budget'!$E$26,0)</f>
        <v>0</v>
      </c>
      <c r="I653" s="227">
        <f>IF(DAY(A653)='Main Budget'!$J$28,'Main Budget'!$E$28,0)</f>
        <v>0</v>
      </c>
      <c r="J653" s="227">
        <f>IF(DAY(A653)='Main Budget'!$J$29,'Main Budget'!$E$29,0)</f>
        <v>0</v>
      </c>
      <c r="K653" s="20">
        <f>IF(DAY(A653)='Main Budget'!$J$30,'Main Budget'!$E$30,0)</f>
        <v>0</v>
      </c>
      <c r="L653" s="20">
        <f>IF(DAY(A653)='Main Budget'!$J$31,'Main Budget'!$E$31,0)</f>
        <v>0</v>
      </c>
      <c r="M653" s="20">
        <f>IF(DAY(A653)='Main Budget'!$J$27,'Main Budget'!$E$27,0)</f>
        <v>0</v>
      </c>
      <c r="O653" s="228">
        <f>B653+(SUM(H653:M653)+(SUM(D653:E653)))</f>
        <v>100</v>
      </c>
      <c r="P653" s="228">
        <f>C653+F653+G653+N653</f>
        <v>100</v>
      </c>
      <c r="Q653" s="252">
        <f>O653+P653</f>
        <v>200</v>
      </c>
      <c r="S653" s="231" t="str">
        <f>TEXT(A653,"dddd")</f>
        <v>Thursday</v>
      </c>
    </row>
    <row r="654" spans="1:19" x14ac:dyDescent="0.25">
      <c r="A654" s="226">
        <v>46675</v>
      </c>
      <c r="B654" s="227">
        <f>O653</f>
        <v>100</v>
      </c>
      <c r="C654" s="228">
        <f>P653</f>
        <v>100</v>
      </c>
      <c r="D654" s="228">
        <f>IF(OR(DAY(A654+2)=1,DAY(A654+2)=15),-SUM('Main Budget'!$H$26:$H$31),0)</f>
        <v>0</v>
      </c>
      <c r="E654" s="228">
        <f>IF(DAY(A654+2)=22,-SUM('Main Budget'!$F$26:$F$31),0)</f>
        <v>0</v>
      </c>
      <c r="F654" s="228">
        <f>IF(D654&gt;0,-'Main Budget'!$H$25+0.15,0)</f>
        <v>0</v>
      </c>
      <c r="G654" s="228">
        <f>IF(E654&gt;0,-'Main Budget'!$F$25+0.81,0)</f>
        <v>0</v>
      </c>
      <c r="H654" s="227">
        <f>IF(DAY(A654)='Main Budget'!$J$26,'Main Budget'!$E$26,0)</f>
        <v>0</v>
      </c>
      <c r="I654" s="227">
        <f>IF(DAY(A654)='Main Budget'!$J$28,'Main Budget'!$E$28,0)</f>
        <v>0</v>
      </c>
      <c r="J654" s="227">
        <f>IF(DAY(A654)='Main Budget'!$J$29,'Main Budget'!$E$29,0)</f>
        <v>0</v>
      </c>
      <c r="K654" s="20">
        <f>IF(DAY(A654)='Main Budget'!$J$30,'Main Budget'!$E$30,0)</f>
        <v>0</v>
      </c>
      <c r="L654" s="20">
        <f>IF(DAY(A654)='Main Budget'!$J$31,'Main Budget'!$E$31,0)</f>
        <v>0</v>
      </c>
      <c r="M654" s="20">
        <f>IF(DAY(A654)='Main Budget'!$J$27,'Main Budget'!$E$27,0)</f>
        <v>0</v>
      </c>
      <c r="O654" s="228">
        <f>B654+(SUM(H654:M654)+(SUM(D654:E654)))</f>
        <v>100</v>
      </c>
      <c r="P654" s="228">
        <f>C654+F654+G654+N654</f>
        <v>100</v>
      </c>
      <c r="Q654" s="252">
        <f>O654+P654</f>
        <v>200</v>
      </c>
      <c r="S654" s="231" t="str">
        <f>TEXT(A654,"dddd")</f>
        <v>Friday</v>
      </c>
    </row>
    <row r="655" spans="1:19" x14ac:dyDescent="0.25">
      <c r="A655" s="226">
        <v>46676</v>
      </c>
      <c r="B655" s="227">
        <f>O654</f>
        <v>100</v>
      </c>
      <c r="C655" s="228">
        <f>P654</f>
        <v>100</v>
      </c>
      <c r="D655" s="228">
        <f>IF(OR(DAY(A655+2)=1,DAY(A655+2)=15),-SUM('Main Budget'!$H$26:$H$31),0)</f>
        <v>0</v>
      </c>
      <c r="E655" s="228">
        <f>IF(DAY(A655+2)=22,-SUM('Main Budget'!$F$26:$F$31),0)</f>
        <v>0</v>
      </c>
      <c r="F655" s="228">
        <f>IF(D655&gt;0,-'Main Budget'!$H$25+0.15,0)</f>
        <v>0</v>
      </c>
      <c r="G655" s="228">
        <f>IF(E655&gt;0,-'Main Budget'!$F$25+0.81,0)</f>
        <v>0</v>
      </c>
      <c r="H655" s="227">
        <f>IF(DAY(A655)='Main Budget'!$J$26,'Main Budget'!$E$26,0)</f>
        <v>0</v>
      </c>
      <c r="I655" s="227">
        <f>IF(DAY(A655)='Main Budget'!$J$28,'Main Budget'!$E$28,0)</f>
        <v>0</v>
      </c>
      <c r="J655" s="227">
        <f>IF(DAY(A655)='Main Budget'!$J$29,'Main Budget'!$E$29,0)</f>
        <v>0</v>
      </c>
      <c r="K655" s="20">
        <f>IF(DAY(A655)='Main Budget'!$J$30,'Main Budget'!$E$30,0)</f>
        <v>0</v>
      </c>
      <c r="L655" s="20">
        <f>IF(DAY(A655)='Main Budget'!$J$31,'Main Budget'!$E$31,0)</f>
        <v>0</v>
      </c>
      <c r="M655" s="20">
        <f>IF(DAY(A655)='Main Budget'!$J$27,'Main Budget'!$E$27,0)</f>
        <v>0</v>
      </c>
      <c r="O655" s="228">
        <f>B655+(SUM(H655:M655)+(SUM(D655:E655)))</f>
        <v>100</v>
      </c>
      <c r="P655" s="228">
        <f>C655+F655+G655+N655</f>
        <v>100</v>
      </c>
      <c r="Q655" s="252">
        <f>O655+P655</f>
        <v>200</v>
      </c>
      <c r="S655" s="231" t="str">
        <f>TEXT(A655,"dddd")</f>
        <v>Saturday</v>
      </c>
    </row>
    <row r="656" spans="1:19" x14ac:dyDescent="0.25">
      <c r="A656" s="226">
        <v>46677</v>
      </c>
      <c r="B656" s="227">
        <f>O655</f>
        <v>100</v>
      </c>
      <c r="C656" s="228">
        <f>P655</f>
        <v>100</v>
      </c>
      <c r="D656" s="228">
        <f>IF(OR(DAY(A656+2)=1,DAY(A656+2)=15),-SUM('Main Budget'!$H$26:$H$31),0)</f>
        <v>0</v>
      </c>
      <c r="E656" s="228">
        <f>IF(DAY(A656+2)=22,-SUM('Main Budget'!$F$26:$F$31),0)</f>
        <v>0</v>
      </c>
      <c r="F656" s="228">
        <f>IF(D656&gt;0,-'Main Budget'!$H$25+0.15,0)</f>
        <v>0</v>
      </c>
      <c r="G656" s="228">
        <f>IF(E656&gt;0,-'Main Budget'!$F$25+0.81,0)</f>
        <v>0</v>
      </c>
      <c r="H656" s="227">
        <f>IF(DAY(A656)='Main Budget'!$J$26,'Main Budget'!$E$26,0)</f>
        <v>0</v>
      </c>
      <c r="I656" s="227">
        <f>IF(DAY(A656)='Main Budget'!$J$28,'Main Budget'!$E$28,0)</f>
        <v>0</v>
      </c>
      <c r="J656" s="227">
        <f>IF(DAY(A656)='Main Budget'!$J$29,'Main Budget'!$E$29,0)</f>
        <v>0</v>
      </c>
      <c r="K656" s="20">
        <f>IF(DAY(A656)='Main Budget'!$J$30,'Main Budget'!$E$30,0)</f>
        <v>0</v>
      </c>
      <c r="L656" s="20">
        <f>IF(DAY(A656)='Main Budget'!$J$31,'Main Budget'!$E$31,0)</f>
        <v>0</v>
      </c>
      <c r="M656" s="20">
        <f>IF(DAY(A656)='Main Budget'!$J$27,'Main Budget'!$E$27,0)</f>
        <v>0</v>
      </c>
      <c r="O656" s="228">
        <f>B656+(SUM(H656:M656)+(SUM(D656:E656)))</f>
        <v>100</v>
      </c>
      <c r="P656" s="228">
        <f>C656+F656+G656+N656</f>
        <v>100</v>
      </c>
      <c r="Q656" s="252">
        <f>O656+P656</f>
        <v>200</v>
      </c>
      <c r="S656" s="231" t="str">
        <f>TEXT(A656,"dddd")</f>
        <v>Sunday</v>
      </c>
    </row>
    <row r="657" spans="1:19" x14ac:dyDescent="0.25">
      <c r="A657" s="226">
        <v>46678</v>
      </c>
      <c r="B657" s="227">
        <f>O656</f>
        <v>100</v>
      </c>
      <c r="C657" s="228">
        <f>P656</f>
        <v>100</v>
      </c>
      <c r="D657" s="228">
        <f>IF(OR(DAY(A657+2)=1,DAY(A657+2)=15),-SUM('Main Budget'!$H$26:$H$31),0)</f>
        <v>0</v>
      </c>
      <c r="E657" s="228">
        <f>IF(DAY(A657+2)=22,-SUM('Main Budget'!$F$26:$F$31),0)</f>
        <v>0</v>
      </c>
      <c r="F657" s="228">
        <f>IF(D657&gt;0,-'Main Budget'!$H$25+0.15,0)</f>
        <v>0</v>
      </c>
      <c r="G657" s="228">
        <f>IF(E657&gt;0,-'Main Budget'!$F$25+0.81,0)</f>
        <v>0</v>
      </c>
      <c r="H657" s="227">
        <f>IF(DAY(A657)='Main Budget'!$J$26,'Main Budget'!$E$26,0)</f>
        <v>0</v>
      </c>
      <c r="I657" s="227">
        <f>IF(DAY(A657)='Main Budget'!$J$28,'Main Budget'!$E$28,0)</f>
        <v>0</v>
      </c>
      <c r="J657" s="227">
        <f>IF(DAY(A657)='Main Budget'!$J$29,'Main Budget'!$E$29,0)</f>
        <v>0</v>
      </c>
      <c r="K657" s="20">
        <f>IF(DAY(A657)='Main Budget'!$J$30,'Main Budget'!$E$30,0)</f>
        <v>0</v>
      </c>
      <c r="L657" s="20">
        <f>IF(DAY(A657)='Main Budget'!$J$31,'Main Budget'!$E$31,0)</f>
        <v>0</v>
      </c>
      <c r="M657" s="20">
        <f>IF(DAY(A657)='Main Budget'!$J$27,'Main Budget'!$E$27,0)</f>
        <v>0</v>
      </c>
      <c r="O657" s="228">
        <f>B657+(SUM(H657:M657)+(SUM(D657:E657)))</f>
        <v>100</v>
      </c>
      <c r="P657" s="228">
        <f>C657+F657+G657+N657</f>
        <v>100</v>
      </c>
      <c r="Q657" s="252">
        <f>O657+P657</f>
        <v>200</v>
      </c>
      <c r="S657" s="231" t="str">
        <f>TEXT(A657,"dddd")</f>
        <v>Monday</v>
      </c>
    </row>
    <row r="658" spans="1:19" x14ac:dyDescent="0.25">
      <c r="A658" s="226">
        <v>46679</v>
      </c>
      <c r="B658" s="227">
        <f>O657</f>
        <v>100</v>
      </c>
      <c r="C658" s="228">
        <f>P657</f>
        <v>100</v>
      </c>
      <c r="D658" s="228">
        <f>IF(OR(DAY(A658+2)=1,DAY(A658+2)=15),-SUM('Main Budget'!$H$26:$H$31),0)</f>
        <v>0</v>
      </c>
      <c r="E658" s="228">
        <f>IF(DAY(A658+2)=22,-SUM('Main Budget'!$F$26:$F$31),0)</f>
        <v>0</v>
      </c>
      <c r="F658" s="228">
        <f>IF(D658&gt;0,-'Main Budget'!$H$25+0.15,0)</f>
        <v>0</v>
      </c>
      <c r="G658" s="228">
        <f>IF(E658&gt;0,-'Main Budget'!$F$25+0.81,0)</f>
        <v>0</v>
      </c>
      <c r="H658" s="227">
        <f>IF(DAY(A658)='Main Budget'!$J$26,'Main Budget'!$E$26,0)</f>
        <v>0</v>
      </c>
      <c r="I658" s="227">
        <f>IF(DAY(A658)='Main Budget'!$J$28,'Main Budget'!$E$28,0)</f>
        <v>0</v>
      </c>
      <c r="J658" s="227">
        <f>IF(DAY(A658)='Main Budget'!$J$29,'Main Budget'!$E$29,0)</f>
        <v>0</v>
      </c>
      <c r="K658" s="20">
        <f>IF(DAY(A658)='Main Budget'!$J$30,'Main Budget'!$E$30,0)</f>
        <v>0</v>
      </c>
      <c r="L658" s="20">
        <f>IF(DAY(A658)='Main Budget'!$J$31,'Main Budget'!$E$31,0)</f>
        <v>0</v>
      </c>
      <c r="M658" s="20">
        <f>IF(DAY(A658)='Main Budget'!$J$27,'Main Budget'!$E$27,0)</f>
        <v>0</v>
      </c>
      <c r="O658" s="228">
        <f>B658+(SUM(H658:M658)+(SUM(D658:E658)))</f>
        <v>100</v>
      </c>
      <c r="P658" s="228">
        <f>C658+F658+G658+N658</f>
        <v>100</v>
      </c>
      <c r="Q658" s="252">
        <f>O658+P658</f>
        <v>200</v>
      </c>
      <c r="S658" s="231" t="str">
        <f>TEXT(A658,"dddd")</f>
        <v>Tuesday</v>
      </c>
    </row>
    <row r="659" spans="1:19" x14ac:dyDescent="0.25">
      <c r="A659" s="226">
        <v>46680</v>
      </c>
      <c r="B659" s="227">
        <f>O658</f>
        <v>100</v>
      </c>
      <c r="C659" s="228">
        <f>P658</f>
        <v>100</v>
      </c>
      <c r="D659" s="228">
        <f>IF(OR(DAY(A659+2)=1,DAY(A659+2)=15),-SUM('Main Budget'!$H$26:$H$31),0)</f>
        <v>0</v>
      </c>
      <c r="E659" s="228">
        <f>IF(DAY(A659+2)=22,-SUM('Main Budget'!$F$26:$F$31),0)</f>
        <v>0</v>
      </c>
      <c r="F659" s="228">
        <f>IF(D659&gt;0,-'Main Budget'!$H$25+0.15,0)</f>
        <v>0</v>
      </c>
      <c r="G659" s="228">
        <f>IF(E659&gt;0,-'Main Budget'!$F$25+0.81,0)</f>
        <v>0</v>
      </c>
      <c r="H659" s="227">
        <f>IF(DAY(A659)='Main Budget'!$J$26,'Main Budget'!$E$26,0)</f>
        <v>0</v>
      </c>
      <c r="I659" s="227">
        <f>IF(DAY(A659)='Main Budget'!$J$28,'Main Budget'!$E$28,0)</f>
        <v>0</v>
      </c>
      <c r="J659" s="227">
        <f>IF(DAY(A659)='Main Budget'!$J$29,'Main Budget'!$E$29,0)</f>
        <v>0</v>
      </c>
      <c r="K659" s="20">
        <f>IF(DAY(A659)='Main Budget'!$J$30,'Main Budget'!$E$30,0)</f>
        <v>0</v>
      </c>
      <c r="L659" s="20">
        <f>IF(DAY(A659)='Main Budget'!$J$31,'Main Budget'!$E$31,0)</f>
        <v>0</v>
      </c>
      <c r="M659" s="20">
        <f>IF(DAY(A659)='Main Budget'!$J$27,'Main Budget'!$E$27,0)</f>
        <v>0</v>
      </c>
      <c r="O659" s="228">
        <f>B659+(SUM(H659:M659)+(SUM(D659:E659)))</f>
        <v>100</v>
      </c>
      <c r="P659" s="228">
        <f>C659+F659+G659+N659</f>
        <v>100</v>
      </c>
      <c r="Q659" s="252">
        <f>O659+P659</f>
        <v>200</v>
      </c>
      <c r="S659" s="231" t="str">
        <f>TEXT(A659,"dddd")</f>
        <v>Wednesday</v>
      </c>
    </row>
    <row r="660" spans="1:19" x14ac:dyDescent="0.25">
      <c r="A660" s="226">
        <v>46681</v>
      </c>
      <c r="B660" s="227">
        <f>O659</f>
        <v>100</v>
      </c>
      <c r="C660" s="228">
        <f>P659</f>
        <v>100</v>
      </c>
      <c r="D660" s="228">
        <f>IF(OR(DAY(A660+2)=1,DAY(A660+2)=15),-SUM('Main Budget'!$H$26:$H$31),0)</f>
        <v>0</v>
      </c>
      <c r="E660" s="228">
        <f>IF(DAY(A660+2)=22,-SUM('Main Budget'!$F$26:$F$31),0)</f>
        <v>0</v>
      </c>
      <c r="F660" s="228">
        <f>IF(D660&gt;0,-'Main Budget'!$H$25+0.15,0)</f>
        <v>0</v>
      </c>
      <c r="G660" s="228">
        <f>IF(E660&gt;0,-'Main Budget'!$F$25+0.81,0)</f>
        <v>0</v>
      </c>
      <c r="H660" s="227">
        <f>IF(DAY(A660)='Main Budget'!$J$26,'Main Budget'!$E$26,0)</f>
        <v>0</v>
      </c>
      <c r="I660" s="227">
        <f>IF(DAY(A660)='Main Budget'!$J$28,'Main Budget'!$E$28,0)</f>
        <v>0</v>
      </c>
      <c r="J660" s="227">
        <f>IF(DAY(A660)='Main Budget'!$J$29,'Main Budget'!$E$29,0)</f>
        <v>0</v>
      </c>
      <c r="K660" s="20">
        <f>IF(DAY(A660)='Main Budget'!$J$30,'Main Budget'!$E$30,0)</f>
        <v>0</v>
      </c>
      <c r="L660" s="20">
        <f>IF(DAY(A660)='Main Budget'!$J$31,'Main Budget'!$E$31,0)</f>
        <v>0</v>
      </c>
      <c r="M660" s="20">
        <f>IF(DAY(A660)='Main Budget'!$J$27,'Main Budget'!$E$27,0)</f>
        <v>0</v>
      </c>
      <c r="O660" s="228">
        <f>B660+(SUM(H660:M660)+(SUM(D660:E660)))</f>
        <v>100</v>
      </c>
      <c r="P660" s="228">
        <f>C660+F660+G660+N660</f>
        <v>100</v>
      </c>
      <c r="Q660" s="252">
        <f>O660+P660</f>
        <v>200</v>
      </c>
      <c r="S660" s="231" t="str">
        <f>TEXT(A660,"dddd")</f>
        <v>Thursday</v>
      </c>
    </row>
    <row r="661" spans="1:19" x14ac:dyDescent="0.25">
      <c r="A661" s="226">
        <v>46682</v>
      </c>
      <c r="B661" s="227">
        <f>O660</f>
        <v>100</v>
      </c>
      <c r="C661" s="228">
        <f>P660</f>
        <v>100</v>
      </c>
      <c r="D661" s="228">
        <f>IF(OR(DAY(A661+2)=1,DAY(A661+2)=15),-SUM('Main Budget'!$H$26:$H$31),0)</f>
        <v>0</v>
      </c>
      <c r="E661" s="228">
        <f>IF(DAY(A661+2)=22,-SUM('Main Budget'!$F$26:$F$31),0)</f>
        <v>0</v>
      </c>
      <c r="F661" s="228">
        <f>IF(D661&gt;0,-'Main Budget'!$H$25+0.15,0)</f>
        <v>0</v>
      </c>
      <c r="G661" s="228">
        <f>IF(E661&gt;0,-'Main Budget'!$F$25+0.81,0)</f>
        <v>0</v>
      </c>
      <c r="H661" s="227">
        <f>IF(DAY(A661)='Main Budget'!$J$26,'Main Budget'!$E$26,0)</f>
        <v>0</v>
      </c>
      <c r="I661" s="227">
        <f>IF(DAY(A661)='Main Budget'!$J$28,'Main Budget'!$E$28,0)</f>
        <v>0</v>
      </c>
      <c r="J661" s="227">
        <f>IF(DAY(A661)='Main Budget'!$J$29,'Main Budget'!$E$29,0)</f>
        <v>0</v>
      </c>
      <c r="K661" s="20">
        <f>IF(DAY(A661)='Main Budget'!$J$30,'Main Budget'!$E$30,0)</f>
        <v>0</v>
      </c>
      <c r="L661" s="20">
        <f>IF(DAY(A661)='Main Budget'!$J$31,'Main Budget'!$E$31,0)</f>
        <v>0</v>
      </c>
      <c r="M661" s="20">
        <f>IF(DAY(A661)='Main Budget'!$J$27,'Main Budget'!$E$27,0)</f>
        <v>0</v>
      </c>
      <c r="O661" s="228">
        <f>B661+(SUM(H661:M661)+(SUM(D661:E661)))</f>
        <v>100</v>
      </c>
      <c r="P661" s="228">
        <f>C661+F661+G661+N661</f>
        <v>100</v>
      </c>
      <c r="Q661" s="252">
        <f>O661+P661</f>
        <v>200</v>
      </c>
      <c r="S661" s="231" t="str">
        <f>TEXT(A661,"dddd")</f>
        <v>Friday</v>
      </c>
    </row>
    <row r="662" spans="1:19" x14ac:dyDescent="0.25">
      <c r="A662" s="226">
        <v>46683</v>
      </c>
      <c r="B662" s="227">
        <f>O661</f>
        <v>100</v>
      </c>
      <c r="C662" s="228">
        <f>P661</f>
        <v>100</v>
      </c>
      <c r="D662" s="228">
        <f>IF(OR(DAY(A662+2)=1,DAY(A662+2)=15),-SUM('Main Budget'!$H$26:$H$31),0)</f>
        <v>0</v>
      </c>
      <c r="E662" s="228">
        <f>IF(DAY(A662+2)=22,-SUM('Main Budget'!$F$26:$F$31),0)</f>
        <v>0</v>
      </c>
      <c r="F662" s="228">
        <f>IF(D662&gt;0,-'Main Budget'!$H$25+0.15,0)</f>
        <v>0</v>
      </c>
      <c r="G662" s="228">
        <f>IF(E662&gt;0,-'Main Budget'!$F$25+0.81,0)</f>
        <v>0</v>
      </c>
      <c r="H662" s="227">
        <f>IF(DAY(A662)='Main Budget'!$J$26,'Main Budget'!$E$26,0)</f>
        <v>0</v>
      </c>
      <c r="I662" s="227">
        <f>IF(DAY(A662)='Main Budget'!$J$28,'Main Budget'!$E$28,0)</f>
        <v>0</v>
      </c>
      <c r="J662" s="227">
        <f>IF(DAY(A662)='Main Budget'!$J$29,'Main Budget'!$E$29,0)</f>
        <v>0</v>
      </c>
      <c r="K662" s="20">
        <f>IF(DAY(A662)='Main Budget'!$J$30,'Main Budget'!$E$30,0)</f>
        <v>0</v>
      </c>
      <c r="L662" s="20">
        <f>IF(DAY(A662)='Main Budget'!$J$31,'Main Budget'!$E$31,0)</f>
        <v>0</v>
      </c>
      <c r="M662" s="20">
        <f>IF(DAY(A662)='Main Budget'!$J$27,'Main Budget'!$E$27,0)</f>
        <v>0</v>
      </c>
      <c r="O662" s="228">
        <f>B662+(SUM(H662:M662)+(SUM(D662:E662)))</f>
        <v>100</v>
      </c>
      <c r="P662" s="228">
        <f>C662+F662+G662+N662</f>
        <v>100</v>
      </c>
      <c r="Q662" s="252">
        <f>O662+P662</f>
        <v>200</v>
      </c>
      <c r="S662" s="231" t="str">
        <f>TEXT(A662,"dddd")</f>
        <v>Saturday</v>
      </c>
    </row>
    <row r="663" spans="1:19" x14ac:dyDescent="0.25">
      <c r="A663" s="226">
        <v>46684</v>
      </c>
      <c r="B663" s="227">
        <f>O662</f>
        <v>100</v>
      </c>
      <c r="C663" s="228">
        <f>P662</f>
        <v>100</v>
      </c>
      <c r="D663" s="228">
        <f>IF(OR(DAY(A663+2)=1,DAY(A663+2)=15),-SUM('Main Budget'!$H$26:$H$31),0)</f>
        <v>0</v>
      </c>
      <c r="E663" s="228">
        <f>IF(DAY(A663+2)=22,-SUM('Main Budget'!$F$26:$F$31),0)</f>
        <v>0</v>
      </c>
      <c r="F663" s="228">
        <f>IF(D663&gt;0,-'Main Budget'!$H$25+0.15,0)</f>
        <v>0</v>
      </c>
      <c r="G663" s="228">
        <f>IF(E663&gt;0,-'Main Budget'!$F$25+0.81,0)</f>
        <v>0</v>
      </c>
      <c r="H663" s="227">
        <f>IF(DAY(A663)='Main Budget'!$J$26,'Main Budget'!$E$26,0)</f>
        <v>0</v>
      </c>
      <c r="I663" s="227">
        <f>IF(DAY(A663)='Main Budget'!$J$28,'Main Budget'!$E$28,0)</f>
        <v>0</v>
      </c>
      <c r="J663" s="227">
        <f>IF(DAY(A663)='Main Budget'!$J$29,'Main Budget'!$E$29,0)</f>
        <v>0</v>
      </c>
      <c r="K663" s="20">
        <f>IF(DAY(A663)='Main Budget'!$J$30,'Main Budget'!$E$30,0)</f>
        <v>0</v>
      </c>
      <c r="L663" s="20">
        <f>IF(DAY(A663)='Main Budget'!$J$31,'Main Budget'!$E$31,0)</f>
        <v>0</v>
      </c>
      <c r="M663" s="20">
        <f>IF(DAY(A663)='Main Budget'!$J$27,'Main Budget'!$E$27,0)</f>
        <v>0</v>
      </c>
      <c r="O663" s="228">
        <f>B663+(SUM(H663:M663)+(SUM(D663:E663)))</f>
        <v>100</v>
      </c>
      <c r="P663" s="228">
        <f>C663+F663+G663+N663</f>
        <v>100</v>
      </c>
      <c r="Q663" s="252">
        <f>O663+P663</f>
        <v>200</v>
      </c>
      <c r="S663" s="231" t="str">
        <f>TEXT(A663,"dddd")</f>
        <v>Sunday</v>
      </c>
    </row>
    <row r="664" spans="1:19" x14ac:dyDescent="0.25">
      <c r="A664" s="226">
        <v>46685</v>
      </c>
      <c r="B664" s="227">
        <f>O663</f>
        <v>100</v>
      </c>
      <c r="C664" s="228">
        <f>P663</f>
        <v>100</v>
      </c>
      <c r="D664" s="228">
        <f>IF(OR(DAY(A664+2)=1,DAY(A664+2)=15),-SUM('Main Budget'!$H$26:$H$31),0)</f>
        <v>0</v>
      </c>
      <c r="E664" s="228">
        <f>IF(DAY(A664+2)=22,-SUM('Main Budget'!$F$26:$F$31),0)</f>
        <v>0</v>
      </c>
      <c r="F664" s="228">
        <f>IF(D664&gt;0,-'Main Budget'!$H$25+0.15,0)</f>
        <v>0</v>
      </c>
      <c r="G664" s="228">
        <f>IF(E664&gt;0,-'Main Budget'!$F$25+0.81,0)</f>
        <v>0</v>
      </c>
      <c r="H664" s="227">
        <f>IF(DAY(A664)='Main Budget'!$J$26,'Main Budget'!$E$26,0)</f>
        <v>0</v>
      </c>
      <c r="I664" s="227">
        <f>IF(DAY(A664)='Main Budget'!$J$28,'Main Budget'!$E$28,0)</f>
        <v>0</v>
      </c>
      <c r="J664" s="227">
        <f>IF(DAY(A664)='Main Budget'!$J$29,'Main Budget'!$E$29,0)</f>
        <v>0</v>
      </c>
      <c r="K664" s="20">
        <f>IF(DAY(A664)='Main Budget'!$J$30,'Main Budget'!$E$30,0)</f>
        <v>0</v>
      </c>
      <c r="L664" s="20">
        <f>IF(DAY(A664)='Main Budget'!$J$31,'Main Budget'!$E$31,0)</f>
        <v>0</v>
      </c>
      <c r="M664" s="20">
        <f>IF(DAY(A664)='Main Budget'!$J$27,'Main Budget'!$E$27,0)</f>
        <v>0</v>
      </c>
      <c r="O664" s="228">
        <f>B664+(SUM(H664:M664)+(SUM(D664:E664)))</f>
        <v>100</v>
      </c>
      <c r="P664" s="228">
        <f>C664+F664+G664+N664</f>
        <v>100</v>
      </c>
      <c r="Q664" s="252">
        <f>O664+P664</f>
        <v>200</v>
      </c>
      <c r="S664" s="231" t="str">
        <f>TEXT(A664,"dddd")</f>
        <v>Monday</v>
      </c>
    </row>
    <row r="665" spans="1:19" x14ac:dyDescent="0.25">
      <c r="A665" s="226">
        <v>46686</v>
      </c>
      <c r="B665" s="227">
        <f>O664</f>
        <v>100</v>
      </c>
      <c r="C665" s="228">
        <f>P664</f>
        <v>100</v>
      </c>
      <c r="D665" s="228">
        <f>IF(OR(DAY(A665+2)=1,DAY(A665+2)=15),-SUM('Main Budget'!$H$26:$H$31),0)</f>
        <v>0</v>
      </c>
      <c r="E665" s="228">
        <f>IF(DAY(A665+2)=22,-SUM('Main Budget'!$F$26:$F$31),0)</f>
        <v>0</v>
      </c>
      <c r="F665" s="228">
        <f>IF(D665&gt;0,-'Main Budget'!$H$25+0.15,0)</f>
        <v>0</v>
      </c>
      <c r="G665" s="228">
        <f>IF(E665&gt;0,-'Main Budget'!$F$25+0.81,0)</f>
        <v>0</v>
      </c>
      <c r="H665" s="227">
        <f>IF(DAY(A665)='Main Budget'!$J$26,'Main Budget'!$E$26,0)</f>
        <v>0</v>
      </c>
      <c r="I665" s="227">
        <f>IF(DAY(A665)='Main Budget'!$J$28,'Main Budget'!$E$28,0)</f>
        <v>0</v>
      </c>
      <c r="J665" s="227">
        <f>IF(DAY(A665)='Main Budget'!$J$29,'Main Budget'!$E$29,0)</f>
        <v>0</v>
      </c>
      <c r="K665" s="20">
        <f>IF(DAY(A665)='Main Budget'!$J$30,'Main Budget'!$E$30,0)</f>
        <v>0</v>
      </c>
      <c r="L665" s="20">
        <f>IF(DAY(A665)='Main Budget'!$J$31,'Main Budget'!$E$31,0)</f>
        <v>0</v>
      </c>
      <c r="M665" s="20">
        <f>IF(DAY(A665)='Main Budget'!$J$27,'Main Budget'!$E$27,0)</f>
        <v>0</v>
      </c>
      <c r="O665" s="228">
        <f>B665+(SUM(H665:M665)+(SUM(D665:E665)))</f>
        <v>100</v>
      </c>
      <c r="P665" s="228">
        <f>C665+F665+G665+N665</f>
        <v>100</v>
      </c>
      <c r="Q665" s="252">
        <f>O665+P665</f>
        <v>200</v>
      </c>
      <c r="S665" s="231" t="str">
        <f>TEXT(A665,"dddd")</f>
        <v>Tuesday</v>
      </c>
    </row>
    <row r="666" spans="1:19" x14ac:dyDescent="0.25">
      <c r="A666" s="226">
        <v>46687</v>
      </c>
      <c r="B666" s="227">
        <f>O665</f>
        <v>100</v>
      </c>
      <c r="C666" s="228">
        <f>P665</f>
        <v>100</v>
      </c>
      <c r="D666" s="228">
        <f>IF(OR(DAY(A666+2)=1,DAY(A666+2)=15),-SUM('Main Budget'!$H$26:$H$31),0)</f>
        <v>0</v>
      </c>
      <c r="E666" s="228">
        <f>IF(DAY(A666+2)=22,-SUM('Main Budget'!$F$26:$F$31),0)</f>
        <v>0</v>
      </c>
      <c r="F666" s="228">
        <f>IF(D666&gt;0,-'Main Budget'!$H$25+0.15,0)</f>
        <v>0</v>
      </c>
      <c r="G666" s="228">
        <f>IF(E666&gt;0,-'Main Budget'!$F$25+0.81,0)</f>
        <v>0</v>
      </c>
      <c r="H666" s="227">
        <f>IF(DAY(A666)='Main Budget'!$J$26,'Main Budget'!$E$26,0)</f>
        <v>0</v>
      </c>
      <c r="I666" s="227">
        <f>IF(DAY(A666)='Main Budget'!$J$28,'Main Budget'!$E$28,0)</f>
        <v>0</v>
      </c>
      <c r="J666" s="227">
        <f>IF(DAY(A666)='Main Budget'!$J$29,'Main Budget'!$E$29,0)</f>
        <v>0</v>
      </c>
      <c r="K666" s="20">
        <f>IF(DAY(A666)='Main Budget'!$J$30,'Main Budget'!$E$30,0)</f>
        <v>0</v>
      </c>
      <c r="L666" s="20">
        <f>IF(DAY(A666)='Main Budget'!$J$31,'Main Budget'!$E$31,0)</f>
        <v>0</v>
      </c>
      <c r="M666" s="20">
        <f>IF(DAY(A666)='Main Budget'!$J$27,'Main Budget'!$E$27,0)</f>
        <v>0</v>
      </c>
      <c r="O666" s="228">
        <f>B666+(SUM(H666:M666)+(SUM(D666:E666)))</f>
        <v>100</v>
      </c>
      <c r="P666" s="228">
        <f>C666+F666+G666+N666</f>
        <v>100</v>
      </c>
      <c r="Q666" s="252">
        <f>O666+P666</f>
        <v>200</v>
      </c>
      <c r="S666" s="231" t="str">
        <f>TEXT(A666,"dddd")</f>
        <v>Wednesday</v>
      </c>
    </row>
    <row r="667" spans="1:19" x14ac:dyDescent="0.25">
      <c r="A667" s="226">
        <v>46688</v>
      </c>
      <c r="B667" s="227">
        <f>O666</f>
        <v>100</v>
      </c>
      <c r="C667" s="228">
        <f>P666</f>
        <v>100</v>
      </c>
      <c r="D667" s="228">
        <f>IF(OR(DAY(A667+2)=1,DAY(A667+2)=15),-SUM('Main Budget'!$H$26:$H$31),0)</f>
        <v>0</v>
      </c>
      <c r="E667" s="228">
        <f>IF(DAY(A667+2)=22,-SUM('Main Budget'!$F$26:$F$31),0)</f>
        <v>0</v>
      </c>
      <c r="F667" s="228">
        <f>IF(D667&gt;0,-'Main Budget'!$H$25+0.15,0)</f>
        <v>0</v>
      </c>
      <c r="G667" s="228">
        <f>IF(E667&gt;0,-'Main Budget'!$F$25+0.81,0)</f>
        <v>0</v>
      </c>
      <c r="H667" s="227">
        <f>IF(DAY(A667)='Main Budget'!$J$26,'Main Budget'!$E$26,0)</f>
        <v>0</v>
      </c>
      <c r="I667" s="227">
        <f>IF(DAY(A667)='Main Budget'!$J$28,'Main Budget'!$E$28,0)</f>
        <v>0</v>
      </c>
      <c r="J667" s="227">
        <f>IF(DAY(A667)='Main Budget'!$J$29,'Main Budget'!$E$29,0)</f>
        <v>0</v>
      </c>
      <c r="K667" s="20">
        <f>IF(DAY(A667)='Main Budget'!$J$30,'Main Budget'!$E$30,0)</f>
        <v>0</v>
      </c>
      <c r="L667" s="20">
        <f>IF(DAY(A667)='Main Budget'!$J$31,'Main Budget'!$E$31,0)</f>
        <v>0</v>
      </c>
      <c r="M667" s="20">
        <f>IF(DAY(A667)='Main Budget'!$J$27,'Main Budget'!$E$27,0)</f>
        <v>0</v>
      </c>
      <c r="O667" s="228">
        <f>B667+(SUM(H667:M667)+(SUM(D667:E667)))</f>
        <v>100</v>
      </c>
      <c r="P667" s="228">
        <f>C667+F667+G667+N667</f>
        <v>100</v>
      </c>
      <c r="Q667" s="252">
        <f>O667+P667</f>
        <v>200</v>
      </c>
      <c r="S667" s="231" t="str">
        <f>TEXT(A667,"dddd")</f>
        <v>Thursday</v>
      </c>
    </row>
    <row r="668" spans="1:19" x14ac:dyDescent="0.25">
      <c r="A668" s="226">
        <v>46689</v>
      </c>
      <c r="B668" s="227">
        <f>O667</f>
        <v>100</v>
      </c>
      <c r="C668" s="228">
        <f>P667</f>
        <v>100</v>
      </c>
      <c r="D668" s="228">
        <f>IF(OR(DAY(A668+2)=1,DAY(A668+2)=15),-SUM('Main Budget'!$H$26:$H$31),0)</f>
        <v>0</v>
      </c>
      <c r="E668" s="228">
        <f>IF(DAY(A668+2)=22,-SUM('Main Budget'!$F$26:$F$31),0)</f>
        <v>0</v>
      </c>
      <c r="F668" s="228">
        <f>IF(D668&gt;0,-'Main Budget'!$H$25+0.15,0)</f>
        <v>0</v>
      </c>
      <c r="G668" s="228">
        <f>IF(E668&gt;0,-'Main Budget'!$F$25+0.81,0)</f>
        <v>0</v>
      </c>
      <c r="H668" s="227">
        <f>IF(DAY(A668)='Main Budget'!$J$26,'Main Budget'!$E$26,0)</f>
        <v>0</v>
      </c>
      <c r="I668" s="227">
        <f>IF(DAY(A668)='Main Budget'!$J$28,'Main Budget'!$E$28,0)</f>
        <v>0</v>
      </c>
      <c r="J668" s="227">
        <f>IF(DAY(A668)='Main Budget'!$J$29,'Main Budget'!$E$29,0)</f>
        <v>0</v>
      </c>
      <c r="K668" s="20">
        <f>IF(DAY(A668)='Main Budget'!$J$30,'Main Budget'!$E$30,0)</f>
        <v>0</v>
      </c>
      <c r="L668" s="20">
        <f>IF(DAY(A668)='Main Budget'!$J$31,'Main Budget'!$E$31,0)</f>
        <v>0</v>
      </c>
      <c r="M668" s="20">
        <f>IF(DAY(A668)='Main Budget'!$J$27,'Main Budget'!$E$27,0)</f>
        <v>0</v>
      </c>
      <c r="O668" s="228">
        <f>B668+(SUM(H668:M668)+(SUM(D668:E668)))</f>
        <v>100</v>
      </c>
      <c r="P668" s="228">
        <f>C668+F668+G668+N668</f>
        <v>100</v>
      </c>
      <c r="Q668" s="252">
        <f>O668+P668</f>
        <v>200</v>
      </c>
      <c r="S668" s="231" t="str">
        <f>TEXT(A668,"dddd")</f>
        <v>Friday</v>
      </c>
    </row>
    <row r="669" spans="1:19" x14ac:dyDescent="0.25">
      <c r="A669" s="226">
        <v>46690</v>
      </c>
      <c r="B669" s="227">
        <f>O668</f>
        <v>100</v>
      </c>
      <c r="C669" s="228">
        <f>P668</f>
        <v>100</v>
      </c>
      <c r="D669" s="228">
        <f>IF(OR(DAY(A669+2)=1,DAY(A669+2)=15),-SUM('Main Budget'!$H$26:$H$31),0)</f>
        <v>0</v>
      </c>
      <c r="E669" s="228">
        <f>IF(DAY(A669+2)=22,-SUM('Main Budget'!$F$26:$F$31),0)</f>
        <v>0</v>
      </c>
      <c r="F669" s="228">
        <f>IF(D669&gt;0,-'Main Budget'!$H$25+0.15,0)</f>
        <v>0</v>
      </c>
      <c r="G669" s="228">
        <f>IF(E669&gt;0,-'Main Budget'!$F$25+0.81,0)</f>
        <v>0</v>
      </c>
      <c r="H669" s="227">
        <f>IF(DAY(A669)='Main Budget'!$J$26,'Main Budget'!$E$26,0)</f>
        <v>0</v>
      </c>
      <c r="I669" s="227">
        <f>IF(DAY(A669)='Main Budget'!$J$28,'Main Budget'!$E$28,0)</f>
        <v>0</v>
      </c>
      <c r="J669" s="227">
        <f>IF(DAY(A669)='Main Budget'!$J$29,'Main Budget'!$E$29,0)</f>
        <v>0</v>
      </c>
      <c r="K669" s="20">
        <f>IF(DAY(A669)='Main Budget'!$J$30,'Main Budget'!$E$30,0)</f>
        <v>0</v>
      </c>
      <c r="L669" s="20">
        <f>IF(DAY(A669)='Main Budget'!$J$31,'Main Budget'!$E$31,0)</f>
        <v>0</v>
      </c>
      <c r="M669" s="20">
        <f>IF(DAY(A669)='Main Budget'!$J$27,'Main Budget'!$E$27,0)</f>
        <v>0</v>
      </c>
      <c r="O669" s="228">
        <f>B669+(SUM(H669:M669)+(SUM(D669:E669)))</f>
        <v>100</v>
      </c>
      <c r="P669" s="228">
        <f>C669+F669+G669+N669</f>
        <v>100</v>
      </c>
      <c r="Q669" s="252">
        <f>O669+P669</f>
        <v>200</v>
      </c>
      <c r="S669" s="231" t="str">
        <f>TEXT(A669,"dddd")</f>
        <v>Saturday</v>
      </c>
    </row>
    <row r="670" spans="1:19" x14ac:dyDescent="0.25">
      <c r="A670" s="226">
        <v>46691</v>
      </c>
      <c r="B670" s="227">
        <f>O669</f>
        <v>100</v>
      </c>
      <c r="C670" s="228">
        <f>P669</f>
        <v>100</v>
      </c>
      <c r="D670" s="228">
        <f>IF(OR(DAY(A670+2)=1,DAY(A670+2)=15),-SUM('Main Budget'!$H$26:$H$31),0)</f>
        <v>0</v>
      </c>
      <c r="E670" s="228">
        <f>IF(DAY(A670+2)=22,-SUM('Main Budget'!$F$26:$F$31),0)</f>
        <v>0</v>
      </c>
      <c r="F670" s="228">
        <f>IF(D670&gt;0,-'Main Budget'!$H$25+0.15,0)</f>
        <v>0</v>
      </c>
      <c r="G670" s="228">
        <f>IF(E670&gt;0,-'Main Budget'!$F$25+0.81,0)</f>
        <v>0</v>
      </c>
      <c r="H670" s="227">
        <f>IF(DAY(A670)='Main Budget'!$J$26,'Main Budget'!$E$26,0)</f>
        <v>0</v>
      </c>
      <c r="I670" s="227">
        <f>IF(DAY(A670)='Main Budget'!$J$28,'Main Budget'!$E$28,0)</f>
        <v>0</v>
      </c>
      <c r="J670" s="227">
        <f>IF(DAY(A670)='Main Budget'!$J$29,'Main Budget'!$E$29,0)</f>
        <v>0</v>
      </c>
      <c r="K670" s="20">
        <f>IF(DAY(A670)='Main Budget'!$J$30,'Main Budget'!$E$30,0)</f>
        <v>0</v>
      </c>
      <c r="L670" s="20">
        <f>IF(DAY(A670)='Main Budget'!$J$31,'Main Budget'!$E$31,0)</f>
        <v>0</v>
      </c>
      <c r="M670" s="20">
        <f>IF(DAY(A670)='Main Budget'!$J$27,'Main Budget'!$E$27,0)</f>
        <v>0</v>
      </c>
      <c r="O670" s="228">
        <f>B670+(SUM(H670:M670)+(SUM(D670:E670)))</f>
        <v>100</v>
      </c>
      <c r="P670" s="228">
        <f>C670+F670+G670+N670</f>
        <v>100</v>
      </c>
      <c r="Q670" s="252">
        <f>O670+P670</f>
        <v>200</v>
      </c>
      <c r="S670" s="231" t="str">
        <f>TEXT(A670,"dddd")</f>
        <v>Sunday</v>
      </c>
    </row>
    <row r="671" spans="1:19" x14ac:dyDescent="0.25">
      <c r="A671" s="226">
        <v>46692</v>
      </c>
      <c r="B671" s="227">
        <f>O670</f>
        <v>100</v>
      </c>
      <c r="C671" s="228">
        <f>P670</f>
        <v>100</v>
      </c>
      <c r="D671" s="228">
        <f>IF(OR(DAY(A671+2)=1,DAY(A671+2)=15),-SUM('Main Budget'!$H$26:$H$31),0)</f>
        <v>0</v>
      </c>
      <c r="E671" s="228">
        <f>IF(DAY(A671+2)=22,-SUM('Main Budget'!$F$26:$F$31),0)</f>
        <v>0</v>
      </c>
      <c r="F671" s="228">
        <f>IF(D671&gt;0,-'Main Budget'!$H$25+0.15,0)</f>
        <v>0</v>
      </c>
      <c r="G671" s="228">
        <f>IF(E671&gt;0,-'Main Budget'!$F$25+0.81,0)</f>
        <v>0</v>
      </c>
      <c r="H671" s="227">
        <f>IF(DAY(A671)='Main Budget'!$J$26,'Main Budget'!$E$26,0)</f>
        <v>0</v>
      </c>
      <c r="I671" s="227">
        <f>IF(DAY(A671)='Main Budget'!$J$28,'Main Budget'!$E$28,0)</f>
        <v>0</v>
      </c>
      <c r="J671" s="227">
        <f>IF(DAY(A671)='Main Budget'!$J$29,'Main Budget'!$E$29,0)</f>
        <v>0</v>
      </c>
      <c r="K671" s="20">
        <f>IF(DAY(A671)='Main Budget'!$J$30,'Main Budget'!$E$30,0)</f>
        <v>0</v>
      </c>
      <c r="L671" s="20">
        <f>IF(DAY(A671)='Main Budget'!$J$31,'Main Budget'!$E$31,0)</f>
        <v>0</v>
      </c>
      <c r="M671" s="20">
        <f>IF(DAY(A671)='Main Budget'!$J$27,'Main Budget'!$E$27,0)</f>
        <v>0</v>
      </c>
      <c r="O671" s="228">
        <f>B671+(SUM(H671:M671)+(SUM(D671:E671)))</f>
        <v>100</v>
      </c>
      <c r="P671" s="228">
        <f>C671+F671+G671+N671</f>
        <v>100</v>
      </c>
      <c r="Q671" s="252">
        <f>O671+P671</f>
        <v>200</v>
      </c>
      <c r="S671" s="231" t="str">
        <f>TEXT(A671,"dddd")</f>
        <v>Monday</v>
      </c>
    </row>
    <row r="672" spans="1:19" x14ac:dyDescent="0.25">
      <c r="A672" s="226">
        <v>46693</v>
      </c>
      <c r="B672" s="227">
        <f>O671</f>
        <v>100</v>
      </c>
      <c r="C672" s="228">
        <f>P671</f>
        <v>100</v>
      </c>
      <c r="D672" s="228">
        <f>IF(OR(DAY(A672+2)=1,DAY(A672+2)=15),-SUM('Main Budget'!$H$26:$H$31),0)</f>
        <v>0</v>
      </c>
      <c r="E672" s="228">
        <f>IF(DAY(A672+2)=22,-SUM('Main Budget'!$F$26:$F$31),0)</f>
        <v>0</v>
      </c>
      <c r="F672" s="228">
        <f>IF(D672&gt;0,-'Main Budget'!$H$25+0.15,0)</f>
        <v>0</v>
      </c>
      <c r="G672" s="228">
        <f>IF(E672&gt;0,-'Main Budget'!$F$25+0.81,0)</f>
        <v>0</v>
      </c>
      <c r="H672" s="227">
        <f>IF(DAY(A672)='Main Budget'!$J$26,'Main Budget'!$E$26,0)</f>
        <v>0</v>
      </c>
      <c r="I672" s="227">
        <f>IF(DAY(A672)='Main Budget'!$J$28,'Main Budget'!$E$28,0)</f>
        <v>0</v>
      </c>
      <c r="J672" s="227">
        <f>IF(DAY(A672)='Main Budget'!$J$29,'Main Budget'!$E$29,0)</f>
        <v>0</v>
      </c>
      <c r="K672" s="20">
        <f>IF(DAY(A672)='Main Budget'!$J$30,'Main Budget'!$E$30,0)</f>
        <v>0</v>
      </c>
      <c r="L672" s="20">
        <f>IF(DAY(A672)='Main Budget'!$J$31,'Main Budget'!$E$31,0)</f>
        <v>0</v>
      </c>
      <c r="M672" s="20">
        <f>IF(DAY(A672)='Main Budget'!$J$27,'Main Budget'!$E$27,0)</f>
        <v>0</v>
      </c>
      <c r="O672" s="228">
        <f>B672+(SUM(H672:M672)+(SUM(D672:E672)))</f>
        <v>100</v>
      </c>
      <c r="P672" s="228">
        <f>C672+F672+G672+N672</f>
        <v>100</v>
      </c>
      <c r="Q672" s="252">
        <f>O672+P672</f>
        <v>200</v>
      </c>
      <c r="S672" s="231" t="str">
        <f>TEXT(A672,"dddd")</f>
        <v>Tuesday</v>
      </c>
    </row>
    <row r="673" spans="1:19" x14ac:dyDescent="0.25">
      <c r="A673" s="226">
        <v>46694</v>
      </c>
      <c r="B673" s="227">
        <f>O672</f>
        <v>100</v>
      </c>
      <c r="C673" s="228">
        <f>P672</f>
        <v>100</v>
      </c>
      <c r="D673" s="228">
        <f>IF(OR(DAY(A673+2)=1,DAY(A673+2)=15),-SUM('Main Budget'!$H$26:$H$31),0)</f>
        <v>0</v>
      </c>
      <c r="E673" s="228">
        <f>IF(DAY(A673+2)=22,-SUM('Main Budget'!$F$26:$F$31),0)</f>
        <v>0</v>
      </c>
      <c r="F673" s="228">
        <f>IF(D673&gt;0,-'Main Budget'!$H$25+0.15,0)</f>
        <v>0</v>
      </c>
      <c r="G673" s="228">
        <f>IF(E673&gt;0,-'Main Budget'!$F$25+0.81,0)</f>
        <v>0</v>
      </c>
      <c r="H673" s="227">
        <f>IF(DAY(A673)='Main Budget'!$J$26,'Main Budget'!$E$26,0)</f>
        <v>0</v>
      </c>
      <c r="I673" s="227">
        <f>IF(DAY(A673)='Main Budget'!$J$28,'Main Budget'!$E$28,0)</f>
        <v>0</v>
      </c>
      <c r="J673" s="227">
        <f>IF(DAY(A673)='Main Budget'!$J$29,'Main Budget'!$E$29,0)</f>
        <v>0</v>
      </c>
      <c r="K673" s="20">
        <f>IF(DAY(A673)='Main Budget'!$J$30,'Main Budget'!$E$30,0)</f>
        <v>0</v>
      </c>
      <c r="L673" s="20">
        <f>IF(DAY(A673)='Main Budget'!$J$31,'Main Budget'!$E$31,0)</f>
        <v>0</v>
      </c>
      <c r="M673" s="20">
        <f>IF(DAY(A673)='Main Budget'!$J$27,'Main Budget'!$E$27,0)</f>
        <v>0</v>
      </c>
      <c r="O673" s="228">
        <f>B673+(SUM(H673:M673)+(SUM(D673:E673)))</f>
        <v>100</v>
      </c>
      <c r="P673" s="228">
        <f>C673+F673+G673+N673</f>
        <v>100</v>
      </c>
      <c r="Q673" s="252">
        <f>O673+P673</f>
        <v>200</v>
      </c>
      <c r="S673" s="231" t="str">
        <f>TEXT(A673,"dddd")</f>
        <v>Wednesday</v>
      </c>
    </row>
    <row r="674" spans="1:19" x14ac:dyDescent="0.25">
      <c r="A674" s="226">
        <v>46695</v>
      </c>
      <c r="B674" s="227">
        <f>O673</f>
        <v>100</v>
      </c>
      <c r="C674" s="228">
        <f>P673</f>
        <v>100</v>
      </c>
      <c r="D674" s="228">
        <f>IF(OR(DAY(A674+2)=1,DAY(A674+2)=15),-SUM('Main Budget'!$H$26:$H$31),0)</f>
        <v>0</v>
      </c>
      <c r="E674" s="228">
        <f>IF(DAY(A674+2)=22,-SUM('Main Budget'!$F$26:$F$31),0)</f>
        <v>0</v>
      </c>
      <c r="F674" s="228">
        <f>IF(D674&gt;0,-'Main Budget'!$H$25+0.15,0)</f>
        <v>0</v>
      </c>
      <c r="G674" s="228">
        <f>IF(E674&gt;0,-'Main Budget'!$F$25+0.81,0)</f>
        <v>0</v>
      </c>
      <c r="H674" s="227">
        <f>IF(DAY(A674)='Main Budget'!$J$26,'Main Budget'!$E$26,0)</f>
        <v>0</v>
      </c>
      <c r="I674" s="227">
        <f>IF(DAY(A674)='Main Budget'!$J$28,'Main Budget'!$E$28,0)</f>
        <v>0</v>
      </c>
      <c r="J674" s="227">
        <f>IF(DAY(A674)='Main Budget'!$J$29,'Main Budget'!$E$29,0)</f>
        <v>0</v>
      </c>
      <c r="K674" s="20">
        <f>IF(DAY(A674)='Main Budget'!$J$30,'Main Budget'!$E$30,0)</f>
        <v>0</v>
      </c>
      <c r="L674" s="20">
        <f>IF(DAY(A674)='Main Budget'!$J$31,'Main Budget'!$E$31,0)</f>
        <v>0</v>
      </c>
      <c r="M674" s="20">
        <f>IF(DAY(A674)='Main Budget'!$J$27,'Main Budget'!$E$27,0)</f>
        <v>0</v>
      </c>
      <c r="O674" s="228">
        <f>B674+(SUM(H674:M674)+(SUM(D674:E674)))</f>
        <v>100</v>
      </c>
      <c r="P674" s="228">
        <f>C674+F674+G674+N674</f>
        <v>100</v>
      </c>
      <c r="Q674" s="252">
        <f>O674+P674</f>
        <v>200</v>
      </c>
      <c r="S674" s="231" t="str">
        <f>TEXT(A674,"dddd")</f>
        <v>Thursday</v>
      </c>
    </row>
    <row r="675" spans="1:19" x14ac:dyDescent="0.25">
      <c r="A675" s="226">
        <v>46696</v>
      </c>
      <c r="B675" s="227">
        <f>O674</f>
        <v>100</v>
      </c>
      <c r="C675" s="228">
        <f>P674</f>
        <v>100</v>
      </c>
      <c r="D675" s="228">
        <f>IF(OR(DAY(A675+2)=1,DAY(A675+2)=15),-SUM('Main Budget'!$H$26:$H$31),0)</f>
        <v>0</v>
      </c>
      <c r="E675" s="228">
        <f>IF(DAY(A675+2)=22,-SUM('Main Budget'!$F$26:$F$31),0)</f>
        <v>0</v>
      </c>
      <c r="F675" s="228">
        <f>IF(D675&gt;0,-'Main Budget'!$H$25+0.15,0)</f>
        <v>0</v>
      </c>
      <c r="G675" s="228">
        <f>IF(E675&gt;0,-'Main Budget'!$F$25+0.81,0)</f>
        <v>0</v>
      </c>
      <c r="H675" s="227">
        <f>IF(DAY(A675)='Main Budget'!$J$26,'Main Budget'!$E$26,0)</f>
        <v>0</v>
      </c>
      <c r="I675" s="227">
        <f>IF(DAY(A675)='Main Budget'!$J$28,'Main Budget'!$E$28,0)</f>
        <v>0</v>
      </c>
      <c r="J675" s="227">
        <f>IF(DAY(A675)='Main Budget'!$J$29,'Main Budget'!$E$29,0)</f>
        <v>0</v>
      </c>
      <c r="K675" s="20">
        <f>IF(DAY(A675)='Main Budget'!$J$30,'Main Budget'!$E$30,0)</f>
        <v>0</v>
      </c>
      <c r="L675" s="20">
        <f>IF(DAY(A675)='Main Budget'!$J$31,'Main Budget'!$E$31,0)</f>
        <v>0</v>
      </c>
      <c r="M675" s="20">
        <f>IF(DAY(A675)='Main Budget'!$J$27,'Main Budget'!$E$27,0)</f>
        <v>0</v>
      </c>
      <c r="O675" s="228">
        <f>B675+(SUM(H675:M675)+(SUM(D675:E675)))</f>
        <v>100</v>
      </c>
      <c r="P675" s="228">
        <f>C675+F675+G675+N675</f>
        <v>100</v>
      </c>
      <c r="Q675" s="252">
        <f>O675+P675</f>
        <v>200</v>
      </c>
      <c r="S675" s="231" t="str">
        <f>TEXT(A675,"dddd")</f>
        <v>Friday</v>
      </c>
    </row>
    <row r="676" spans="1:19" x14ac:dyDescent="0.25">
      <c r="A676" s="226">
        <v>46697</v>
      </c>
      <c r="B676" s="227">
        <f>O675</f>
        <v>100</v>
      </c>
      <c r="C676" s="228">
        <f>P675</f>
        <v>100</v>
      </c>
      <c r="D676" s="228">
        <f>IF(OR(DAY(A676+2)=1,DAY(A676+2)=15),-SUM('Main Budget'!$H$26:$H$31),0)</f>
        <v>0</v>
      </c>
      <c r="E676" s="228">
        <f>IF(DAY(A676+2)=22,-SUM('Main Budget'!$F$26:$F$31),0)</f>
        <v>0</v>
      </c>
      <c r="F676" s="228">
        <f>IF(D676&gt;0,-'Main Budget'!$H$25+0.15,0)</f>
        <v>0</v>
      </c>
      <c r="G676" s="228">
        <f>IF(E676&gt;0,-'Main Budget'!$F$25+0.81,0)</f>
        <v>0</v>
      </c>
      <c r="H676" s="227">
        <f>IF(DAY(A676)='Main Budget'!$J$26,'Main Budget'!$E$26,0)</f>
        <v>0</v>
      </c>
      <c r="I676" s="227">
        <f>IF(DAY(A676)='Main Budget'!$J$28,'Main Budget'!$E$28,0)</f>
        <v>0</v>
      </c>
      <c r="J676" s="227">
        <f>IF(DAY(A676)='Main Budget'!$J$29,'Main Budget'!$E$29,0)</f>
        <v>0</v>
      </c>
      <c r="K676" s="20">
        <f>IF(DAY(A676)='Main Budget'!$J$30,'Main Budget'!$E$30,0)</f>
        <v>0</v>
      </c>
      <c r="L676" s="20">
        <f>IF(DAY(A676)='Main Budget'!$J$31,'Main Budget'!$E$31,0)</f>
        <v>0</v>
      </c>
      <c r="M676" s="20">
        <f>IF(DAY(A676)='Main Budget'!$J$27,'Main Budget'!$E$27,0)</f>
        <v>0</v>
      </c>
      <c r="O676" s="228">
        <f>B676+(SUM(H676:M676)+(SUM(D676:E676)))</f>
        <v>100</v>
      </c>
      <c r="P676" s="228">
        <f>C676+F676+G676+N676</f>
        <v>100</v>
      </c>
      <c r="Q676" s="252">
        <f>O676+P676</f>
        <v>200</v>
      </c>
      <c r="S676" s="231" t="str">
        <f>TEXT(A676,"dddd")</f>
        <v>Saturday</v>
      </c>
    </row>
    <row r="677" spans="1:19" x14ac:dyDescent="0.25">
      <c r="A677" s="226">
        <v>46698</v>
      </c>
      <c r="B677" s="227">
        <f>O676</f>
        <v>100</v>
      </c>
      <c r="C677" s="228">
        <f>P676</f>
        <v>100</v>
      </c>
      <c r="D677" s="228">
        <f>IF(OR(DAY(A677+2)=1,DAY(A677+2)=15),-SUM('Main Budget'!$H$26:$H$31),0)</f>
        <v>0</v>
      </c>
      <c r="E677" s="228">
        <f>IF(DAY(A677+2)=22,-SUM('Main Budget'!$F$26:$F$31),0)</f>
        <v>0</v>
      </c>
      <c r="F677" s="228">
        <f>IF(D677&gt;0,-'Main Budget'!$H$25+0.15,0)</f>
        <v>0</v>
      </c>
      <c r="G677" s="228">
        <f>IF(E677&gt;0,-'Main Budget'!$F$25+0.81,0)</f>
        <v>0</v>
      </c>
      <c r="H677" s="227">
        <f>IF(DAY(A677)='Main Budget'!$J$26,'Main Budget'!$E$26,0)</f>
        <v>0</v>
      </c>
      <c r="I677" s="227">
        <f>IF(DAY(A677)='Main Budget'!$J$28,'Main Budget'!$E$28,0)</f>
        <v>0</v>
      </c>
      <c r="J677" s="227">
        <f>IF(DAY(A677)='Main Budget'!$J$29,'Main Budget'!$E$29,0)</f>
        <v>0</v>
      </c>
      <c r="K677" s="20">
        <f>IF(DAY(A677)='Main Budget'!$J$30,'Main Budget'!$E$30,0)</f>
        <v>0</v>
      </c>
      <c r="L677" s="20">
        <f>IF(DAY(A677)='Main Budget'!$J$31,'Main Budget'!$E$31,0)</f>
        <v>0</v>
      </c>
      <c r="M677" s="20">
        <f>IF(DAY(A677)='Main Budget'!$J$27,'Main Budget'!$E$27,0)</f>
        <v>0</v>
      </c>
      <c r="O677" s="228">
        <f>B677+(SUM(H677:M677)+(SUM(D677:E677)))</f>
        <v>100</v>
      </c>
      <c r="P677" s="228">
        <f>C677+F677+G677+N677</f>
        <v>100</v>
      </c>
      <c r="Q677" s="252">
        <f>O677+P677</f>
        <v>200</v>
      </c>
      <c r="S677" s="231" t="str">
        <f>TEXT(A677,"dddd")</f>
        <v>Sunday</v>
      </c>
    </row>
    <row r="678" spans="1:19" x14ac:dyDescent="0.25">
      <c r="A678" s="226">
        <v>46699</v>
      </c>
      <c r="B678" s="227">
        <f>O677</f>
        <v>100</v>
      </c>
      <c r="C678" s="228">
        <f>P677</f>
        <v>100</v>
      </c>
      <c r="D678" s="228">
        <f>IF(OR(DAY(A678+2)=1,DAY(A678+2)=15),-SUM('Main Budget'!$H$26:$H$31),0)</f>
        <v>0</v>
      </c>
      <c r="E678" s="228">
        <f>IF(DAY(A678+2)=22,-SUM('Main Budget'!$F$26:$F$31),0)</f>
        <v>0</v>
      </c>
      <c r="F678" s="228">
        <f>IF(D678&gt;0,-'Main Budget'!$H$25+0.15,0)</f>
        <v>0</v>
      </c>
      <c r="G678" s="228">
        <f>IF(E678&gt;0,-'Main Budget'!$F$25+0.81,0)</f>
        <v>0</v>
      </c>
      <c r="H678" s="227">
        <f>IF(DAY(A678)='Main Budget'!$J$26,'Main Budget'!$E$26,0)</f>
        <v>0</v>
      </c>
      <c r="I678" s="227">
        <f>IF(DAY(A678)='Main Budget'!$J$28,'Main Budget'!$E$28,0)</f>
        <v>0</v>
      </c>
      <c r="J678" s="227">
        <f>IF(DAY(A678)='Main Budget'!$J$29,'Main Budget'!$E$29,0)</f>
        <v>0</v>
      </c>
      <c r="K678" s="20">
        <f>IF(DAY(A678)='Main Budget'!$J$30,'Main Budget'!$E$30,0)</f>
        <v>0</v>
      </c>
      <c r="L678" s="20">
        <f>IF(DAY(A678)='Main Budget'!$J$31,'Main Budget'!$E$31,0)</f>
        <v>0</v>
      </c>
      <c r="M678" s="20">
        <f>IF(DAY(A678)='Main Budget'!$J$27,'Main Budget'!$E$27,0)</f>
        <v>0</v>
      </c>
      <c r="O678" s="228">
        <f>B678+(SUM(H678:M678)+(SUM(D678:E678)))</f>
        <v>100</v>
      </c>
      <c r="P678" s="228">
        <f>C678+F678+G678+N678</f>
        <v>100</v>
      </c>
      <c r="Q678" s="252">
        <f>O678+P678</f>
        <v>200</v>
      </c>
      <c r="S678" s="231" t="str">
        <f>TEXT(A678,"dddd")</f>
        <v>Monday</v>
      </c>
    </row>
    <row r="679" spans="1:19" x14ac:dyDescent="0.25">
      <c r="A679" s="226">
        <v>46700</v>
      </c>
      <c r="B679" s="227">
        <f>O678</f>
        <v>100</v>
      </c>
      <c r="C679" s="228">
        <f>P678</f>
        <v>100</v>
      </c>
      <c r="D679" s="228">
        <f>IF(OR(DAY(A679+2)=1,DAY(A679+2)=15),-SUM('Main Budget'!$H$26:$H$31),0)</f>
        <v>0</v>
      </c>
      <c r="E679" s="228">
        <f>IF(DAY(A679+2)=22,-SUM('Main Budget'!$F$26:$F$31),0)</f>
        <v>0</v>
      </c>
      <c r="F679" s="228">
        <f>IF(D679&gt;0,-'Main Budget'!$H$25+0.15,0)</f>
        <v>0</v>
      </c>
      <c r="G679" s="228">
        <f>IF(E679&gt;0,-'Main Budget'!$F$25+0.81,0)</f>
        <v>0</v>
      </c>
      <c r="H679" s="227">
        <f>IF(DAY(A679)='Main Budget'!$J$26,'Main Budget'!$E$26,0)</f>
        <v>0</v>
      </c>
      <c r="I679" s="227">
        <f>IF(DAY(A679)='Main Budget'!$J$28,'Main Budget'!$E$28,0)</f>
        <v>0</v>
      </c>
      <c r="J679" s="227">
        <f>IF(DAY(A679)='Main Budget'!$J$29,'Main Budget'!$E$29,0)</f>
        <v>0</v>
      </c>
      <c r="K679" s="20">
        <f>IF(DAY(A679)='Main Budget'!$J$30,'Main Budget'!$E$30,0)</f>
        <v>0</v>
      </c>
      <c r="L679" s="20">
        <f>IF(DAY(A679)='Main Budget'!$J$31,'Main Budget'!$E$31,0)</f>
        <v>0</v>
      </c>
      <c r="M679" s="20">
        <f>IF(DAY(A679)='Main Budget'!$J$27,'Main Budget'!$E$27,0)</f>
        <v>0</v>
      </c>
      <c r="O679" s="228">
        <f>B679+(SUM(H679:M679)+(SUM(D679:E679)))</f>
        <v>100</v>
      </c>
      <c r="P679" s="228">
        <f>C679+F679+G679+N679</f>
        <v>100</v>
      </c>
      <c r="Q679" s="252">
        <f>O679+P679</f>
        <v>200</v>
      </c>
      <c r="S679" s="231" t="str">
        <f>TEXT(A679,"dddd")</f>
        <v>Tuesday</v>
      </c>
    </row>
    <row r="680" spans="1:19" x14ac:dyDescent="0.25">
      <c r="A680" s="226">
        <v>46701</v>
      </c>
      <c r="B680" s="227">
        <f>O679</f>
        <v>100</v>
      </c>
      <c r="C680" s="228">
        <f>P679</f>
        <v>100</v>
      </c>
      <c r="D680" s="228">
        <f>IF(OR(DAY(A680+2)=1,DAY(A680+2)=15),-SUM('Main Budget'!$H$26:$H$31),0)</f>
        <v>0</v>
      </c>
      <c r="E680" s="228">
        <f>IF(DAY(A680+2)=22,-SUM('Main Budget'!$F$26:$F$31),0)</f>
        <v>0</v>
      </c>
      <c r="F680" s="228">
        <f>IF(D680&gt;0,-'Main Budget'!$H$25+0.15,0)</f>
        <v>0</v>
      </c>
      <c r="G680" s="228">
        <f>IF(E680&gt;0,-'Main Budget'!$F$25+0.81,0)</f>
        <v>0</v>
      </c>
      <c r="H680" s="227">
        <f>IF(DAY(A680)='Main Budget'!$J$26,'Main Budget'!$E$26,0)</f>
        <v>0</v>
      </c>
      <c r="I680" s="227">
        <f>IF(DAY(A680)='Main Budget'!$J$28,'Main Budget'!$E$28,0)</f>
        <v>0</v>
      </c>
      <c r="J680" s="227">
        <f>IF(DAY(A680)='Main Budget'!$J$29,'Main Budget'!$E$29,0)</f>
        <v>0</v>
      </c>
      <c r="K680" s="20">
        <f>IF(DAY(A680)='Main Budget'!$J$30,'Main Budget'!$E$30,0)</f>
        <v>0</v>
      </c>
      <c r="L680" s="20">
        <f>IF(DAY(A680)='Main Budget'!$J$31,'Main Budget'!$E$31,0)</f>
        <v>0</v>
      </c>
      <c r="M680" s="20">
        <f>IF(DAY(A680)='Main Budget'!$J$27,'Main Budget'!$E$27,0)</f>
        <v>0</v>
      </c>
      <c r="O680" s="228">
        <f>B680+(SUM(H680:M680)+(SUM(D680:E680)))</f>
        <v>100</v>
      </c>
      <c r="P680" s="228">
        <f>C680+F680+G680+N680</f>
        <v>100</v>
      </c>
      <c r="Q680" s="252">
        <f>O680+P680</f>
        <v>200</v>
      </c>
      <c r="S680" s="231" t="str">
        <f>TEXT(A680,"dddd")</f>
        <v>Wednesday</v>
      </c>
    </row>
    <row r="681" spans="1:19" x14ac:dyDescent="0.25">
      <c r="A681" s="226">
        <v>46702</v>
      </c>
      <c r="B681" s="227">
        <f>O680</f>
        <v>100</v>
      </c>
      <c r="C681" s="228">
        <f>P680</f>
        <v>100</v>
      </c>
      <c r="D681" s="228">
        <f>IF(OR(DAY(A681+2)=1,DAY(A681+2)=15),-SUM('Main Budget'!$H$26:$H$31),0)</f>
        <v>0</v>
      </c>
      <c r="E681" s="228">
        <f>IF(DAY(A681+2)=22,-SUM('Main Budget'!$F$26:$F$31),0)</f>
        <v>0</v>
      </c>
      <c r="F681" s="228">
        <f>IF(D681&gt;0,-'Main Budget'!$H$25+0.15,0)</f>
        <v>0</v>
      </c>
      <c r="G681" s="228">
        <f>IF(E681&gt;0,-'Main Budget'!$F$25+0.81,0)</f>
        <v>0</v>
      </c>
      <c r="H681" s="227">
        <f>IF(DAY(A681)='Main Budget'!$J$26,'Main Budget'!$E$26,0)</f>
        <v>0</v>
      </c>
      <c r="I681" s="227">
        <f>IF(DAY(A681)='Main Budget'!$J$28,'Main Budget'!$E$28,0)</f>
        <v>0</v>
      </c>
      <c r="J681" s="227">
        <f>IF(DAY(A681)='Main Budget'!$J$29,'Main Budget'!$E$29,0)</f>
        <v>0</v>
      </c>
      <c r="K681" s="20">
        <f>IF(DAY(A681)='Main Budget'!$J$30,'Main Budget'!$E$30,0)</f>
        <v>0</v>
      </c>
      <c r="L681" s="20">
        <f>IF(DAY(A681)='Main Budget'!$J$31,'Main Budget'!$E$31,0)</f>
        <v>0</v>
      </c>
      <c r="M681" s="20">
        <f>IF(DAY(A681)='Main Budget'!$J$27,'Main Budget'!$E$27,0)</f>
        <v>0</v>
      </c>
      <c r="O681" s="228">
        <f>B681+(SUM(H681:M681)+(SUM(D681:E681)))</f>
        <v>100</v>
      </c>
      <c r="P681" s="228">
        <f>C681+F681+G681+N681</f>
        <v>100</v>
      </c>
      <c r="Q681" s="252">
        <f>O681+P681</f>
        <v>200</v>
      </c>
      <c r="S681" s="231" t="str">
        <f>TEXT(A681,"dddd")</f>
        <v>Thursday</v>
      </c>
    </row>
    <row r="682" spans="1:19" x14ac:dyDescent="0.25">
      <c r="A682" s="226">
        <v>46703</v>
      </c>
      <c r="B682" s="227">
        <f>O681</f>
        <v>100</v>
      </c>
      <c r="C682" s="228">
        <f>P681</f>
        <v>100</v>
      </c>
      <c r="D682" s="228">
        <f>IF(OR(DAY(A682+2)=1,DAY(A682+2)=15),-SUM('Main Budget'!$H$26:$H$31),0)</f>
        <v>0</v>
      </c>
      <c r="E682" s="228">
        <f>IF(DAY(A682+2)=22,-SUM('Main Budget'!$F$26:$F$31),0)</f>
        <v>0</v>
      </c>
      <c r="F682" s="228">
        <f>IF(D682&gt;0,-'Main Budget'!$H$25+0.15,0)</f>
        <v>0</v>
      </c>
      <c r="G682" s="228">
        <f>IF(E682&gt;0,-'Main Budget'!$F$25+0.81,0)</f>
        <v>0</v>
      </c>
      <c r="H682" s="227">
        <f>IF(DAY(A682)='Main Budget'!$J$26,'Main Budget'!$E$26,0)</f>
        <v>0</v>
      </c>
      <c r="I682" s="227">
        <f>IF(DAY(A682)='Main Budget'!$J$28,'Main Budget'!$E$28,0)</f>
        <v>0</v>
      </c>
      <c r="J682" s="227">
        <f>IF(DAY(A682)='Main Budget'!$J$29,'Main Budget'!$E$29,0)</f>
        <v>0</v>
      </c>
      <c r="K682" s="20">
        <f>IF(DAY(A682)='Main Budget'!$J$30,'Main Budget'!$E$30,0)</f>
        <v>0</v>
      </c>
      <c r="L682" s="20">
        <f>IF(DAY(A682)='Main Budget'!$J$31,'Main Budget'!$E$31,0)</f>
        <v>0</v>
      </c>
      <c r="M682" s="20">
        <f>IF(DAY(A682)='Main Budget'!$J$27,'Main Budget'!$E$27,0)</f>
        <v>0</v>
      </c>
      <c r="O682" s="228">
        <f>B682+(SUM(H682:M682)+(SUM(D682:E682)))</f>
        <v>100</v>
      </c>
      <c r="P682" s="228">
        <f>C682+F682+G682+N682</f>
        <v>100</v>
      </c>
      <c r="Q682" s="252">
        <f>O682+P682</f>
        <v>200</v>
      </c>
      <c r="S682" s="231" t="str">
        <f>TEXT(A682,"dddd")</f>
        <v>Friday</v>
      </c>
    </row>
    <row r="683" spans="1:19" x14ac:dyDescent="0.25">
      <c r="A683" s="226">
        <v>46704</v>
      </c>
      <c r="B683" s="227">
        <f>O682</f>
        <v>100</v>
      </c>
      <c r="C683" s="228">
        <f>P682</f>
        <v>100</v>
      </c>
      <c r="D683" s="228">
        <f>IF(OR(DAY(A683+2)=1,DAY(A683+2)=15),-SUM('Main Budget'!$H$26:$H$31),0)</f>
        <v>0</v>
      </c>
      <c r="E683" s="228">
        <f>IF(DAY(A683+2)=22,-SUM('Main Budget'!$F$26:$F$31),0)</f>
        <v>0</v>
      </c>
      <c r="F683" s="228">
        <f>IF(D683&gt;0,-'Main Budget'!$H$25+0.15,0)</f>
        <v>0</v>
      </c>
      <c r="G683" s="228">
        <f>IF(E683&gt;0,-'Main Budget'!$F$25+0.81,0)</f>
        <v>0</v>
      </c>
      <c r="H683" s="227">
        <f>IF(DAY(A683)='Main Budget'!$J$26,'Main Budget'!$E$26,0)</f>
        <v>0</v>
      </c>
      <c r="I683" s="227">
        <f>IF(DAY(A683)='Main Budget'!$J$28,'Main Budget'!$E$28,0)</f>
        <v>0</v>
      </c>
      <c r="J683" s="227">
        <f>IF(DAY(A683)='Main Budget'!$J$29,'Main Budget'!$E$29,0)</f>
        <v>0</v>
      </c>
      <c r="K683" s="20">
        <f>IF(DAY(A683)='Main Budget'!$J$30,'Main Budget'!$E$30,0)</f>
        <v>0</v>
      </c>
      <c r="L683" s="20">
        <f>IF(DAY(A683)='Main Budget'!$J$31,'Main Budget'!$E$31,0)</f>
        <v>0</v>
      </c>
      <c r="M683" s="20">
        <f>IF(DAY(A683)='Main Budget'!$J$27,'Main Budget'!$E$27,0)</f>
        <v>0</v>
      </c>
      <c r="O683" s="228">
        <f>B683+(SUM(H683:M683)+(SUM(D683:E683)))</f>
        <v>100</v>
      </c>
      <c r="P683" s="228">
        <f>C683+F683+G683+N683</f>
        <v>100</v>
      </c>
      <c r="Q683" s="252">
        <f>O683+P683</f>
        <v>200</v>
      </c>
      <c r="S683" s="231" t="str">
        <f>TEXT(A683,"dddd")</f>
        <v>Saturday</v>
      </c>
    </row>
    <row r="684" spans="1:19" x14ac:dyDescent="0.25">
      <c r="A684" s="226">
        <v>46705</v>
      </c>
      <c r="B684" s="227">
        <f>O683</f>
        <v>100</v>
      </c>
      <c r="C684" s="228">
        <f>P683</f>
        <v>100</v>
      </c>
      <c r="D684" s="228">
        <f>IF(OR(DAY(A684+2)=1,DAY(A684+2)=15),-SUM('Main Budget'!$H$26:$H$31),0)</f>
        <v>0</v>
      </c>
      <c r="E684" s="228">
        <f>IF(DAY(A684+2)=22,-SUM('Main Budget'!$F$26:$F$31),0)</f>
        <v>0</v>
      </c>
      <c r="F684" s="228">
        <f>IF(D684&gt;0,-'Main Budget'!$H$25+0.15,0)</f>
        <v>0</v>
      </c>
      <c r="G684" s="228">
        <f>IF(E684&gt;0,-'Main Budget'!$F$25+0.81,0)</f>
        <v>0</v>
      </c>
      <c r="H684" s="227">
        <f>IF(DAY(A684)='Main Budget'!$J$26,'Main Budget'!$E$26,0)</f>
        <v>0</v>
      </c>
      <c r="I684" s="227">
        <f>IF(DAY(A684)='Main Budget'!$J$28,'Main Budget'!$E$28,0)</f>
        <v>0</v>
      </c>
      <c r="J684" s="227">
        <f>IF(DAY(A684)='Main Budget'!$J$29,'Main Budget'!$E$29,0)</f>
        <v>0</v>
      </c>
      <c r="K684" s="20">
        <f>IF(DAY(A684)='Main Budget'!$J$30,'Main Budget'!$E$30,0)</f>
        <v>0</v>
      </c>
      <c r="L684" s="20">
        <f>IF(DAY(A684)='Main Budget'!$J$31,'Main Budget'!$E$31,0)</f>
        <v>0</v>
      </c>
      <c r="M684" s="20">
        <f>IF(DAY(A684)='Main Budget'!$J$27,'Main Budget'!$E$27,0)</f>
        <v>0</v>
      </c>
      <c r="O684" s="228">
        <f>B684+(SUM(H684:M684)+(SUM(D684:E684)))</f>
        <v>100</v>
      </c>
      <c r="P684" s="228">
        <f>C684+F684+G684+N684</f>
        <v>100</v>
      </c>
      <c r="Q684" s="252">
        <f>O684+P684</f>
        <v>200</v>
      </c>
      <c r="S684" s="231" t="str">
        <f>TEXT(A684,"dddd")</f>
        <v>Sunday</v>
      </c>
    </row>
    <row r="685" spans="1:19" x14ac:dyDescent="0.25">
      <c r="A685" s="226">
        <v>46706</v>
      </c>
      <c r="B685" s="227">
        <f>O684</f>
        <v>100</v>
      </c>
      <c r="C685" s="228">
        <f>P684</f>
        <v>100</v>
      </c>
      <c r="D685" s="228">
        <f>IF(OR(DAY(A685+2)=1,DAY(A685+2)=15),-SUM('Main Budget'!$H$26:$H$31),0)</f>
        <v>0</v>
      </c>
      <c r="E685" s="228">
        <f>IF(DAY(A685+2)=22,-SUM('Main Budget'!$F$26:$F$31),0)</f>
        <v>0</v>
      </c>
      <c r="F685" s="228">
        <f>IF(D685&gt;0,-'Main Budget'!$H$25+0.15,0)</f>
        <v>0</v>
      </c>
      <c r="G685" s="228">
        <f>IF(E685&gt;0,-'Main Budget'!$F$25+0.81,0)</f>
        <v>0</v>
      </c>
      <c r="H685" s="227">
        <f>IF(DAY(A685)='Main Budget'!$J$26,'Main Budget'!$E$26,0)</f>
        <v>0</v>
      </c>
      <c r="I685" s="227">
        <f>IF(DAY(A685)='Main Budget'!$J$28,'Main Budget'!$E$28,0)</f>
        <v>0</v>
      </c>
      <c r="J685" s="227">
        <f>IF(DAY(A685)='Main Budget'!$J$29,'Main Budget'!$E$29,0)</f>
        <v>0</v>
      </c>
      <c r="K685" s="20">
        <f>IF(DAY(A685)='Main Budget'!$J$30,'Main Budget'!$E$30,0)</f>
        <v>0</v>
      </c>
      <c r="L685" s="20">
        <f>IF(DAY(A685)='Main Budget'!$J$31,'Main Budget'!$E$31,0)</f>
        <v>0</v>
      </c>
      <c r="M685" s="20">
        <f>IF(DAY(A685)='Main Budget'!$J$27,'Main Budget'!$E$27,0)</f>
        <v>0</v>
      </c>
      <c r="O685" s="228">
        <f>B685+(SUM(H685:M685)+(SUM(D685:E685)))</f>
        <v>100</v>
      </c>
      <c r="P685" s="228">
        <f>C685+F685+G685+N685</f>
        <v>100</v>
      </c>
      <c r="Q685" s="252">
        <f>O685+P685</f>
        <v>200</v>
      </c>
      <c r="S685" s="231" t="str">
        <f>TEXT(A685,"dddd")</f>
        <v>Monday</v>
      </c>
    </row>
    <row r="686" spans="1:19" x14ac:dyDescent="0.25">
      <c r="A686" s="226">
        <v>46707</v>
      </c>
      <c r="B686" s="227">
        <f>O685</f>
        <v>100</v>
      </c>
      <c r="C686" s="228">
        <f>P685</f>
        <v>100</v>
      </c>
      <c r="D686" s="228">
        <f>IF(OR(DAY(A686+2)=1,DAY(A686+2)=15),-SUM('Main Budget'!$H$26:$H$31),0)</f>
        <v>0</v>
      </c>
      <c r="E686" s="228">
        <f>IF(DAY(A686+2)=22,-SUM('Main Budget'!$F$26:$F$31),0)</f>
        <v>0</v>
      </c>
      <c r="F686" s="228">
        <f>IF(D686&gt;0,-'Main Budget'!$H$25+0.15,0)</f>
        <v>0</v>
      </c>
      <c r="G686" s="228">
        <f>IF(E686&gt;0,-'Main Budget'!$F$25+0.81,0)</f>
        <v>0</v>
      </c>
      <c r="H686" s="227">
        <f>IF(DAY(A686)='Main Budget'!$J$26,'Main Budget'!$E$26,0)</f>
        <v>0</v>
      </c>
      <c r="I686" s="227">
        <f>IF(DAY(A686)='Main Budget'!$J$28,'Main Budget'!$E$28,0)</f>
        <v>0</v>
      </c>
      <c r="J686" s="227">
        <f>IF(DAY(A686)='Main Budget'!$J$29,'Main Budget'!$E$29,0)</f>
        <v>0</v>
      </c>
      <c r="K686" s="20">
        <f>IF(DAY(A686)='Main Budget'!$J$30,'Main Budget'!$E$30,0)</f>
        <v>0</v>
      </c>
      <c r="L686" s="20">
        <f>IF(DAY(A686)='Main Budget'!$J$31,'Main Budget'!$E$31,0)</f>
        <v>0</v>
      </c>
      <c r="M686" s="20">
        <f>IF(DAY(A686)='Main Budget'!$J$27,'Main Budget'!$E$27,0)</f>
        <v>0</v>
      </c>
      <c r="O686" s="228">
        <f>B686+(SUM(H686:M686)+(SUM(D686:E686)))</f>
        <v>100</v>
      </c>
      <c r="P686" s="228">
        <f>C686+F686+G686+N686</f>
        <v>100</v>
      </c>
      <c r="Q686" s="252">
        <f>O686+P686</f>
        <v>200</v>
      </c>
      <c r="S686" s="231" t="str">
        <f>TEXT(A686,"dddd")</f>
        <v>Tuesday</v>
      </c>
    </row>
    <row r="687" spans="1:19" x14ac:dyDescent="0.25">
      <c r="A687" s="226">
        <v>46708</v>
      </c>
      <c r="B687" s="227">
        <f>O686</f>
        <v>100</v>
      </c>
      <c r="C687" s="228">
        <f>P686</f>
        <v>100</v>
      </c>
      <c r="D687" s="228">
        <f>IF(OR(DAY(A687+2)=1,DAY(A687+2)=15),-SUM('Main Budget'!$H$26:$H$31),0)</f>
        <v>0</v>
      </c>
      <c r="E687" s="228">
        <f>IF(DAY(A687+2)=22,-SUM('Main Budget'!$F$26:$F$31),0)</f>
        <v>0</v>
      </c>
      <c r="F687" s="228">
        <f>IF(D687&gt;0,-'Main Budget'!$H$25+0.15,0)</f>
        <v>0</v>
      </c>
      <c r="G687" s="228">
        <f>IF(E687&gt;0,-'Main Budget'!$F$25+0.81,0)</f>
        <v>0</v>
      </c>
      <c r="H687" s="227">
        <f>IF(DAY(A687)='Main Budget'!$J$26,'Main Budget'!$E$26,0)</f>
        <v>0</v>
      </c>
      <c r="I687" s="227">
        <f>IF(DAY(A687)='Main Budget'!$J$28,'Main Budget'!$E$28,0)</f>
        <v>0</v>
      </c>
      <c r="J687" s="227">
        <f>IF(DAY(A687)='Main Budget'!$J$29,'Main Budget'!$E$29,0)</f>
        <v>0</v>
      </c>
      <c r="K687" s="20">
        <f>IF(DAY(A687)='Main Budget'!$J$30,'Main Budget'!$E$30,0)</f>
        <v>0</v>
      </c>
      <c r="L687" s="20">
        <f>IF(DAY(A687)='Main Budget'!$J$31,'Main Budget'!$E$31,0)</f>
        <v>0</v>
      </c>
      <c r="M687" s="20">
        <f>IF(DAY(A687)='Main Budget'!$J$27,'Main Budget'!$E$27,0)</f>
        <v>0</v>
      </c>
      <c r="O687" s="228">
        <f>B687+(SUM(H687:M687)+(SUM(D687:E687)))</f>
        <v>100</v>
      </c>
      <c r="P687" s="228">
        <f>C687+F687+G687+N687</f>
        <v>100</v>
      </c>
      <c r="Q687" s="252">
        <f>O687+P687</f>
        <v>200</v>
      </c>
      <c r="S687" s="231" t="str">
        <f>TEXT(A687,"dddd")</f>
        <v>Wednesday</v>
      </c>
    </row>
    <row r="688" spans="1:19" x14ac:dyDescent="0.25">
      <c r="A688" s="226">
        <v>46709</v>
      </c>
      <c r="B688" s="227">
        <f>O687</f>
        <v>100</v>
      </c>
      <c r="C688" s="228">
        <f>P687</f>
        <v>100</v>
      </c>
      <c r="D688" s="228">
        <f>IF(OR(DAY(A688+2)=1,DAY(A688+2)=15),-SUM('Main Budget'!$H$26:$H$31),0)</f>
        <v>0</v>
      </c>
      <c r="E688" s="228">
        <f>IF(DAY(A688+2)=22,-SUM('Main Budget'!$F$26:$F$31),0)</f>
        <v>0</v>
      </c>
      <c r="F688" s="228">
        <f>IF(D688&gt;0,-'Main Budget'!$H$25+0.15,0)</f>
        <v>0</v>
      </c>
      <c r="G688" s="228">
        <f>IF(E688&gt;0,-'Main Budget'!$F$25+0.81,0)</f>
        <v>0</v>
      </c>
      <c r="H688" s="227">
        <f>IF(DAY(A688)='Main Budget'!$J$26,'Main Budget'!$E$26,0)</f>
        <v>0</v>
      </c>
      <c r="I688" s="227">
        <f>IF(DAY(A688)='Main Budget'!$J$28,'Main Budget'!$E$28,0)</f>
        <v>0</v>
      </c>
      <c r="J688" s="227">
        <f>IF(DAY(A688)='Main Budget'!$J$29,'Main Budget'!$E$29,0)</f>
        <v>0</v>
      </c>
      <c r="K688" s="20">
        <f>IF(DAY(A688)='Main Budget'!$J$30,'Main Budget'!$E$30,0)</f>
        <v>0</v>
      </c>
      <c r="L688" s="20">
        <f>IF(DAY(A688)='Main Budget'!$J$31,'Main Budget'!$E$31,0)</f>
        <v>0</v>
      </c>
      <c r="M688" s="20">
        <f>IF(DAY(A688)='Main Budget'!$J$27,'Main Budget'!$E$27,0)</f>
        <v>0</v>
      </c>
      <c r="O688" s="228">
        <f>B688+(SUM(H688:M688)+(SUM(D688:E688)))</f>
        <v>100</v>
      </c>
      <c r="P688" s="228">
        <f>C688+F688+G688+N688</f>
        <v>100</v>
      </c>
      <c r="Q688" s="252">
        <f>O688+P688</f>
        <v>200</v>
      </c>
      <c r="S688" s="231" t="str">
        <f>TEXT(A688,"dddd")</f>
        <v>Thursday</v>
      </c>
    </row>
    <row r="689" spans="1:19" x14ac:dyDescent="0.25">
      <c r="A689" s="226">
        <v>46710</v>
      </c>
      <c r="B689" s="227">
        <f>O688</f>
        <v>100</v>
      </c>
      <c r="C689" s="228">
        <f>P688</f>
        <v>100</v>
      </c>
      <c r="D689" s="228">
        <f>IF(OR(DAY(A689+2)=1,DAY(A689+2)=15),-SUM('Main Budget'!$H$26:$H$31),0)</f>
        <v>0</v>
      </c>
      <c r="E689" s="228">
        <f>IF(DAY(A689+2)=22,-SUM('Main Budget'!$F$26:$F$31),0)</f>
        <v>0</v>
      </c>
      <c r="F689" s="228">
        <f>IF(D689&gt;0,-'Main Budget'!$H$25+0.15,0)</f>
        <v>0</v>
      </c>
      <c r="G689" s="228">
        <f>IF(E689&gt;0,-'Main Budget'!$F$25+0.81,0)</f>
        <v>0</v>
      </c>
      <c r="H689" s="227">
        <f>IF(DAY(A689)='Main Budget'!$J$26,'Main Budget'!$E$26,0)</f>
        <v>0</v>
      </c>
      <c r="I689" s="227">
        <f>IF(DAY(A689)='Main Budget'!$J$28,'Main Budget'!$E$28,0)</f>
        <v>0</v>
      </c>
      <c r="J689" s="227">
        <f>IF(DAY(A689)='Main Budget'!$J$29,'Main Budget'!$E$29,0)</f>
        <v>0</v>
      </c>
      <c r="K689" s="20">
        <f>IF(DAY(A689)='Main Budget'!$J$30,'Main Budget'!$E$30,0)</f>
        <v>0</v>
      </c>
      <c r="L689" s="20">
        <f>IF(DAY(A689)='Main Budget'!$J$31,'Main Budget'!$E$31,0)</f>
        <v>0</v>
      </c>
      <c r="M689" s="20">
        <f>IF(DAY(A689)='Main Budget'!$J$27,'Main Budget'!$E$27,0)</f>
        <v>0</v>
      </c>
      <c r="O689" s="228">
        <f>B689+(SUM(H689:M689)+(SUM(D689:E689)))</f>
        <v>100</v>
      </c>
      <c r="P689" s="228">
        <f>C689+F689+G689+N689</f>
        <v>100</v>
      </c>
      <c r="Q689" s="252">
        <f>O689+P689</f>
        <v>200</v>
      </c>
      <c r="S689" s="231" t="str">
        <f>TEXT(A689,"dddd")</f>
        <v>Friday</v>
      </c>
    </row>
    <row r="690" spans="1:19" x14ac:dyDescent="0.25">
      <c r="A690" s="226">
        <v>46711</v>
      </c>
      <c r="B690" s="227">
        <f>O689</f>
        <v>100</v>
      </c>
      <c r="C690" s="228">
        <f>P689</f>
        <v>100</v>
      </c>
      <c r="D690" s="228">
        <f>IF(OR(DAY(A690+2)=1,DAY(A690+2)=15),-SUM('Main Budget'!$H$26:$H$31),0)</f>
        <v>0</v>
      </c>
      <c r="E690" s="228">
        <f>IF(DAY(A690+2)=22,-SUM('Main Budget'!$F$26:$F$31),0)</f>
        <v>0</v>
      </c>
      <c r="F690" s="228">
        <f>IF(D690&gt;0,-'Main Budget'!$H$25+0.15,0)</f>
        <v>0</v>
      </c>
      <c r="G690" s="228">
        <f>IF(E690&gt;0,-'Main Budget'!$F$25+0.81,0)</f>
        <v>0</v>
      </c>
      <c r="H690" s="227">
        <f>IF(DAY(A690)='Main Budget'!$J$26,'Main Budget'!$E$26,0)</f>
        <v>0</v>
      </c>
      <c r="I690" s="227">
        <f>IF(DAY(A690)='Main Budget'!$J$28,'Main Budget'!$E$28,0)</f>
        <v>0</v>
      </c>
      <c r="J690" s="227">
        <f>IF(DAY(A690)='Main Budget'!$J$29,'Main Budget'!$E$29,0)</f>
        <v>0</v>
      </c>
      <c r="K690" s="20">
        <f>IF(DAY(A690)='Main Budget'!$J$30,'Main Budget'!$E$30,0)</f>
        <v>0</v>
      </c>
      <c r="L690" s="20">
        <f>IF(DAY(A690)='Main Budget'!$J$31,'Main Budget'!$E$31,0)</f>
        <v>0</v>
      </c>
      <c r="M690" s="20">
        <f>IF(DAY(A690)='Main Budget'!$J$27,'Main Budget'!$E$27,0)</f>
        <v>0</v>
      </c>
      <c r="O690" s="228">
        <f>B690+(SUM(H690:M690)+(SUM(D690:E690)))</f>
        <v>100</v>
      </c>
      <c r="P690" s="228">
        <f>C690+F690+G690+N690</f>
        <v>100</v>
      </c>
      <c r="Q690" s="252">
        <f>O690+P690</f>
        <v>200</v>
      </c>
      <c r="S690" s="231" t="str">
        <f>TEXT(A690,"dddd")</f>
        <v>Saturday</v>
      </c>
    </row>
    <row r="691" spans="1:19" x14ac:dyDescent="0.25">
      <c r="A691" s="226">
        <v>46712</v>
      </c>
      <c r="B691" s="227">
        <f>O690</f>
        <v>100</v>
      </c>
      <c r="C691" s="228">
        <f>P690</f>
        <v>100</v>
      </c>
      <c r="D691" s="228">
        <f>IF(OR(DAY(A691+2)=1,DAY(A691+2)=15),-SUM('Main Budget'!$H$26:$H$31),0)</f>
        <v>0</v>
      </c>
      <c r="E691" s="228">
        <f>IF(DAY(A691+2)=22,-SUM('Main Budget'!$F$26:$F$31),0)</f>
        <v>0</v>
      </c>
      <c r="F691" s="228">
        <f>IF(D691&gt;0,-'Main Budget'!$H$25+0.15,0)</f>
        <v>0</v>
      </c>
      <c r="G691" s="228">
        <f>IF(E691&gt;0,-'Main Budget'!$F$25+0.81,0)</f>
        <v>0</v>
      </c>
      <c r="H691" s="227">
        <f>IF(DAY(A691)='Main Budget'!$J$26,'Main Budget'!$E$26,0)</f>
        <v>0</v>
      </c>
      <c r="I691" s="227">
        <f>IF(DAY(A691)='Main Budget'!$J$28,'Main Budget'!$E$28,0)</f>
        <v>0</v>
      </c>
      <c r="J691" s="227">
        <f>IF(DAY(A691)='Main Budget'!$J$29,'Main Budget'!$E$29,0)</f>
        <v>0</v>
      </c>
      <c r="K691" s="20">
        <f>IF(DAY(A691)='Main Budget'!$J$30,'Main Budget'!$E$30,0)</f>
        <v>0</v>
      </c>
      <c r="L691" s="20">
        <f>IF(DAY(A691)='Main Budget'!$J$31,'Main Budget'!$E$31,0)</f>
        <v>0</v>
      </c>
      <c r="M691" s="20">
        <f>IF(DAY(A691)='Main Budget'!$J$27,'Main Budget'!$E$27,0)</f>
        <v>0</v>
      </c>
      <c r="O691" s="228">
        <f>B691+(SUM(H691:M691)+(SUM(D691:E691)))</f>
        <v>100</v>
      </c>
      <c r="P691" s="228">
        <f>C691+F691+G691+N691</f>
        <v>100</v>
      </c>
      <c r="Q691" s="252">
        <f>O691+P691</f>
        <v>200</v>
      </c>
      <c r="S691" s="231" t="str">
        <f>TEXT(A691,"dddd")</f>
        <v>Sunday</v>
      </c>
    </row>
    <row r="692" spans="1:19" x14ac:dyDescent="0.25">
      <c r="A692" s="226">
        <v>46713</v>
      </c>
      <c r="B692" s="227">
        <f>O691</f>
        <v>100</v>
      </c>
      <c r="C692" s="228">
        <f>P691</f>
        <v>100</v>
      </c>
      <c r="D692" s="228">
        <f>IF(OR(DAY(A692+2)=1,DAY(A692+2)=15),-SUM('Main Budget'!$H$26:$H$31),0)</f>
        <v>0</v>
      </c>
      <c r="E692" s="228">
        <f>IF(DAY(A692+2)=22,-SUM('Main Budget'!$F$26:$F$31),0)</f>
        <v>0</v>
      </c>
      <c r="F692" s="228">
        <f>IF(D692&gt;0,-'Main Budget'!$H$25+0.15,0)</f>
        <v>0</v>
      </c>
      <c r="G692" s="228">
        <f>IF(E692&gt;0,-'Main Budget'!$F$25+0.81,0)</f>
        <v>0</v>
      </c>
      <c r="H692" s="227">
        <f>IF(DAY(A692)='Main Budget'!$J$26,'Main Budget'!$E$26,0)</f>
        <v>0</v>
      </c>
      <c r="I692" s="227">
        <f>IF(DAY(A692)='Main Budget'!$J$28,'Main Budget'!$E$28,0)</f>
        <v>0</v>
      </c>
      <c r="J692" s="227">
        <f>IF(DAY(A692)='Main Budget'!$J$29,'Main Budget'!$E$29,0)</f>
        <v>0</v>
      </c>
      <c r="K692" s="20">
        <f>IF(DAY(A692)='Main Budget'!$J$30,'Main Budget'!$E$30,0)</f>
        <v>0</v>
      </c>
      <c r="L692" s="20">
        <f>IF(DAY(A692)='Main Budget'!$J$31,'Main Budget'!$E$31,0)</f>
        <v>0</v>
      </c>
      <c r="M692" s="20">
        <f>IF(DAY(A692)='Main Budget'!$J$27,'Main Budget'!$E$27,0)</f>
        <v>0</v>
      </c>
      <c r="O692" s="228">
        <f>B692+(SUM(H692:M692)+(SUM(D692:E692)))</f>
        <v>100</v>
      </c>
      <c r="P692" s="228">
        <f>C692+F692+G692+N692</f>
        <v>100</v>
      </c>
      <c r="Q692" s="252">
        <f>O692+P692</f>
        <v>200</v>
      </c>
      <c r="S692" s="231" t="str">
        <f>TEXT(A692,"dddd")</f>
        <v>Monday</v>
      </c>
    </row>
    <row r="693" spans="1:19" x14ac:dyDescent="0.25">
      <c r="A693" s="226">
        <v>46714</v>
      </c>
      <c r="B693" s="227">
        <f>O692</f>
        <v>100</v>
      </c>
      <c r="C693" s="228">
        <f>P692</f>
        <v>100</v>
      </c>
      <c r="D693" s="228">
        <f>IF(OR(DAY(A693+2)=1,DAY(A693+2)=15),-SUM('Main Budget'!$H$26:$H$31),0)</f>
        <v>0</v>
      </c>
      <c r="E693" s="228">
        <f>IF(DAY(A693+2)=22,-SUM('Main Budget'!$F$26:$F$31),0)</f>
        <v>0</v>
      </c>
      <c r="F693" s="228">
        <f>IF(D693&gt;0,-'Main Budget'!$H$25+0.15,0)</f>
        <v>0</v>
      </c>
      <c r="G693" s="228">
        <f>IF(E693&gt;0,-'Main Budget'!$F$25+0.81,0)</f>
        <v>0</v>
      </c>
      <c r="H693" s="227">
        <f>IF(DAY(A693)='Main Budget'!$J$26,'Main Budget'!$E$26,0)</f>
        <v>0</v>
      </c>
      <c r="I693" s="227">
        <f>IF(DAY(A693)='Main Budget'!$J$28,'Main Budget'!$E$28,0)</f>
        <v>0</v>
      </c>
      <c r="J693" s="227">
        <f>IF(DAY(A693)='Main Budget'!$J$29,'Main Budget'!$E$29,0)</f>
        <v>0</v>
      </c>
      <c r="K693" s="20">
        <f>IF(DAY(A693)='Main Budget'!$J$30,'Main Budget'!$E$30,0)</f>
        <v>0</v>
      </c>
      <c r="L693" s="20">
        <f>IF(DAY(A693)='Main Budget'!$J$31,'Main Budget'!$E$31,0)</f>
        <v>0</v>
      </c>
      <c r="M693" s="20">
        <f>IF(DAY(A693)='Main Budget'!$J$27,'Main Budget'!$E$27,0)</f>
        <v>0</v>
      </c>
      <c r="O693" s="228">
        <f>B693+(SUM(H693:M693)+(SUM(D693:E693)))</f>
        <v>100</v>
      </c>
      <c r="P693" s="228">
        <f>C693+F693+G693+N693</f>
        <v>100</v>
      </c>
      <c r="Q693" s="252">
        <f>O693+P693</f>
        <v>200</v>
      </c>
      <c r="S693" s="231" t="str">
        <f>TEXT(A693,"dddd")</f>
        <v>Tuesday</v>
      </c>
    </row>
    <row r="694" spans="1:19" x14ac:dyDescent="0.25">
      <c r="A694" s="226">
        <v>46715</v>
      </c>
      <c r="B694" s="227">
        <f>O693</f>
        <v>100</v>
      </c>
      <c r="C694" s="228">
        <f>P693</f>
        <v>100</v>
      </c>
      <c r="D694" s="228">
        <f>IF(OR(DAY(A694+2)=1,DAY(A694+2)=15),-SUM('Main Budget'!$H$26:$H$31),0)</f>
        <v>0</v>
      </c>
      <c r="E694" s="228">
        <f>IF(DAY(A694+2)=22,-SUM('Main Budget'!$F$26:$F$31),0)</f>
        <v>0</v>
      </c>
      <c r="F694" s="228">
        <f>IF(D694&gt;0,-'Main Budget'!$H$25+0.15,0)</f>
        <v>0</v>
      </c>
      <c r="G694" s="228">
        <f>IF(E694&gt;0,-'Main Budget'!$F$25+0.81,0)</f>
        <v>0</v>
      </c>
      <c r="H694" s="227">
        <f>IF(DAY(A694)='Main Budget'!$J$26,'Main Budget'!$E$26,0)</f>
        <v>0</v>
      </c>
      <c r="I694" s="227">
        <f>IF(DAY(A694)='Main Budget'!$J$28,'Main Budget'!$E$28,0)</f>
        <v>0</v>
      </c>
      <c r="J694" s="227">
        <f>IF(DAY(A694)='Main Budget'!$J$29,'Main Budget'!$E$29,0)</f>
        <v>0</v>
      </c>
      <c r="K694" s="20">
        <f>IF(DAY(A694)='Main Budget'!$J$30,'Main Budget'!$E$30,0)</f>
        <v>0</v>
      </c>
      <c r="L694" s="20">
        <f>IF(DAY(A694)='Main Budget'!$J$31,'Main Budget'!$E$31,0)</f>
        <v>0</v>
      </c>
      <c r="M694" s="20">
        <f>IF(DAY(A694)='Main Budget'!$J$27,'Main Budget'!$E$27,0)</f>
        <v>0</v>
      </c>
      <c r="O694" s="228">
        <f>B694+(SUM(H694:M694)+(SUM(D694:E694)))</f>
        <v>100</v>
      </c>
      <c r="P694" s="228">
        <f>C694+F694+G694+N694</f>
        <v>100</v>
      </c>
      <c r="Q694" s="252">
        <f>O694+P694</f>
        <v>200</v>
      </c>
      <c r="S694" s="231" t="str">
        <f>TEXT(A694,"dddd")</f>
        <v>Wednesday</v>
      </c>
    </row>
    <row r="695" spans="1:19" x14ac:dyDescent="0.25">
      <c r="A695" s="226">
        <v>46716</v>
      </c>
      <c r="B695" s="227">
        <f>O694</f>
        <v>100</v>
      </c>
      <c r="C695" s="228">
        <f>P694</f>
        <v>100</v>
      </c>
      <c r="D695" s="228">
        <f>IF(OR(DAY(A695+2)=1,DAY(A695+2)=15),-SUM('Main Budget'!$H$26:$H$31),0)</f>
        <v>0</v>
      </c>
      <c r="E695" s="228">
        <f>IF(DAY(A695+2)=22,-SUM('Main Budget'!$F$26:$F$31),0)</f>
        <v>0</v>
      </c>
      <c r="F695" s="228">
        <f>IF(D695&gt;0,-'Main Budget'!$H$25+0.15,0)</f>
        <v>0</v>
      </c>
      <c r="G695" s="228">
        <f>IF(E695&gt;0,-'Main Budget'!$F$25+0.81,0)</f>
        <v>0</v>
      </c>
      <c r="H695" s="227">
        <f>IF(DAY(A695)='Main Budget'!$J$26,'Main Budget'!$E$26,0)</f>
        <v>0</v>
      </c>
      <c r="I695" s="227">
        <f>IF(DAY(A695)='Main Budget'!$J$28,'Main Budget'!$E$28,0)</f>
        <v>0</v>
      </c>
      <c r="J695" s="227">
        <f>IF(DAY(A695)='Main Budget'!$J$29,'Main Budget'!$E$29,0)</f>
        <v>0</v>
      </c>
      <c r="K695" s="20">
        <f>IF(DAY(A695)='Main Budget'!$J$30,'Main Budget'!$E$30,0)</f>
        <v>0</v>
      </c>
      <c r="L695" s="20">
        <f>IF(DAY(A695)='Main Budget'!$J$31,'Main Budget'!$E$31,0)</f>
        <v>0</v>
      </c>
      <c r="M695" s="20">
        <f>IF(DAY(A695)='Main Budget'!$J$27,'Main Budget'!$E$27,0)</f>
        <v>0</v>
      </c>
      <c r="O695" s="228">
        <f>B695+(SUM(H695:M695)+(SUM(D695:E695)))</f>
        <v>100</v>
      </c>
      <c r="P695" s="228">
        <f>C695+F695+G695+N695</f>
        <v>100</v>
      </c>
      <c r="Q695" s="252">
        <f>O695+P695</f>
        <v>200</v>
      </c>
      <c r="S695" s="231" t="str">
        <f>TEXT(A695,"dddd")</f>
        <v>Thursday</v>
      </c>
    </row>
    <row r="696" spans="1:19" x14ac:dyDescent="0.25">
      <c r="A696" s="226">
        <v>46717</v>
      </c>
      <c r="B696" s="227">
        <f>O695</f>
        <v>100</v>
      </c>
      <c r="C696" s="228">
        <f>P695</f>
        <v>100</v>
      </c>
      <c r="D696" s="228">
        <f>IF(OR(DAY(A696+2)=1,DAY(A696+2)=15),-SUM('Main Budget'!$H$26:$H$31),0)</f>
        <v>0</v>
      </c>
      <c r="E696" s="228">
        <f>IF(DAY(A696+2)=22,-SUM('Main Budget'!$F$26:$F$31),0)</f>
        <v>0</v>
      </c>
      <c r="F696" s="228">
        <f>IF(D696&gt;0,-'Main Budget'!$H$25+0.15,0)</f>
        <v>0</v>
      </c>
      <c r="G696" s="228">
        <f>IF(E696&gt;0,-'Main Budget'!$F$25+0.81,0)</f>
        <v>0</v>
      </c>
      <c r="H696" s="227">
        <f>IF(DAY(A696)='Main Budget'!$J$26,'Main Budget'!$E$26,0)</f>
        <v>0</v>
      </c>
      <c r="I696" s="227">
        <f>IF(DAY(A696)='Main Budget'!$J$28,'Main Budget'!$E$28,0)</f>
        <v>0</v>
      </c>
      <c r="J696" s="227">
        <f>IF(DAY(A696)='Main Budget'!$J$29,'Main Budget'!$E$29,0)</f>
        <v>0</v>
      </c>
      <c r="K696" s="20">
        <f>IF(DAY(A696)='Main Budget'!$J$30,'Main Budget'!$E$30,0)</f>
        <v>0</v>
      </c>
      <c r="L696" s="20">
        <f>IF(DAY(A696)='Main Budget'!$J$31,'Main Budget'!$E$31,0)</f>
        <v>0</v>
      </c>
      <c r="M696" s="20">
        <f>IF(DAY(A696)='Main Budget'!$J$27,'Main Budget'!$E$27,0)</f>
        <v>0</v>
      </c>
      <c r="O696" s="228">
        <f>B696+(SUM(H696:M696)+(SUM(D696:E696)))</f>
        <v>100</v>
      </c>
      <c r="P696" s="228">
        <f>C696+F696+G696+N696</f>
        <v>100</v>
      </c>
      <c r="Q696" s="252">
        <f>O696+P696</f>
        <v>200</v>
      </c>
      <c r="S696" s="231" t="str">
        <f>TEXT(A696,"dddd")</f>
        <v>Friday</v>
      </c>
    </row>
    <row r="697" spans="1:19" x14ac:dyDescent="0.25">
      <c r="A697" s="226">
        <v>46718</v>
      </c>
      <c r="B697" s="227">
        <f>O696</f>
        <v>100</v>
      </c>
      <c r="C697" s="228">
        <f>P696</f>
        <v>100</v>
      </c>
      <c r="D697" s="228">
        <f>IF(OR(DAY(A697+2)=1,DAY(A697+2)=15),-SUM('Main Budget'!$H$26:$H$31),0)</f>
        <v>0</v>
      </c>
      <c r="E697" s="228">
        <f>IF(DAY(A697+2)=22,-SUM('Main Budget'!$F$26:$F$31),0)</f>
        <v>0</v>
      </c>
      <c r="F697" s="228">
        <f>IF(D697&gt;0,-'Main Budget'!$H$25+0.15,0)</f>
        <v>0</v>
      </c>
      <c r="G697" s="228">
        <f>IF(E697&gt;0,-'Main Budget'!$F$25+0.81,0)</f>
        <v>0</v>
      </c>
      <c r="H697" s="227">
        <f>IF(DAY(A697)='Main Budget'!$J$26,'Main Budget'!$E$26,0)</f>
        <v>0</v>
      </c>
      <c r="I697" s="227">
        <f>IF(DAY(A697)='Main Budget'!$J$28,'Main Budget'!$E$28,0)</f>
        <v>0</v>
      </c>
      <c r="J697" s="227">
        <f>IF(DAY(A697)='Main Budget'!$J$29,'Main Budget'!$E$29,0)</f>
        <v>0</v>
      </c>
      <c r="K697" s="20">
        <f>IF(DAY(A697)='Main Budget'!$J$30,'Main Budget'!$E$30,0)</f>
        <v>0</v>
      </c>
      <c r="L697" s="20">
        <f>IF(DAY(A697)='Main Budget'!$J$31,'Main Budget'!$E$31,0)</f>
        <v>0</v>
      </c>
      <c r="M697" s="20">
        <f>IF(DAY(A697)='Main Budget'!$J$27,'Main Budget'!$E$27,0)</f>
        <v>0</v>
      </c>
      <c r="O697" s="228">
        <f>B697+(SUM(H697:M697)+(SUM(D697:E697)))</f>
        <v>100</v>
      </c>
      <c r="P697" s="228">
        <f>C697+F697+G697+N697</f>
        <v>100</v>
      </c>
      <c r="Q697" s="252">
        <f>O697+P697</f>
        <v>200</v>
      </c>
      <c r="S697" s="231" t="str">
        <f>TEXT(A697,"dddd")</f>
        <v>Saturday</v>
      </c>
    </row>
    <row r="698" spans="1:19" x14ac:dyDescent="0.25">
      <c r="A698" s="226">
        <v>46719</v>
      </c>
      <c r="B698" s="227">
        <f>O697</f>
        <v>100</v>
      </c>
      <c r="C698" s="228">
        <f>P697</f>
        <v>100</v>
      </c>
      <c r="D698" s="228">
        <f>IF(OR(DAY(A698+2)=1,DAY(A698+2)=15),-SUM('Main Budget'!$H$26:$H$31),0)</f>
        <v>0</v>
      </c>
      <c r="E698" s="228">
        <f>IF(DAY(A698+2)=22,-SUM('Main Budget'!$F$26:$F$31),0)</f>
        <v>0</v>
      </c>
      <c r="F698" s="228">
        <f>IF(D698&gt;0,-'Main Budget'!$H$25+0.15,0)</f>
        <v>0</v>
      </c>
      <c r="G698" s="228">
        <f>IF(E698&gt;0,-'Main Budget'!$F$25+0.81,0)</f>
        <v>0</v>
      </c>
      <c r="H698" s="227">
        <f>IF(DAY(A698)='Main Budget'!$J$26,'Main Budget'!$E$26,0)</f>
        <v>0</v>
      </c>
      <c r="I698" s="227">
        <f>IF(DAY(A698)='Main Budget'!$J$28,'Main Budget'!$E$28,0)</f>
        <v>0</v>
      </c>
      <c r="J698" s="227">
        <f>IF(DAY(A698)='Main Budget'!$J$29,'Main Budget'!$E$29,0)</f>
        <v>0</v>
      </c>
      <c r="K698" s="20">
        <f>IF(DAY(A698)='Main Budget'!$J$30,'Main Budget'!$E$30,0)</f>
        <v>0</v>
      </c>
      <c r="L698" s="20">
        <f>IF(DAY(A698)='Main Budget'!$J$31,'Main Budget'!$E$31,0)</f>
        <v>0</v>
      </c>
      <c r="M698" s="20">
        <f>IF(DAY(A698)='Main Budget'!$J$27,'Main Budget'!$E$27,0)</f>
        <v>0</v>
      </c>
      <c r="O698" s="228">
        <f>B698+(SUM(H698:M698)+(SUM(D698:E698)))</f>
        <v>100</v>
      </c>
      <c r="P698" s="228">
        <f>C698+F698+G698+N698</f>
        <v>100</v>
      </c>
      <c r="Q698" s="252">
        <f>O698+P698</f>
        <v>200</v>
      </c>
      <c r="S698" s="231" t="str">
        <f>TEXT(A698,"dddd")</f>
        <v>Sunday</v>
      </c>
    </row>
    <row r="699" spans="1:19" x14ac:dyDescent="0.25">
      <c r="A699" s="226">
        <v>46720</v>
      </c>
      <c r="B699" s="227">
        <f>O698</f>
        <v>100</v>
      </c>
      <c r="C699" s="228">
        <f>P698</f>
        <v>100</v>
      </c>
      <c r="D699" s="228">
        <f>IF(OR(DAY(A699+2)=1,DAY(A699+2)=15),-SUM('Main Budget'!$H$26:$H$31),0)</f>
        <v>0</v>
      </c>
      <c r="E699" s="228">
        <f>IF(DAY(A699+2)=22,-SUM('Main Budget'!$F$26:$F$31),0)</f>
        <v>0</v>
      </c>
      <c r="F699" s="228">
        <f>IF(D699&gt;0,-'Main Budget'!$H$25+0.15,0)</f>
        <v>0</v>
      </c>
      <c r="G699" s="228">
        <f>IF(E699&gt;0,-'Main Budget'!$F$25+0.81,0)</f>
        <v>0</v>
      </c>
      <c r="H699" s="227">
        <f>IF(DAY(A699)='Main Budget'!$J$26,'Main Budget'!$E$26,0)</f>
        <v>0</v>
      </c>
      <c r="I699" s="227">
        <f>IF(DAY(A699)='Main Budget'!$J$28,'Main Budget'!$E$28,0)</f>
        <v>0</v>
      </c>
      <c r="J699" s="227">
        <f>IF(DAY(A699)='Main Budget'!$J$29,'Main Budget'!$E$29,0)</f>
        <v>0</v>
      </c>
      <c r="K699" s="20">
        <f>IF(DAY(A699)='Main Budget'!$J$30,'Main Budget'!$E$30,0)</f>
        <v>0</v>
      </c>
      <c r="L699" s="20">
        <f>IF(DAY(A699)='Main Budget'!$J$31,'Main Budget'!$E$31,0)</f>
        <v>0</v>
      </c>
      <c r="M699" s="20">
        <f>IF(DAY(A699)='Main Budget'!$J$27,'Main Budget'!$E$27,0)</f>
        <v>0</v>
      </c>
      <c r="O699" s="228">
        <f>B699+(SUM(H699:M699)+(SUM(D699:E699)))</f>
        <v>100</v>
      </c>
      <c r="P699" s="228">
        <f>C699+F699+G699+N699</f>
        <v>100</v>
      </c>
      <c r="Q699" s="252">
        <f>O699+P699</f>
        <v>200</v>
      </c>
      <c r="S699" s="231" t="str">
        <f>TEXT(A699,"dddd")</f>
        <v>Monday</v>
      </c>
    </row>
    <row r="700" spans="1:19" x14ac:dyDescent="0.25">
      <c r="A700" s="226">
        <v>46721</v>
      </c>
      <c r="B700" s="227">
        <f>O699</f>
        <v>100</v>
      </c>
      <c r="C700" s="228">
        <f>P699</f>
        <v>100</v>
      </c>
      <c r="D700" s="228">
        <f>IF(OR(DAY(A700+2)=1,DAY(A700+2)=15),-SUM('Main Budget'!$H$26:$H$31),0)</f>
        <v>0</v>
      </c>
      <c r="E700" s="228">
        <f>IF(DAY(A700+2)=22,-SUM('Main Budget'!$F$26:$F$31),0)</f>
        <v>0</v>
      </c>
      <c r="F700" s="228">
        <f>IF(D700&gt;0,-'Main Budget'!$H$25+0.15,0)</f>
        <v>0</v>
      </c>
      <c r="G700" s="228">
        <f>IF(E700&gt;0,-'Main Budget'!$F$25+0.81,0)</f>
        <v>0</v>
      </c>
      <c r="H700" s="227">
        <f>IF(DAY(A700)='Main Budget'!$J$26,'Main Budget'!$E$26,0)</f>
        <v>0</v>
      </c>
      <c r="I700" s="227">
        <f>IF(DAY(A700)='Main Budget'!$J$28,'Main Budget'!$E$28,0)</f>
        <v>0</v>
      </c>
      <c r="J700" s="227">
        <f>IF(DAY(A700)='Main Budget'!$J$29,'Main Budget'!$E$29,0)</f>
        <v>0</v>
      </c>
      <c r="K700" s="20">
        <f>IF(DAY(A700)='Main Budget'!$J$30,'Main Budget'!$E$30,0)</f>
        <v>0</v>
      </c>
      <c r="L700" s="20">
        <f>IF(DAY(A700)='Main Budget'!$J$31,'Main Budget'!$E$31,0)</f>
        <v>0</v>
      </c>
      <c r="M700" s="20">
        <f>IF(DAY(A700)='Main Budget'!$J$27,'Main Budget'!$E$27,0)</f>
        <v>0</v>
      </c>
      <c r="O700" s="228">
        <f>B700+(SUM(H700:M700)+(SUM(D700:E700)))</f>
        <v>100</v>
      </c>
      <c r="P700" s="228">
        <f>C700+F700+G700+N700</f>
        <v>100</v>
      </c>
      <c r="Q700" s="252">
        <f>O700+P700</f>
        <v>200</v>
      </c>
      <c r="S700" s="231" t="str">
        <f>TEXT(A700,"dddd")</f>
        <v>Tuesday</v>
      </c>
    </row>
    <row r="701" spans="1:19" x14ac:dyDescent="0.25">
      <c r="A701" s="226">
        <v>46722</v>
      </c>
      <c r="B701" s="227">
        <f>O700</f>
        <v>100</v>
      </c>
      <c r="C701" s="228">
        <f>P700</f>
        <v>100</v>
      </c>
      <c r="D701" s="228">
        <f>IF(OR(DAY(A701+2)=1,DAY(A701+2)=15),-SUM('Main Budget'!$H$26:$H$31),0)</f>
        <v>0</v>
      </c>
      <c r="E701" s="228">
        <f>IF(DAY(A701+2)=22,-SUM('Main Budget'!$F$26:$F$31),0)</f>
        <v>0</v>
      </c>
      <c r="F701" s="228">
        <f>IF(D701&gt;0,-'Main Budget'!$H$25+0.15,0)</f>
        <v>0</v>
      </c>
      <c r="G701" s="228">
        <f>IF(E701&gt;0,-'Main Budget'!$F$25+0.81,0)</f>
        <v>0</v>
      </c>
      <c r="H701" s="227">
        <f>IF(DAY(A701)='Main Budget'!$J$26,'Main Budget'!$E$26,0)</f>
        <v>0</v>
      </c>
      <c r="I701" s="227">
        <f>IF(DAY(A701)='Main Budget'!$J$28,'Main Budget'!$E$28,0)</f>
        <v>0</v>
      </c>
      <c r="J701" s="227">
        <f>IF(DAY(A701)='Main Budget'!$J$29,'Main Budget'!$E$29,0)</f>
        <v>0</v>
      </c>
      <c r="K701" s="20">
        <f>IF(DAY(A701)='Main Budget'!$J$30,'Main Budget'!$E$30,0)</f>
        <v>0</v>
      </c>
      <c r="L701" s="20">
        <f>IF(DAY(A701)='Main Budget'!$J$31,'Main Budget'!$E$31,0)</f>
        <v>0</v>
      </c>
      <c r="M701" s="20">
        <f>IF(DAY(A701)='Main Budget'!$J$27,'Main Budget'!$E$27,0)</f>
        <v>0</v>
      </c>
      <c r="O701" s="228">
        <f>B701+(SUM(H701:M701)+(SUM(D701:E701)))</f>
        <v>100</v>
      </c>
      <c r="P701" s="228">
        <f>C701+F701+G701+N701</f>
        <v>100</v>
      </c>
      <c r="Q701" s="252">
        <f>O701+P701</f>
        <v>200</v>
      </c>
      <c r="S701" s="231" t="str">
        <f>TEXT(A701,"dddd")</f>
        <v>Wednesday</v>
      </c>
    </row>
    <row r="702" spans="1:19" x14ac:dyDescent="0.25">
      <c r="A702" s="226">
        <v>46723</v>
      </c>
      <c r="B702" s="227">
        <f>O701</f>
        <v>100</v>
      </c>
      <c r="C702" s="228">
        <f>P701</f>
        <v>100</v>
      </c>
      <c r="D702" s="228">
        <f>IF(OR(DAY(A702+2)=1,DAY(A702+2)=15),-SUM('Main Budget'!$H$26:$H$31),0)</f>
        <v>0</v>
      </c>
      <c r="E702" s="228">
        <f>IF(DAY(A702+2)=22,-SUM('Main Budget'!$F$26:$F$31),0)</f>
        <v>0</v>
      </c>
      <c r="F702" s="228">
        <f>IF(D702&gt;0,-'Main Budget'!$H$25+0.15,0)</f>
        <v>0</v>
      </c>
      <c r="G702" s="228">
        <f>IF(E702&gt;0,-'Main Budget'!$F$25+0.81,0)</f>
        <v>0</v>
      </c>
      <c r="H702" s="227">
        <f>IF(DAY(A702)='Main Budget'!$J$26,'Main Budget'!$E$26,0)</f>
        <v>0</v>
      </c>
      <c r="I702" s="227">
        <f>IF(DAY(A702)='Main Budget'!$J$28,'Main Budget'!$E$28,0)</f>
        <v>0</v>
      </c>
      <c r="J702" s="227">
        <f>IF(DAY(A702)='Main Budget'!$J$29,'Main Budget'!$E$29,0)</f>
        <v>0</v>
      </c>
      <c r="K702" s="20">
        <f>IF(DAY(A702)='Main Budget'!$J$30,'Main Budget'!$E$30,0)</f>
        <v>0</v>
      </c>
      <c r="L702" s="20">
        <f>IF(DAY(A702)='Main Budget'!$J$31,'Main Budget'!$E$31,0)</f>
        <v>0</v>
      </c>
      <c r="M702" s="20">
        <f>IF(DAY(A702)='Main Budget'!$J$27,'Main Budget'!$E$27,0)</f>
        <v>0</v>
      </c>
      <c r="O702" s="228">
        <f>B702+(SUM(H702:M702)+(SUM(D702:E702)))</f>
        <v>100</v>
      </c>
      <c r="P702" s="228">
        <f>C702+F702+G702+N702</f>
        <v>100</v>
      </c>
      <c r="Q702" s="252">
        <f>O702+P702</f>
        <v>200</v>
      </c>
      <c r="S702" s="231" t="str">
        <f>TEXT(A702,"dddd")</f>
        <v>Thursday</v>
      </c>
    </row>
    <row r="703" spans="1:19" x14ac:dyDescent="0.25">
      <c r="A703" s="226">
        <v>46724</v>
      </c>
      <c r="B703" s="227">
        <f>O702</f>
        <v>100</v>
      </c>
      <c r="C703" s="228">
        <f>P702</f>
        <v>100</v>
      </c>
      <c r="D703" s="228">
        <f>IF(OR(DAY(A703+2)=1,DAY(A703+2)=15),-SUM('Main Budget'!$H$26:$H$31),0)</f>
        <v>0</v>
      </c>
      <c r="E703" s="228">
        <f>IF(DAY(A703+2)=22,-SUM('Main Budget'!$F$26:$F$31),0)</f>
        <v>0</v>
      </c>
      <c r="F703" s="228">
        <f>IF(D703&gt;0,-'Main Budget'!$H$25+0.15,0)</f>
        <v>0</v>
      </c>
      <c r="G703" s="228">
        <f>IF(E703&gt;0,-'Main Budget'!$F$25+0.81,0)</f>
        <v>0</v>
      </c>
      <c r="H703" s="227">
        <f>IF(DAY(A703)='Main Budget'!$J$26,'Main Budget'!$E$26,0)</f>
        <v>0</v>
      </c>
      <c r="I703" s="227">
        <f>IF(DAY(A703)='Main Budget'!$J$28,'Main Budget'!$E$28,0)</f>
        <v>0</v>
      </c>
      <c r="J703" s="227">
        <f>IF(DAY(A703)='Main Budget'!$J$29,'Main Budget'!$E$29,0)</f>
        <v>0</v>
      </c>
      <c r="K703" s="20">
        <f>IF(DAY(A703)='Main Budget'!$J$30,'Main Budget'!$E$30,0)</f>
        <v>0</v>
      </c>
      <c r="L703" s="20">
        <f>IF(DAY(A703)='Main Budget'!$J$31,'Main Budget'!$E$31,0)</f>
        <v>0</v>
      </c>
      <c r="M703" s="20">
        <f>IF(DAY(A703)='Main Budget'!$J$27,'Main Budget'!$E$27,0)</f>
        <v>0</v>
      </c>
      <c r="O703" s="228">
        <f>B703+(SUM(H703:M703)+(SUM(D703:E703)))</f>
        <v>100</v>
      </c>
      <c r="P703" s="228">
        <f>C703+F703+G703+N703</f>
        <v>100</v>
      </c>
      <c r="Q703" s="252">
        <f>O703+P703</f>
        <v>200</v>
      </c>
      <c r="S703" s="231" t="str">
        <f>TEXT(A703,"dddd")</f>
        <v>Friday</v>
      </c>
    </row>
    <row r="704" spans="1:19" x14ac:dyDescent="0.25">
      <c r="A704" s="226">
        <v>46725</v>
      </c>
      <c r="B704" s="227">
        <f>O703</f>
        <v>100</v>
      </c>
      <c r="C704" s="228">
        <f>P703</f>
        <v>100</v>
      </c>
      <c r="D704" s="228">
        <f>IF(OR(DAY(A704+2)=1,DAY(A704+2)=15),-SUM('Main Budget'!$H$26:$H$31),0)</f>
        <v>0</v>
      </c>
      <c r="E704" s="228">
        <f>IF(DAY(A704+2)=22,-SUM('Main Budget'!$F$26:$F$31),0)</f>
        <v>0</v>
      </c>
      <c r="F704" s="228">
        <f>IF(D704&gt;0,-'Main Budget'!$H$25+0.15,0)</f>
        <v>0</v>
      </c>
      <c r="G704" s="228">
        <f>IF(E704&gt;0,-'Main Budget'!$F$25+0.81,0)</f>
        <v>0</v>
      </c>
      <c r="H704" s="227">
        <f>IF(DAY(A704)='Main Budget'!$J$26,'Main Budget'!$E$26,0)</f>
        <v>0</v>
      </c>
      <c r="I704" s="227">
        <f>IF(DAY(A704)='Main Budget'!$J$28,'Main Budget'!$E$28,0)</f>
        <v>0</v>
      </c>
      <c r="J704" s="227">
        <f>IF(DAY(A704)='Main Budget'!$J$29,'Main Budget'!$E$29,0)</f>
        <v>0</v>
      </c>
      <c r="K704" s="20">
        <f>IF(DAY(A704)='Main Budget'!$J$30,'Main Budget'!$E$30,0)</f>
        <v>0</v>
      </c>
      <c r="L704" s="20">
        <f>IF(DAY(A704)='Main Budget'!$J$31,'Main Budget'!$E$31,0)</f>
        <v>0</v>
      </c>
      <c r="M704" s="20">
        <f>IF(DAY(A704)='Main Budget'!$J$27,'Main Budget'!$E$27,0)</f>
        <v>0</v>
      </c>
      <c r="O704" s="228">
        <f>B704+(SUM(H704:M704)+(SUM(D704:E704)))</f>
        <v>100</v>
      </c>
      <c r="P704" s="228">
        <f>C704+F704+G704+N704</f>
        <v>100</v>
      </c>
      <c r="Q704" s="252">
        <f>O704+P704</f>
        <v>200</v>
      </c>
      <c r="S704" s="231" t="str">
        <f>TEXT(A704,"dddd")</f>
        <v>Saturday</v>
      </c>
    </row>
    <row r="705" spans="1:19" x14ac:dyDescent="0.25">
      <c r="A705" s="226">
        <v>46726</v>
      </c>
      <c r="B705" s="227">
        <f>O704</f>
        <v>100</v>
      </c>
      <c r="C705" s="228">
        <f>P704</f>
        <v>100</v>
      </c>
      <c r="D705" s="228">
        <f>IF(OR(DAY(A705+2)=1,DAY(A705+2)=15),-SUM('Main Budget'!$H$26:$H$31),0)</f>
        <v>0</v>
      </c>
      <c r="E705" s="228">
        <f>IF(DAY(A705+2)=22,-SUM('Main Budget'!$F$26:$F$31),0)</f>
        <v>0</v>
      </c>
      <c r="F705" s="228">
        <f>IF(D705&gt;0,-'Main Budget'!$H$25+0.15,0)</f>
        <v>0</v>
      </c>
      <c r="G705" s="228">
        <f>IF(E705&gt;0,-'Main Budget'!$F$25+0.81,0)</f>
        <v>0</v>
      </c>
      <c r="H705" s="227">
        <f>IF(DAY(A705)='Main Budget'!$J$26,'Main Budget'!$E$26,0)</f>
        <v>0</v>
      </c>
      <c r="I705" s="227">
        <f>IF(DAY(A705)='Main Budget'!$J$28,'Main Budget'!$E$28,0)</f>
        <v>0</v>
      </c>
      <c r="J705" s="227">
        <f>IF(DAY(A705)='Main Budget'!$J$29,'Main Budget'!$E$29,0)</f>
        <v>0</v>
      </c>
      <c r="K705" s="20">
        <f>IF(DAY(A705)='Main Budget'!$J$30,'Main Budget'!$E$30,0)</f>
        <v>0</v>
      </c>
      <c r="L705" s="20">
        <f>IF(DAY(A705)='Main Budget'!$J$31,'Main Budget'!$E$31,0)</f>
        <v>0</v>
      </c>
      <c r="M705" s="20">
        <f>IF(DAY(A705)='Main Budget'!$J$27,'Main Budget'!$E$27,0)</f>
        <v>0</v>
      </c>
      <c r="O705" s="228">
        <f>B705+(SUM(H705:M705)+(SUM(D705:E705)))</f>
        <v>100</v>
      </c>
      <c r="P705" s="228">
        <f>C705+F705+G705+N705</f>
        <v>100</v>
      </c>
      <c r="Q705" s="252">
        <f>O705+P705</f>
        <v>200</v>
      </c>
      <c r="S705" s="231" t="str">
        <f>TEXT(A705,"dddd")</f>
        <v>Sunday</v>
      </c>
    </row>
    <row r="706" spans="1:19" x14ac:dyDescent="0.25">
      <c r="A706" s="226">
        <v>46727</v>
      </c>
      <c r="B706" s="227">
        <f>O705</f>
        <v>100</v>
      </c>
      <c r="C706" s="228">
        <f>P705</f>
        <v>100</v>
      </c>
      <c r="D706" s="228">
        <f>IF(OR(DAY(A706+2)=1,DAY(A706+2)=15),-SUM('Main Budget'!$H$26:$H$31),0)</f>
        <v>0</v>
      </c>
      <c r="E706" s="228">
        <f>IF(DAY(A706+2)=22,-SUM('Main Budget'!$F$26:$F$31),0)</f>
        <v>0</v>
      </c>
      <c r="F706" s="228">
        <f>IF(D706&gt;0,-'Main Budget'!$H$25+0.15,0)</f>
        <v>0</v>
      </c>
      <c r="G706" s="228">
        <f>IF(E706&gt;0,-'Main Budget'!$F$25+0.81,0)</f>
        <v>0</v>
      </c>
      <c r="H706" s="227">
        <f>IF(DAY(A706)='Main Budget'!$J$26,'Main Budget'!$E$26,0)</f>
        <v>0</v>
      </c>
      <c r="I706" s="227">
        <f>IF(DAY(A706)='Main Budget'!$J$28,'Main Budget'!$E$28,0)</f>
        <v>0</v>
      </c>
      <c r="J706" s="227">
        <f>IF(DAY(A706)='Main Budget'!$J$29,'Main Budget'!$E$29,0)</f>
        <v>0</v>
      </c>
      <c r="K706" s="20">
        <f>IF(DAY(A706)='Main Budget'!$J$30,'Main Budget'!$E$30,0)</f>
        <v>0</v>
      </c>
      <c r="L706" s="20">
        <f>IF(DAY(A706)='Main Budget'!$J$31,'Main Budget'!$E$31,0)</f>
        <v>0</v>
      </c>
      <c r="M706" s="20">
        <f>IF(DAY(A706)='Main Budget'!$J$27,'Main Budget'!$E$27,0)</f>
        <v>0</v>
      </c>
      <c r="O706" s="228">
        <f>B706+(SUM(H706:M706)+(SUM(D706:E706)))</f>
        <v>100</v>
      </c>
      <c r="P706" s="228">
        <f>C706+F706+G706+N706</f>
        <v>100</v>
      </c>
      <c r="Q706" s="252">
        <f>O706+P706</f>
        <v>200</v>
      </c>
      <c r="S706" s="231" t="str">
        <f>TEXT(A706,"dddd")</f>
        <v>Monday</v>
      </c>
    </row>
    <row r="707" spans="1:19" x14ac:dyDescent="0.25">
      <c r="A707" s="226">
        <v>46728</v>
      </c>
      <c r="B707" s="227">
        <f>O706</f>
        <v>100</v>
      </c>
      <c r="C707" s="228">
        <f>P706</f>
        <v>100</v>
      </c>
      <c r="D707" s="228">
        <f>IF(OR(DAY(A707+2)=1,DAY(A707+2)=15),-SUM('Main Budget'!$H$26:$H$31),0)</f>
        <v>0</v>
      </c>
      <c r="E707" s="228">
        <f>IF(DAY(A707+2)=22,-SUM('Main Budget'!$F$26:$F$31),0)</f>
        <v>0</v>
      </c>
      <c r="F707" s="228">
        <f>IF(D707&gt;0,-'Main Budget'!$H$25+0.15,0)</f>
        <v>0</v>
      </c>
      <c r="G707" s="228">
        <f>IF(E707&gt;0,-'Main Budget'!$F$25+0.81,0)</f>
        <v>0</v>
      </c>
      <c r="H707" s="227">
        <f>IF(DAY(A707)='Main Budget'!$J$26,'Main Budget'!$E$26,0)</f>
        <v>0</v>
      </c>
      <c r="I707" s="227">
        <f>IF(DAY(A707)='Main Budget'!$J$28,'Main Budget'!$E$28,0)</f>
        <v>0</v>
      </c>
      <c r="J707" s="227">
        <f>IF(DAY(A707)='Main Budget'!$J$29,'Main Budget'!$E$29,0)</f>
        <v>0</v>
      </c>
      <c r="K707" s="20">
        <f>IF(DAY(A707)='Main Budget'!$J$30,'Main Budget'!$E$30,0)</f>
        <v>0</v>
      </c>
      <c r="L707" s="20">
        <f>IF(DAY(A707)='Main Budget'!$J$31,'Main Budget'!$E$31,0)</f>
        <v>0</v>
      </c>
      <c r="M707" s="20">
        <f>IF(DAY(A707)='Main Budget'!$J$27,'Main Budget'!$E$27,0)</f>
        <v>0</v>
      </c>
      <c r="O707" s="228">
        <f>B707+(SUM(H707:M707)+(SUM(D707:E707)))</f>
        <v>100</v>
      </c>
      <c r="P707" s="228">
        <f>C707+F707+G707+N707</f>
        <v>100</v>
      </c>
      <c r="Q707" s="252">
        <f>O707+P707</f>
        <v>200</v>
      </c>
      <c r="S707" s="231" t="str">
        <f>TEXT(A707,"dddd")</f>
        <v>Tuesday</v>
      </c>
    </row>
    <row r="708" spans="1:19" x14ac:dyDescent="0.25">
      <c r="A708" s="226">
        <v>46729</v>
      </c>
      <c r="B708" s="227">
        <f>O707</f>
        <v>100</v>
      </c>
      <c r="C708" s="228">
        <f>P707</f>
        <v>100</v>
      </c>
      <c r="D708" s="228">
        <f>IF(OR(DAY(A708+2)=1,DAY(A708+2)=15),-SUM('Main Budget'!$H$26:$H$31),0)</f>
        <v>0</v>
      </c>
      <c r="E708" s="228">
        <f>IF(DAY(A708+2)=22,-SUM('Main Budget'!$F$26:$F$31),0)</f>
        <v>0</v>
      </c>
      <c r="F708" s="228">
        <f>IF(D708&gt;0,-'Main Budget'!$H$25+0.15,0)</f>
        <v>0</v>
      </c>
      <c r="G708" s="228">
        <f>IF(E708&gt;0,-'Main Budget'!$F$25+0.81,0)</f>
        <v>0</v>
      </c>
      <c r="H708" s="227">
        <f>IF(DAY(A708)='Main Budget'!$J$26,'Main Budget'!$E$26,0)</f>
        <v>0</v>
      </c>
      <c r="I708" s="227">
        <f>IF(DAY(A708)='Main Budget'!$J$28,'Main Budget'!$E$28,0)</f>
        <v>0</v>
      </c>
      <c r="J708" s="227">
        <f>IF(DAY(A708)='Main Budget'!$J$29,'Main Budget'!$E$29,0)</f>
        <v>0</v>
      </c>
      <c r="K708" s="20">
        <f>IF(DAY(A708)='Main Budget'!$J$30,'Main Budget'!$E$30,0)</f>
        <v>0</v>
      </c>
      <c r="L708" s="20">
        <f>IF(DAY(A708)='Main Budget'!$J$31,'Main Budget'!$E$31,0)</f>
        <v>0</v>
      </c>
      <c r="M708" s="20">
        <f>IF(DAY(A708)='Main Budget'!$J$27,'Main Budget'!$E$27,0)</f>
        <v>0</v>
      </c>
      <c r="O708" s="228">
        <f>B708+(SUM(H708:M708)+(SUM(D708:E708)))</f>
        <v>100</v>
      </c>
      <c r="P708" s="228">
        <f>C708+F708+G708+N708</f>
        <v>100</v>
      </c>
      <c r="Q708" s="252">
        <f>O708+P708</f>
        <v>200</v>
      </c>
      <c r="S708" s="231" t="str">
        <f>TEXT(A708,"dddd")</f>
        <v>Wednesday</v>
      </c>
    </row>
    <row r="709" spans="1:19" x14ac:dyDescent="0.25">
      <c r="A709" s="226">
        <v>46730</v>
      </c>
      <c r="B709" s="227">
        <f>O708</f>
        <v>100</v>
      </c>
      <c r="C709" s="228">
        <f>P708</f>
        <v>100</v>
      </c>
      <c r="D709" s="228">
        <f>IF(OR(DAY(A709+2)=1,DAY(A709+2)=15),-SUM('Main Budget'!$H$26:$H$31),0)</f>
        <v>0</v>
      </c>
      <c r="E709" s="228">
        <f>IF(DAY(A709+2)=22,-SUM('Main Budget'!$F$26:$F$31),0)</f>
        <v>0</v>
      </c>
      <c r="F709" s="228">
        <f>IF(D709&gt;0,-'Main Budget'!$H$25+0.15,0)</f>
        <v>0</v>
      </c>
      <c r="G709" s="228">
        <f>IF(E709&gt;0,-'Main Budget'!$F$25+0.81,0)</f>
        <v>0</v>
      </c>
      <c r="H709" s="227">
        <f>IF(DAY(A709)='Main Budget'!$J$26,'Main Budget'!$E$26,0)</f>
        <v>0</v>
      </c>
      <c r="I709" s="227">
        <f>IF(DAY(A709)='Main Budget'!$J$28,'Main Budget'!$E$28,0)</f>
        <v>0</v>
      </c>
      <c r="J709" s="227">
        <f>IF(DAY(A709)='Main Budget'!$J$29,'Main Budget'!$E$29,0)</f>
        <v>0</v>
      </c>
      <c r="K709" s="20">
        <f>IF(DAY(A709)='Main Budget'!$J$30,'Main Budget'!$E$30,0)</f>
        <v>0</v>
      </c>
      <c r="L709" s="20">
        <f>IF(DAY(A709)='Main Budget'!$J$31,'Main Budget'!$E$31,0)</f>
        <v>0</v>
      </c>
      <c r="M709" s="20">
        <f>IF(DAY(A709)='Main Budget'!$J$27,'Main Budget'!$E$27,0)</f>
        <v>0</v>
      </c>
      <c r="O709" s="228">
        <f>B709+(SUM(H709:M709)+(SUM(D709:E709)))</f>
        <v>100</v>
      </c>
      <c r="P709" s="228">
        <f>C709+F709+G709+N709</f>
        <v>100</v>
      </c>
      <c r="Q709" s="252">
        <f>O709+P709</f>
        <v>200</v>
      </c>
      <c r="S709" s="231" t="str">
        <f>TEXT(A709,"dddd")</f>
        <v>Thursday</v>
      </c>
    </row>
    <row r="710" spans="1:19" x14ac:dyDescent="0.25">
      <c r="A710" s="226">
        <v>46731</v>
      </c>
      <c r="B710" s="227">
        <f>O709</f>
        <v>100</v>
      </c>
      <c r="C710" s="228">
        <f>P709</f>
        <v>100</v>
      </c>
      <c r="D710" s="228">
        <f>IF(OR(DAY(A710+2)=1,DAY(A710+2)=15),-SUM('Main Budget'!$H$26:$H$31),0)</f>
        <v>0</v>
      </c>
      <c r="E710" s="228">
        <f>IF(DAY(A710+2)=22,-SUM('Main Budget'!$F$26:$F$31),0)</f>
        <v>0</v>
      </c>
      <c r="F710" s="228">
        <f>IF(D710&gt;0,-'Main Budget'!$H$25+0.15,0)</f>
        <v>0</v>
      </c>
      <c r="G710" s="228">
        <f>IF(E710&gt;0,-'Main Budget'!$F$25+0.81,0)</f>
        <v>0</v>
      </c>
      <c r="H710" s="227">
        <f>IF(DAY(A710)='Main Budget'!$J$26,'Main Budget'!$E$26,0)</f>
        <v>0</v>
      </c>
      <c r="I710" s="227">
        <f>IF(DAY(A710)='Main Budget'!$J$28,'Main Budget'!$E$28,0)</f>
        <v>0</v>
      </c>
      <c r="J710" s="227">
        <f>IF(DAY(A710)='Main Budget'!$J$29,'Main Budget'!$E$29,0)</f>
        <v>0</v>
      </c>
      <c r="K710" s="20">
        <f>IF(DAY(A710)='Main Budget'!$J$30,'Main Budget'!$E$30,0)</f>
        <v>0</v>
      </c>
      <c r="L710" s="20">
        <f>IF(DAY(A710)='Main Budget'!$J$31,'Main Budget'!$E$31,0)</f>
        <v>0</v>
      </c>
      <c r="M710" s="20">
        <f>IF(DAY(A710)='Main Budget'!$J$27,'Main Budget'!$E$27,0)</f>
        <v>0</v>
      </c>
      <c r="O710" s="228">
        <f>B710+(SUM(H710:M710)+(SUM(D710:E710)))</f>
        <v>100</v>
      </c>
      <c r="P710" s="228">
        <f>C710+F710+G710+N710</f>
        <v>100</v>
      </c>
      <c r="Q710" s="252">
        <f>O710+P710</f>
        <v>200</v>
      </c>
      <c r="S710" s="231" t="str">
        <f>TEXT(A710,"dddd")</f>
        <v>Friday</v>
      </c>
    </row>
    <row r="711" spans="1:19" x14ac:dyDescent="0.25">
      <c r="A711" s="226">
        <v>46732</v>
      </c>
      <c r="B711" s="227">
        <f>O710</f>
        <v>100</v>
      </c>
      <c r="C711" s="228">
        <f>P710</f>
        <v>100</v>
      </c>
      <c r="D711" s="228">
        <f>IF(OR(DAY(A711+2)=1,DAY(A711+2)=15),-SUM('Main Budget'!$H$26:$H$31),0)</f>
        <v>0</v>
      </c>
      <c r="E711" s="228">
        <f>IF(DAY(A711+2)=22,-SUM('Main Budget'!$F$26:$F$31),0)</f>
        <v>0</v>
      </c>
      <c r="F711" s="228">
        <f>IF(D711&gt;0,-'Main Budget'!$H$25+0.15,0)</f>
        <v>0</v>
      </c>
      <c r="G711" s="228">
        <f>IF(E711&gt;0,-'Main Budget'!$F$25+0.81,0)</f>
        <v>0</v>
      </c>
      <c r="H711" s="227">
        <f>IF(DAY(A711)='Main Budget'!$J$26,'Main Budget'!$E$26,0)</f>
        <v>0</v>
      </c>
      <c r="I711" s="227">
        <f>IF(DAY(A711)='Main Budget'!$J$28,'Main Budget'!$E$28,0)</f>
        <v>0</v>
      </c>
      <c r="J711" s="227">
        <f>IF(DAY(A711)='Main Budget'!$J$29,'Main Budget'!$E$29,0)</f>
        <v>0</v>
      </c>
      <c r="K711" s="20">
        <f>IF(DAY(A711)='Main Budget'!$J$30,'Main Budget'!$E$30,0)</f>
        <v>0</v>
      </c>
      <c r="L711" s="20">
        <f>IF(DAY(A711)='Main Budget'!$J$31,'Main Budget'!$E$31,0)</f>
        <v>0</v>
      </c>
      <c r="M711" s="20">
        <f>IF(DAY(A711)='Main Budget'!$J$27,'Main Budget'!$E$27,0)</f>
        <v>0</v>
      </c>
      <c r="O711" s="228">
        <f>B711+(SUM(H711:M711)+(SUM(D711:E711)))</f>
        <v>100</v>
      </c>
      <c r="P711" s="228">
        <f>C711+F711+G711+N711</f>
        <v>100</v>
      </c>
      <c r="Q711" s="252">
        <f>O711+P711</f>
        <v>200</v>
      </c>
      <c r="S711" s="231" t="str">
        <f>TEXT(A711,"dddd")</f>
        <v>Saturday</v>
      </c>
    </row>
    <row r="712" spans="1:19" x14ac:dyDescent="0.25">
      <c r="A712" s="226">
        <v>46733</v>
      </c>
      <c r="B712" s="227">
        <f>O711</f>
        <v>100</v>
      </c>
      <c r="C712" s="228">
        <f>P711</f>
        <v>100</v>
      </c>
      <c r="D712" s="228">
        <f>IF(OR(DAY(A712+2)=1,DAY(A712+2)=15),-SUM('Main Budget'!$H$26:$H$31),0)</f>
        <v>0</v>
      </c>
      <c r="E712" s="228">
        <f>IF(DAY(A712+2)=22,-SUM('Main Budget'!$F$26:$F$31),0)</f>
        <v>0</v>
      </c>
      <c r="F712" s="228">
        <f>IF(D712&gt;0,-'Main Budget'!$H$25+0.15,0)</f>
        <v>0</v>
      </c>
      <c r="G712" s="228">
        <f>IF(E712&gt;0,-'Main Budget'!$F$25+0.81,0)</f>
        <v>0</v>
      </c>
      <c r="H712" s="227">
        <f>IF(DAY(A712)='Main Budget'!$J$26,'Main Budget'!$E$26,0)</f>
        <v>0</v>
      </c>
      <c r="I712" s="227">
        <f>IF(DAY(A712)='Main Budget'!$J$28,'Main Budget'!$E$28,0)</f>
        <v>0</v>
      </c>
      <c r="J712" s="227">
        <f>IF(DAY(A712)='Main Budget'!$J$29,'Main Budget'!$E$29,0)</f>
        <v>0</v>
      </c>
      <c r="K712" s="20">
        <f>IF(DAY(A712)='Main Budget'!$J$30,'Main Budget'!$E$30,0)</f>
        <v>0</v>
      </c>
      <c r="L712" s="20">
        <f>IF(DAY(A712)='Main Budget'!$J$31,'Main Budget'!$E$31,0)</f>
        <v>0</v>
      </c>
      <c r="M712" s="20">
        <f>IF(DAY(A712)='Main Budget'!$J$27,'Main Budget'!$E$27,0)</f>
        <v>0</v>
      </c>
      <c r="O712" s="228">
        <f>B712+(SUM(H712:M712)+(SUM(D712:E712)))</f>
        <v>100</v>
      </c>
      <c r="P712" s="228">
        <f>C712+F712+G712+N712</f>
        <v>100</v>
      </c>
      <c r="Q712" s="252">
        <f>O712+P712</f>
        <v>200</v>
      </c>
      <c r="S712" s="231" t="str">
        <f>TEXT(A712,"dddd")</f>
        <v>Sunday</v>
      </c>
    </row>
    <row r="713" spans="1:19" x14ac:dyDescent="0.25">
      <c r="A713" s="226">
        <v>46734</v>
      </c>
      <c r="B713" s="227">
        <f>O712</f>
        <v>100</v>
      </c>
      <c r="C713" s="228">
        <f>P712</f>
        <v>100</v>
      </c>
      <c r="D713" s="228">
        <f>IF(OR(DAY(A713+2)=1,DAY(A713+2)=15),-SUM('Main Budget'!$H$26:$H$31),0)</f>
        <v>0</v>
      </c>
      <c r="E713" s="228">
        <f>IF(DAY(A713+2)=22,-SUM('Main Budget'!$F$26:$F$31),0)</f>
        <v>0</v>
      </c>
      <c r="F713" s="228">
        <f>IF(D713&gt;0,-'Main Budget'!$H$25+0.15,0)</f>
        <v>0</v>
      </c>
      <c r="G713" s="228">
        <f>IF(E713&gt;0,-'Main Budget'!$F$25+0.81,0)</f>
        <v>0</v>
      </c>
      <c r="H713" s="227">
        <f>IF(DAY(A713)='Main Budget'!$J$26,'Main Budget'!$E$26,0)</f>
        <v>0</v>
      </c>
      <c r="I713" s="227">
        <f>IF(DAY(A713)='Main Budget'!$J$28,'Main Budget'!$E$28,0)</f>
        <v>0</v>
      </c>
      <c r="J713" s="227">
        <f>IF(DAY(A713)='Main Budget'!$J$29,'Main Budget'!$E$29,0)</f>
        <v>0</v>
      </c>
      <c r="K713" s="20">
        <f>IF(DAY(A713)='Main Budget'!$J$30,'Main Budget'!$E$30,0)</f>
        <v>0</v>
      </c>
      <c r="L713" s="20">
        <f>IF(DAY(A713)='Main Budget'!$J$31,'Main Budget'!$E$31,0)</f>
        <v>0</v>
      </c>
      <c r="M713" s="20">
        <f>IF(DAY(A713)='Main Budget'!$J$27,'Main Budget'!$E$27,0)</f>
        <v>0</v>
      </c>
      <c r="O713" s="228">
        <f>B713+(SUM(H713:M713)+(SUM(D713:E713)))</f>
        <v>100</v>
      </c>
      <c r="P713" s="228">
        <f>C713+F713+G713+N713</f>
        <v>100</v>
      </c>
      <c r="Q713" s="252">
        <f>O713+P713</f>
        <v>200</v>
      </c>
      <c r="S713" s="231" t="str">
        <f>TEXT(A713,"dddd")</f>
        <v>Monday</v>
      </c>
    </row>
    <row r="714" spans="1:19" x14ac:dyDescent="0.25">
      <c r="A714" s="226">
        <v>46735</v>
      </c>
      <c r="B714" s="227">
        <f>O713</f>
        <v>100</v>
      </c>
      <c r="C714" s="228">
        <f>P713</f>
        <v>100</v>
      </c>
      <c r="D714" s="228">
        <f>IF(OR(DAY(A714+2)=1,DAY(A714+2)=15),-SUM('Main Budget'!$H$26:$H$31),0)</f>
        <v>0</v>
      </c>
      <c r="E714" s="228">
        <f>IF(DAY(A714+2)=22,-SUM('Main Budget'!$F$26:$F$31),0)</f>
        <v>0</v>
      </c>
      <c r="F714" s="228">
        <f>IF(D714&gt;0,-'Main Budget'!$H$25+0.15,0)</f>
        <v>0</v>
      </c>
      <c r="G714" s="228">
        <f>IF(E714&gt;0,-'Main Budget'!$F$25+0.81,0)</f>
        <v>0</v>
      </c>
      <c r="H714" s="227">
        <f>IF(DAY(A714)='Main Budget'!$J$26,'Main Budget'!$E$26,0)</f>
        <v>0</v>
      </c>
      <c r="I714" s="227">
        <f>IF(DAY(A714)='Main Budget'!$J$28,'Main Budget'!$E$28,0)</f>
        <v>0</v>
      </c>
      <c r="J714" s="227">
        <f>IF(DAY(A714)='Main Budget'!$J$29,'Main Budget'!$E$29,0)</f>
        <v>0</v>
      </c>
      <c r="K714" s="20">
        <f>IF(DAY(A714)='Main Budget'!$J$30,'Main Budget'!$E$30,0)</f>
        <v>0</v>
      </c>
      <c r="L714" s="20">
        <f>IF(DAY(A714)='Main Budget'!$J$31,'Main Budget'!$E$31,0)</f>
        <v>0</v>
      </c>
      <c r="M714" s="20">
        <f>IF(DAY(A714)='Main Budget'!$J$27,'Main Budget'!$E$27,0)</f>
        <v>0</v>
      </c>
      <c r="O714" s="228">
        <f>B714+(SUM(H714:M714)+(SUM(D714:E714)))</f>
        <v>100</v>
      </c>
      <c r="P714" s="228">
        <f>C714+F714+G714+N714</f>
        <v>100</v>
      </c>
      <c r="Q714" s="252">
        <f>O714+P714</f>
        <v>200</v>
      </c>
      <c r="S714" s="231" t="str">
        <f>TEXT(A714,"dddd")</f>
        <v>Tuesday</v>
      </c>
    </row>
    <row r="715" spans="1:19" x14ac:dyDescent="0.25">
      <c r="A715" s="226">
        <v>46736</v>
      </c>
      <c r="B715" s="227">
        <f>O714</f>
        <v>100</v>
      </c>
      <c r="C715" s="228">
        <f>P714</f>
        <v>100</v>
      </c>
      <c r="D715" s="228">
        <f>IF(OR(DAY(A715+2)=1,DAY(A715+2)=15),-SUM('Main Budget'!$H$26:$H$31),0)</f>
        <v>0</v>
      </c>
      <c r="E715" s="228">
        <f>IF(DAY(A715+2)=22,-SUM('Main Budget'!$F$26:$F$31),0)</f>
        <v>0</v>
      </c>
      <c r="F715" s="228">
        <f>IF(D715&gt;0,-'Main Budget'!$H$25+0.15,0)</f>
        <v>0</v>
      </c>
      <c r="G715" s="228">
        <f>IF(E715&gt;0,-'Main Budget'!$F$25+0.81,0)</f>
        <v>0</v>
      </c>
      <c r="H715" s="227">
        <f>IF(DAY(A715)='Main Budget'!$J$26,'Main Budget'!$E$26,0)</f>
        <v>0</v>
      </c>
      <c r="I715" s="227">
        <f>IF(DAY(A715)='Main Budget'!$J$28,'Main Budget'!$E$28,0)</f>
        <v>0</v>
      </c>
      <c r="J715" s="227">
        <f>IF(DAY(A715)='Main Budget'!$J$29,'Main Budget'!$E$29,0)</f>
        <v>0</v>
      </c>
      <c r="K715" s="20">
        <f>IF(DAY(A715)='Main Budget'!$J$30,'Main Budget'!$E$30,0)</f>
        <v>0</v>
      </c>
      <c r="L715" s="20">
        <f>IF(DAY(A715)='Main Budget'!$J$31,'Main Budget'!$E$31,0)</f>
        <v>0</v>
      </c>
      <c r="M715" s="20">
        <f>IF(DAY(A715)='Main Budget'!$J$27,'Main Budget'!$E$27,0)</f>
        <v>0</v>
      </c>
      <c r="O715" s="228">
        <f>B715+(SUM(H715:M715)+(SUM(D715:E715)))</f>
        <v>100</v>
      </c>
      <c r="P715" s="228">
        <f>C715+F715+G715+N715</f>
        <v>100</v>
      </c>
      <c r="Q715" s="252">
        <f>O715+P715</f>
        <v>200</v>
      </c>
      <c r="S715" s="231" t="str">
        <f>TEXT(A715,"dddd")</f>
        <v>Wednesday</v>
      </c>
    </row>
    <row r="716" spans="1:19" x14ac:dyDescent="0.25">
      <c r="A716" s="226">
        <v>46737</v>
      </c>
      <c r="B716" s="227">
        <f>O715</f>
        <v>100</v>
      </c>
      <c r="C716" s="228">
        <f>P715</f>
        <v>100</v>
      </c>
      <c r="D716" s="228">
        <f>IF(OR(DAY(A716+2)=1,DAY(A716+2)=15),-SUM('Main Budget'!$H$26:$H$31),0)</f>
        <v>0</v>
      </c>
      <c r="E716" s="228">
        <f>IF(DAY(A716+2)=22,-SUM('Main Budget'!$F$26:$F$31),0)</f>
        <v>0</v>
      </c>
      <c r="F716" s="228">
        <f>IF(D716&gt;0,-'Main Budget'!$H$25+0.15,0)</f>
        <v>0</v>
      </c>
      <c r="G716" s="228">
        <f>IF(E716&gt;0,-'Main Budget'!$F$25+0.81,0)</f>
        <v>0</v>
      </c>
      <c r="H716" s="227">
        <f>IF(DAY(A716)='Main Budget'!$J$26,'Main Budget'!$E$26,0)</f>
        <v>0</v>
      </c>
      <c r="I716" s="227">
        <f>IF(DAY(A716)='Main Budget'!$J$28,'Main Budget'!$E$28,0)</f>
        <v>0</v>
      </c>
      <c r="J716" s="227">
        <f>IF(DAY(A716)='Main Budget'!$J$29,'Main Budget'!$E$29,0)</f>
        <v>0</v>
      </c>
      <c r="K716" s="20">
        <f>IF(DAY(A716)='Main Budget'!$J$30,'Main Budget'!$E$30,0)</f>
        <v>0</v>
      </c>
      <c r="L716" s="20">
        <f>IF(DAY(A716)='Main Budget'!$J$31,'Main Budget'!$E$31,0)</f>
        <v>0</v>
      </c>
      <c r="M716" s="20">
        <f>IF(DAY(A716)='Main Budget'!$J$27,'Main Budget'!$E$27,0)</f>
        <v>0</v>
      </c>
      <c r="O716" s="228">
        <f>B716+(SUM(H716:M716)+(SUM(D716:E716)))</f>
        <v>100</v>
      </c>
      <c r="P716" s="228">
        <f>C716+F716+G716+N716</f>
        <v>100</v>
      </c>
      <c r="Q716" s="252">
        <f>O716+P716</f>
        <v>200</v>
      </c>
      <c r="S716" s="231" t="str">
        <f>TEXT(A716,"dddd")</f>
        <v>Thursday</v>
      </c>
    </row>
    <row r="717" spans="1:19" x14ac:dyDescent="0.25">
      <c r="A717" s="226">
        <v>46738</v>
      </c>
      <c r="B717" s="227">
        <f>O716</f>
        <v>100</v>
      </c>
      <c r="C717" s="228">
        <f>P716</f>
        <v>100</v>
      </c>
      <c r="D717" s="228">
        <f>IF(OR(DAY(A717+2)=1,DAY(A717+2)=15),-SUM('Main Budget'!$H$26:$H$31),0)</f>
        <v>0</v>
      </c>
      <c r="E717" s="228">
        <f>IF(DAY(A717+2)=22,-SUM('Main Budget'!$F$26:$F$31),0)</f>
        <v>0</v>
      </c>
      <c r="F717" s="228">
        <f>IF(D717&gt;0,-'Main Budget'!$H$25+0.15,0)</f>
        <v>0</v>
      </c>
      <c r="G717" s="228">
        <f>IF(E717&gt;0,-'Main Budget'!$F$25+0.81,0)</f>
        <v>0</v>
      </c>
      <c r="H717" s="227">
        <f>IF(DAY(A717)='Main Budget'!$J$26,'Main Budget'!$E$26,0)</f>
        <v>0</v>
      </c>
      <c r="I717" s="227">
        <f>IF(DAY(A717)='Main Budget'!$J$28,'Main Budget'!$E$28,0)</f>
        <v>0</v>
      </c>
      <c r="J717" s="227">
        <f>IF(DAY(A717)='Main Budget'!$J$29,'Main Budget'!$E$29,0)</f>
        <v>0</v>
      </c>
      <c r="K717" s="20">
        <f>IF(DAY(A717)='Main Budget'!$J$30,'Main Budget'!$E$30,0)</f>
        <v>0</v>
      </c>
      <c r="L717" s="20">
        <f>IF(DAY(A717)='Main Budget'!$J$31,'Main Budget'!$E$31,0)</f>
        <v>0</v>
      </c>
      <c r="M717" s="20">
        <f>IF(DAY(A717)='Main Budget'!$J$27,'Main Budget'!$E$27,0)</f>
        <v>0</v>
      </c>
      <c r="O717" s="228">
        <f>B717+(SUM(H717:M717)+(SUM(D717:E717)))</f>
        <v>100</v>
      </c>
      <c r="P717" s="228">
        <f>C717+F717+G717+N717</f>
        <v>100</v>
      </c>
      <c r="Q717" s="252">
        <f>O717+P717</f>
        <v>200</v>
      </c>
      <c r="S717" s="231" t="str">
        <f>TEXT(A717,"dddd")</f>
        <v>Friday</v>
      </c>
    </row>
    <row r="718" spans="1:19" x14ac:dyDescent="0.25">
      <c r="A718" s="226">
        <v>46739</v>
      </c>
      <c r="B718" s="227">
        <f>O717</f>
        <v>100</v>
      </c>
      <c r="C718" s="228">
        <f>P717</f>
        <v>100</v>
      </c>
      <c r="D718" s="228">
        <f>IF(OR(DAY(A718+2)=1,DAY(A718+2)=15),-SUM('Main Budget'!$H$26:$H$31),0)</f>
        <v>0</v>
      </c>
      <c r="E718" s="228">
        <f>IF(DAY(A718+2)=22,-SUM('Main Budget'!$F$26:$F$31),0)</f>
        <v>0</v>
      </c>
      <c r="F718" s="228">
        <f>IF(D718&gt;0,-'Main Budget'!$H$25+0.15,0)</f>
        <v>0</v>
      </c>
      <c r="G718" s="228">
        <f>IF(E718&gt;0,-'Main Budget'!$F$25+0.81,0)</f>
        <v>0</v>
      </c>
      <c r="H718" s="227">
        <f>IF(DAY(A718)='Main Budget'!$J$26,'Main Budget'!$E$26,0)</f>
        <v>0</v>
      </c>
      <c r="I718" s="227">
        <f>IF(DAY(A718)='Main Budget'!$J$28,'Main Budget'!$E$28,0)</f>
        <v>0</v>
      </c>
      <c r="J718" s="227">
        <f>IF(DAY(A718)='Main Budget'!$J$29,'Main Budget'!$E$29,0)</f>
        <v>0</v>
      </c>
      <c r="K718" s="20">
        <f>IF(DAY(A718)='Main Budget'!$J$30,'Main Budget'!$E$30,0)</f>
        <v>0</v>
      </c>
      <c r="L718" s="20">
        <f>IF(DAY(A718)='Main Budget'!$J$31,'Main Budget'!$E$31,0)</f>
        <v>0</v>
      </c>
      <c r="M718" s="20">
        <f>IF(DAY(A718)='Main Budget'!$J$27,'Main Budget'!$E$27,0)</f>
        <v>0</v>
      </c>
      <c r="O718" s="228">
        <f>B718+(SUM(H718:M718)+(SUM(D718:E718)))</f>
        <v>100</v>
      </c>
      <c r="P718" s="228">
        <f>C718+F718+G718+N718</f>
        <v>100</v>
      </c>
      <c r="Q718" s="252">
        <f>O718+P718</f>
        <v>200</v>
      </c>
      <c r="S718" s="231" t="str">
        <f>TEXT(A718,"dddd")</f>
        <v>Saturday</v>
      </c>
    </row>
    <row r="719" spans="1:19" x14ac:dyDescent="0.25">
      <c r="A719" s="226">
        <v>46740</v>
      </c>
      <c r="B719" s="227">
        <f>O718</f>
        <v>100</v>
      </c>
      <c r="C719" s="228">
        <f>P718</f>
        <v>100</v>
      </c>
      <c r="D719" s="228">
        <f>IF(OR(DAY(A719+2)=1,DAY(A719+2)=15),-SUM('Main Budget'!$H$26:$H$31),0)</f>
        <v>0</v>
      </c>
      <c r="E719" s="228">
        <f>IF(DAY(A719+2)=22,-SUM('Main Budget'!$F$26:$F$31),0)</f>
        <v>0</v>
      </c>
      <c r="F719" s="228">
        <f>IF(D719&gt;0,-'Main Budget'!$H$25+0.15,0)</f>
        <v>0</v>
      </c>
      <c r="G719" s="228">
        <f>IF(E719&gt;0,-'Main Budget'!$F$25+0.81,0)</f>
        <v>0</v>
      </c>
      <c r="H719" s="227">
        <f>IF(DAY(A719)='Main Budget'!$J$26,'Main Budget'!$E$26,0)</f>
        <v>0</v>
      </c>
      <c r="I719" s="227">
        <f>IF(DAY(A719)='Main Budget'!$J$28,'Main Budget'!$E$28,0)</f>
        <v>0</v>
      </c>
      <c r="J719" s="227">
        <f>IF(DAY(A719)='Main Budget'!$J$29,'Main Budget'!$E$29,0)</f>
        <v>0</v>
      </c>
      <c r="K719" s="20">
        <f>IF(DAY(A719)='Main Budget'!$J$30,'Main Budget'!$E$30,0)</f>
        <v>0</v>
      </c>
      <c r="L719" s="20">
        <f>IF(DAY(A719)='Main Budget'!$J$31,'Main Budget'!$E$31,0)</f>
        <v>0</v>
      </c>
      <c r="M719" s="20">
        <f>IF(DAY(A719)='Main Budget'!$J$27,'Main Budget'!$E$27,0)</f>
        <v>0</v>
      </c>
      <c r="O719" s="228">
        <f>B719+(SUM(H719:M719)+(SUM(D719:E719)))</f>
        <v>100</v>
      </c>
      <c r="P719" s="228">
        <f>C719+F719+G719+N719</f>
        <v>100</v>
      </c>
      <c r="Q719" s="252">
        <f>O719+P719</f>
        <v>200</v>
      </c>
      <c r="S719" s="231" t="str">
        <f>TEXT(A719,"dddd")</f>
        <v>Sunday</v>
      </c>
    </row>
    <row r="720" spans="1:19" x14ac:dyDescent="0.25">
      <c r="A720" s="226">
        <v>46741</v>
      </c>
      <c r="B720" s="227">
        <f>O719</f>
        <v>100</v>
      </c>
      <c r="C720" s="228">
        <f>P719</f>
        <v>100</v>
      </c>
      <c r="D720" s="228">
        <f>IF(OR(DAY(A720+2)=1,DAY(A720+2)=15),-SUM('Main Budget'!$H$26:$H$31),0)</f>
        <v>0</v>
      </c>
      <c r="E720" s="228">
        <f>IF(DAY(A720+2)=22,-SUM('Main Budget'!$F$26:$F$31),0)</f>
        <v>0</v>
      </c>
      <c r="F720" s="228">
        <f>IF(D720&gt;0,-'Main Budget'!$H$25+0.15,0)</f>
        <v>0</v>
      </c>
      <c r="G720" s="228">
        <f>IF(E720&gt;0,-'Main Budget'!$F$25+0.81,0)</f>
        <v>0</v>
      </c>
      <c r="H720" s="227">
        <f>IF(DAY(A720)='Main Budget'!$J$26,'Main Budget'!$E$26,0)</f>
        <v>0</v>
      </c>
      <c r="I720" s="227">
        <f>IF(DAY(A720)='Main Budget'!$J$28,'Main Budget'!$E$28,0)</f>
        <v>0</v>
      </c>
      <c r="J720" s="227">
        <f>IF(DAY(A720)='Main Budget'!$J$29,'Main Budget'!$E$29,0)</f>
        <v>0</v>
      </c>
      <c r="K720" s="20">
        <f>IF(DAY(A720)='Main Budget'!$J$30,'Main Budget'!$E$30,0)</f>
        <v>0</v>
      </c>
      <c r="L720" s="20">
        <f>IF(DAY(A720)='Main Budget'!$J$31,'Main Budget'!$E$31,0)</f>
        <v>0</v>
      </c>
      <c r="M720" s="20">
        <f>IF(DAY(A720)='Main Budget'!$J$27,'Main Budget'!$E$27,0)</f>
        <v>0</v>
      </c>
      <c r="O720" s="228">
        <f>B720+(SUM(H720:M720)+(SUM(D720:E720)))</f>
        <v>100</v>
      </c>
      <c r="P720" s="228">
        <f>C720+F720+G720+N720</f>
        <v>100</v>
      </c>
      <c r="Q720" s="252">
        <f>O720+P720</f>
        <v>200</v>
      </c>
      <c r="S720" s="231" t="str">
        <f>TEXT(A720,"dddd")</f>
        <v>Monday</v>
      </c>
    </row>
    <row r="721" spans="1:19" x14ac:dyDescent="0.25">
      <c r="A721" s="226">
        <v>46742</v>
      </c>
      <c r="B721" s="227">
        <f>O720</f>
        <v>100</v>
      </c>
      <c r="C721" s="228">
        <f>P720</f>
        <v>100</v>
      </c>
      <c r="D721" s="228">
        <f>IF(OR(DAY(A721+2)=1,DAY(A721+2)=15),-SUM('Main Budget'!$H$26:$H$31),0)</f>
        <v>0</v>
      </c>
      <c r="E721" s="228">
        <f>IF(DAY(A721+2)=22,-SUM('Main Budget'!$F$26:$F$31),0)</f>
        <v>0</v>
      </c>
      <c r="F721" s="228">
        <f>IF(D721&gt;0,-'Main Budget'!$H$25+0.15,0)</f>
        <v>0</v>
      </c>
      <c r="G721" s="228">
        <f>IF(E721&gt;0,-'Main Budget'!$F$25+0.81,0)</f>
        <v>0</v>
      </c>
      <c r="H721" s="227">
        <f>IF(DAY(A721)='Main Budget'!$J$26,'Main Budget'!$E$26,0)</f>
        <v>0</v>
      </c>
      <c r="I721" s="227">
        <f>IF(DAY(A721)='Main Budget'!$J$28,'Main Budget'!$E$28,0)</f>
        <v>0</v>
      </c>
      <c r="J721" s="227">
        <f>IF(DAY(A721)='Main Budget'!$J$29,'Main Budget'!$E$29,0)</f>
        <v>0</v>
      </c>
      <c r="K721" s="20">
        <f>IF(DAY(A721)='Main Budget'!$J$30,'Main Budget'!$E$30,0)</f>
        <v>0</v>
      </c>
      <c r="L721" s="20">
        <f>IF(DAY(A721)='Main Budget'!$J$31,'Main Budget'!$E$31,0)</f>
        <v>0</v>
      </c>
      <c r="M721" s="20">
        <f>IF(DAY(A721)='Main Budget'!$J$27,'Main Budget'!$E$27,0)</f>
        <v>0</v>
      </c>
      <c r="O721" s="228">
        <f>B721+(SUM(H721:M721)+(SUM(D721:E721)))</f>
        <v>100</v>
      </c>
      <c r="P721" s="228">
        <f>C721+F721+G721+N721</f>
        <v>100</v>
      </c>
      <c r="Q721" s="252">
        <f>O721+P721</f>
        <v>200</v>
      </c>
      <c r="S721" s="231" t="str">
        <f>TEXT(A721,"dddd")</f>
        <v>Tuesday</v>
      </c>
    </row>
    <row r="722" spans="1:19" x14ac:dyDescent="0.25">
      <c r="A722" s="226">
        <v>46743</v>
      </c>
      <c r="B722" s="227">
        <f>O721</f>
        <v>100</v>
      </c>
      <c r="C722" s="228">
        <f>P721</f>
        <v>100</v>
      </c>
      <c r="D722" s="228">
        <f>IF(OR(DAY(A722+2)=1,DAY(A722+2)=15),-SUM('Main Budget'!$H$26:$H$31),0)</f>
        <v>0</v>
      </c>
      <c r="E722" s="228">
        <f>IF(DAY(A722+2)=22,-SUM('Main Budget'!$F$26:$F$31),0)</f>
        <v>0</v>
      </c>
      <c r="F722" s="228">
        <f>IF(D722&gt;0,-'Main Budget'!$H$25+0.15,0)</f>
        <v>0</v>
      </c>
      <c r="G722" s="228">
        <f>IF(E722&gt;0,-'Main Budget'!$F$25+0.81,0)</f>
        <v>0</v>
      </c>
      <c r="H722" s="227">
        <f>IF(DAY(A722)='Main Budget'!$J$26,'Main Budget'!$E$26,0)</f>
        <v>0</v>
      </c>
      <c r="I722" s="227">
        <f>IF(DAY(A722)='Main Budget'!$J$28,'Main Budget'!$E$28,0)</f>
        <v>0</v>
      </c>
      <c r="J722" s="227">
        <f>IF(DAY(A722)='Main Budget'!$J$29,'Main Budget'!$E$29,0)</f>
        <v>0</v>
      </c>
      <c r="K722" s="20">
        <f>IF(DAY(A722)='Main Budget'!$J$30,'Main Budget'!$E$30,0)</f>
        <v>0</v>
      </c>
      <c r="L722" s="20">
        <f>IF(DAY(A722)='Main Budget'!$J$31,'Main Budget'!$E$31,0)</f>
        <v>0</v>
      </c>
      <c r="M722" s="20">
        <f>IF(DAY(A722)='Main Budget'!$J$27,'Main Budget'!$E$27,0)</f>
        <v>0</v>
      </c>
      <c r="O722" s="228">
        <f>B722+(SUM(H722:M722)+(SUM(D722:E722)))</f>
        <v>100</v>
      </c>
      <c r="P722" s="228">
        <f>C722+F722+G722+N722</f>
        <v>100</v>
      </c>
      <c r="Q722" s="252">
        <f>O722+P722</f>
        <v>200</v>
      </c>
      <c r="S722" s="231" t="str">
        <f>TEXT(A722,"dddd")</f>
        <v>Wednesday</v>
      </c>
    </row>
    <row r="723" spans="1:19" x14ac:dyDescent="0.25">
      <c r="A723" s="226">
        <v>46744</v>
      </c>
      <c r="B723" s="227">
        <f>O722</f>
        <v>100</v>
      </c>
      <c r="C723" s="228">
        <f>P722</f>
        <v>100</v>
      </c>
      <c r="D723" s="228">
        <f>IF(OR(DAY(A723+2)=1,DAY(A723+2)=15),-SUM('Main Budget'!$H$26:$H$31),0)</f>
        <v>0</v>
      </c>
      <c r="E723" s="228">
        <f>IF(DAY(A723+2)=22,-SUM('Main Budget'!$F$26:$F$31),0)</f>
        <v>0</v>
      </c>
      <c r="F723" s="228">
        <f>IF(D723&gt;0,-'Main Budget'!$H$25+0.15,0)</f>
        <v>0</v>
      </c>
      <c r="G723" s="228">
        <f>IF(E723&gt;0,-'Main Budget'!$F$25+0.81,0)</f>
        <v>0</v>
      </c>
      <c r="H723" s="227">
        <f>IF(DAY(A723)='Main Budget'!$J$26,'Main Budget'!$E$26,0)</f>
        <v>0</v>
      </c>
      <c r="I723" s="227">
        <f>IF(DAY(A723)='Main Budget'!$J$28,'Main Budget'!$E$28,0)</f>
        <v>0</v>
      </c>
      <c r="J723" s="227">
        <f>IF(DAY(A723)='Main Budget'!$J$29,'Main Budget'!$E$29,0)</f>
        <v>0</v>
      </c>
      <c r="K723" s="20">
        <f>IF(DAY(A723)='Main Budget'!$J$30,'Main Budget'!$E$30,0)</f>
        <v>0</v>
      </c>
      <c r="L723" s="20">
        <f>IF(DAY(A723)='Main Budget'!$J$31,'Main Budget'!$E$31,0)</f>
        <v>0</v>
      </c>
      <c r="M723" s="20">
        <f>IF(DAY(A723)='Main Budget'!$J$27,'Main Budget'!$E$27,0)</f>
        <v>0</v>
      </c>
      <c r="O723" s="228">
        <f>B723+(SUM(H723:M723)+(SUM(D723:E723)))</f>
        <v>100</v>
      </c>
      <c r="P723" s="228">
        <f>C723+F723+G723+N723</f>
        <v>100</v>
      </c>
      <c r="Q723" s="252">
        <f>O723+P723</f>
        <v>200</v>
      </c>
      <c r="S723" s="231" t="str">
        <f>TEXT(A723,"dddd")</f>
        <v>Thursday</v>
      </c>
    </row>
    <row r="724" spans="1:19" x14ac:dyDescent="0.25">
      <c r="A724" s="226">
        <v>46745</v>
      </c>
      <c r="B724" s="227">
        <f>O723</f>
        <v>100</v>
      </c>
      <c r="C724" s="228">
        <f>P723</f>
        <v>100</v>
      </c>
      <c r="D724" s="228">
        <f>IF(OR(DAY(A724+2)=1,DAY(A724+2)=15),-SUM('Main Budget'!$H$26:$H$31),0)</f>
        <v>0</v>
      </c>
      <c r="E724" s="228">
        <f>IF(DAY(A724+2)=22,-SUM('Main Budget'!$F$26:$F$31),0)</f>
        <v>0</v>
      </c>
      <c r="F724" s="228">
        <f>IF(D724&gt;0,-'Main Budget'!$H$25+0.15,0)</f>
        <v>0</v>
      </c>
      <c r="G724" s="228">
        <f>IF(E724&gt;0,-'Main Budget'!$F$25+0.81,0)</f>
        <v>0</v>
      </c>
      <c r="H724" s="227">
        <f>IF(DAY(A724)='Main Budget'!$J$26,'Main Budget'!$E$26,0)</f>
        <v>0</v>
      </c>
      <c r="I724" s="227">
        <f>IF(DAY(A724)='Main Budget'!$J$28,'Main Budget'!$E$28,0)</f>
        <v>0</v>
      </c>
      <c r="J724" s="227">
        <f>IF(DAY(A724)='Main Budget'!$J$29,'Main Budget'!$E$29,0)</f>
        <v>0</v>
      </c>
      <c r="K724" s="20">
        <f>IF(DAY(A724)='Main Budget'!$J$30,'Main Budget'!$E$30,0)</f>
        <v>0</v>
      </c>
      <c r="L724" s="20">
        <f>IF(DAY(A724)='Main Budget'!$J$31,'Main Budget'!$E$31,0)</f>
        <v>0</v>
      </c>
      <c r="M724" s="20">
        <f>IF(DAY(A724)='Main Budget'!$J$27,'Main Budget'!$E$27,0)</f>
        <v>0</v>
      </c>
      <c r="O724" s="228">
        <f>B724+(SUM(H724:M724)+(SUM(D724:E724)))</f>
        <v>100</v>
      </c>
      <c r="P724" s="228">
        <f>C724+F724+G724+N724</f>
        <v>100</v>
      </c>
      <c r="Q724" s="252">
        <f>O724+P724</f>
        <v>200</v>
      </c>
      <c r="S724" s="231" t="str">
        <f>TEXT(A724,"dddd")</f>
        <v>Friday</v>
      </c>
    </row>
    <row r="725" spans="1:19" x14ac:dyDescent="0.25">
      <c r="A725" s="226">
        <v>46746</v>
      </c>
      <c r="B725" s="227">
        <f>O724</f>
        <v>100</v>
      </c>
      <c r="C725" s="228">
        <f>P724</f>
        <v>100</v>
      </c>
      <c r="D725" s="228">
        <f>IF(OR(DAY(A725+2)=1,DAY(A725+2)=15),-SUM('Main Budget'!$H$26:$H$31),0)</f>
        <v>0</v>
      </c>
      <c r="E725" s="228">
        <f>IF(DAY(A725+2)=22,-SUM('Main Budget'!$F$26:$F$31),0)</f>
        <v>0</v>
      </c>
      <c r="F725" s="228">
        <f>IF(D725&gt;0,-'Main Budget'!$H$25+0.15,0)</f>
        <v>0</v>
      </c>
      <c r="G725" s="228">
        <f>IF(E725&gt;0,-'Main Budget'!$F$25+0.81,0)</f>
        <v>0</v>
      </c>
      <c r="H725" s="227">
        <f>IF(DAY(A725)='Main Budget'!$J$26,'Main Budget'!$E$26,0)</f>
        <v>0</v>
      </c>
      <c r="I725" s="227">
        <f>IF(DAY(A725)='Main Budget'!$J$28,'Main Budget'!$E$28,0)</f>
        <v>0</v>
      </c>
      <c r="J725" s="227">
        <f>IF(DAY(A725)='Main Budget'!$J$29,'Main Budget'!$E$29,0)</f>
        <v>0</v>
      </c>
      <c r="K725" s="20">
        <f>IF(DAY(A725)='Main Budget'!$J$30,'Main Budget'!$E$30,0)</f>
        <v>0</v>
      </c>
      <c r="L725" s="20">
        <f>IF(DAY(A725)='Main Budget'!$J$31,'Main Budget'!$E$31,0)</f>
        <v>0</v>
      </c>
      <c r="M725" s="20">
        <f>IF(DAY(A725)='Main Budget'!$J$27,'Main Budget'!$E$27,0)</f>
        <v>0</v>
      </c>
      <c r="O725" s="228">
        <f>B725+(SUM(H725:M725)+(SUM(D725:E725)))</f>
        <v>100</v>
      </c>
      <c r="P725" s="228">
        <f>C725+F725+G725+N725</f>
        <v>100</v>
      </c>
      <c r="Q725" s="252">
        <f>O725+P725</f>
        <v>200</v>
      </c>
      <c r="S725" s="231" t="str">
        <f>TEXT(A725,"dddd")</f>
        <v>Saturday</v>
      </c>
    </row>
    <row r="726" spans="1:19" x14ac:dyDescent="0.25">
      <c r="A726" s="226">
        <v>46747</v>
      </c>
      <c r="B726" s="227">
        <f>O725</f>
        <v>100</v>
      </c>
      <c r="C726" s="228">
        <f>P725</f>
        <v>100</v>
      </c>
      <c r="D726" s="228">
        <f>IF(OR(DAY(A726+2)=1,DAY(A726+2)=15),-SUM('Main Budget'!$H$26:$H$31),0)</f>
        <v>0</v>
      </c>
      <c r="E726" s="228">
        <f>IF(DAY(A726+2)=22,-SUM('Main Budget'!$F$26:$F$31),0)</f>
        <v>0</v>
      </c>
      <c r="F726" s="228">
        <f>IF(D726&gt;0,-'Main Budget'!$H$25+0.15,0)</f>
        <v>0</v>
      </c>
      <c r="G726" s="228">
        <f>IF(E726&gt;0,-'Main Budget'!$F$25+0.81,0)</f>
        <v>0</v>
      </c>
      <c r="H726" s="227">
        <f>IF(DAY(A726)='Main Budget'!$J$26,'Main Budget'!$E$26,0)</f>
        <v>0</v>
      </c>
      <c r="I726" s="227">
        <f>IF(DAY(A726)='Main Budget'!$J$28,'Main Budget'!$E$28,0)</f>
        <v>0</v>
      </c>
      <c r="J726" s="227">
        <f>IF(DAY(A726)='Main Budget'!$J$29,'Main Budget'!$E$29,0)</f>
        <v>0</v>
      </c>
      <c r="K726" s="20">
        <f>IF(DAY(A726)='Main Budget'!$J$30,'Main Budget'!$E$30,0)</f>
        <v>0</v>
      </c>
      <c r="L726" s="20">
        <f>IF(DAY(A726)='Main Budget'!$J$31,'Main Budget'!$E$31,0)</f>
        <v>0</v>
      </c>
      <c r="M726" s="20">
        <f>IF(DAY(A726)='Main Budget'!$J$27,'Main Budget'!$E$27,0)</f>
        <v>0</v>
      </c>
      <c r="O726" s="228">
        <f>B726+(SUM(H726:M726)+(SUM(D726:E726)))</f>
        <v>100</v>
      </c>
      <c r="P726" s="228">
        <f>C726+F726+G726+N726</f>
        <v>100</v>
      </c>
      <c r="Q726" s="252">
        <f>O726+P726</f>
        <v>200</v>
      </c>
      <c r="S726" s="231" t="str">
        <f>TEXT(A726,"dddd")</f>
        <v>Sunday</v>
      </c>
    </row>
    <row r="727" spans="1:19" x14ac:dyDescent="0.25">
      <c r="A727" s="226">
        <v>46748</v>
      </c>
      <c r="B727" s="227">
        <f>O726</f>
        <v>100</v>
      </c>
      <c r="C727" s="228">
        <f>P726</f>
        <v>100</v>
      </c>
      <c r="D727" s="228">
        <f>IF(OR(DAY(A727+2)=1,DAY(A727+2)=15),-SUM('Main Budget'!$H$26:$H$31),0)</f>
        <v>0</v>
      </c>
      <c r="E727" s="228">
        <f>IF(DAY(A727+2)=22,-SUM('Main Budget'!$F$26:$F$31),0)</f>
        <v>0</v>
      </c>
      <c r="F727" s="228">
        <f>IF(D727&gt;0,-'Main Budget'!$H$25+0.15,0)</f>
        <v>0</v>
      </c>
      <c r="G727" s="228">
        <f>IF(E727&gt;0,-'Main Budget'!$F$25+0.81,0)</f>
        <v>0</v>
      </c>
      <c r="H727" s="227">
        <f>IF(DAY(A727)='Main Budget'!$J$26,'Main Budget'!$E$26,0)</f>
        <v>0</v>
      </c>
      <c r="I727" s="227">
        <f>IF(DAY(A727)='Main Budget'!$J$28,'Main Budget'!$E$28,0)</f>
        <v>0</v>
      </c>
      <c r="J727" s="227">
        <f>IF(DAY(A727)='Main Budget'!$J$29,'Main Budget'!$E$29,0)</f>
        <v>0</v>
      </c>
      <c r="K727" s="20">
        <f>IF(DAY(A727)='Main Budget'!$J$30,'Main Budget'!$E$30,0)</f>
        <v>0</v>
      </c>
      <c r="L727" s="20">
        <f>IF(DAY(A727)='Main Budget'!$J$31,'Main Budget'!$E$31,0)</f>
        <v>0</v>
      </c>
      <c r="M727" s="20">
        <f>IF(DAY(A727)='Main Budget'!$J$27,'Main Budget'!$E$27,0)</f>
        <v>0</v>
      </c>
      <c r="O727" s="228">
        <f>B727+(SUM(H727:M727)+(SUM(D727:E727)))</f>
        <v>100</v>
      </c>
      <c r="P727" s="228">
        <f>C727+F727+G727+N727</f>
        <v>100</v>
      </c>
      <c r="Q727" s="252">
        <f>O727+P727</f>
        <v>200</v>
      </c>
      <c r="S727" s="231" t="str">
        <f>TEXT(A727,"dddd")</f>
        <v>Monday</v>
      </c>
    </row>
    <row r="728" spans="1:19" x14ac:dyDescent="0.25">
      <c r="A728" s="226">
        <v>46749</v>
      </c>
      <c r="B728" s="227">
        <f>O727</f>
        <v>100</v>
      </c>
      <c r="C728" s="228">
        <f>P727</f>
        <v>100</v>
      </c>
      <c r="D728" s="228">
        <f>IF(OR(DAY(A728+2)=1,DAY(A728+2)=15),-SUM('Main Budget'!$H$26:$H$31),0)</f>
        <v>0</v>
      </c>
      <c r="E728" s="228">
        <f>IF(DAY(A728+2)=22,-SUM('Main Budget'!$F$26:$F$31),0)</f>
        <v>0</v>
      </c>
      <c r="F728" s="228">
        <f>IF(D728&gt;0,-'Main Budget'!$H$25+0.15,0)</f>
        <v>0</v>
      </c>
      <c r="G728" s="228">
        <f>IF(E728&gt;0,-'Main Budget'!$F$25+0.81,0)</f>
        <v>0</v>
      </c>
      <c r="H728" s="227">
        <f>IF(DAY(A728)='Main Budget'!$J$26,'Main Budget'!$E$26,0)</f>
        <v>0</v>
      </c>
      <c r="I728" s="227">
        <f>IF(DAY(A728)='Main Budget'!$J$28,'Main Budget'!$E$28,0)</f>
        <v>0</v>
      </c>
      <c r="J728" s="227">
        <f>IF(DAY(A728)='Main Budget'!$J$29,'Main Budget'!$E$29,0)</f>
        <v>0</v>
      </c>
      <c r="K728" s="20">
        <f>IF(DAY(A728)='Main Budget'!$J$30,'Main Budget'!$E$30,0)</f>
        <v>0</v>
      </c>
      <c r="L728" s="20">
        <f>IF(DAY(A728)='Main Budget'!$J$31,'Main Budget'!$E$31,0)</f>
        <v>0</v>
      </c>
      <c r="M728" s="20">
        <f>IF(DAY(A728)='Main Budget'!$J$27,'Main Budget'!$E$27,0)</f>
        <v>0</v>
      </c>
      <c r="O728" s="228">
        <f>B728+(SUM(H728:M728)+(SUM(D728:E728)))</f>
        <v>100</v>
      </c>
      <c r="P728" s="228">
        <f>C728+F728+G728+N728</f>
        <v>100</v>
      </c>
      <c r="Q728" s="252">
        <f>O728+P728</f>
        <v>200</v>
      </c>
      <c r="S728" s="231" t="str">
        <f>TEXT(A728,"dddd")</f>
        <v>Tuesday</v>
      </c>
    </row>
    <row r="729" spans="1:19" x14ac:dyDescent="0.25">
      <c r="A729" s="226">
        <v>46750</v>
      </c>
      <c r="B729" s="227">
        <f>O728</f>
        <v>100</v>
      </c>
      <c r="C729" s="228">
        <f>P728</f>
        <v>100</v>
      </c>
      <c r="D729" s="228">
        <f>IF(OR(DAY(A729+2)=1,DAY(A729+2)=15),-SUM('Main Budget'!$H$26:$H$31),0)</f>
        <v>0</v>
      </c>
      <c r="E729" s="228">
        <f>IF(DAY(A729+2)=22,-SUM('Main Budget'!$F$26:$F$31),0)</f>
        <v>0</v>
      </c>
      <c r="F729" s="228">
        <f>IF(D729&gt;0,-'Main Budget'!$H$25+0.15,0)</f>
        <v>0</v>
      </c>
      <c r="G729" s="228">
        <f>IF(E729&gt;0,-'Main Budget'!$F$25+0.81,0)</f>
        <v>0</v>
      </c>
      <c r="H729" s="227">
        <f>IF(DAY(A729)='Main Budget'!$J$26,'Main Budget'!$E$26,0)</f>
        <v>0</v>
      </c>
      <c r="I729" s="227">
        <f>IF(DAY(A729)='Main Budget'!$J$28,'Main Budget'!$E$28,0)</f>
        <v>0</v>
      </c>
      <c r="J729" s="227">
        <f>IF(DAY(A729)='Main Budget'!$J$29,'Main Budget'!$E$29,0)</f>
        <v>0</v>
      </c>
      <c r="K729" s="20">
        <f>IF(DAY(A729)='Main Budget'!$J$30,'Main Budget'!$E$30,0)</f>
        <v>0</v>
      </c>
      <c r="L729" s="20">
        <f>IF(DAY(A729)='Main Budget'!$J$31,'Main Budget'!$E$31,0)</f>
        <v>0</v>
      </c>
      <c r="M729" s="20">
        <f>IF(DAY(A729)='Main Budget'!$J$27,'Main Budget'!$E$27,0)</f>
        <v>0</v>
      </c>
      <c r="O729" s="228">
        <f>B729+(SUM(H729:M729)+(SUM(D729:E729)))</f>
        <v>100</v>
      </c>
      <c r="P729" s="228">
        <f>C729+F729+G729+N729</f>
        <v>100</v>
      </c>
      <c r="Q729" s="252">
        <f>O729+P729</f>
        <v>200</v>
      </c>
      <c r="S729" s="231" t="str">
        <f>TEXT(A729,"dddd")</f>
        <v>Wednesday</v>
      </c>
    </row>
    <row r="730" spans="1:19" x14ac:dyDescent="0.25">
      <c r="A730" s="226">
        <v>46751</v>
      </c>
      <c r="B730" s="227">
        <f>O729</f>
        <v>100</v>
      </c>
      <c r="C730" s="228">
        <f>P729</f>
        <v>100</v>
      </c>
      <c r="D730" s="228">
        <f>IF(OR(DAY(A730+2)=1,DAY(A730+2)=15),-SUM('Main Budget'!$H$26:$H$31),0)</f>
        <v>0</v>
      </c>
      <c r="E730" s="228">
        <f>IF(DAY(A730+2)=22,-SUM('Main Budget'!$F$26:$F$31),0)</f>
        <v>0</v>
      </c>
      <c r="F730" s="228">
        <f>IF(D730&gt;0,-'Main Budget'!$H$25+0.15,0)</f>
        <v>0</v>
      </c>
      <c r="G730" s="228">
        <f>IF(E730&gt;0,-'Main Budget'!$F$25+0.81,0)</f>
        <v>0</v>
      </c>
      <c r="H730" s="227">
        <f>IF(DAY(A730)='Main Budget'!$J$26,'Main Budget'!$E$26,0)</f>
        <v>0</v>
      </c>
      <c r="I730" s="227">
        <f>IF(DAY(A730)='Main Budget'!$J$28,'Main Budget'!$E$28,0)</f>
        <v>0</v>
      </c>
      <c r="J730" s="227">
        <f>IF(DAY(A730)='Main Budget'!$J$29,'Main Budget'!$E$29,0)</f>
        <v>0</v>
      </c>
      <c r="K730" s="20">
        <f>IF(DAY(A730)='Main Budget'!$J$30,'Main Budget'!$E$30,0)</f>
        <v>0</v>
      </c>
      <c r="L730" s="20">
        <f>IF(DAY(A730)='Main Budget'!$J$31,'Main Budget'!$E$31,0)</f>
        <v>0</v>
      </c>
      <c r="M730" s="20">
        <f>IF(DAY(A730)='Main Budget'!$J$27,'Main Budget'!$E$27,0)</f>
        <v>0</v>
      </c>
      <c r="O730" s="228">
        <f>B730+(SUM(H730:M730)+(SUM(D730:E730)))</f>
        <v>100</v>
      </c>
      <c r="P730" s="228">
        <f>C730+F730+G730+N730</f>
        <v>100</v>
      </c>
      <c r="Q730" s="252">
        <f>O730+P730</f>
        <v>200</v>
      </c>
      <c r="S730" s="231" t="str">
        <f>TEXT(A730,"dddd")</f>
        <v>Thursday</v>
      </c>
    </row>
    <row r="731" spans="1:19" x14ac:dyDescent="0.25">
      <c r="A731" s="226">
        <v>46752</v>
      </c>
      <c r="B731" s="227">
        <f>O730</f>
        <v>100</v>
      </c>
      <c r="C731" s="228">
        <f>P730</f>
        <v>100</v>
      </c>
      <c r="D731" s="228">
        <f>IF(OR(DAY(A731+2)=1,DAY(A731+2)=15),-SUM('Main Budget'!$H$26:$H$31),0)</f>
        <v>0</v>
      </c>
      <c r="E731" s="228">
        <f>IF(DAY(A731+2)=22,-SUM('Main Budget'!$F$26:$F$31),0)</f>
        <v>0</v>
      </c>
      <c r="F731" s="228">
        <f>IF(D731&gt;0,-'Main Budget'!$H$25+0.15,0)</f>
        <v>0</v>
      </c>
      <c r="G731" s="228">
        <f>IF(E731&gt;0,-'Main Budget'!$F$25+0.81,0)</f>
        <v>0</v>
      </c>
      <c r="H731" s="227">
        <f>IF(DAY(A731)='Main Budget'!$J$26,'Main Budget'!$E$26,0)</f>
        <v>0</v>
      </c>
      <c r="I731" s="227">
        <f>IF(DAY(A731)='Main Budget'!$J$28,'Main Budget'!$E$28,0)</f>
        <v>0</v>
      </c>
      <c r="J731" s="227">
        <f>IF(DAY(A731)='Main Budget'!$J$29,'Main Budget'!$E$29,0)</f>
        <v>0</v>
      </c>
      <c r="K731" s="20">
        <f>IF(DAY(A731)='Main Budget'!$J$30,'Main Budget'!$E$30,0)</f>
        <v>0</v>
      </c>
      <c r="L731" s="20">
        <f>IF(DAY(A731)='Main Budget'!$J$31,'Main Budget'!$E$31,0)</f>
        <v>0</v>
      </c>
      <c r="M731" s="20">
        <f>IF(DAY(A731)='Main Budget'!$J$27,'Main Budget'!$E$27,0)</f>
        <v>0</v>
      </c>
      <c r="O731" s="228">
        <f>B731+(SUM(H731:M731)+(SUM(D731:E731)))</f>
        <v>100</v>
      </c>
      <c r="P731" s="228">
        <f>C731+F731+G731+N731</f>
        <v>100</v>
      </c>
      <c r="Q731" s="252">
        <f>O731+P731</f>
        <v>200</v>
      </c>
      <c r="S731" s="231" t="str">
        <f>TEXT(A731,"dddd")</f>
        <v>Friday</v>
      </c>
    </row>
    <row r="732" spans="1:19" x14ac:dyDescent="0.25">
      <c r="A732" s="226">
        <v>46753</v>
      </c>
      <c r="B732" s="227">
        <f>O731</f>
        <v>100</v>
      </c>
      <c r="C732" s="228">
        <f>P731</f>
        <v>100</v>
      </c>
      <c r="D732" s="228">
        <f>IF(OR(DAY(A732+2)=1,DAY(A732+2)=15),-SUM('Main Budget'!$H$26:$H$31),0)</f>
        <v>0</v>
      </c>
      <c r="E732" s="228">
        <f>IF(DAY(A732+2)=22,-SUM('Main Budget'!$F$26:$F$31),0)</f>
        <v>0</v>
      </c>
      <c r="F732" s="228">
        <f>IF(D732&gt;0,-'Main Budget'!$H$25+0.15,0)</f>
        <v>0</v>
      </c>
      <c r="G732" s="228">
        <f>IF(E732&gt;0,-'Main Budget'!$F$25+0.81,0)</f>
        <v>0</v>
      </c>
      <c r="H732" s="227">
        <f>IF(DAY(A732)='Main Budget'!$J$26,'Main Budget'!$E$26,0)</f>
        <v>0</v>
      </c>
      <c r="I732" s="227">
        <f>IF(DAY(A732)='Main Budget'!$J$28,'Main Budget'!$E$28,0)</f>
        <v>0</v>
      </c>
      <c r="J732" s="227">
        <f>IF(DAY(A732)='Main Budget'!$J$29,'Main Budget'!$E$29,0)</f>
        <v>0</v>
      </c>
      <c r="K732" s="20">
        <f>IF(DAY(A732)='Main Budget'!$J$30,'Main Budget'!$E$30,0)</f>
        <v>0</v>
      </c>
      <c r="L732" s="20">
        <f>IF(DAY(A732)='Main Budget'!$J$31,'Main Budget'!$E$31,0)</f>
        <v>0</v>
      </c>
      <c r="M732" s="20">
        <f>IF(DAY(A732)='Main Budget'!$J$27,'Main Budget'!$E$27,0)</f>
        <v>0</v>
      </c>
      <c r="O732" s="228">
        <f>B732+(SUM(H732:M732)+(SUM(D732:E732)))</f>
        <v>100</v>
      </c>
      <c r="P732" s="228">
        <f>C732+F732+G732+N732</f>
        <v>100</v>
      </c>
      <c r="Q732" s="252">
        <f>O732+P732</f>
        <v>200</v>
      </c>
      <c r="S732" s="231" t="str">
        <f>TEXT(A732,"dddd")</f>
        <v>Saturday</v>
      </c>
    </row>
    <row r="733" spans="1:19" x14ac:dyDescent="0.25">
      <c r="A733" s="226">
        <v>46754</v>
      </c>
      <c r="B733" s="227">
        <f>O732</f>
        <v>100</v>
      </c>
      <c r="C733" s="228">
        <f>P732</f>
        <v>100</v>
      </c>
      <c r="D733" s="228">
        <f>IF(OR(DAY(A733+2)=1,DAY(A733+2)=15),-SUM('Main Budget'!$H$26:$H$31),0)</f>
        <v>0</v>
      </c>
      <c r="E733" s="228">
        <f>IF(DAY(A733+2)=22,-SUM('Main Budget'!$F$26:$F$31),0)</f>
        <v>0</v>
      </c>
      <c r="F733" s="228">
        <f>IF(D733&gt;0,-'Main Budget'!$H$25+0.15,0)</f>
        <v>0</v>
      </c>
      <c r="G733" s="228">
        <f>IF(E733&gt;0,-'Main Budget'!$F$25+0.81,0)</f>
        <v>0</v>
      </c>
      <c r="H733" s="227">
        <f>IF(DAY(A733)='Main Budget'!$J$26,'Main Budget'!$E$26,0)</f>
        <v>0</v>
      </c>
      <c r="I733" s="227">
        <f>IF(DAY(A733)='Main Budget'!$J$28,'Main Budget'!$E$28,0)</f>
        <v>0</v>
      </c>
      <c r="J733" s="227">
        <f>IF(DAY(A733)='Main Budget'!$J$29,'Main Budget'!$E$29,0)</f>
        <v>0</v>
      </c>
      <c r="K733" s="20">
        <f>IF(DAY(A733)='Main Budget'!$J$30,'Main Budget'!$E$30,0)</f>
        <v>0</v>
      </c>
      <c r="L733" s="20">
        <f>IF(DAY(A733)='Main Budget'!$J$31,'Main Budget'!$E$31,0)</f>
        <v>0</v>
      </c>
      <c r="M733" s="20">
        <f>IF(DAY(A733)='Main Budget'!$J$27,'Main Budget'!$E$27,0)</f>
        <v>0</v>
      </c>
      <c r="O733" s="228">
        <f>B733+(SUM(H733:M733)+(SUM(D733:E733)))</f>
        <v>100</v>
      </c>
      <c r="P733" s="228">
        <f>C733+F733+G733+N733</f>
        <v>100</v>
      </c>
      <c r="Q733" s="252">
        <f>O733+P733</f>
        <v>200</v>
      </c>
      <c r="S733" s="231" t="str">
        <f>TEXT(A733,"dddd")</f>
        <v>Sunday</v>
      </c>
    </row>
    <row r="734" spans="1:19" x14ac:dyDescent="0.25">
      <c r="A734" s="226">
        <v>46755</v>
      </c>
      <c r="B734" s="227">
        <f>O733</f>
        <v>100</v>
      </c>
      <c r="C734" s="228">
        <f>P733</f>
        <v>100</v>
      </c>
      <c r="D734" s="228">
        <f>IF(OR(DAY(A734+2)=1,DAY(A734+2)=15),-SUM('Main Budget'!$H$26:$H$31),0)</f>
        <v>0</v>
      </c>
      <c r="E734" s="228">
        <f>IF(DAY(A734+2)=22,-SUM('Main Budget'!$F$26:$F$31),0)</f>
        <v>0</v>
      </c>
      <c r="F734" s="228">
        <f>IF(D734&gt;0,-'Main Budget'!$H$25+0.15,0)</f>
        <v>0</v>
      </c>
      <c r="G734" s="228">
        <f>IF(E734&gt;0,-'Main Budget'!$F$25+0.81,0)</f>
        <v>0</v>
      </c>
      <c r="H734" s="227">
        <f>IF(DAY(A734)='Main Budget'!$J$26,'Main Budget'!$E$26,0)</f>
        <v>0</v>
      </c>
      <c r="I734" s="227">
        <f>IF(DAY(A734)='Main Budget'!$J$28,'Main Budget'!$E$28,0)</f>
        <v>0</v>
      </c>
      <c r="J734" s="227">
        <f>IF(DAY(A734)='Main Budget'!$J$29,'Main Budget'!$E$29,0)</f>
        <v>0</v>
      </c>
      <c r="K734" s="20">
        <f>IF(DAY(A734)='Main Budget'!$J$30,'Main Budget'!$E$30,0)</f>
        <v>0</v>
      </c>
      <c r="L734" s="20">
        <f>IF(DAY(A734)='Main Budget'!$J$31,'Main Budget'!$E$31,0)</f>
        <v>0</v>
      </c>
      <c r="M734" s="20">
        <f>IF(DAY(A734)='Main Budget'!$J$27,'Main Budget'!$E$27,0)</f>
        <v>0</v>
      </c>
      <c r="O734" s="228">
        <f>B734+(SUM(H734:M734)+(SUM(D734:E734)))</f>
        <v>100</v>
      </c>
      <c r="P734" s="228">
        <f>C734+F734+G734+N734</f>
        <v>100</v>
      </c>
      <c r="Q734" s="252">
        <f>O734+P734</f>
        <v>200</v>
      </c>
      <c r="S734" s="231" t="str">
        <f>TEXT(A734,"dddd")</f>
        <v>Monday</v>
      </c>
    </row>
    <row r="735" spans="1:19" x14ac:dyDescent="0.25">
      <c r="A735" s="226">
        <v>46756</v>
      </c>
      <c r="B735" s="227">
        <f>O734</f>
        <v>100</v>
      </c>
      <c r="C735" s="228">
        <f>P734</f>
        <v>100</v>
      </c>
      <c r="D735" s="228">
        <f>IF(OR(DAY(A735+2)=1,DAY(A735+2)=15),-SUM('Main Budget'!$H$26:$H$31),0)</f>
        <v>0</v>
      </c>
      <c r="E735" s="228">
        <f>IF(DAY(A735+2)=22,-SUM('Main Budget'!$F$26:$F$31),0)</f>
        <v>0</v>
      </c>
      <c r="F735" s="228">
        <f>IF(D735&gt;0,-'Main Budget'!$H$25+0.15,0)</f>
        <v>0</v>
      </c>
      <c r="G735" s="228">
        <f>IF(E735&gt;0,-'Main Budget'!$F$25+0.81,0)</f>
        <v>0</v>
      </c>
      <c r="H735" s="227">
        <f>IF(DAY(A735)='Main Budget'!$J$26,'Main Budget'!$E$26,0)</f>
        <v>0</v>
      </c>
      <c r="I735" s="227">
        <f>IF(DAY(A735)='Main Budget'!$J$28,'Main Budget'!$E$28,0)</f>
        <v>0</v>
      </c>
      <c r="J735" s="227">
        <f>IF(DAY(A735)='Main Budget'!$J$29,'Main Budget'!$E$29,0)</f>
        <v>0</v>
      </c>
      <c r="K735" s="20">
        <f>IF(DAY(A735)='Main Budget'!$J$30,'Main Budget'!$E$30,0)</f>
        <v>0</v>
      </c>
      <c r="L735" s="20">
        <f>IF(DAY(A735)='Main Budget'!$J$31,'Main Budget'!$E$31,0)</f>
        <v>0</v>
      </c>
      <c r="M735" s="20">
        <f>IF(DAY(A735)='Main Budget'!$J$27,'Main Budget'!$E$27,0)</f>
        <v>0</v>
      </c>
      <c r="O735" s="228">
        <f>B735+(SUM(H735:M735)+(SUM(D735:E735)))</f>
        <v>100</v>
      </c>
      <c r="P735" s="228">
        <f>C735+F735+G735+N735</f>
        <v>100</v>
      </c>
      <c r="Q735" s="252">
        <f>O735+P735</f>
        <v>200</v>
      </c>
      <c r="S735" s="231" t="str">
        <f>TEXT(A735,"dddd")</f>
        <v>Tuesday</v>
      </c>
    </row>
    <row r="736" spans="1:19" x14ac:dyDescent="0.25">
      <c r="A736" s="226">
        <v>46757</v>
      </c>
      <c r="B736" s="227">
        <f>O735</f>
        <v>100</v>
      </c>
      <c r="C736" s="228">
        <f>P735</f>
        <v>100</v>
      </c>
      <c r="D736" s="228">
        <f>IF(OR(DAY(A736+2)=1,DAY(A736+2)=15),-SUM('Main Budget'!$H$26:$H$31),0)</f>
        <v>0</v>
      </c>
      <c r="E736" s="228">
        <f>IF(DAY(A736+2)=22,-SUM('Main Budget'!$F$26:$F$31),0)</f>
        <v>0</v>
      </c>
      <c r="F736" s="228">
        <f>IF(D736&gt;0,-'Main Budget'!$H$25+0.15,0)</f>
        <v>0</v>
      </c>
      <c r="G736" s="228">
        <f>IF(E736&gt;0,-'Main Budget'!$F$25+0.81,0)</f>
        <v>0</v>
      </c>
      <c r="H736" s="227">
        <f>IF(DAY(A736)='Main Budget'!$J$26,'Main Budget'!$E$26,0)</f>
        <v>0</v>
      </c>
      <c r="I736" s="227">
        <f>IF(DAY(A736)='Main Budget'!$J$28,'Main Budget'!$E$28,0)</f>
        <v>0</v>
      </c>
      <c r="J736" s="227">
        <f>IF(DAY(A736)='Main Budget'!$J$29,'Main Budget'!$E$29,0)</f>
        <v>0</v>
      </c>
      <c r="K736" s="20">
        <f>IF(DAY(A736)='Main Budget'!$J$30,'Main Budget'!$E$30,0)</f>
        <v>0</v>
      </c>
      <c r="L736" s="20">
        <f>IF(DAY(A736)='Main Budget'!$J$31,'Main Budget'!$E$31,0)</f>
        <v>0</v>
      </c>
      <c r="M736" s="20">
        <f>IF(DAY(A736)='Main Budget'!$J$27,'Main Budget'!$E$27,0)</f>
        <v>0</v>
      </c>
      <c r="O736" s="228">
        <f>B736+(SUM(H736:M736)+(SUM(D736:E736)))</f>
        <v>100</v>
      </c>
      <c r="P736" s="228">
        <f>C736+F736+G736+N736</f>
        <v>100</v>
      </c>
      <c r="Q736" s="252">
        <f>O736+P736</f>
        <v>200</v>
      </c>
      <c r="S736" s="231" t="str">
        <f>TEXT(A736,"dddd")</f>
        <v>Wednesday</v>
      </c>
    </row>
    <row r="737" spans="1:19" x14ac:dyDescent="0.25">
      <c r="A737" s="226">
        <v>46758</v>
      </c>
      <c r="B737" s="227">
        <f>O736</f>
        <v>100</v>
      </c>
      <c r="C737" s="228">
        <f>P736</f>
        <v>100</v>
      </c>
      <c r="D737" s="228">
        <f>IF(OR(DAY(A737+2)=1,DAY(A737+2)=15),-SUM('Main Budget'!$H$26:$H$31),0)</f>
        <v>0</v>
      </c>
      <c r="E737" s="228">
        <f>IF(DAY(A737+2)=22,-SUM('Main Budget'!$F$26:$F$31),0)</f>
        <v>0</v>
      </c>
      <c r="F737" s="228">
        <f>IF(D737&gt;0,-'Main Budget'!$H$25+0.15,0)</f>
        <v>0</v>
      </c>
      <c r="G737" s="228">
        <f>IF(E737&gt;0,-'Main Budget'!$F$25+0.81,0)</f>
        <v>0</v>
      </c>
      <c r="H737" s="227">
        <f>IF(DAY(A737)='Main Budget'!$J$26,'Main Budget'!$E$26,0)</f>
        <v>0</v>
      </c>
      <c r="I737" s="227">
        <f>IF(DAY(A737)='Main Budget'!$J$28,'Main Budget'!$E$28,0)</f>
        <v>0</v>
      </c>
      <c r="J737" s="227">
        <f>IF(DAY(A737)='Main Budget'!$J$29,'Main Budget'!$E$29,0)</f>
        <v>0</v>
      </c>
      <c r="K737" s="20">
        <f>IF(DAY(A737)='Main Budget'!$J$30,'Main Budget'!$E$30,0)</f>
        <v>0</v>
      </c>
      <c r="L737" s="20">
        <f>IF(DAY(A737)='Main Budget'!$J$31,'Main Budget'!$E$31,0)</f>
        <v>0</v>
      </c>
      <c r="M737" s="20">
        <f>IF(DAY(A737)='Main Budget'!$J$27,'Main Budget'!$E$27,0)</f>
        <v>0</v>
      </c>
      <c r="O737" s="228">
        <f>B737+(SUM(H737:M737)+(SUM(D737:E737)))</f>
        <v>100</v>
      </c>
      <c r="P737" s="228">
        <f>C737+F737+G737+N737</f>
        <v>100</v>
      </c>
      <c r="Q737" s="252">
        <f>O737+P737</f>
        <v>200</v>
      </c>
      <c r="S737" s="231" t="str">
        <f>TEXT(A737,"dddd")</f>
        <v>Thursday</v>
      </c>
    </row>
    <row r="738" spans="1:19" x14ac:dyDescent="0.25">
      <c r="A738" s="226">
        <v>46759</v>
      </c>
      <c r="B738" s="227">
        <f>O737</f>
        <v>100</v>
      </c>
      <c r="C738" s="228">
        <f>P737</f>
        <v>100</v>
      </c>
      <c r="D738" s="228">
        <f>IF(OR(DAY(A738+2)=1,DAY(A738+2)=15),-SUM('Main Budget'!$H$26:$H$31),0)</f>
        <v>0</v>
      </c>
      <c r="E738" s="228">
        <f>IF(DAY(A738+2)=22,-SUM('Main Budget'!$F$26:$F$31),0)</f>
        <v>0</v>
      </c>
      <c r="F738" s="228">
        <f>IF(D738&gt;0,-'Main Budget'!$H$25+0.15,0)</f>
        <v>0</v>
      </c>
      <c r="G738" s="228">
        <f>IF(E738&gt;0,-'Main Budget'!$F$25+0.81,0)</f>
        <v>0</v>
      </c>
      <c r="H738" s="227">
        <f>IF(DAY(A738)='Main Budget'!$J$26,'Main Budget'!$E$26,0)</f>
        <v>0</v>
      </c>
      <c r="I738" s="227">
        <f>IF(DAY(A738)='Main Budget'!$J$28,'Main Budget'!$E$28,0)</f>
        <v>0</v>
      </c>
      <c r="J738" s="227">
        <f>IF(DAY(A738)='Main Budget'!$J$29,'Main Budget'!$E$29,0)</f>
        <v>0</v>
      </c>
      <c r="K738" s="20">
        <f>IF(DAY(A738)='Main Budget'!$J$30,'Main Budget'!$E$30,0)</f>
        <v>0</v>
      </c>
      <c r="L738" s="20">
        <f>IF(DAY(A738)='Main Budget'!$J$31,'Main Budget'!$E$31,0)</f>
        <v>0</v>
      </c>
      <c r="M738" s="20">
        <f>IF(DAY(A738)='Main Budget'!$J$27,'Main Budget'!$E$27,0)</f>
        <v>0</v>
      </c>
      <c r="O738" s="228">
        <f>B738+(SUM(H738:M738)+(SUM(D738:E738)))</f>
        <v>100</v>
      </c>
      <c r="P738" s="228">
        <f>C738+F738+G738+N738</f>
        <v>100</v>
      </c>
      <c r="Q738" s="252">
        <f>O738+P738</f>
        <v>200</v>
      </c>
      <c r="S738" s="231" t="str">
        <f>TEXT(A738,"dddd")</f>
        <v>Friday</v>
      </c>
    </row>
    <row r="739" spans="1:19" x14ac:dyDescent="0.25">
      <c r="A739" s="226">
        <v>46760</v>
      </c>
      <c r="B739" s="227">
        <f>O738</f>
        <v>100</v>
      </c>
      <c r="C739" s="228">
        <f>P738</f>
        <v>100</v>
      </c>
      <c r="D739" s="228">
        <f>IF(OR(DAY(A739+2)=1,DAY(A739+2)=15),-SUM('Main Budget'!$H$26:$H$31),0)</f>
        <v>0</v>
      </c>
      <c r="E739" s="228">
        <f>IF(DAY(A739+2)=22,-SUM('Main Budget'!$F$26:$F$31),0)</f>
        <v>0</v>
      </c>
      <c r="F739" s="228">
        <f>IF(D739&gt;0,-'Main Budget'!$H$25+0.15,0)</f>
        <v>0</v>
      </c>
      <c r="G739" s="228">
        <f>IF(E739&gt;0,-'Main Budget'!$F$25+0.81,0)</f>
        <v>0</v>
      </c>
      <c r="H739" s="227">
        <f>IF(DAY(A739)='Main Budget'!$J$26,'Main Budget'!$E$26,0)</f>
        <v>0</v>
      </c>
      <c r="I739" s="227">
        <f>IF(DAY(A739)='Main Budget'!$J$28,'Main Budget'!$E$28,0)</f>
        <v>0</v>
      </c>
      <c r="J739" s="227">
        <f>IF(DAY(A739)='Main Budget'!$J$29,'Main Budget'!$E$29,0)</f>
        <v>0</v>
      </c>
      <c r="K739" s="20">
        <f>IF(DAY(A739)='Main Budget'!$J$30,'Main Budget'!$E$30,0)</f>
        <v>0</v>
      </c>
      <c r="L739" s="20">
        <f>IF(DAY(A739)='Main Budget'!$J$31,'Main Budget'!$E$31,0)</f>
        <v>0</v>
      </c>
      <c r="M739" s="20">
        <f>IF(DAY(A739)='Main Budget'!$J$27,'Main Budget'!$E$27,0)</f>
        <v>0</v>
      </c>
      <c r="O739" s="228">
        <f>B739+(SUM(H739:M739)+(SUM(D739:E739)))</f>
        <v>100</v>
      </c>
      <c r="P739" s="228">
        <f>C739+F739+G739+N739</f>
        <v>100</v>
      </c>
      <c r="Q739" s="252">
        <f>O739+P739</f>
        <v>200</v>
      </c>
      <c r="S739" s="231" t="str">
        <f>TEXT(A739,"dddd")</f>
        <v>Saturday</v>
      </c>
    </row>
    <row r="740" spans="1:19" x14ac:dyDescent="0.25">
      <c r="A740" s="226">
        <v>46761</v>
      </c>
      <c r="B740" s="227">
        <f>O739</f>
        <v>100</v>
      </c>
      <c r="C740" s="228">
        <f>P739</f>
        <v>100</v>
      </c>
      <c r="D740" s="228">
        <f>IF(OR(DAY(A740+2)=1,DAY(A740+2)=15),-SUM('Main Budget'!$H$26:$H$31),0)</f>
        <v>0</v>
      </c>
      <c r="E740" s="228">
        <f>IF(DAY(A740+2)=22,-SUM('Main Budget'!$F$26:$F$31),0)</f>
        <v>0</v>
      </c>
      <c r="F740" s="228">
        <f>IF(D740&gt;0,-'Main Budget'!$H$25+0.15,0)</f>
        <v>0</v>
      </c>
      <c r="G740" s="228">
        <f>IF(E740&gt;0,-'Main Budget'!$F$25+0.81,0)</f>
        <v>0</v>
      </c>
      <c r="H740" s="227">
        <f>IF(DAY(A740)='Main Budget'!$J$26,'Main Budget'!$E$26,0)</f>
        <v>0</v>
      </c>
      <c r="I740" s="227">
        <f>IF(DAY(A740)='Main Budget'!$J$28,'Main Budget'!$E$28,0)</f>
        <v>0</v>
      </c>
      <c r="J740" s="227">
        <f>IF(DAY(A740)='Main Budget'!$J$29,'Main Budget'!$E$29,0)</f>
        <v>0</v>
      </c>
      <c r="K740" s="20">
        <f>IF(DAY(A740)='Main Budget'!$J$30,'Main Budget'!$E$30,0)</f>
        <v>0</v>
      </c>
      <c r="L740" s="20">
        <f>IF(DAY(A740)='Main Budget'!$J$31,'Main Budget'!$E$31,0)</f>
        <v>0</v>
      </c>
      <c r="M740" s="20">
        <f>IF(DAY(A740)='Main Budget'!$J$27,'Main Budget'!$E$27,0)</f>
        <v>0</v>
      </c>
      <c r="O740" s="228">
        <f>B740+(SUM(H740:M740)+(SUM(D740:E740)))</f>
        <v>100</v>
      </c>
      <c r="P740" s="228">
        <f>C740+F740+G740+N740</f>
        <v>100</v>
      </c>
      <c r="Q740" s="252">
        <f>O740+P740</f>
        <v>200</v>
      </c>
      <c r="S740" s="231" t="str">
        <f>TEXT(A740,"dddd")</f>
        <v>Sunday</v>
      </c>
    </row>
    <row r="741" spans="1:19" x14ac:dyDescent="0.25">
      <c r="A741" s="226">
        <v>46762</v>
      </c>
      <c r="B741" s="227">
        <f>O740</f>
        <v>100</v>
      </c>
      <c r="C741" s="228">
        <f>P740</f>
        <v>100</v>
      </c>
      <c r="D741" s="228">
        <f>IF(OR(DAY(A741+2)=1,DAY(A741+2)=15),-SUM('Main Budget'!$H$26:$H$31),0)</f>
        <v>0</v>
      </c>
      <c r="E741" s="228">
        <f>IF(DAY(A741+2)=22,-SUM('Main Budget'!$F$26:$F$31),0)</f>
        <v>0</v>
      </c>
      <c r="F741" s="228">
        <f>IF(D741&gt;0,-'Main Budget'!$H$25+0.15,0)</f>
        <v>0</v>
      </c>
      <c r="G741" s="228">
        <f>IF(E741&gt;0,-'Main Budget'!$F$25+0.81,0)</f>
        <v>0</v>
      </c>
      <c r="H741" s="227">
        <f>IF(DAY(A741)='Main Budget'!$J$26,'Main Budget'!$E$26,0)</f>
        <v>0</v>
      </c>
      <c r="I741" s="227">
        <f>IF(DAY(A741)='Main Budget'!$J$28,'Main Budget'!$E$28,0)</f>
        <v>0</v>
      </c>
      <c r="J741" s="227">
        <f>IF(DAY(A741)='Main Budget'!$J$29,'Main Budget'!$E$29,0)</f>
        <v>0</v>
      </c>
      <c r="K741" s="20">
        <f>IF(DAY(A741)='Main Budget'!$J$30,'Main Budget'!$E$30,0)</f>
        <v>0</v>
      </c>
      <c r="L741" s="20">
        <f>IF(DAY(A741)='Main Budget'!$J$31,'Main Budget'!$E$31,0)</f>
        <v>0</v>
      </c>
      <c r="M741" s="20">
        <f>IF(DAY(A741)='Main Budget'!$J$27,'Main Budget'!$E$27,0)</f>
        <v>0</v>
      </c>
      <c r="O741" s="228">
        <f>B741+(SUM(H741:M741)+(SUM(D741:E741)))</f>
        <v>100</v>
      </c>
      <c r="P741" s="228">
        <f>C741+F741+G741+N741</f>
        <v>100</v>
      </c>
      <c r="Q741" s="252">
        <f>O741+P741</f>
        <v>200</v>
      </c>
      <c r="S741" s="231" t="str">
        <f>TEXT(A741,"dddd")</f>
        <v>Monday</v>
      </c>
    </row>
    <row r="742" spans="1:19" x14ac:dyDescent="0.25">
      <c r="A742" s="226">
        <v>46763</v>
      </c>
      <c r="B742" s="227">
        <f>O741</f>
        <v>100</v>
      </c>
      <c r="C742" s="228">
        <f>P741</f>
        <v>100</v>
      </c>
      <c r="D742" s="228">
        <f>IF(OR(DAY(A742+2)=1,DAY(A742+2)=15),-SUM('Main Budget'!$H$26:$H$31),0)</f>
        <v>0</v>
      </c>
      <c r="E742" s="228">
        <f>IF(DAY(A742+2)=22,-SUM('Main Budget'!$F$26:$F$31),0)</f>
        <v>0</v>
      </c>
      <c r="F742" s="228">
        <f>IF(D742&gt;0,-'Main Budget'!$H$25+0.15,0)</f>
        <v>0</v>
      </c>
      <c r="G742" s="228">
        <f>IF(E742&gt;0,-'Main Budget'!$F$25+0.81,0)</f>
        <v>0</v>
      </c>
      <c r="H742" s="227">
        <f>IF(DAY(A742)='Main Budget'!$J$26,'Main Budget'!$E$26,0)</f>
        <v>0</v>
      </c>
      <c r="I742" s="227">
        <f>IF(DAY(A742)='Main Budget'!$J$28,'Main Budget'!$E$28,0)</f>
        <v>0</v>
      </c>
      <c r="J742" s="227">
        <f>IF(DAY(A742)='Main Budget'!$J$29,'Main Budget'!$E$29,0)</f>
        <v>0</v>
      </c>
      <c r="K742" s="20">
        <f>IF(DAY(A742)='Main Budget'!$J$30,'Main Budget'!$E$30,0)</f>
        <v>0</v>
      </c>
      <c r="L742" s="20">
        <f>IF(DAY(A742)='Main Budget'!$J$31,'Main Budget'!$E$31,0)</f>
        <v>0</v>
      </c>
      <c r="M742" s="20">
        <f>IF(DAY(A742)='Main Budget'!$J$27,'Main Budget'!$E$27,0)</f>
        <v>0</v>
      </c>
      <c r="O742" s="228">
        <f>B742+(SUM(H742:M742)+(SUM(D742:E742)))</f>
        <v>100</v>
      </c>
      <c r="P742" s="228">
        <f>C742+F742+G742+N742</f>
        <v>100</v>
      </c>
      <c r="Q742" s="252">
        <f>O742+P742</f>
        <v>200</v>
      </c>
      <c r="S742" s="231" t="str">
        <f>TEXT(A742,"dddd")</f>
        <v>Tuesday</v>
      </c>
    </row>
    <row r="743" spans="1:19" x14ac:dyDescent="0.25">
      <c r="A743" s="226">
        <v>46764</v>
      </c>
      <c r="B743" s="227">
        <f>O742</f>
        <v>100</v>
      </c>
      <c r="C743" s="228">
        <f>P742</f>
        <v>100</v>
      </c>
      <c r="D743" s="228">
        <f>IF(OR(DAY(A743+2)=1,DAY(A743+2)=15),-SUM('Main Budget'!$H$26:$H$31),0)</f>
        <v>0</v>
      </c>
      <c r="E743" s="228">
        <f>IF(DAY(A743+2)=22,-SUM('Main Budget'!$F$26:$F$31),0)</f>
        <v>0</v>
      </c>
      <c r="F743" s="228">
        <f>IF(D743&gt;0,-'Main Budget'!$H$25+0.15,0)</f>
        <v>0</v>
      </c>
      <c r="G743" s="228">
        <f>IF(E743&gt;0,-'Main Budget'!$F$25+0.81,0)</f>
        <v>0</v>
      </c>
      <c r="H743" s="227">
        <f>IF(DAY(A743)='Main Budget'!$J$26,'Main Budget'!$E$26,0)</f>
        <v>0</v>
      </c>
      <c r="I743" s="227">
        <f>IF(DAY(A743)='Main Budget'!$J$28,'Main Budget'!$E$28,0)</f>
        <v>0</v>
      </c>
      <c r="J743" s="227">
        <f>IF(DAY(A743)='Main Budget'!$J$29,'Main Budget'!$E$29,0)</f>
        <v>0</v>
      </c>
      <c r="K743" s="20">
        <f>IF(DAY(A743)='Main Budget'!$J$30,'Main Budget'!$E$30,0)</f>
        <v>0</v>
      </c>
      <c r="L743" s="20">
        <f>IF(DAY(A743)='Main Budget'!$J$31,'Main Budget'!$E$31,0)</f>
        <v>0</v>
      </c>
      <c r="M743" s="20">
        <f>IF(DAY(A743)='Main Budget'!$J$27,'Main Budget'!$E$27,0)</f>
        <v>0</v>
      </c>
      <c r="O743" s="228">
        <f>B743+(SUM(H743:M743)+(SUM(D743:E743)))</f>
        <v>100</v>
      </c>
      <c r="P743" s="228">
        <f>C743+F743+G743+N743</f>
        <v>100</v>
      </c>
      <c r="Q743" s="252">
        <f>O743+P743</f>
        <v>200</v>
      </c>
      <c r="S743" s="231" t="str">
        <f>TEXT(A743,"dddd")</f>
        <v>Wednesday</v>
      </c>
    </row>
    <row r="744" spans="1:19" x14ac:dyDescent="0.25">
      <c r="A744" s="226">
        <v>46765</v>
      </c>
      <c r="B744" s="227">
        <f>O743</f>
        <v>100</v>
      </c>
      <c r="C744" s="228">
        <f>P743</f>
        <v>100</v>
      </c>
      <c r="D744" s="228">
        <f>IF(OR(DAY(A744+2)=1,DAY(A744+2)=15),-SUM('Main Budget'!$H$26:$H$31),0)</f>
        <v>0</v>
      </c>
      <c r="E744" s="228">
        <f>IF(DAY(A744+2)=22,-SUM('Main Budget'!$F$26:$F$31),0)</f>
        <v>0</v>
      </c>
      <c r="F744" s="228">
        <f>IF(D744&gt;0,-'Main Budget'!$H$25+0.15,0)</f>
        <v>0</v>
      </c>
      <c r="G744" s="228">
        <f>IF(E744&gt;0,-'Main Budget'!$F$25+0.81,0)</f>
        <v>0</v>
      </c>
      <c r="H744" s="227">
        <f>IF(DAY(A744)='Main Budget'!$J$26,'Main Budget'!$E$26,0)</f>
        <v>0</v>
      </c>
      <c r="I744" s="227">
        <f>IF(DAY(A744)='Main Budget'!$J$28,'Main Budget'!$E$28,0)</f>
        <v>0</v>
      </c>
      <c r="J744" s="227">
        <f>IF(DAY(A744)='Main Budget'!$J$29,'Main Budget'!$E$29,0)</f>
        <v>0</v>
      </c>
      <c r="K744" s="20">
        <f>IF(DAY(A744)='Main Budget'!$J$30,'Main Budget'!$E$30,0)</f>
        <v>0</v>
      </c>
      <c r="L744" s="20">
        <f>IF(DAY(A744)='Main Budget'!$J$31,'Main Budget'!$E$31,0)</f>
        <v>0</v>
      </c>
      <c r="M744" s="20">
        <f>IF(DAY(A744)='Main Budget'!$J$27,'Main Budget'!$E$27,0)</f>
        <v>0</v>
      </c>
      <c r="O744" s="228">
        <f>B744+(SUM(H744:M744)+(SUM(D744:E744)))</f>
        <v>100</v>
      </c>
      <c r="P744" s="228">
        <f>C744+F744+G744+N744</f>
        <v>100</v>
      </c>
      <c r="Q744" s="252">
        <f>O744+P744</f>
        <v>200</v>
      </c>
      <c r="S744" s="231" t="str">
        <f>TEXT(A744,"dddd")</f>
        <v>Thursday</v>
      </c>
    </row>
    <row r="745" spans="1:19" x14ac:dyDescent="0.25">
      <c r="A745" s="226">
        <v>46766</v>
      </c>
      <c r="B745" s="227">
        <f>O744</f>
        <v>100</v>
      </c>
      <c r="C745" s="228">
        <f>P744</f>
        <v>100</v>
      </c>
      <c r="D745" s="228">
        <f>IF(OR(DAY(A745+2)=1,DAY(A745+2)=15),-SUM('Main Budget'!$H$26:$H$31),0)</f>
        <v>0</v>
      </c>
      <c r="E745" s="228">
        <f>IF(DAY(A745+2)=22,-SUM('Main Budget'!$F$26:$F$31),0)</f>
        <v>0</v>
      </c>
      <c r="F745" s="228">
        <f>IF(D745&gt;0,-'Main Budget'!$H$25+0.15,0)</f>
        <v>0</v>
      </c>
      <c r="G745" s="228">
        <f>IF(E745&gt;0,-'Main Budget'!$F$25+0.81,0)</f>
        <v>0</v>
      </c>
      <c r="H745" s="227">
        <f>IF(DAY(A745)='Main Budget'!$J$26,'Main Budget'!$E$26,0)</f>
        <v>0</v>
      </c>
      <c r="I745" s="227">
        <f>IF(DAY(A745)='Main Budget'!$J$28,'Main Budget'!$E$28,0)</f>
        <v>0</v>
      </c>
      <c r="J745" s="227">
        <f>IF(DAY(A745)='Main Budget'!$J$29,'Main Budget'!$E$29,0)</f>
        <v>0</v>
      </c>
      <c r="K745" s="20">
        <f>IF(DAY(A745)='Main Budget'!$J$30,'Main Budget'!$E$30,0)</f>
        <v>0</v>
      </c>
      <c r="L745" s="20">
        <f>IF(DAY(A745)='Main Budget'!$J$31,'Main Budget'!$E$31,0)</f>
        <v>0</v>
      </c>
      <c r="M745" s="20">
        <f>IF(DAY(A745)='Main Budget'!$J$27,'Main Budget'!$E$27,0)</f>
        <v>0</v>
      </c>
      <c r="O745" s="228">
        <f>B745+(SUM(H745:M745)+(SUM(D745:E745)))</f>
        <v>100</v>
      </c>
      <c r="P745" s="228">
        <f>C745+F745+G745+N745</f>
        <v>100</v>
      </c>
      <c r="Q745" s="252">
        <f>O745+P745</f>
        <v>200</v>
      </c>
      <c r="S745" s="231" t="str">
        <f>TEXT(A745,"dddd")</f>
        <v>Friday</v>
      </c>
    </row>
    <row r="746" spans="1:19" x14ac:dyDescent="0.25">
      <c r="A746" s="226">
        <v>46767</v>
      </c>
      <c r="B746" s="227">
        <f>O745</f>
        <v>100</v>
      </c>
      <c r="C746" s="228">
        <f>P745</f>
        <v>100</v>
      </c>
      <c r="D746" s="228">
        <f>IF(OR(DAY(A746+2)=1,DAY(A746+2)=15),-SUM('Main Budget'!$H$26:$H$31),0)</f>
        <v>0</v>
      </c>
      <c r="E746" s="228">
        <f>IF(DAY(A746+2)=22,-SUM('Main Budget'!$F$26:$F$31),0)</f>
        <v>0</v>
      </c>
      <c r="F746" s="228">
        <f>IF(D746&gt;0,-'Main Budget'!$H$25+0.15,0)</f>
        <v>0</v>
      </c>
      <c r="G746" s="228">
        <f>IF(E746&gt;0,-'Main Budget'!$F$25+0.81,0)</f>
        <v>0</v>
      </c>
      <c r="H746" s="227">
        <f>IF(DAY(A746)='Main Budget'!$J$26,'Main Budget'!$E$26,0)</f>
        <v>0</v>
      </c>
      <c r="I746" s="227">
        <f>IF(DAY(A746)='Main Budget'!$J$28,'Main Budget'!$E$28,0)</f>
        <v>0</v>
      </c>
      <c r="J746" s="227">
        <f>IF(DAY(A746)='Main Budget'!$J$29,'Main Budget'!$E$29,0)</f>
        <v>0</v>
      </c>
      <c r="K746" s="20">
        <f>IF(DAY(A746)='Main Budget'!$J$30,'Main Budget'!$E$30,0)</f>
        <v>0</v>
      </c>
      <c r="L746" s="20">
        <f>IF(DAY(A746)='Main Budget'!$J$31,'Main Budget'!$E$31,0)</f>
        <v>0</v>
      </c>
      <c r="M746" s="20">
        <f>IF(DAY(A746)='Main Budget'!$J$27,'Main Budget'!$E$27,0)</f>
        <v>0</v>
      </c>
      <c r="O746" s="228">
        <f>B746+(SUM(H746:M746)+(SUM(D746:E746)))</f>
        <v>100</v>
      </c>
      <c r="P746" s="228">
        <f>C746+F746+G746+N746</f>
        <v>100</v>
      </c>
      <c r="Q746" s="252">
        <f>O746+P746</f>
        <v>200</v>
      </c>
      <c r="S746" s="231" t="str">
        <f>TEXT(A746,"dddd")</f>
        <v>Saturday</v>
      </c>
    </row>
    <row r="747" spans="1:19" x14ac:dyDescent="0.25">
      <c r="A747" s="226">
        <v>46768</v>
      </c>
      <c r="B747" s="227">
        <f>O746</f>
        <v>100</v>
      </c>
      <c r="C747" s="228">
        <f>P746</f>
        <v>100</v>
      </c>
      <c r="D747" s="228">
        <f>IF(OR(DAY(A747+2)=1,DAY(A747+2)=15),-SUM('Main Budget'!$H$26:$H$31),0)</f>
        <v>0</v>
      </c>
      <c r="E747" s="228">
        <f>IF(DAY(A747+2)=22,-SUM('Main Budget'!$F$26:$F$31),0)</f>
        <v>0</v>
      </c>
      <c r="F747" s="228">
        <f>IF(D747&gt;0,-'Main Budget'!$H$25+0.15,0)</f>
        <v>0</v>
      </c>
      <c r="G747" s="228">
        <f>IF(E747&gt;0,-'Main Budget'!$F$25+0.81,0)</f>
        <v>0</v>
      </c>
      <c r="H747" s="227">
        <f>IF(DAY(A747)='Main Budget'!$J$26,'Main Budget'!$E$26,0)</f>
        <v>0</v>
      </c>
      <c r="I747" s="227">
        <f>IF(DAY(A747)='Main Budget'!$J$28,'Main Budget'!$E$28,0)</f>
        <v>0</v>
      </c>
      <c r="J747" s="227">
        <f>IF(DAY(A747)='Main Budget'!$J$29,'Main Budget'!$E$29,0)</f>
        <v>0</v>
      </c>
      <c r="K747" s="20">
        <f>IF(DAY(A747)='Main Budget'!$J$30,'Main Budget'!$E$30,0)</f>
        <v>0</v>
      </c>
      <c r="L747" s="20">
        <f>IF(DAY(A747)='Main Budget'!$J$31,'Main Budget'!$E$31,0)</f>
        <v>0</v>
      </c>
      <c r="M747" s="20">
        <f>IF(DAY(A747)='Main Budget'!$J$27,'Main Budget'!$E$27,0)</f>
        <v>0</v>
      </c>
      <c r="O747" s="228">
        <f>B747+(SUM(H747:M747)+(SUM(D747:E747)))</f>
        <v>100</v>
      </c>
      <c r="P747" s="228">
        <f>C747+F747+G747+N747</f>
        <v>100</v>
      </c>
      <c r="Q747" s="252">
        <f>O747+P747</f>
        <v>200</v>
      </c>
      <c r="S747" s="231" t="str">
        <f>TEXT(A747,"dddd")</f>
        <v>Sunday</v>
      </c>
    </row>
    <row r="748" spans="1:19" x14ac:dyDescent="0.25">
      <c r="A748" s="226">
        <v>46769</v>
      </c>
      <c r="B748" s="227">
        <f>O747</f>
        <v>100</v>
      </c>
      <c r="C748" s="228">
        <f>P747</f>
        <v>100</v>
      </c>
      <c r="D748" s="228">
        <f>IF(OR(DAY(A748+2)=1,DAY(A748+2)=15),-SUM('Main Budget'!$H$26:$H$31),0)</f>
        <v>0</v>
      </c>
      <c r="E748" s="228">
        <f>IF(DAY(A748+2)=22,-SUM('Main Budget'!$F$26:$F$31),0)</f>
        <v>0</v>
      </c>
      <c r="F748" s="228">
        <f>IF(D748&gt;0,-'Main Budget'!$H$25+0.15,0)</f>
        <v>0</v>
      </c>
      <c r="G748" s="228">
        <f>IF(E748&gt;0,-'Main Budget'!$F$25+0.81,0)</f>
        <v>0</v>
      </c>
      <c r="H748" s="227">
        <f>IF(DAY(A748)='Main Budget'!$J$26,'Main Budget'!$E$26,0)</f>
        <v>0</v>
      </c>
      <c r="I748" s="227">
        <f>IF(DAY(A748)='Main Budget'!$J$28,'Main Budget'!$E$28,0)</f>
        <v>0</v>
      </c>
      <c r="J748" s="227">
        <f>IF(DAY(A748)='Main Budget'!$J$29,'Main Budget'!$E$29,0)</f>
        <v>0</v>
      </c>
      <c r="K748" s="20">
        <f>IF(DAY(A748)='Main Budget'!$J$30,'Main Budget'!$E$30,0)</f>
        <v>0</v>
      </c>
      <c r="L748" s="20">
        <f>IF(DAY(A748)='Main Budget'!$J$31,'Main Budget'!$E$31,0)</f>
        <v>0</v>
      </c>
      <c r="M748" s="20">
        <f>IF(DAY(A748)='Main Budget'!$J$27,'Main Budget'!$E$27,0)</f>
        <v>0</v>
      </c>
      <c r="O748" s="228">
        <f>B748+(SUM(H748:M748)+(SUM(D748:E748)))</f>
        <v>100</v>
      </c>
      <c r="P748" s="228">
        <f>C748+F748+G748+N748</f>
        <v>100</v>
      </c>
      <c r="Q748" s="252">
        <f>O748+P748</f>
        <v>200</v>
      </c>
      <c r="S748" s="231" t="str">
        <f>TEXT(A748,"dddd")</f>
        <v>Monday</v>
      </c>
    </row>
    <row r="749" spans="1:19" x14ac:dyDescent="0.25">
      <c r="A749" s="226">
        <v>46770</v>
      </c>
      <c r="B749" s="227">
        <f>O748</f>
        <v>100</v>
      </c>
      <c r="C749" s="228">
        <f>P748</f>
        <v>100</v>
      </c>
      <c r="D749" s="228">
        <f>IF(OR(DAY(A749+2)=1,DAY(A749+2)=15),-SUM('Main Budget'!$H$26:$H$31),0)</f>
        <v>0</v>
      </c>
      <c r="E749" s="228">
        <f>IF(DAY(A749+2)=22,-SUM('Main Budget'!$F$26:$F$31),0)</f>
        <v>0</v>
      </c>
      <c r="F749" s="228">
        <f>IF(D749&gt;0,-'Main Budget'!$H$25+0.15,0)</f>
        <v>0</v>
      </c>
      <c r="G749" s="228">
        <f>IF(E749&gt;0,-'Main Budget'!$F$25+0.81,0)</f>
        <v>0</v>
      </c>
      <c r="H749" s="227">
        <f>IF(DAY(A749)='Main Budget'!$J$26,'Main Budget'!$E$26,0)</f>
        <v>0</v>
      </c>
      <c r="I749" s="227">
        <f>IF(DAY(A749)='Main Budget'!$J$28,'Main Budget'!$E$28,0)</f>
        <v>0</v>
      </c>
      <c r="J749" s="227">
        <f>IF(DAY(A749)='Main Budget'!$J$29,'Main Budget'!$E$29,0)</f>
        <v>0</v>
      </c>
      <c r="K749" s="20">
        <f>IF(DAY(A749)='Main Budget'!$J$30,'Main Budget'!$E$30,0)</f>
        <v>0</v>
      </c>
      <c r="L749" s="20">
        <f>IF(DAY(A749)='Main Budget'!$J$31,'Main Budget'!$E$31,0)</f>
        <v>0</v>
      </c>
      <c r="M749" s="20">
        <f>IF(DAY(A749)='Main Budget'!$J$27,'Main Budget'!$E$27,0)</f>
        <v>0</v>
      </c>
      <c r="O749" s="228">
        <f>B749+(SUM(H749:M749)+(SUM(D749:E749)))</f>
        <v>100</v>
      </c>
      <c r="P749" s="228">
        <f>C749+F749+G749+N749</f>
        <v>100</v>
      </c>
      <c r="Q749" s="252">
        <f>O749+P749</f>
        <v>200</v>
      </c>
      <c r="S749" s="231" t="str">
        <f>TEXT(A749,"dddd")</f>
        <v>Tuesday</v>
      </c>
    </row>
    <row r="750" spans="1:19" x14ac:dyDescent="0.25">
      <c r="A750" s="226">
        <v>46771</v>
      </c>
      <c r="B750" s="227">
        <f>O749</f>
        <v>100</v>
      </c>
      <c r="C750" s="228">
        <f>P749</f>
        <v>100</v>
      </c>
      <c r="D750" s="228">
        <f>IF(OR(DAY(A750+2)=1,DAY(A750+2)=15),-SUM('Main Budget'!$H$26:$H$31),0)</f>
        <v>0</v>
      </c>
      <c r="E750" s="228">
        <f>IF(DAY(A750+2)=22,-SUM('Main Budget'!$F$26:$F$31),0)</f>
        <v>0</v>
      </c>
      <c r="F750" s="228">
        <f>IF(D750&gt;0,-'Main Budget'!$H$25+0.15,0)</f>
        <v>0</v>
      </c>
      <c r="G750" s="228">
        <f>IF(E750&gt;0,-'Main Budget'!$F$25+0.81,0)</f>
        <v>0</v>
      </c>
      <c r="H750" s="227">
        <f>IF(DAY(A750)='Main Budget'!$J$26,'Main Budget'!$E$26,0)</f>
        <v>0</v>
      </c>
      <c r="I750" s="227">
        <f>IF(DAY(A750)='Main Budget'!$J$28,'Main Budget'!$E$28,0)</f>
        <v>0</v>
      </c>
      <c r="J750" s="227">
        <f>IF(DAY(A750)='Main Budget'!$J$29,'Main Budget'!$E$29,0)</f>
        <v>0</v>
      </c>
      <c r="K750" s="20">
        <f>IF(DAY(A750)='Main Budget'!$J$30,'Main Budget'!$E$30,0)</f>
        <v>0</v>
      </c>
      <c r="L750" s="20">
        <f>IF(DAY(A750)='Main Budget'!$J$31,'Main Budget'!$E$31,0)</f>
        <v>0</v>
      </c>
      <c r="M750" s="20">
        <f>IF(DAY(A750)='Main Budget'!$J$27,'Main Budget'!$E$27,0)</f>
        <v>0</v>
      </c>
      <c r="O750" s="228">
        <f>B750+(SUM(H750:M750)+(SUM(D750:E750)))</f>
        <v>100</v>
      </c>
      <c r="P750" s="228">
        <f>C750+F750+G750+N750</f>
        <v>100</v>
      </c>
      <c r="Q750" s="252">
        <f>O750+P750</f>
        <v>200</v>
      </c>
      <c r="S750" s="231" t="str">
        <f>TEXT(A750,"dddd")</f>
        <v>Wednesday</v>
      </c>
    </row>
    <row r="751" spans="1:19" x14ac:dyDescent="0.25">
      <c r="A751" s="226">
        <v>46772</v>
      </c>
      <c r="B751" s="227">
        <f>O750</f>
        <v>100</v>
      </c>
      <c r="C751" s="228">
        <f>P750</f>
        <v>100</v>
      </c>
      <c r="D751" s="228">
        <f>IF(OR(DAY(A751+2)=1,DAY(A751+2)=15),-SUM('Main Budget'!$H$26:$H$31),0)</f>
        <v>0</v>
      </c>
      <c r="E751" s="228">
        <f>IF(DAY(A751+2)=22,-SUM('Main Budget'!$F$26:$F$31),0)</f>
        <v>0</v>
      </c>
      <c r="F751" s="228">
        <f>IF(D751&gt;0,-'Main Budget'!$H$25+0.15,0)</f>
        <v>0</v>
      </c>
      <c r="G751" s="228">
        <f>IF(E751&gt;0,-'Main Budget'!$F$25+0.81,0)</f>
        <v>0</v>
      </c>
      <c r="H751" s="227">
        <f>IF(DAY(A751)='Main Budget'!$J$26,'Main Budget'!$E$26,0)</f>
        <v>0</v>
      </c>
      <c r="I751" s="227">
        <f>IF(DAY(A751)='Main Budget'!$J$28,'Main Budget'!$E$28,0)</f>
        <v>0</v>
      </c>
      <c r="J751" s="227">
        <f>IF(DAY(A751)='Main Budget'!$J$29,'Main Budget'!$E$29,0)</f>
        <v>0</v>
      </c>
      <c r="K751" s="20">
        <f>IF(DAY(A751)='Main Budget'!$J$30,'Main Budget'!$E$30,0)</f>
        <v>0</v>
      </c>
      <c r="L751" s="20">
        <f>IF(DAY(A751)='Main Budget'!$J$31,'Main Budget'!$E$31,0)</f>
        <v>0</v>
      </c>
      <c r="M751" s="20">
        <f>IF(DAY(A751)='Main Budget'!$J$27,'Main Budget'!$E$27,0)</f>
        <v>0</v>
      </c>
      <c r="O751" s="228">
        <f>B751+(SUM(H751:M751)+(SUM(D751:E751)))</f>
        <v>100</v>
      </c>
      <c r="P751" s="228">
        <f>C751+F751+G751+N751</f>
        <v>100</v>
      </c>
      <c r="Q751" s="252">
        <f>O751+P751</f>
        <v>200</v>
      </c>
      <c r="S751" s="231" t="str">
        <f>TEXT(A751,"dddd")</f>
        <v>Thursday</v>
      </c>
    </row>
    <row r="752" spans="1:19" x14ac:dyDescent="0.25">
      <c r="A752" s="226">
        <v>46773</v>
      </c>
      <c r="B752" s="227">
        <f>O751</f>
        <v>100</v>
      </c>
      <c r="C752" s="228">
        <f>P751</f>
        <v>100</v>
      </c>
      <c r="D752" s="228">
        <f>IF(OR(DAY(A752+2)=1,DAY(A752+2)=15),-SUM('Main Budget'!$H$26:$H$31),0)</f>
        <v>0</v>
      </c>
      <c r="E752" s="228">
        <f>IF(DAY(A752+2)=22,-SUM('Main Budget'!$F$26:$F$31),0)</f>
        <v>0</v>
      </c>
      <c r="F752" s="228">
        <f>IF(D752&gt;0,-'Main Budget'!$H$25+0.15,0)</f>
        <v>0</v>
      </c>
      <c r="G752" s="228">
        <f>IF(E752&gt;0,-'Main Budget'!$F$25+0.81,0)</f>
        <v>0</v>
      </c>
      <c r="H752" s="227">
        <f>IF(DAY(A752)='Main Budget'!$J$26,'Main Budget'!$E$26,0)</f>
        <v>0</v>
      </c>
      <c r="I752" s="227">
        <f>IF(DAY(A752)='Main Budget'!$J$28,'Main Budget'!$E$28,0)</f>
        <v>0</v>
      </c>
      <c r="J752" s="227">
        <f>IF(DAY(A752)='Main Budget'!$J$29,'Main Budget'!$E$29,0)</f>
        <v>0</v>
      </c>
      <c r="K752" s="20">
        <f>IF(DAY(A752)='Main Budget'!$J$30,'Main Budget'!$E$30,0)</f>
        <v>0</v>
      </c>
      <c r="L752" s="20">
        <f>IF(DAY(A752)='Main Budget'!$J$31,'Main Budget'!$E$31,0)</f>
        <v>0</v>
      </c>
      <c r="M752" s="20">
        <f>IF(DAY(A752)='Main Budget'!$J$27,'Main Budget'!$E$27,0)</f>
        <v>0</v>
      </c>
      <c r="O752" s="228">
        <f>B752+(SUM(H752:M752)+(SUM(D752:E752)))</f>
        <v>100</v>
      </c>
      <c r="P752" s="228">
        <f>C752+F752+G752+N752</f>
        <v>100</v>
      </c>
      <c r="Q752" s="252">
        <f>O752+P752</f>
        <v>200</v>
      </c>
      <c r="S752" s="231" t="str">
        <f>TEXT(A752,"dddd")</f>
        <v>Friday</v>
      </c>
    </row>
    <row r="753" spans="1:19" x14ac:dyDescent="0.25">
      <c r="A753" s="226">
        <v>46774</v>
      </c>
      <c r="B753" s="227">
        <f>O752</f>
        <v>100</v>
      </c>
      <c r="C753" s="228">
        <f>P752</f>
        <v>100</v>
      </c>
      <c r="D753" s="228">
        <f>IF(OR(DAY(A753+2)=1,DAY(A753+2)=15),-SUM('Main Budget'!$H$26:$H$31),0)</f>
        <v>0</v>
      </c>
      <c r="E753" s="228">
        <f>IF(DAY(A753+2)=22,-SUM('Main Budget'!$F$26:$F$31),0)</f>
        <v>0</v>
      </c>
      <c r="F753" s="228">
        <f>IF(D753&gt;0,-'Main Budget'!$H$25+0.15,0)</f>
        <v>0</v>
      </c>
      <c r="G753" s="228">
        <f>IF(E753&gt;0,-'Main Budget'!$F$25+0.81,0)</f>
        <v>0</v>
      </c>
      <c r="H753" s="227">
        <f>IF(DAY(A753)='Main Budget'!$J$26,'Main Budget'!$E$26,0)</f>
        <v>0</v>
      </c>
      <c r="I753" s="227">
        <f>IF(DAY(A753)='Main Budget'!$J$28,'Main Budget'!$E$28,0)</f>
        <v>0</v>
      </c>
      <c r="J753" s="227">
        <f>IF(DAY(A753)='Main Budget'!$J$29,'Main Budget'!$E$29,0)</f>
        <v>0</v>
      </c>
      <c r="K753" s="20">
        <f>IF(DAY(A753)='Main Budget'!$J$30,'Main Budget'!$E$30,0)</f>
        <v>0</v>
      </c>
      <c r="L753" s="20">
        <f>IF(DAY(A753)='Main Budget'!$J$31,'Main Budget'!$E$31,0)</f>
        <v>0</v>
      </c>
      <c r="M753" s="20">
        <f>IF(DAY(A753)='Main Budget'!$J$27,'Main Budget'!$E$27,0)</f>
        <v>0</v>
      </c>
      <c r="O753" s="228">
        <f>B753+(SUM(H753:M753)+(SUM(D753:E753)))</f>
        <v>100</v>
      </c>
      <c r="P753" s="228">
        <f>C753+F753+G753+N753</f>
        <v>100</v>
      </c>
      <c r="Q753" s="252">
        <f>O753+P753</f>
        <v>200</v>
      </c>
      <c r="S753" s="231" t="str">
        <f>TEXT(A753,"dddd")</f>
        <v>Saturday</v>
      </c>
    </row>
    <row r="754" spans="1:19" x14ac:dyDescent="0.25">
      <c r="A754" s="226">
        <v>46775</v>
      </c>
      <c r="B754" s="227">
        <f>O753</f>
        <v>100</v>
      </c>
      <c r="C754" s="228">
        <f>P753</f>
        <v>100</v>
      </c>
      <c r="D754" s="228">
        <f>IF(OR(DAY(A754+2)=1,DAY(A754+2)=15),-SUM('Main Budget'!$H$26:$H$31),0)</f>
        <v>0</v>
      </c>
      <c r="E754" s="228">
        <f>IF(DAY(A754+2)=22,-SUM('Main Budget'!$F$26:$F$31),0)</f>
        <v>0</v>
      </c>
      <c r="F754" s="228">
        <f>IF(D754&gt;0,-'Main Budget'!$H$25+0.15,0)</f>
        <v>0</v>
      </c>
      <c r="G754" s="228">
        <f>IF(E754&gt;0,-'Main Budget'!$F$25+0.81,0)</f>
        <v>0</v>
      </c>
      <c r="H754" s="227">
        <f>IF(DAY(A754)='Main Budget'!$J$26,'Main Budget'!$E$26,0)</f>
        <v>0</v>
      </c>
      <c r="I754" s="227">
        <f>IF(DAY(A754)='Main Budget'!$J$28,'Main Budget'!$E$28,0)</f>
        <v>0</v>
      </c>
      <c r="J754" s="227">
        <f>IF(DAY(A754)='Main Budget'!$J$29,'Main Budget'!$E$29,0)</f>
        <v>0</v>
      </c>
      <c r="K754" s="20">
        <f>IF(DAY(A754)='Main Budget'!$J$30,'Main Budget'!$E$30,0)</f>
        <v>0</v>
      </c>
      <c r="L754" s="20">
        <f>IF(DAY(A754)='Main Budget'!$J$31,'Main Budget'!$E$31,0)</f>
        <v>0</v>
      </c>
      <c r="M754" s="20">
        <f>IF(DAY(A754)='Main Budget'!$J$27,'Main Budget'!$E$27,0)</f>
        <v>0</v>
      </c>
      <c r="O754" s="228">
        <f>B754+(SUM(H754:M754)+(SUM(D754:E754)))</f>
        <v>100</v>
      </c>
      <c r="P754" s="228">
        <f>C754+F754+G754+N754</f>
        <v>100</v>
      </c>
      <c r="Q754" s="252">
        <f>O754+P754</f>
        <v>200</v>
      </c>
      <c r="S754" s="231" t="str">
        <f>TEXT(A754,"dddd")</f>
        <v>Sunday</v>
      </c>
    </row>
    <row r="755" spans="1:19" x14ac:dyDescent="0.25">
      <c r="A755" s="226">
        <v>46776</v>
      </c>
      <c r="B755" s="227">
        <f>O754</f>
        <v>100</v>
      </c>
      <c r="C755" s="228">
        <f>P754</f>
        <v>100</v>
      </c>
      <c r="D755" s="228">
        <f>IF(OR(DAY(A755+2)=1,DAY(A755+2)=15),-SUM('Main Budget'!$H$26:$H$31),0)</f>
        <v>0</v>
      </c>
      <c r="E755" s="228">
        <f>IF(DAY(A755+2)=22,-SUM('Main Budget'!$F$26:$F$31),0)</f>
        <v>0</v>
      </c>
      <c r="F755" s="228">
        <f>IF(D755&gt;0,-'Main Budget'!$H$25+0.15,0)</f>
        <v>0</v>
      </c>
      <c r="G755" s="228">
        <f>IF(E755&gt;0,-'Main Budget'!$F$25+0.81,0)</f>
        <v>0</v>
      </c>
      <c r="H755" s="227">
        <f>IF(DAY(A755)='Main Budget'!$J$26,'Main Budget'!$E$26,0)</f>
        <v>0</v>
      </c>
      <c r="I755" s="227">
        <f>IF(DAY(A755)='Main Budget'!$J$28,'Main Budget'!$E$28,0)</f>
        <v>0</v>
      </c>
      <c r="J755" s="227">
        <f>IF(DAY(A755)='Main Budget'!$J$29,'Main Budget'!$E$29,0)</f>
        <v>0</v>
      </c>
      <c r="K755" s="20">
        <f>IF(DAY(A755)='Main Budget'!$J$30,'Main Budget'!$E$30,0)</f>
        <v>0</v>
      </c>
      <c r="L755" s="20">
        <f>IF(DAY(A755)='Main Budget'!$J$31,'Main Budget'!$E$31,0)</f>
        <v>0</v>
      </c>
      <c r="M755" s="20">
        <f>IF(DAY(A755)='Main Budget'!$J$27,'Main Budget'!$E$27,0)</f>
        <v>0</v>
      </c>
      <c r="O755" s="228">
        <f>B755+(SUM(H755:M755)+(SUM(D755:E755)))</f>
        <v>100</v>
      </c>
      <c r="P755" s="228">
        <f>C755+F755+G755+N755</f>
        <v>100</v>
      </c>
      <c r="Q755" s="252">
        <f>O755+P755</f>
        <v>200</v>
      </c>
      <c r="S755" s="231" t="str">
        <f>TEXT(A755,"dddd")</f>
        <v>Monday</v>
      </c>
    </row>
    <row r="756" spans="1:19" x14ac:dyDescent="0.25">
      <c r="A756" s="226">
        <v>46777</v>
      </c>
      <c r="B756" s="227">
        <f>O755</f>
        <v>100</v>
      </c>
      <c r="C756" s="228">
        <f>P755</f>
        <v>100</v>
      </c>
      <c r="D756" s="228">
        <f>IF(OR(DAY(A756+2)=1,DAY(A756+2)=15),-SUM('Main Budget'!$H$26:$H$31),0)</f>
        <v>0</v>
      </c>
      <c r="E756" s="228">
        <f>IF(DAY(A756+2)=22,-SUM('Main Budget'!$F$26:$F$31),0)</f>
        <v>0</v>
      </c>
      <c r="F756" s="228">
        <f>IF(D756&gt;0,-'Main Budget'!$H$25+0.15,0)</f>
        <v>0</v>
      </c>
      <c r="G756" s="228">
        <f>IF(E756&gt;0,-'Main Budget'!$F$25+0.81,0)</f>
        <v>0</v>
      </c>
      <c r="H756" s="227">
        <f>IF(DAY(A756)='Main Budget'!$J$26,'Main Budget'!$E$26,0)</f>
        <v>0</v>
      </c>
      <c r="I756" s="227">
        <f>IF(DAY(A756)='Main Budget'!$J$28,'Main Budget'!$E$28,0)</f>
        <v>0</v>
      </c>
      <c r="J756" s="227">
        <f>IF(DAY(A756)='Main Budget'!$J$29,'Main Budget'!$E$29,0)</f>
        <v>0</v>
      </c>
      <c r="K756" s="20">
        <f>IF(DAY(A756)='Main Budget'!$J$30,'Main Budget'!$E$30,0)</f>
        <v>0</v>
      </c>
      <c r="L756" s="20">
        <f>IF(DAY(A756)='Main Budget'!$J$31,'Main Budget'!$E$31,0)</f>
        <v>0</v>
      </c>
      <c r="M756" s="20">
        <f>IF(DAY(A756)='Main Budget'!$J$27,'Main Budget'!$E$27,0)</f>
        <v>0</v>
      </c>
      <c r="O756" s="228">
        <f>B756+(SUM(H756:M756)+(SUM(D756:E756)))</f>
        <v>100</v>
      </c>
      <c r="P756" s="228">
        <f>C756+F756+G756+N756</f>
        <v>100</v>
      </c>
      <c r="Q756" s="252">
        <f>O756+P756</f>
        <v>200</v>
      </c>
      <c r="S756" s="231" t="str">
        <f>TEXT(A756,"dddd")</f>
        <v>Tuesday</v>
      </c>
    </row>
    <row r="757" spans="1:19" x14ac:dyDescent="0.25">
      <c r="A757" s="226">
        <v>46778</v>
      </c>
      <c r="B757" s="227">
        <f>O756</f>
        <v>100</v>
      </c>
      <c r="C757" s="228">
        <f>P756</f>
        <v>100</v>
      </c>
      <c r="D757" s="228">
        <f>IF(OR(DAY(A757+2)=1,DAY(A757+2)=15),-SUM('Main Budget'!$H$26:$H$31),0)</f>
        <v>0</v>
      </c>
      <c r="E757" s="228">
        <f>IF(DAY(A757+2)=22,-SUM('Main Budget'!$F$26:$F$31),0)</f>
        <v>0</v>
      </c>
      <c r="F757" s="228">
        <f>IF(D757&gt;0,-'Main Budget'!$H$25+0.15,0)</f>
        <v>0</v>
      </c>
      <c r="G757" s="228">
        <f>IF(E757&gt;0,-'Main Budget'!$F$25+0.81,0)</f>
        <v>0</v>
      </c>
      <c r="H757" s="227">
        <f>IF(DAY(A757)='Main Budget'!$J$26,'Main Budget'!$E$26,0)</f>
        <v>0</v>
      </c>
      <c r="I757" s="227">
        <f>IF(DAY(A757)='Main Budget'!$J$28,'Main Budget'!$E$28,0)</f>
        <v>0</v>
      </c>
      <c r="J757" s="227">
        <f>IF(DAY(A757)='Main Budget'!$J$29,'Main Budget'!$E$29,0)</f>
        <v>0</v>
      </c>
      <c r="K757" s="20">
        <f>IF(DAY(A757)='Main Budget'!$J$30,'Main Budget'!$E$30,0)</f>
        <v>0</v>
      </c>
      <c r="L757" s="20">
        <f>IF(DAY(A757)='Main Budget'!$J$31,'Main Budget'!$E$31,0)</f>
        <v>0</v>
      </c>
      <c r="M757" s="20">
        <f>IF(DAY(A757)='Main Budget'!$J$27,'Main Budget'!$E$27,0)</f>
        <v>0</v>
      </c>
      <c r="O757" s="228">
        <f>B757+(SUM(H757:M757)+(SUM(D757:E757)))</f>
        <v>100</v>
      </c>
      <c r="P757" s="228">
        <f>C757+F757+G757+N757</f>
        <v>100</v>
      </c>
      <c r="Q757" s="252">
        <f>O757+P757</f>
        <v>200</v>
      </c>
      <c r="S757" s="231" t="str">
        <f>TEXT(A757,"dddd")</f>
        <v>Wednesday</v>
      </c>
    </row>
    <row r="758" spans="1:19" x14ac:dyDescent="0.25">
      <c r="A758" s="226">
        <v>46779</v>
      </c>
      <c r="B758" s="227">
        <f>O757</f>
        <v>100</v>
      </c>
      <c r="C758" s="228">
        <f>P757</f>
        <v>100</v>
      </c>
      <c r="D758" s="228">
        <f>IF(OR(DAY(A758+2)=1,DAY(A758+2)=15),-SUM('Main Budget'!$H$26:$H$31),0)</f>
        <v>0</v>
      </c>
      <c r="E758" s="228">
        <f>IF(DAY(A758+2)=22,-SUM('Main Budget'!$F$26:$F$31),0)</f>
        <v>0</v>
      </c>
      <c r="F758" s="228">
        <f>IF(D758&gt;0,-'Main Budget'!$H$25+0.15,0)</f>
        <v>0</v>
      </c>
      <c r="G758" s="228">
        <f>IF(E758&gt;0,-'Main Budget'!$F$25+0.81,0)</f>
        <v>0</v>
      </c>
      <c r="H758" s="227">
        <f>IF(DAY(A758)='Main Budget'!$J$26,'Main Budget'!$E$26,0)</f>
        <v>0</v>
      </c>
      <c r="I758" s="227">
        <f>IF(DAY(A758)='Main Budget'!$J$28,'Main Budget'!$E$28,0)</f>
        <v>0</v>
      </c>
      <c r="J758" s="227">
        <f>IF(DAY(A758)='Main Budget'!$J$29,'Main Budget'!$E$29,0)</f>
        <v>0</v>
      </c>
      <c r="K758" s="20">
        <f>IF(DAY(A758)='Main Budget'!$J$30,'Main Budget'!$E$30,0)</f>
        <v>0</v>
      </c>
      <c r="L758" s="20">
        <f>IF(DAY(A758)='Main Budget'!$J$31,'Main Budget'!$E$31,0)</f>
        <v>0</v>
      </c>
      <c r="M758" s="20">
        <f>IF(DAY(A758)='Main Budget'!$J$27,'Main Budget'!$E$27,0)</f>
        <v>0</v>
      </c>
      <c r="O758" s="228">
        <f>B758+(SUM(H758:M758)+(SUM(D758:E758)))</f>
        <v>100</v>
      </c>
      <c r="P758" s="228">
        <f>C758+F758+G758+N758</f>
        <v>100</v>
      </c>
      <c r="Q758" s="252">
        <f>O758+P758</f>
        <v>200</v>
      </c>
      <c r="S758" s="231" t="str">
        <f>TEXT(A758,"dddd")</f>
        <v>Thursday</v>
      </c>
    </row>
    <row r="759" spans="1:19" x14ac:dyDescent="0.25">
      <c r="A759" s="226">
        <v>46780</v>
      </c>
      <c r="B759" s="227">
        <f>O758</f>
        <v>100</v>
      </c>
      <c r="C759" s="228">
        <f>P758</f>
        <v>100</v>
      </c>
      <c r="D759" s="228">
        <f>IF(OR(DAY(A759+2)=1,DAY(A759+2)=15),-SUM('Main Budget'!$H$26:$H$31),0)</f>
        <v>0</v>
      </c>
      <c r="E759" s="228">
        <f>IF(DAY(A759+2)=22,-SUM('Main Budget'!$F$26:$F$31),0)</f>
        <v>0</v>
      </c>
      <c r="F759" s="228">
        <f>IF(D759&gt;0,-'Main Budget'!$H$25+0.15,0)</f>
        <v>0</v>
      </c>
      <c r="G759" s="228">
        <f>IF(E759&gt;0,-'Main Budget'!$F$25+0.81,0)</f>
        <v>0</v>
      </c>
      <c r="H759" s="227">
        <f>IF(DAY(A759)='Main Budget'!$J$26,'Main Budget'!$E$26,0)</f>
        <v>0</v>
      </c>
      <c r="I759" s="227">
        <f>IF(DAY(A759)='Main Budget'!$J$28,'Main Budget'!$E$28,0)</f>
        <v>0</v>
      </c>
      <c r="J759" s="227">
        <f>IF(DAY(A759)='Main Budget'!$J$29,'Main Budget'!$E$29,0)</f>
        <v>0</v>
      </c>
      <c r="K759" s="20">
        <f>IF(DAY(A759)='Main Budget'!$J$30,'Main Budget'!$E$30,0)</f>
        <v>0</v>
      </c>
      <c r="L759" s="20">
        <f>IF(DAY(A759)='Main Budget'!$J$31,'Main Budget'!$E$31,0)</f>
        <v>0</v>
      </c>
      <c r="M759" s="20">
        <f>IF(DAY(A759)='Main Budget'!$J$27,'Main Budget'!$E$27,0)</f>
        <v>0</v>
      </c>
      <c r="O759" s="228">
        <f>B759+(SUM(H759:M759)+(SUM(D759:E759)))</f>
        <v>100</v>
      </c>
      <c r="P759" s="228">
        <f>C759+F759+G759+N759</f>
        <v>100</v>
      </c>
      <c r="Q759" s="252">
        <f>O759+P759</f>
        <v>200</v>
      </c>
      <c r="S759" s="231" t="str">
        <f>TEXT(A759,"dddd")</f>
        <v>Friday</v>
      </c>
    </row>
    <row r="760" spans="1:19" x14ac:dyDescent="0.25">
      <c r="A760" s="226">
        <v>46781</v>
      </c>
      <c r="B760" s="227">
        <f>O759</f>
        <v>100</v>
      </c>
      <c r="C760" s="228">
        <f>P759</f>
        <v>100</v>
      </c>
      <c r="D760" s="228">
        <f>IF(OR(DAY(A760+2)=1,DAY(A760+2)=15),-SUM('Main Budget'!$H$26:$H$31),0)</f>
        <v>0</v>
      </c>
      <c r="E760" s="228">
        <f>IF(DAY(A760+2)=22,-SUM('Main Budget'!$F$26:$F$31),0)</f>
        <v>0</v>
      </c>
      <c r="F760" s="228">
        <f>IF(D760&gt;0,-'Main Budget'!$H$25+0.15,0)</f>
        <v>0</v>
      </c>
      <c r="G760" s="228">
        <f>IF(E760&gt;0,-'Main Budget'!$F$25+0.81,0)</f>
        <v>0</v>
      </c>
      <c r="H760" s="227">
        <f>IF(DAY(A760)='Main Budget'!$J$26,'Main Budget'!$E$26,0)</f>
        <v>0</v>
      </c>
      <c r="I760" s="227">
        <f>IF(DAY(A760)='Main Budget'!$J$28,'Main Budget'!$E$28,0)</f>
        <v>0</v>
      </c>
      <c r="J760" s="227">
        <f>IF(DAY(A760)='Main Budget'!$J$29,'Main Budget'!$E$29,0)</f>
        <v>0</v>
      </c>
      <c r="K760" s="20">
        <f>IF(DAY(A760)='Main Budget'!$J$30,'Main Budget'!$E$30,0)</f>
        <v>0</v>
      </c>
      <c r="L760" s="20">
        <f>IF(DAY(A760)='Main Budget'!$J$31,'Main Budget'!$E$31,0)</f>
        <v>0</v>
      </c>
      <c r="M760" s="20">
        <f>IF(DAY(A760)='Main Budget'!$J$27,'Main Budget'!$E$27,0)</f>
        <v>0</v>
      </c>
      <c r="O760" s="228">
        <f>B760+(SUM(H760:M760)+(SUM(D760:E760)))</f>
        <v>100</v>
      </c>
      <c r="P760" s="228">
        <f>C760+F760+G760+N760</f>
        <v>100</v>
      </c>
      <c r="Q760" s="252">
        <f>O760+P760</f>
        <v>200</v>
      </c>
      <c r="S760" s="231" t="str">
        <f>TEXT(A760,"dddd")</f>
        <v>Saturday</v>
      </c>
    </row>
    <row r="761" spans="1:19" x14ac:dyDescent="0.25">
      <c r="A761" s="226">
        <v>46782</v>
      </c>
      <c r="B761" s="227">
        <f>O760</f>
        <v>100</v>
      </c>
      <c r="C761" s="228">
        <f>P760</f>
        <v>100</v>
      </c>
      <c r="D761" s="228">
        <f>IF(OR(DAY(A761+2)=1,DAY(A761+2)=15),-SUM('Main Budget'!$H$26:$H$31),0)</f>
        <v>0</v>
      </c>
      <c r="E761" s="228">
        <f>IF(DAY(A761+2)=22,-SUM('Main Budget'!$F$26:$F$31),0)</f>
        <v>0</v>
      </c>
      <c r="F761" s="228">
        <f>IF(D761&gt;0,-'Main Budget'!$H$25+0.15,0)</f>
        <v>0</v>
      </c>
      <c r="G761" s="228">
        <f>IF(E761&gt;0,-'Main Budget'!$F$25+0.81,0)</f>
        <v>0</v>
      </c>
      <c r="H761" s="227">
        <f>IF(DAY(A761)='Main Budget'!$J$26,'Main Budget'!$E$26,0)</f>
        <v>0</v>
      </c>
      <c r="I761" s="227">
        <f>IF(DAY(A761)='Main Budget'!$J$28,'Main Budget'!$E$28,0)</f>
        <v>0</v>
      </c>
      <c r="J761" s="227">
        <f>IF(DAY(A761)='Main Budget'!$J$29,'Main Budget'!$E$29,0)</f>
        <v>0</v>
      </c>
      <c r="K761" s="20">
        <f>IF(DAY(A761)='Main Budget'!$J$30,'Main Budget'!$E$30,0)</f>
        <v>0</v>
      </c>
      <c r="L761" s="20">
        <f>IF(DAY(A761)='Main Budget'!$J$31,'Main Budget'!$E$31,0)</f>
        <v>0</v>
      </c>
      <c r="M761" s="20">
        <f>IF(DAY(A761)='Main Budget'!$J$27,'Main Budget'!$E$27,0)</f>
        <v>0</v>
      </c>
      <c r="O761" s="228">
        <f>B761+(SUM(H761:M761)+(SUM(D761:E761)))</f>
        <v>100</v>
      </c>
      <c r="P761" s="228">
        <f>C761+F761+G761+N761</f>
        <v>100</v>
      </c>
      <c r="Q761" s="252">
        <f>O761+P761</f>
        <v>200</v>
      </c>
      <c r="S761" s="231" t="str">
        <f>TEXT(A761,"dddd")</f>
        <v>Sunday</v>
      </c>
    </row>
    <row r="762" spans="1:19" x14ac:dyDescent="0.25">
      <c r="A762" s="226">
        <v>46783</v>
      </c>
      <c r="B762" s="227">
        <f>O761</f>
        <v>100</v>
      </c>
      <c r="C762" s="228">
        <f>P761</f>
        <v>100</v>
      </c>
      <c r="D762" s="228">
        <f>IF(OR(DAY(A762+2)=1,DAY(A762+2)=15),-SUM('Main Budget'!$H$26:$H$31),0)</f>
        <v>0</v>
      </c>
      <c r="E762" s="228">
        <f>IF(DAY(A762+2)=22,-SUM('Main Budget'!$F$26:$F$31),0)</f>
        <v>0</v>
      </c>
      <c r="F762" s="228">
        <f>IF(D762&gt;0,-'Main Budget'!$H$25+0.15,0)</f>
        <v>0</v>
      </c>
      <c r="G762" s="228">
        <f>IF(E762&gt;0,-'Main Budget'!$F$25+0.81,0)</f>
        <v>0</v>
      </c>
      <c r="H762" s="227">
        <f>IF(DAY(A762)='Main Budget'!$J$26,'Main Budget'!$E$26,0)</f>
        <v>0</v>
      </c>
      <c r="I762" s="227">
        <f>IF(DAY(A762)='Main Budget'!$J$28,'Main Budget'!$E$28,0)</f>
        <v>0</v>
      </c>
      <c r="J762" s="227">
        <f>IF(DAY(A762)='Main Budget'!$J$29,'Main Budget'!$E$29,0)</f>
        <v>0</v>
      </c>
      <c r="K762" s="20">
        <f>IF(DAY(A762)='Main Budget'!$J$30,'Main Budget'!$E$30,0)</f>
        <v>0</v>
      </c>
      <c r="L762" s="20">
        <f>IF(DAY(A762)='Main Budget'!$J$31,'Main Budget'!$E$31,0)</f>
        <v>0</v>
      </c>
      <c r="M762" s="20">
        <f>IF(DAY(A762)='Main Budget'!$J$27,'Main Budget'!$E$27,0)</f>
        <v>0</v>
      </c>
      <c r="O762" s="228">
        <f>B762+(SUM(H762:M762)+(SUM(D762:E762)))</f>
        <v>100</v>
      </c>
      <c r="P762" s="228">
        <f>C762+F762+G762+N762</f>
        <v>100</v>
      </c>
      <c r="Q762" s="252">
        <f>O762+P762</f>
        <v>200</v>
      </c>
      <c r="S762" s="231" t="str">
        <f>TEXT(A762,"dddd")</f>
        <v>Monday</v>
      </c>
    </row>
    <row r="763" spans="1:19" x14ac:dyDescent="0.25">
      <c r="A763" s="226">
        <v>46784</v>
      </c>
      <c r="B763" s="227">
        <f>O762</f>
        <v>100</v>
      </c>
      <c r="C763" s="228">
        <f>P762</f>
        <v>100</v>
      </c>
      <c r="D763" s="228">
        <f>IF(OR(DAY(A763+2)=1,DAY(A763+2)=15),-SUM('Main Budget'!$H$26:$H$31),0)</f>
        <v>0</v>
      </c>
      <c r="E763" s="228">
        <f>IF(DAY(A763+2)=22,-SUM('Main Budget'!$F$26:$F$31),0)</f>
        <v>0</v>
      </c>
      <c r="F763" s="228">
        <f>IF(D763&gt;0,-'Main Budget'!$H$25+0.15,0)</f>
        <v>0</v>
      </c>
      <c r="G763" s="228">
        <f>IF(E763&gt;0,-'Main Budget'!$F$25+0.81,0)</f>
        <v>0</v>
      </c>
      <c r="H763" s="227">
        <f>IF(DAY(A763)='Main Budget'!$J$26,'Main Budget'!$E$26,0)</f>
        <v>0</v>
      </c>
      <c r="I763" s="227">
        <f>IF(DAY(A763)='Main Budget'!$J$28,'Main Budget'!$E$28,0)</f>
        <v>0</v>
      </c>
      <c r="J763" s="227">
        <f>IF(DAY(A763)='Main Budget'!$J$29,'Main Budget'!$E$29,0)</f>
        <v>0</v>
      </c>
      <c r="K763" s="20">
        <f>IF(DAY(A763)='Main Budget'!$J$30,'Main Budget'!$E$30,0)</f>
        <v>0</v>
      </c>
      <c r="L763" s="20">
        <f>IF(DAY(A763)='Main Budget'!$J$31,'Main Budget'!$E$31,0)</f>
        <v>0</v>
      </c>
      <c r="M763" s="20">
        <f>IF(DAY(A763)='Main Budget'!$J$27,'Main Budget'!$E$27,0)</f>
        <v>0</v>
      </c>
      <c r="O763" s="228">
        <f>B763+(SUM(H763:M763)+(SUM(D763:E763)))</f>
        <v>100</v>
      </c>
      <c r="P763" s="228">
        <f>C763+F763+G763+N763</f>
        <v>100</v>
      </c>
      <c r="Q763" s="252">
        <f>O763+P763</f>
        <v>200</v>
      </c>
      <c r="S763" s="231" t="str">
        <f>TEXT(A763,"dddd")</f>
        <v>Tuesday</v>
      </c>
    </row>
    <row r="764" spans="1:19" x14ac:dyDescent="0.25">
      <c r="A764" s="226">
        <v>46785</v>
      </c>
      <c r="B764" s="227">
        <f>O763</f>
        <v>100</v>
      </c>
      <c r="C764" s="228">
        <f>P763</f>
        <v>100</v>
      </c>
      <c r="D764" s="228">
        <f>IF(OR(DAY(A764+2)=1,DAY(A764+2)=15),-SUM('Main Budget'!$H$26:$H$31),0)</f>
        <v>0</v>
      </c>
      <c r="E764" s="228">
        <f>IF(DAY(A764+2)=22,-SUM('Main Budget'!$F$26:$F$31),0)</f>
        <v>0</v>
      </c>
      <c r="F764" s="228">
        <f>IF(D764&gt;0,-'Main Budget'!$H$25+0.15,0)</f>
        <v>0</v>
      </c>
      <c r="G764" s="228">
        <f>IF(E764&gt;0,-'Main Budget'!$F$25+0.81,0)</f>
        <v>0</v>
      </c>
      <c r="H764" s="227">
        <f>IF(DAY(A764)='Main Budget'!$J$26,'Main Budget'!$E$26,0)</f>
        <v>0</v>
      </c>
      <c r="I764" s="227">
        <f>IF(DAY(A764)='Main Budget'!$J$28,'Main Budget'!$E$28,0)</f>
        <v>0</v>
      </c>
      <c r="J764" s="227">
        <f>IF(DAY(A764)='Main Budget'!$J$29,'Main Budget'!$E$29,0)</f>
        <v>0</v>
      </c>
      <c r="K764" s="20">
        <f>IF(DAY(A764)='Main Budget'!$J$30,'Main Budget'!$E$30,0)</f>
        <v>0</v>
      </c>
      <c r="L764" s="20">
        <f>IF(DAY(A764)='Main Budget'!$J$31,'Main Budget'!$E$31,0)</f>
        <v>0</v>
      </c>
      <c r="M764" s="20">
        <f>IF(DAY(A764)='Main Budget'!$J$27,'Main Budget'!$E$27,0)</f>
        <v>0</v>
      </c>
      <c r="O764" s="228">
        <f>B764+(SUM(H764:M764)+(SUM(D764:E764)))</f>
        <v>100</v>
      </c>
      <c r="P764" s="228">
        <f>C764+F764+G764+N764</f>
        <v>100</v>
      </c>
      <c r="Q764" s="252">
        <f>O764+P764</f>
        <v>200</v>
      </c>
      <c r="S764" s="231" t="str">
        <f>TEXT(A764,"dddd")</f>
        <v>Wednesday</v>
      </c>
    </row>
    <row r="765" spans="1:19" x14ac:dyDescent="0.25">
      <c r="A765" s="226">
        <v>46786</v>
      </c>
      <c r="B765" s="227">
        <f>O764</f>
        <v>100</v>
      </c>
      <c r="C765" s="228">
        <f>P764</f>
        <v>100</v>
      </c>
      <c r="D765" s="228">
        <f>IF(OR(DAY(A765+2)=1,DAY(A765+2)=15),-SUM('Main Budget'!$H$26:$H$31),0)</f>
        <v>0</v>
      </c>
      <c r="E765" s="228">
        <f>IF(DAY(A765+2)=22,-SUM('Main Budget'!$F$26:$F$31),0)</f>
        <v>0</v>
      </c>
      <c r="F765" s="228">
        <f>IF(D765&gt;0,-'Main Budget'!$H$25+0.15,0)</f>
        <v>0</v>
      </c>
      <c r="G765" s="228">
        <f>IF(E765&gt;0,-'Main Budget'!$F$25+0.81,0)</f>
        <v>0</v>
      </c>
      <c r="H765" s="227">
        <f>IF(DAY(A765)='Main Budget'!$J$26,'Main Budget'!$E$26,0)</f>
        <v>0</v>
      </c>
      <c r="I765" s="227">
        <f>IF(DAY(A765)='Main Budget'!$J$28,'Main Budget'!$E$28,0)</f>
        <v>0</v>
      </c>
      <c r="J765" s="227">
        <f>IF(DAY(A765)='Main Budget'!$J$29,'Main Budget'!$E$29,0)</f>
        <v>0</v>
      </c>
      <c r="K765" s="20">
        <f>IF(DAY(A765)='Main Budget'!$J$30,'Main Budget'!$E$30,0)</f>
        <v>0</v>
      </c>
      <c r="L765" s="20">
        <f>IF(DAY(A765)='Main Budget'!$J$31,'Main Budget'!$E$31,0)</f>
        <v>0</v>
      </c>
      <c r="M765" s="20">
        <f>IF(DAY(A765)='Main Budget'!$J$27,'Main Budget'!$E$27,0)</f>
        <v>0</v>
      </c>
      <c r="O765" s="228">
        <f>B765+(SUM(H765:M765)+(SUM(D765:E765)))</f>
        <v>100</v>
      </c>
      <c r="P765" s="228">
        <f>C765+F765+G765+N765</f>
        <v>100</v>
      </c>
      <c r="Q765" s="252">
        <f>O765+P765</f>
        <v>200</v>
      </c>
      <c r="S765" s="231" t="str">
        <f>TEXT(A765,"dddd")</f>
        <v>Thursday</v>
      </c>
    </row>
    <row r="766" spans="1:19" x14ac:dyDescent="0.25">
      <c r="A766" s="226">
        <v>46787</v>
      </c>
      <c r="B766" s="227">
        <f>O765</f>
        <v>100</v>
      </c>
      <c r="C766" s="228">
        <f>P765</f>
        <v>100</v>
      </c>
      <c r="D766" s="228">
        <f>IF(OR(DAY(A766+2)=1,DAY(A766+2)=15),-SUM('Main Budget'!$H$26:$H$31),0)</f>
        <v>0</v>
      </c>
      <c r="E766" s="228">
        <f>IF(DAY(A766+2)=22,-SUM('Main Budget'!$F$26:$F$31),0)</f>
        <v>0</v>
      </c>
      <c r="F766" s="228">
        <f>IF(D766&gt;0,-'Main Budget'!$H$25+0.15,0)</f>
        <v>0</v>
      </c>
      <c r="G766" s="228">
        <f>IF(E766&gt;0,-'Main Budget'!$F$25+0.81,0)</f>
        <v>0</v>
      </c>
      <c r="H766" s="227">
        <f>IF(DAY(A766)='Main Budget'!$J$26,'Main Budget'!$E$26,0)</f>
        <v>0</v>
      </c>
      <c r="I766" s="227">
        <f>IF(DAY(A766)='Main Budget'!$J$28,'Main Budget'!$E$28,0)</f>
        <v>0</v>
      </c>
      <c r="J766" s="227">
        <f>IF(DAY(A766)='Main Budget'!$J$29,'Main Budget'!$E$29,0)</f>
        <v>0</v>
      </c>
      <c r="K766" s="20">
        <f>IF(DAY(A766)='Main Budget'!$J$30,'Main Budget'!$E$30,0)</f>
        <v>0</v>
      </c>
      <c r="L766" s="20">
        <f>IF(DAY(A766)='Main Budget'!$J$31,'Main Budget'!$E$31,0)</f>
        <v>0</v>
      </c>
      <c r="M766" s="20">
        <f>IF(DAY(A766)='Main Budget'!$J$27,'Main Budget'!$E$27,0)</f>
        <v>0</v>
      </c>
      <c r="O766" s="228">
        <f>B766+(SUM(H766:M766)+(SUM(D766:E766)))</f>
        <v>100</v>
      </c>
      <c r="P766" s="228">
        <f>C766+F766+G766+N766</f>
        <v>100</v>
      </c>
      <c r="Q766" s="252">
        <f>O766+P766</f>
        <v>200</v>
      </c>
      <c r="S766" s="231" t="str">
        <f>TEXT(A766,"dddd")</f>
        <v>Friday</v>
      </c>
    </row>
    <row r="767" spans="1:19" x14ac:dyDescent="0.25">
      <c r="A767" s="226">
        <v>46788</v>
      </c>
      <c r="B767" s="227">
        <f>O766</f>
        <v>100</v>
      </c>
      <c r="C767" s="228">
        <f>P766</f>
        <v>100</v>
      </c>
      <c r="D767" s="228">
        <f>IF(OR(DAY(A767+2)=1,DAY(A767+2)=15),-SUM('Main Budget'!$H$26:$H$31),0)</f>
        <v>0</v>
      </c>
      <c r="E767" s="228">
        <f>IF(DAY(A767+2)=22,-SUM('Main Budget'!$F$26:$F$31),0)</f>
        <v>0</v>
      </c>
      <c r="F767" s="228">
        <f>IF(D767&gt;0,-'Main Budget'!$H$25+0.15,0)</f>
        <v>0</v>
      </c>
      <c r="G767" s="228">
        <f>IF(E767&gt;0,-'Main Budget'!$F$25+0.81,0)</f>
        <v>0</v>
      </c>
      <c r="H767" s="227">
        <f>IF(DAY(A767)='Main Budget'!$J$26,'Main Budget'!$E$26,0)</f>
        <v>0</v>
      </c>
      <c r="I767" s="227">
        <f>IF(DAY(A767)='Main Budget'!$J$28,'Main Budget'!$E$28,0)</f>
        <v>0</v>
      </c>
      <c r="J767" s="227">
        <f>IF(DAY(A767)='Main Budget'!$J$29,'Main Budget'!$E$29,0)</f>
        <v>0</v>
      </c>
      <c r="K767" s="20">
        <f>IF(DAY(A767)='Main Budget'!$J$30,'Main Budget'!$E$30,0)</f>
        <v>0</v>
      </c>
      <c r="L767" s="20">
        <f>IF(DAY(A767)='Main Budget'!$J$31,'Main Budget'!$E$31,0)</f>
        <v>0</v>
      </c>
      <c r="M767" s="20">
        <f>IF(DAY(A767)='Main Budget'!$J$27,'Main Budget'!$E$27,0)</f>
        <v>0</v>
      </c>
      <c r="O767" s="228">
        <f>B767+(SUM(H767:M767)+(SUM(D767:E767)))</f>
        <v>100</v>
      </c>
      <c r="P767" s="228">
        <f>C767+F767+G767+N767</f>
        <v>100</v>
      </c>
      <c r="Q767" s="252">
        <f>O767+P767</f>
        <v>200</v>
      </c>
      <c r="S767" s="231" t="str">
        <f>TEXT(A767,"dddd")</f>
        <v>Saturday</v>
      </c>
    </row>
    <row r="768" spans="1:19" x14ac:dyDescent="0.25">
      <c r="A768" s="226">
        <v>46789</v>
      </c>
      <c r="B768" s="227">
        <f>O767</f>
        <v>100</v>
      </c>
      <c r="C768" s="228">
        <f>P767</f>
        <v>100</v>
      </c>
      <c r="D768" s="228">
        <f>IF(OR(DAY(A768+2)=1,DAY(A768+2)=15),-SUM('Main Budget'!$H$26:$H$31),0)</f>
        <v>0</v>
      </c>
      <c r="E768" s="228">
        <f>IF(DAY(A768+2)=22,-SUM('Main Budget'!$F$26:$F$31),0)</f>
        <v>0</v>
      </c>
      <c r="F768" s="228">
        <f>IF(D768&gt;0,-'Main Budget'!$H$25+0.15,0)</f>
        <v>0</v>
      </c>
      <c r="G768" s="228">
        <f>IF(E768&gt;0,-'Main Budget'!$F$25+0.81,0)</f>
        <v>0</v>
      </c>
      <c r="H768" s="227">
        <f>IF(DAY(A768)='Main Budget'!$J$26,'Main Budget'!$E$26,0)</f>
        <v>0</v>
      </c>
      <c r="I768" s="227">
        <f>IF(DAY(A768)='Main Budget'!$J$28,'Main Budget'!$E$28,0)</f>
        <v>0</v>
      </c>
      <c r="J768" s="227">
        <f>IF(DAY(A768)='Main Budget'!$J$29,'Main Budget'!$E$29,0)</f>
        <v>0</v>
      </c>
      <c r="K768" s="20">
        <f>IF(DAY(A768)='Main Budget'!$J$30,'Main Budget'!$E$30,0)</f>
        <v>0</v>
      </c>
      <c r="L768" s="20">
        <f>IF(DAY(A768)='Main Budget'!$J$31,'Main Budget'!$E$31,0)</f>
        <v>0</v>
      </c>
      <c r="M768" s="20">
        <f>IF(DAY(A768)='Main Budget'!$J$27,'Main Budget'!$E$27,0)</f>
        <v>0</v>
      </c>
      <c r="O768" s="228">
        <f>B768+(SUM(H768:M768)+(SUM(D768:E768)))</f>
        <v>100</v>
      </c>
      <c r="P768" s="228">
        <f>C768+F768+G768+N768</f>
        <v>100</v>
      </c>
      <c r="Q768" s="252">
        <f>O768+P768</f>
        <v>200</v>
      </c>
      <c r="S768" s="231" t="str">
        <f>TEXT(A768,"dddd")</f>
        <v>Sunday</v>
      </c>
    </row>
    <row r="769" spans="1:19" x14ac:dyDescent="0.25">
      <c r="A769" s="226">
        <v>46790</v>
      </c>
      <c r="B769" s="227">
        <f>O768</f>
        <v>100</v>
      </c>
      <c r="C769" s="228">
        <f>P768</f>
        <v>100</v>
      </c>
      <c r="D769" s="228">
        <f>IF(OR(DAY(A769+2)=1,DAY(A769+2)=15),-SUM('Main Budget'!$H$26:$H$31),0)</f>
        <v>0</v>
      </c>
      <c r="E769" s="228">
        <f>IF(DAY(A769+2)=22,-SUM('Main Budget'!$F$26:$F$31),0)</f>
        <v>0</v>
      </c>
      <c r="F769" s="228">
        <f>IF(D769&gt;0,-'Main Budget'!$H$25+0.15,0)</f>
        <v>0</v>
      </c>
      <c r="G769" s="228">
        <f>IF(E769&gt;0,-'Main Budget'!$F$25+0.81,0)</f>
        <v>0</v>
      </c>
      <c r="H769" s="227">
        <f>IF(DAY(A769)='Main Budget'!$J$26,'Main Budget'!$E$26,0)</f>
        <v>0</v>
      </c>
      <c r="I769" s="227">
        <f>IF(DAY(A769)='Main Budget'!$J$28,'Main Budget'!$E$28,0)</f>
        <v>0</v>
      </c>
      <c r="J769" s="227">
        <f>IF(DAY(A769)='Main Budget'!$J$29,'Main Budget'!$E$29,0)</f>
        <v>0</v>
      </c>
      <c r="K769" s="20">
        <f>IF(DAY(A769)='Main Budget'!$J$30,'Main Budget'!$E$30,0)</f>
        <v>0</v>
      </c>
      <c r="L769" s="20">
        <f>IF(DAY(A769)='Main Budget'!$J$31,'Main Budget'!$E$31,0)</f>
        <v>0</v>
      </c>
      <c r="M769" s="20">
        <f>IF(DAY(A769)='Main Budget'!$J$27,'Main Budget'!$E$27,0)</f>
        <v>0</v>
      </c>
      <c r="O769" s="228">
        <f>B769+(SUM(H769:M769)+(SUM(D769:E769)))</f>
        <v>100</v>
      </c>
      <c r="P769" s="228">
        <f>C769+F769+G769+N769</f>
        <v>100</v>
      </c>
      <c r="Q769" s="252">
        <f>O769+P769</f>
        <v>200</v>
      </c>
      <c r="S769" s="231" t="str">
        <f>TEXT(A769,"dddd")</f>
        <v>Monday</v>
      </c>
    </row>
    <row r="770" spans="1:19" x14ac:dyDescent="0.25">
      <c r="A770" s="226">
        <v>46791</v>
      </c>
      <c r="B770" s="227">
        <f>O769</f>
        <v>100</v>
      </c>
      <c r="C770" s="228">
        <f>P769</f>
        <v>100</v>
      </c>
      <c r="D770" s="228">
        <f>IF(OR(DAY(A770+2)=1,DAY(A770+2)=15),-SUM('Main Budget'!$H$26:$H$31),0)</f>
        <v>0</v>
      </c>
      <c r="E770" s="228">
        <f>IF(DAY(A770+2)=22,-SUM('Main Budget'!$F$26:$F$31),0)</f>
        <v>0</v>
      </c>
      <c r="F770" s="228">
        <f>IF(D770&gt;0,-'Main Budget'!$H$25+0.15,0)</f>
        <v>0</v>
      </c>
      <c r="G770" s="228">
        <f>IF(E770&gt;0,-'Main Budget'!$F$25+0.81,0)</f>
        <v>0</v>
      </c>
      <c r="H770" s="227">
        <f>IF(DAY(A770)='Main Budget'!$J$26,'Main Budget'!$E$26,0)</f>
        <v>0</v>
      </c>
      <c r="I770" s="227">
        <f>IF(DAY(A770)='Main Budget'!$J$28,'Main Budget'!$E$28,0)</f>
        <v>0</v>
      </c>
      <c r="J770" s="227">
        <f>IF(DAY(A770)='Main Budget'!$J$29,'Main Budget'!$E$29,0)</f>
        <v>0</v>
      </c>
      <c r="K770" s="20">
        <f>IF(DAY(A770)='Main Budget'!$J$30,'Main Budget'!$E$30,0)</f>
        <v>0</v>
      </c>
      <c r="L770" s="20">
        <f>IF(DAY(A770)='Main Budget'!$J$31,'Main Budget'!$E$31,0)</f>
        <v>0</v>
      </c>
      <c r="M770" s="20">
        <f>IF(DAY(A770)='Main Budget'!$J$27,'Main Budget'!$E$27,0)</f>
        <v>0</v>
      </c>
      <c r="O770" s="228">
        <f>B770+(SUM(H770:M770)+(SUM(D770:E770)))</f>
        <v>100</v>
      </c>
      <c r="P770" s="228">
        <f>C770+F770+G770+N770</f>
        <v>100</v>
      </c>
      <c r="Q770" s="252">
        <f>O770+P770</f>
        <v>200</v>
      </c>
      <c r="S770" s="231" t="str">
        <f>TEXT(A770,"dddd")</f>
        <v>Tuesday</v>
      </c>
    </row>
    <row r="771" spans="1:19" x14ac:dyDescent="0.25">
      <c r="A771" s="226">
        <v>46792</v>
      </c>
      <c r="B771" s="227">
        <f>O770</f>
        <v>100</v>
      </c>
      <c r="C771" s="228">
        <f>P770</f>
        <v>100</v>
      </c>
      <c r="D771" s="228">
        <f>IF(OR(DAY(A771+2)=1,DAY(A771+2)=15),-SUM('Main Budget'!$H$26:$H$31),0)</f>
        <v>0</v>
      </c>
      <c r="E771" s="228">
        <f>IF(DAY(A771+2)=22,-SUM('Main Budget'!$F$26:$F$31),0)</f>
        <v>0</v>
      </c>
      <c r="F771" s="228">
        <f>IF(D771&gt;0,-'Main Budget'!$H$25+0.15,0)</f>
        <v>0</v>
      </c>
      <c r="G771" s="228">
        <f>IF(E771&gt;0,-'Main Budget'!$F$25+0.81,0)</f>
        <v>0</v>
      </c>
      <c r="H771" s="227">
        <f>IF(DAY(A771)='Main Budget'!$J$26,'Main Budget'!$E$26,0)</f>
        <v>0</v>
      </c>
      <c r="I771" s="227">
        <f>IF(DAY(A771)='Main Budget'!$J$28,'Main Budget'!$E$28,0)</f>
        <v>0</v>
      </c>
      <c r="J771" s="227">
        <f>IF(DAY(A771)='Main Budget'!$J$29,'Main Budget'!$E$29,0)</f>
        <v>0</v>
      </c>
      <c r="K771" s="20">
        <f>IF(DAY(A771)='Main Budget'!$J$30,'Main Budget'!$E$30,0)</f>
        <v>0</v>
      </c>
      <c r="L771" s="20">
        <f>IF(DAY(A771)='Main Budget'!$J$31,'Main Budget'!$E$31,0)</f>
        <v>0</v>
      </c>
      <c r="M771" s="20">
        <f>IF(DAY(A771)='Main Budget'!$J$27,'Main Budget'!$E$27,0)</f>
        <v>0</v>
      </c>
      <c r="O771" s="228">
        <f>B771+(SUM(H771:M771)+(SUM(D771:E771)))</f>
        <v>100</v>
      </c>
      <c r="P771" s="228">
        <f>C771+F771+G771+N771</f>
        <v>100</v>
      </c>
      <c r="Q771" s="252">
        <f>O771+P771</f>
        <v>200</v>
      </c>
      <c r="S771" s="231" t="str">
        <f>TEXT(A771,"dddd")</f>
        <v>Wednesday</v>
      </c>
    </row>
    <row r="772" spans="1:19" x14ac:dyDescent="0.25">
      <c r="A772" s="226">
        <v>46793</v>
      </c>
      <c r="B772" s="227">
        <f>O771</f>
        <v>100</v>
      </c>
      <c r="C772" s="228">
        <f>P771</f>
        <v>100</v>
      </c>
      <c r="D772" s="228">
        <f>IF(OR(DAY(A772+2)=1,DAY(A772+2)=15),-SUM('Main Budget'!$H$26:$H$31),0)</f>
        <v>0</v>
      </c>
      <c r="E772" s="228">
        <f>IF(DAY(A772+2)=22,-SUM('Main Budget'!$F$26:$F$31),0)</f>
        <v>0</v>
      </c>
      <c r="F772" s="228">
        <f>IF(D772&gt;0,-'Main Budget'!$H$25+0.15,0)</f>
        <v>0</v>
      </c>
      <c r="G772" s="228">
        <f>IF(E772&gt;0,-'Main Budget'!$F$25+0.81,0)</f>
        <v>0</v>
      </c>
      <c r="H772" s="227">
        <f>IF(DAY(A772)='Main Budget'!$J$26,'Main Budget'!$E$26,0)</f>
        <v>0</v>
      </c>
      <c r="I772" s="227">
        <f>IF(DAY(A772)='Main Budget'!$J$28,'Main Budget'!$E$28,0)</f>
        <v>0</v>
      </c>
      <c r="J772" s="227">
        <f>IF(DAY(A772)='Main Budget'!$J$29,'Main Budget'!$E$29,0)</f>
        <v>0</v>
      </c>
      <c r="K772" s="20">
        <f>IF(DAY(A772)='Main Budget'!$J$30,'Main Budget'!$E$30,0)</f>
        <v>0</v>
      </c>
      <c r="L772" s="20">
        <f>IF(DAY(A772)='Main Budget'!$J$31,'Main Budget'!$E$31,0)</f>
        <v>0</v>
      </c>
      <c r="M772" s="20">
        <f>IF(DAY(A772)='Main Budget'!$J$27,'Main Budget'!$E$27,0)</f>
        <v>0</v>
      </c>
      <c r="O772" s="228">
        <f>B772+(SUM(H772:M772)+(SUM(D772:E772)))</f>
        <v>100</v>
      </c>
      <c r="P772" s="228">
        <f>C772+F772+G772+N772</f>
        <v>100</v>
      </c>
      <c r="Q772" s="252">
        <f>O772+P772</f>
        <v>200</v>
      </c>
      <c r="S772" s="231" t="str">
        <f>TEXT(A772,"dddd")</f>
        <v>Thursday</v>
      </c>
    </row>
    <row r="773" spans="1:19" x14ac:dyDescent="0.25">
      <c r="A773" s="226">
        <v>46794</v>
      </c>
      <c r="B773" s="227">
        <f>O772</f>
        <v>100</v>
      </c>
      <c r="C773" s="228">
        <f>P772</f>
        <v>100</v>
      </c>
      <c r="D773" s="228">
        <f>IF(OR(DAY(A773+2)=1,DAY(A773+2)=15),-SUM('Main Budget'!$H$26:$H$31),0)</f>
        <v>0</v>
      </c>
      <c r="E773" s="228">
        <f>IF(DAY(A773+2)=22,-SUM('Main Budget'!$F$26:$F$31),0)</f>
        <v>0</v>
      </c>
      <c r="F773" s="228">
        <f>IF(D773&gt;0,-'Main Budget'!$H$25+0.15,0)</f>
        <v>0</v>
      </c>
      <c r="G773" s="228">
        <f>IF(E773&gt;0,-'Main Budget'!$F$25+0.81,0)</f>
        <v>0</v>
      </c>
      <c r="H773" s="227">
        <f>IF(DAY(A773)='Main Budget'!$J$26,'Main Budget'!$E$26,0)</f>
        <v>0</v>
      </c>
      <c r="I773" s="227">
        <f>IF(DAY(A773)='Main Budget'!$J$28,'Main Budget'!$E$28,0)</f>
        <v>0</v>
      </c>
      <c r="J773" s="227">
        <f>IF(DAY(A773)='Main Budget'!$J$29,'Main Budget'!$E$29,0)</f>
        <v>0</v>
      </c>
      <c r="K773" s="20">
        <f>IF(DAY(A773)='Main Budget'!$J$30,'Main Budget'!$E$30,0)</f>
        <v>0</v>
      </c>
      <c r="L773" s="20">
        <f>IF(DAY(A773)='Main Budget'!$J$31,'Main Budget'!$E$31,0)</f>
        <v>0</v>
      </c>
      <c r="M773" s="20">
        <f>IF(DAY(A773)='Main Budget'!$J$27,'Main Budget'!$E$27,0)</f>
        <v>0</v>
      </c>
      <c r="O773" s="228">
        <f>B773+(SUM(H773:M773)+(SUM(D773:E773)))</f>
        <v>100</v>
      </c>
      <c r="P773" s="228">
        <f>C773+F773+G773+N773</f>
        <v>100</v>
      </c>
      <c r="Q773" s="252">
        <f>O773+P773</f>
        <v>200</v>
      </c>
      <c r="S773" s="231" t="str">
        <f>TEXT(A773,"dddd")</f>
        <v>Friday</v>
      </c>
    </row>
    <row r="774" spans="1:19" x14ac:dyDescent="0.25">
      <c r="A774" s="226">
        <v>46795</v>
      </c>
      <c r="B774" s="227">
        <f>O773</f>
        <v>100</v>
      </c>
      <c r="C774" s="228">
        <f>P773</f>
        <v>100</v>
      </c>
      <c r="D774" s="228">
        <f>IF(OR(DAY(A774+2)=1,DAY(A774+2)=15),-SUM('Main Budget'!$H$26:$H$31),0)</f>
        <v>0</v>
      </c>
      <c r="E774" s="228">
        <f>IF(DAY(A774+2)=22,-SUM('Main Budget'!$F$26:$F$31),0)</f>
        <v>0</v>
      </c>
      <c r="F774" s="228">
        <f>IF(D774&gt;0,-'Main Budget'!$H$25+0.15,0)</f>
        <v>0</v>
      </c>
      <c r="G774" s="228">
        <f>IF(E774&gt;0,-'Main Budget'!$F$25+0.81,0)</f>
        <v>0</v>
      </c>
      <c r="H774" s="227">
        <f>IF(DAY(A774)='Main Budget'!$J$26,'Main Budget'!$E$26,0)</f>
        <v>0</v>
      </c>
      <c r="I774" s="227">
        <f>IF(DAY(A774)='Main Budget'!$J$28,'Main Budget'!$E$28,0)</f>
        <v>0</v>
      </c>
      <c r="J774" s="227">
        <f>IF(DAY(A774)='Main Budget'!$J$29,'Main Budget'!$E$29,0)</f>
        <v>0</v>
      </c>
      <c r="K774" s="20">
        <f>IF(DAY(A774)='Main Budget'!$J$30,'Main Budget'!$E$30,0)</f>
        <v>0</v>
      </c>
      <c r="L774" s="20">
        <f>IF(DAY(A774)='Main Budget'!$J$31,'Main Budget'!$E$31,0)</f>
        <v>0</v>
      </c>
      <c r="M774" s="20">
        <f>IF(DAY(A774)='Main Budget'!$J$27,'Main Budget'!$E$27,0)</f>
        <v>0</v>
      </c>
      <c r="O774" s="228">
        <f>B774+(SUM(H774:M774)+(SUM(D774:E774)))</f>
        <v>100</v>
      </c>
      <c r="P774" s="228">
        <f>C774+F774+G774+N774</f>
        <v>100</v>
      </c>
      <c r="Q774" s="252">
        <f>O774+P774</f>
        <v>200</v>
      </c>
      <c r="S774" s="231" t="str">
        <f>TEXT(A774,"dddd")</f>
        <v>Saturday</v>
      </c>
    </row>
    <row r="775" spans="1:19" x14ac:dyDescent="0.25">
      <c r="A775" s="226">
        <v>46796</v>
      </c>
      <c r="B775" s="227">
        <f>O774</f>
        <v>100</v>
      </c>
      <c r="C775" s="228">
        <f>P774</f>
        <v>100</v>
      </c>
      <c r="D775" s="228">
        <f>IF(OR(DAY(A775+2)=1,DAY(A775+2)=15),-SUM('Main Budget'!$H$26:$H$31),0)</f>
        <v>0</v>
      </c>
      <c r="E775" s="228">
        <f>IF(DAY(A775+2)=22,-SUM('Main Budget'!$F$26:$F$31),0)</f>
        <v>0</v>
      </c>
      <c r="F775" s="228">
        <f>IF(D775&gt;0,-'Main Budget'!$H$25+0.15,0)</f>
        <v>0</v>
      </c>
      <c r="G775" s="228">
        <f>IF(E775&gt;0,-'Main Budget'!$F$25+0.81,0)</f>
        <v>0</v>
      </c>
      <c r="H775" s="227">
        <f>IF(DAY(A775)='Main Budget'!$J$26,'Main Budget'!$E$26,0)</f>
        <v>0</v>
      </c>
      <c r="I775" s="227">
        <f>IF(DAY(A775)='Main Budget'!$J$28,'Main Budget'!$E$28,0)</f>
        <v>0</v>
      </c>
      <c r="J775" s="227">
        <f>IF(DAY(A775)='Main Budget'!$J$29,'Main Budget'!$E$29,0)</f>
        <v>0</v>
      </c>
      <c r="K775" s="20">
        <f>IF(DAY(A775)='Main Budget'!$J$30,'Main Budget'!$E$30,0)</f>
        <v>0</v>
      </c>
      <c r="L775" s="20">
        <f>IF(DAY(A775)='Main Budget'!$J$31,'Main Budget'!$E$31,0)</f>
        <v>0</v>
      </c>
      <c r="M775" s="20">
        <f>IF(DAY(A775)='Main Budget'!$J$27,'Main Budget'!$E$27,0)</f>
        <v>0</v>
      </c>
      <c r="O775" s="228">
        <f>B775+(SUM(H775:M775)+(SUM(D775:E775)))</f>
        <v>100</v>
      </c>
      <c r="P775" s="228">
        <f>C775+F775+G775+N775</f>
        <v>100</v>
      </c>
      <c r="Q775" s="252">
        <f>O775+P775</f>
        <v>200</v>
      </c>
      <c r="S775" s="231" t="str">
        <f>TEXT(A775,"dddd")</f>
        <v>Sunday</v>
      </c>
    </row>
    <row r="776" spans="1:19" x14ac:dyDescent="0.25">
      <c r="A776" s="226">
        <v>46797</v>
      </c>
      <c r="B776" s="227">
        <f>O775</f>
        <v>100</v>
      </c>
      <c r="C776" s="228">
        <f>P775</f>
        <v>100</v>
      </c>
      <c r="D776" s="228">
        <f>IF(OR(DAY(A776+2)=1,DAY(A776+2)=15),-SUM('Main Budget'!$H$26:$H$31),0)</f>
        <v>0</v>
      </c>
      <c r="E776" s="228">
        <f>IF(DAY(A776+2)=22,-SUM('Main Budget'!$F$26:$F$31),0)</f>
        <v>0</v>
      </c>
      <c r="F776" s="228">
        <f>IF(D776&gt;0,-'Main Budget'!$H$25+0.15,0)</f>
        <v>0</v>
      </c>
      <c r="G776" s="228">
        <f>IF(E776&gt;0,-'Main Budget'!$F$25+0.81,0)</f>
        <v>0</v>
      </c>
      <c r="H776" s="227">
        <f>IF(DAY(A776)='Main Budget'!$J$26,'Main Budget'!$E$26,0)</f>
        <v>0</v>
      </c>
      <c r="I776" s="227">
        <f>IF(DAY(A776)='Main Budget'!$J$28,'Main Budget'!$E$28,0)</f>
        <v>0</v>
      </c>
      <c r="J776" s="227">
        <f>IF(DAY(A776)='Main Budget'!$J$29,'Main Budget'!$E$29,0)</f>
        <v>0</v>
      </c>
      <c r="K776" s="20">
        <f>IF(DAY(A776)='Main Budget'!$J$30,'Main Budget'!$E$30,0)</f>
        <v>0</v>
      </c>
      <c r="L776" s="20">
        <f>IF(DAY(A776)='Main Budget'!$J$31,'Main Budget'!$E$31,0)</f>
        <v>0</v>
      </c>
      <c r="M776" s="20">
        <f>IF(DAY(A776)='Main Budget'!$J$27,'Main Budget'!$E$27,0)</f>
        <v>0</v>
      </c>
      <c r="O776" s="228">
        <f>B776+(SUM(H776:M776)+(SUM(D776:E776)))</f>
        <v>100</v>
      </c>
      <c r="P776" s="228">
        <f>C776+F776+G776+N776</f>
        <v>100</v>
      </c>
      <c r="Q776" s="252">
        <f>O776+P776</f>
        <v>200</v>
      </c>
      <c r="S776" s="231" t="str">
        <f>TEXT(A776,"dddd")</f>
        <v>Monday</v>
      </c>
    </row>
    <row r="777" spans="1:19" x14ac:dyDescent="0.25">
      <c r="A777" s="226">
        <v>46798</v>
      </c>
      <c r="B777" s="227">
        <f>O776</f>
        <v>100</v>
      </c>
      <c r="C777" s="228">
        <f>P776</f>
        <v>100</v>
      </c>
      <c r="D777" s="228">
        <f>IF(OR(DAY(A777+2)=1,DAY(A777+2)=15),-SUM('Main Budget'!$H$26:$H$31),0)</f>
        <v>0</v>
      </c>
      <c r="E777" s="228">
        <f>IF(DAY(A777+2)=22,-SUM('Main Budget'!$F$26:$F$31),0)</f>
        <v>0</v>
      </c>
      <c r="F777" s="228">
        <f>IF(D777&gt;0,-'Main Budget'!$H$25+0.15,0)</f>
        <v>0</v>
      </c>
      <c r="G777" s="228">
        <f>IF(E777&gt;0,-'Main Budget'!$F$25+0.81,0)</f>
        <v>0</v>
      </c>
      <c r="H777" s="227">
        <f>IF(DAY(A777)='Main Budget'!$J$26,'Main Budget'!$E$26,0)</f>
        <v>0</v>
      </c>
      <c r="I777" s="227">
        <f>IF(DAY(A777)='Main Budget'!$J$28,'Main Budget'!$E$28,0)</f>
        <v>0</v>
      </c>
      <c r="J777" s="227">
        <f>IF(DAY(A777)='Main Budget'!$J$29,'Main Budget'!$E$29,0)</f>
        <v>0</v>
      </c>
      <c r="K777" s="20">
        <f>IF(DAY(A777)='Main Budget'!$J$30,'Main Budget'!$E$30,0)</f>
        <v>0</v>
      </c>
      <c r="L777" s="20">
        <f>IF(DAY(A777)='Main Budget'!$J$31,'Main Budget'!$E$31,0)</f>
        <v>0</v>
      </c>
      <c r="M777" s="20">
        <f>IF(DAY(A777)='Main Budget'!$J$27,'Main Budget'!$E$27,0)</f>
        <v>0</v>
      </c>
      <c r="O777" s="228">
        <f>B777+(SUM(H777:M777)+(SUM(D777:E777)))</f>
        <v>100</v>
      </c>
      <c r="P777" s="228">
        <f>C777+F777+G777+N777</f>
        <v>100</v>
      </c>
      <c r="Q777" s="252">
        <f>O777+P777</f>
        <v>200</v>
      </c>
      <c r="S777" s="231" t="str">
        <f>TEXT(A777,"dddd")</f>
        <v>Tuesday</v>
      </c>
    </row>
    <row r="778" spans="1:19" x14ac:dyDescent="0.25">
      <c r="A778" s="226">
        <v>46799</v>
      </c>
      <c r="B778" s="227">
        <f>O777</f>
        <v>100</v>
      </c>
      <c r="C778" s="228">
        <f>P777</f>
        <v>100</v>
      </c>
      <c r="D778" s="228">
        <f>IF(OR(DAY(A778+2)=1,DAY(A778+2)=15),-SUM('Main Budget'!$H$26:$H$31),0)</f>
        <v>0</v>
      </c>
      <c r="E778" s="228">
        <f>IF(DAY(A778+2)=22,-SUM('Main Budget'!$F$26:$F$31),0)</f>
        <v>0</v>
      </c>
      <c r="F778" s="228">
        <f>IF(D778&gt;0,-'Main Budget'!$H$25+0.15,0)</f>
        <v>0</v>
      </c>
      <c r="G778" s="228">
        <f>IF(E778&gt;0,-'Main Budget'!$F$25+0.81,0)</f>
        <v>0</v>
      </c>
      <c r="H778" s="227">
        <f>IF(DAY(A778)='Main Budget'!$J$26,'Main Budget'!$E$26,0)</f>
        <v>0</v>
      </c>
      <c r="I778" s="227">
        <f>IF(DAY(A778)='Main Budget'!$J$28,'Main Budget'!$E$28,0)</f>
        <v>0</v>
      </c>
      <c r="J778" s="227">
        <f>IF(DAY(A778)='Main Budget'!$J$29,'Main Budget'!$E$29,0)</f>
        <v>0</v>
      </c>
      <c r="K778" s="20">
        <f>IF(DAY(A778)='Main Budget'!$J$30,'Main Budget'!$E$30,0)</f>
        <v>0</v>
      </c>
      <c r="L778" s="20">
        <f>IF(DAY(A778)='Main Budget'!$J$31,'Main Budget'!$E$31,0)</f>
        <v>0</v>
      </c>
      <c r="M778" s="20">
        <f>IF(DAY(A778)='Main Budget'!$J$27,'Main Budget'!$E$27,0)</f>
        <v>0</v>
      </c>
      <c r="O778" s="228">
        <f>B778+(SUM(H778:M778)+(SUM(D778:E778)))</f>
        <v>100</v>
      </c>
      <c r="P778" s="228">
        <f>C778+F778+G778+N778</f>
        <v>100</v>
      </c>
      <c r="Q778" s="252">
        <f>O778+P778</f>
        <v>200</v>
      </c>
      <c r="S778" s="231" t="str">
        <f>TEXT(A778,"dddd")</f>
        <v>Wednesday</v>
      </c>
    </row>
    <row r="779" spans="1:19" x14ac:dyDescent="0.25">
      <c r="A779" s="226">
        <v>46800</v>
      </c>
      <c r="B779" s="227">
        <f>O778</f>
        <v>100</v>
      </c>
      <c r="C779" s="228">
        <f>P778</f>
        <v>100</v>
      </c>
      <c r="D779" s="228">
        <f>IF(OR(DAY(A779+2)=1,DAY(A779+2)=15),-SUM('Main Budget'!$H$26:$H$31),0)</f>
        <v>0</v>
      </c>
      <c r="E779" s="228">
        <f>IF(DAY(A779+2)=22,-SUM('Main Budget'!$F$26:$F$31),0)</f>
        <v>0</v>
      </c>
      <c r="F779" s="228">
        <f>IF(D779&gt;0,-'Main Budget'!$H$25+0.15,0)</f>
        <v>0</v>
      </c>
      <c r="G779" s="228">
        <f>IF(E779&gt;0,-'Main Budget'!$F$25+0.81,0)</f>
        <v>0</v>
      </c>
      <c r="H779" s="227">
        <f>IF(DAY(A779)='Main Budget'!$J$26,'Main Budget'!$E$26,0)</f>
        <v>0</v>
      </c>
      <c r="I779" s="227">
        <f>IF(DAY(A779)='Main Budget'!$J$28,'Main Budget'!$E$28,0)</f>
        <v>0</v>
      </c>
      <c r="J779" s="227">
        <f>IF(DAY(A779)='Main Budget'!$J$29,'Main Budget'!$E$29,0)</f>
        <v>0</v>
      </c>
      <c r="K779" s="20">
        <f>IF(DAY(A779)='Main Budget'!$J$30,'Main Budget'!$E$30,0)</f>
        <v>0</v>
      </c>
      <c r="L779" s="20">
        <f>IF(DAY(A779)='Main Budget'!$J$31,'Main Budget'!$E$31,0)</f>
        <v>0</v>
      </c>
      <c r="M779" s="20">
        <f>IF(DAY(A779)='Main Budget'!$J$27,'Main Budget'!$E$27,0)</f>
        <v>0</v>
      </c>
      <c r="O779" s="228">
        <f>B779+(SUM(H779:M779)+(SUM(D779:E779)))</f>
        <v>100</v>
      </c>
      <c r="P779" s="228">
        <f>C779+F779+G779+N779</f>
        <v>100</v>
      </c>
      <c r="Q779" s="252">
        <f>O779+P779</f>
        <v>200</v>
      </c>
      <c r="S779" s="231" t="str">
        <f>TEXT(A779,"dddd")</f>
        <v>Thursday</v>
      </c>
    </row>
    <row r="780" spans="1:19" x14ac:dyDescent="0.25">
      <c r="A780" s="226">
        <v>46801</v>
      </c>
      <c r="B780" s="227">
        <f>O779</f>
        <v>100</v>
      </c>
      <c r="C780" s="228">
        <f>P779</f>
        <v>100</v>
      </c>
      <c r="D780" s="228">
        <f>IF(OR(DAY(A780+2)=1,DAY(A780+2)=15),-SUM('Main Budget'!$H$26:$H$31),0)</f>
        <v>0</v>
      </c>
      <c r="E780" s="228">
        <f>IF(DAY(A780+2)=22,-SUM('Main Budget'!$F$26:$F$31),0)</f>
        <v>0</v>
      </c>
      <c r="F780" s="228">
        <f>IF(D780&gt;0,-'Main Budget'!$H$25+0.15,0)</f>
        <v>0</v>
      </c>
      <c r="G780" s="228">
        <f>IF(E780&gt;0,-'Main Budget'!$F$25+0.81,0)</f>
        <v>0</v>
      </c>
      <c r="H780" s="227">
        <f>IF(DAY(A780)='Main Budget'!$J$26,'Main Budget'!$E$26,0)</f>
        <v>0</v>
      </c>
      <c r="I780" s="227">
        <f>IF(DAY(A780)='Main Budget'!$J$28,'Main Budget'!$E$28,0)</f>
        <v>0</v>
      </c>
      <c r="J780" s="227">
        <f>IF(DAY(A780)='Main Budget'!$J$29,'Main Budget'!$E$29,0)</f>
        <v>0</v>
      </c>
      <c r="K780" s="20">
        <f>IF(DAY(A780)='Main Budget'!$J$30,'Main Budget'!$E$30,0)</f>
        <v>0</v>
      </c>
      <c r="L780" s="20">
        <f>IF(DAY(A780)='Main Budget'!$J$31,'Main Budget'!$E$31,0)</f>
        <v>0</v>
      </c>
      <c r="M780" s="20">
        <f>IF(DAY(A780)='Main Budget'!$J$27,'Main Budget'!$E$27,0)</f>
        <v>0</v>
      </c>
      <c r="O780" s="228">
        <f>B780+(SUM(H780:M780)+(SUM(D780:E780)))</f>
        <v>100</v>
      </c>
      <c r="P780" s="228">
        <f>C780+F780+G780+N780</f>
        <v>100</v>
      </c>
      <c r="Q780" s="252">
        <f>O780+P780</f>
        <v>200</v>
      </c>
      <c r="S780" s="231" t="str">
        <f>TEXT(A780,"dddd")</f>
        <v>Friday</v>
      </c>
    </row>
    <row r="781" spans="1:19" x14ac:dyDescent="0.25">
      <c r="A781" s="226">
        <v>46802</v>
      </c>
      <c r="B781" s="227">
        <f>O780</f>
        <v>100</v>
      </c>
      <c r="C781" s="228">
        <f>P780</f>
        <v>100</v>
      </c>
      <c r="D781" s="228">
        <f>IF(OR(DAY(A781+2)=1,DAY(A781+2)=15),-SUM('Main Budget'!$H$26:$H$31),0)</f>
        <v>0</v>
      </c>
      <c r="E781" s="228">
        <f>IF(DAY(A781+2)=22,-SUM('Main Budget'!$F$26:$F$31),0)</f>
        <v>0</v>
      </c>
      <c r="F781" s="228">
        <f>IF(D781&gt;0,-'Main Budget'!$H$25+0.15,0)</f>
        <v>0</v>
      </c>
      <c r="G781" s="228">
        <f>IF(E781&gt;0,-'Main Budget'!$F$25+0.81,0)</f>
        <v>0</v>
      </c>
      <c r="H781" s="227">
        <f>IF(DAY(A781)='Main Budget'!$J$26,'Main Budget'!$E$26,0)</f>
        <v>0</v>
      </c>
      <c r="I781" s="227">
        <f>IF(DAY(A781)='Main Budget'!$J$28,'Main Budget'!$E$28,0)</f>
        <v>0</v>
      </c>
      <c r="J781" s="227">
        <f>IF(DAY(A781)='Main Budget'!$J$29,'Main Budget'!$E$29,0)</f>
        <v>0</v>
      </c>
      <c r="K781" s="20">
        <f>IF(DAY(A781)='Main Budget'!$J$30,'Main Budget'!$E$30,0)</f>
        <v>0</v>
      </c>
      <c r="L781" s="20">
        <f>IF(DAY(A781)='Main Budget'!$J$31,'Main Budget'!$E$31,0)</f>
        <v>0</v>
      </c>
      <c r="M781" s="20">
        <f>IF(DAY(A781)='Main Budget'!$J$27,'Main Budget'!$E$27,0)</f>
        <v>0</v>
      </c>
      <c r="O781" s="228">
        <f>B781+(SUM(H781:M781)+(SUM(D781:E781)))</f>
        <v>100</v>
      </c>
      <c r="P781" s="228">
        <f>C781+F781+G781+N781</f>
        <v>100</v>
      </c>
      <c r="Q781" s="252">
        <f>O781+P781</f>
        <v>200</v>
      </c>
      <c r="S781" s="231" t="str">
        <f>TEXT(A781,"dddd")</f>
        <v>Saturday</v>
      </c>
    </row>
    <row r="782" spans="1:19" x14ac:dyDescent="0.25">
      <c r="A782" s="226">
        <v>46803</v>
      </c>
      <c r="B782" s="227">
        <f>O781</f>
        <v>100</v>
      </c>
      <c r="C782" s="228">
        <f>P781</f>
        <v>100</v>
      </c>
      <c r="D782" s="228">
        <f>IF(OR(DAY(A782+2)=1,DAY(A782+2)=15),-SUM('Main Budget'!$H$26:$H$31),0)</f>
        <v>0</v>
      </c>
      <c r="E782" s="228">
        <f>IF(DAY(A782+2)=22,-SUM('Main Budget'!$F$26:$F$31),0)</f>
        <v>0</v>
      </c>
      <c r="F782" s="228">
        <f>IF(D782&gt;0,-'Main Budget'!$H$25+0.15,0)</f>
        <v>0</v>
      </c>
      <c r="G782" s="228">
        <f>IF(E782&gt;0,-'Main Budget'!$F$25+0.81,0)</f>
        <v>0</v>
      </c>
      <c r="H782" s="227">
        <f>IF(DAY(A782)='Main Budget'!$J$26,'Main Budget'!$E$26,0)</f>
        <v>0</v>
      </c>
      <c r="I782" s="227">
        <f>IF(DAY(A782)='Main Budget'!$J$28,'Main Budget'!$E$28,0)</f>
        <v>0</v>
      </c>
      <c r="J782" s="227">
        <f>IF(DAY(A782)='Main Budget'!$J$29,'Main Budget'!$E$29,0)</f>
        <v>0</v>
      </c>
      <c r="K782" s="20">
        <f>IF(DAY(A782)='Main Budget'!$J$30,'Main Budget'!$E$30,0)</f>
        <v>0</v>
      </c>
      <c r="L782" s="20">
        <f>IF(DAY(A782)='Main Budget'!$J$31,'Main Budget'!$E$31,0)</f>
        <v>0</v>
      </c>
      <c r="M782" s="20">
        <f>IF(DAY(A782)='Main Budget'!$J$27,'Main Budget'!$E$27,0)</f>
        <v>0</v>
      </c>
      <c r="O782" s="228">
        <f>B782+(SUM(H782:M782)+(SUM(D782:E782)))</f>
        <v>100</v>
      </c>
      <c r="P782" s="228">
        <f>C782+F782+G782+N782</f>
        <v>100</v>
      </c>
      <c r="Q782" s="252">
        <f>O782+P782</f>
        <v>200</v>
      </c>
      <c r="S782" s="231" t="str">
        <f>TEXT(A782,"dddd")</f>
        <v>Sunday</v>
      </c>
    </row>
    <row r="783" spans="1:19" x14ac:dyDescent="0.25">
      <c r="A783" s="226">
        <v>46804</v>
      </c>
      <c r="B783" s="227">
        <f>O782</f>
        <v>100</v>
      </c>
      <c r="C783" s="228">
        <f>P782</f>
        <v>100</v>
      </c>
      <c r="D783" s="228">
        <f>IF(OR(DAY(A783+2)=1,DAY(A783+2)=15),-SUM('Main Budget'!$H$26:$H$31),0)</f>
        <v>0</v>
      </c>
      <c r="E783" s="228">
        <f>IF(DAY(A783+2)=22,-SUM('Main Budget'!$F$26:$F$31),0)</f>
        <v>0</v>
      </c>
      <c r="F783" s="228">
        <f>IF(D783&gt;0,-'Main Budget'!$H$25+0.15,0)</f>
        <v>0</v>
      </c>
      <c r="G783" s="228">
        <f>IF(E783&gt;0,-'Main Budget'!$F$25+0.81,0)</f>
        <v>0</v>
      </c>
      <c r="H783" s="227">
        <f>IF(DAY(A783)='Main Budget'!$J$26,'Main Budget'!$E$26,0)</f>
        <v>0</v>
      </c>
      <c r="I783" s="227">
        <f>IF(DAY(A783)='Main Budget'!$J$28,'Main Budget'!$E$28,0)</f>
        <v>0</v>
      </c>
      <c r="J783" s="227">
        <f>IF(DAY(A783)='Main Budget'!$J$29,'Main Budget'!$E$29,0)</f>
        <v>0</v>
      </c>
      <c r="K783" s="20">
        <f>IF(DAY(A783)='Main Budget'!$J$30,'Main Budget'!$E$30,0)</f>
        <v>0</v>
      </c>
      <c r="L783" s="20">
        <f>IF(DAY(A783)='Main Budget'!$J$31,'Main Budget'!$E$31,0)</f>
        <v>0</v>
      </c>
      <c r="M783" s="20">
        <f>IF(DAY(A783)='Main Budget'!$J$27,'Main Budget'!$E$27,0)</f>
        <v>0</v>
      </c>
      <c r="O783" s="228">
        <f>B783+(SUM(H783:M783)+(SUM(D783:E783)))</f>
        <v>100</v>
      </c>
      <c r="P783" s="228">
        <f>C783+F783+G783+N783</f>
        <v>100</v>
      </c>
      <c r="Q783" s="252">
        <f>O783+P783</f>
        <v>200</v>
      </c>
      <c r="S783" s="231" t="str">
        <f>TEXT(A783,"dddd")</f>
        <v>Monday</v>
      </c>
    </row>
    <row r="784" spans="1:19" x14ac:dyDescent="0.25">
      <c r="A784" s="226">
        <v>46805</v>
      </c>
      <c r="B784" s="227">
        <f>O783</f>
        <v>100</v>
      </c>
      <c r="C784" s="228">
        <f>P783</f>
        <v>100</v>
      </c>
      <c r="D784" s="228">
        <f>IF(OR(DAY(A784+2)=1,DAY(A784+2)=15),-SUM('Main Budget'!$H$26:$H$31),0)</f>
        <v>0</v>
      </c>
      <c r="E784" s="228">
        <f>IF(DAY(A784+2)=22,-SUM('Main Budget'!$F$26:$F$31),0)</f>
        <v>0</v>
      </c>
      <c r="F784" s="228">
        <f>IF(D784&gt;0,-'Main Budget'!$H$25+0.15,0)</f>
        <v>0</v>
      </c>
      <c r="G784" s="228">
        <f>IF(E784&gt;0,-'Main Budget'!$F$25+0.81,0)</f>
        <v>0</v>
      </c>
      <c r="H784" s="227">
        <f>IF(DAY(A784)='Main Budget'!$J$26,'Main Budget'!$E$26,0)</f>
        <v>0</v>
      </c>
      <c r="I784" s="227">
        <f>IF(DAY(A784)='Main Budget'!$J$28,'Main Budget'!$E$28,0)</f>
        <v>0</v>
      </c>
      <c r="J784" s="227">
        <f>IF(DAY(A784)='Main Budget'!$J$29,'Main Budget'!$E$29,0)</f>
        <v>0</v>
      </c>
      <c r="K784" s="20">
        <f>IF(DAY(A784)='Main Budget'!$J$30,'Main Budget'!$E$30,0)</f>
        <v>0</v>
      </c>
      <c r="L784" s="20">
        <f>IF(DAY(A784)='Main Budget'!$J$31,'Main Budget'!$E$31,0)</f>
        <v>0</v>
      </c>
      <c r="M784" s="20">
        <f>IF(DAY(A784)='Main Budget'!$J$27,'Main Budget'!$E$27,0)</f>
        <v>0</v>
      </c>
      <c r="O784" s="228">
        <f>B784+(SUM(H784:M784)+(SUM(D784:E784)))</f>
        <v>100</v>
      </c>
      <c r="P784" s="228">
        <f>C784+F784+G784+N784</f>
        <v>100</v>
      </c>
      <c r="Q784" s="252">
        <f>O784+P784</f>
        <v>200</v>
      </c>
      <c r="S784" s="231" t="str">
        <f>TEXT(A784,"dddd")</f>
        <v>Tuesday</v>
      </c>
    </row>
    <row r="785" spans="1:19" x14ac:dyDescent="0.25">
      <c r="A785" s="226">
        <v>46806</v>
      </c>
      <c r="B785" s="227">
        <f>O784</f>
        <v>100</v>
      </c>
      <c r="C785" s="228">
        <f>P784</f>
        <v>100</v>
      </c>
      <c r="D785" s="228">
        <f>IF(OR(DAY(A785+2)=1,DAY(A785+2)=15),-SUM('Main Budget'!$H$26:$H$31),0)</f>
        <v>0</v>
      </c>
      <c r="E785" s="228">
        <f>IF(DAY(A785+2)=22,-SUM('Main Budget'!$F$26:$F$31),0)</f>
        <v>0</v>
      </c>
      <c r="F785" s="228">
        <f>IF(D785&gt;0,-'Main Budget'!$H$25+0.15,0)</f>
        <v>0</v>
      </c>
      <c r="G785" s="228">
        <f>IF(E785&gt;0,-'Main Budget'!$F$25+0.81,0)</f>
        <v>0</v>
      </c>
      <c r="H785" s="227">
        <f>IF(DAY(A785)='Main Budget'!$J$26,'Main Budget'!$E$26,0)</f>
        <v>0</v>
      </c>
      <c r="I785" s="227">
        <f>IF(DAY(A785)='Main Budget'!$J$28,'Main Budget'!$E$28,0)</f>
        <v>0</v>
      </c>
      <c r="J785" s="227">
        <f>IF(DAY(A785)='Main Budget'!$J$29,'Main Budget'!$E$29,0)</f>
        <v>0</v>
      </c>
      <c r="K785" s="20">
        <f>IF(DAY(A785)='Main Budget'!$J$30,'Main Budget'!$E$30,0)</f>
        <v>0</v>
      </c>
      <c r="L785" s="20">
        <f>IF(DAY(A785)='Main Budget'!$J$31,'Main Budget'!$E$31,0)</f>
        <v>0</v>
      </c>
      <c r="M785" s="20">
        <f>IF(DAY(A785)='Main Budget'!$J$27,'Main Budget'!$E$27,0)</f>
        <v>0</v>
      </c>
      <c r="O785" s="228">
        <f>B785+(SUM(H785:M785)+(SUM(D785:E785)))</f>
        <v>100</v>
      </c>
      <c r="P785" s="228">
        <f>C785+F785+G785+N785</f>
        <v>100</v>
      </c>
      <c r="Q785" s="252">
        <f>O785+P785</f>
        <v>200</v>
      </c>
      <c r="S785" s="231" t="str">
        <f>TEXT(A785,"dddd")</f>
        <v>Wednesday</v>
      </c>
    </row>
    <row r="786" spans="1:19" x14ac:dyDescent="0.25">
      <c r="A786" s="226">
        <v>46807</v>
      </c>
      <c r="B786" s="227">
        <f>O785</f>
        <v>100</v>
      </c>
      <c r="C786" s="228">
        <f>P785</f>
        <v>100</v>
      </c>
      <c r="D786" s="228">
        <f>IF(OR(DAY(A786+2)=1,DAY(A786+2)=15),-SUM('Main Budget'!$H$26:$H$31),0)</f>
        <v>0</v>
      </c>
      <c r="E786" s="228">
        <f>IF(DAY(A786+2)=22,-SUM('Main Budget'!$F$26:$F$31),0)</f>
        <v>0</v>
      </c>
      <c r="F786" s="228">
        <f>IF(D786&gt;0,-'Main Budget'!$H$25+0.15,0)</f>
        <v>0</v>
      </c>
      <c r="G786" s="228">
        <f>IF(E786&gt;0,-'Main Budget'!$F$25+0.81,0)</f>
        <v>0</v>
      </c>
      <c r="H786" s="227">
        <f>IF(DAY(A786)='Main Budget'!$J$26,'Main Budget'!$E$26,0)</f>
        <v>0</v>
      </c>
      <c r="I786" s="227">
        <f>IF(DAY(A786)='Main Budget'!$J$28,'Main Budget'!$E$28,0)</f>
        <v>0</v>
      </c>
      <c r="J786" s="227">
        <f>IF(DAY(A786)='Main Budget'!$J$29,'Main Budget'!$E$29,0)</f>
        <v>0</v>
      </c>
      <c r="K786" s="20">
        <f>IF(DAY(A786)='Main Budget'!$J$30,'Main Budget'!$E$30,0)</f>
        <v>0</v>
      </c>
      <c r="L786" s="20">
        <f>IF(DAY(A786)='Main Budget'!$J$31,'Main Budget'!$E$31,0)</f>
        <v>0</v>
      </c>
      <c r="M786" s="20">
        <f>IF(DAY(A786)='Main Budget'!$J$27,'Main Budget'!$E$27,0)</f>
        <v>0</v>
      </c>
      <c r="O786" s="228">
        <f>B786+(SUM(H786:M786)+(SUM(D786:E786)))</f>
        <v>100</v>
      </c>
      <c r="P786" s="228">
        <f>C786+F786+G786+N786</f>
        <v>100</v>
      </c>
      <c r="Q786" s="252">
        <f>O786+P786</f>
        <v>200</v>
      </c>
      <c r="S786" s="231" t="str">
        <f>TEXT(A786,"dddd")</f>
        <v>Thursday</v>
      </c>
    </row>
    <row r="787" spans="1:19" x14ac:dyDescent="0.25">
      <c r="A787" s="226">
        <v>46808</v>
      </c>
      <c r="B787" s="227">
        <f>O786</f>
        <v>100</v>
      </c>
      <c r="C787" s="228">
        <f>P786</f>
        <v>100</v>
      </c>
      <c r="D787" s="228">
        <f>IF(OR(DAY(A787+2)=1,DAY(A787+2)=15),-SUM('Main Budget'!$H$26:$H$31),0)</f>
        <v>0</v>
      </c>
      <c r="E787" s="228">
        <f>IF(DAY(A787+2)=22,-SUM('Main Budget'!$F$26:$F$31),0)</f>
        <v>0</v>
      </c>
      <c r="F787" s="228">
        <f>IF(D787&gt;0,-'Main Budget'!$H$25+0.15,0)</f>
        <v>0</v>
      </c>
      <c r="G787" s="228">
        <f>IF(E787&gt;0,-'Main Budget'!$F$25+0.81,0)</f>
        <v>0</v>
      </c>
      <c r="H787" s="227">
        <f>IF(DAY(A787)='Main Budget'!$J$26,'Main Budget'!$E$26,0)</f>
        <v>0</v>
      </c>
      <c r="I787" s="227">
        <f>IF(DAY(A787)='Main Budget'!$J$28,'Main Budget'!$E$28,0)</f>
        <v>0</v>
      </c>
      <c r="J787" s="227">
        <f>IF(DAY(A787)='Main Budget'!$J$29,'Main Budget'!$E$29,0)</f>
        <v>0</v>
      </c>
      <c r="K787" s="20">
        <f>IF(DAY(A787)='Main Budget'!$J$30,'Main Budget'!$E$30,0)</f>
        <v>0</v>
      </c>
      <c r="L787" s="20">
        <f>IF(DAY(A787)='Main Budget'!$J$31,'Main Budget'!$E$31,0)</f>
        <v>0</v>
      </c>
      <c r="M787" s="20">
        <f>IF(DAY(A787)='Main Budget'!$J$27,'Main Budget'!$E$27,0)</f>
        <v>0</v>
      </c>
      <c r="O787" s="228">
        <f>B787+(SUM(H787:M787)+(SUM(D787:E787)))</f>
        <v>100</v>
      </c>
      <c r="P787" s="228">
        <f>C787+F787+G787+N787</f>
        <v>100</v>
      </c>
      <c r="Q787" s="252">
        <f>O787+P787</f>
        <v>200</v>
      </c>
      <c r="S787" s="231" t="str">
        <f>TEXT(A787,"dddd")</f>
        <v>Friday</v>
      </c>
    </row>
    <row r="788" spans="1:19" x14ac:dyDescent="0.25">
      <c r="A788" s="226">
        <v>46809</v>
      </c>
      <c r="B788" s="227">
        <f>O787</f>
        <v>100</v>
      </c>
      <c r="C788" s="228">
        <f>P787</f>
        <v>100</v>
      </c>
      <c r="D788" s="228">
        <f>IF(OR(DAY(A788+2)=1,DAY(A788+2)=15),-SUM('Main Budget'!$H$26:$H$31),0)</f>
        <v>0</v>
      </c>
      <c r="E788" s="228">
        <f>IF(DAY(A788+2)=22,-SUM('Main Budget'!$F$26:$F$31),0)</f>
        <v>0</v>
      </c>
      <c r="F788" s="228">
        <f>IF(D788&gt;0,-'Main Budget'!$H$25+0.15,0)</f>
        <v>0</v>
      </c>
      <c r="G788" s="228">
        <f>IF(E788&gt;0,-'Main Budget'!$F$25+0.81,0)</f>
        <v>0</v>
      </c>
      <c r="H788" s="227">
        <f>IF(DAY(A788)='Main Budget'!$J$26,'Main Budget'!$E$26,0)</f>
        <v>0</v>
      </c>
      <c r="I788" s="227">
        <f>IF(DAY(A788)='Main Budget'!$J$28,'Main Budget'!$E$28,0)</f>
        <v>0</v>
      </c>
      <c r="J788" s="227">
        <f>IF(DAY(A788)='Main Budget'!$J$29,'Main Budget'!$E$29,0)</f>
        <v>0</v>
      </c>
      <c r="K788" s="20">
        <f>IF(DAY(A788)='Main Budget'!$J$30,'Main Budget'!$E$30,0)</f>
        <v>0</v>
      </c>
      <c r="L788" s="20">
        <f>IF(DAY(A788)='Main Budget'!$J$31,'Main Budget'!$E$31,0)</f>
        <v>0</v>
      </c>
      <c r="M788" s="20">
        <f>IF(DAY(A788)='Main Budget'!$J$27,'Main Budget'!$E$27,0)</f>
        <v>0</v>
      </c>
      <c r="O788" s="228">
        <f>B788+(SUM(H788:M788)+(SUM(D788:E788)))</f>
        <v>100</v>
      </c>
      <c r="P788" s="228">
        <f>C788+F788+G788+N788</f>
        <v>100</v>
      </c>
      <c r="Q788" s="252">
        <f>O788+P788</f>
        <v>200</v>
      </c>
      <c r="S788" s="231" t="str">
        <f>TEXT(A788,"dddd")</f>
        <v>Saturday</v>
      </c>
    </row>
    <row r="789" spans="1:19" x14ac:dyDescent="0.25">
      <c r="A789" s="226">
        <v>46810</v>
      </c>
      <c r="B789" s="227">
        <f>O788</f>
        <v>100</v>
      </c>
      <c r="C789" s="228">
        <f>P788</f>
        <v>100</v>
      </c>
      <c r="D789" s="228">
        <f>IF(OR(DAY(A789+2)=1,DAY(A789+2)=15),-SUM('Main Budget'!$H$26:$H$31),0)</f>
        <v>0</v>
      </c>
      <c r="E789" s="228">
        <f>IF(DAY(A789+2)=22,-SUM('Main Budget'!$F$26:$F$31),0)</f>
        <v>0</v>
      </c>
      <c r="F789" s="228">
        <f>IF(D789&gt;0,-'Main Budget'!$H$25+0.15,0)</f>
        <v>0</v>
      </c>
      <c r="G789" s="228">
        <f>IF(E789&gt;0,-'Main Budget'!$F$25+0.81,0)</f>
        <v>0</v>
      </c>
      <c r="H789" s="227">
        <f>IF(DAY(A789)='Main Budget'!$J$26,'Main Budget'!$E$26,0)</f>
        <v>0</v>
      </c>
      <c r="I789" s="227">
        <f>IF(DAY(A789)='Main Budget'!$J$28,'Main Budget'!$E$28,0)</f>
        <v>0</v>
      </c>
      <c r="J789" s="227">
        <f>IF(DAY(A789)='Main Budget'!$J$29,'Main Budget'!$E$29,0)</f>
        <v>0</v>
      </c>
      <c r="K789" s="20">
        <f>IF(DAY(A789)='Main Budget'!$J$30,'Main Budget'!$E$30,0)</f>
        <v>0</v>
      </c>
      <c r="L789" s="20">
        <f>IF(DAY(A789)='Main Budget'!$J$31,'Main Budget'!$E$31,0)</f>
        <v>0</v>
      </c>
      <c r="M789" s="20">
        <f>IF(DAY(A789)='Main Budget'!$J$27,'Main Budget'!$E$27,0)</f>
        <v>0</v>
      </c>
      <c r="O789" s="228">
        <f>B789+(SUM(H789:M789)+(SUM(D789:E789)))</f>
        <v>100</v>
      </c>
      <c r="P789" s="228">
        <f>C789+F789+G789+N789</f>
        <v>100</v>
      </c>
      <c r="Q789" s="252">
        <f>O789+P789</f>
        <v>200</v>
      </c>
      <c r="S789" s="231" t="str">
        <f>TEXT(A789,"dddd")</f>
        <v>Sunday</v>
      </c>
    </row>
    <row r="790" spans="1:19" x14ac:dyDescent="0.25">
      <c r="A790" s="226">
        <v>46811</v>
      </c>
      <c r="B790" s="227">
        <f>O789</f>
        <v>100</v>
      </c>
      <c r="C790" s="228">
        <f>P789</f>
        <v>100</v>
      </c>
      <c r="D790" s="228">
        <f>IF(OR(DAY(A790+2)=1,DAY(A790+2)=15),-SUM('Main Budget'!$H$26:$H$31),0)</f>
        <v>0</v>
      </c>
      <c r="E790" s="228">
        <f>IF(DAY(A790+2)=22,-SUM('Main Budget'!$F$26:$F$31),0)</f>
        <v>0</v>
      </c>
      <c r="F790" s="228">
        <f>IF(D790&gt;0,-'Main Budget'!$H$25+0.15,0)</f>
        <v>0</v>
      </c>
      <c r="G790" s="228">
        <f>IF(E790&gt;0,-'Main Budget'!$F$25+0.81,0)</f>
        <v>0</v>
      </c>
      <c r="H790" s="227">
        <f>IF(DAY(A790)='Main Budget'!$J$26,'Main Budget'!$E$26,0)</f>
        <v>0</v>
      </c>
      <c r="I790" s="227">
        <f>IF(DAY(A790)='Main Budget'!$J$28,'Main Budget'!$E$28,0)</f>
        <v>0</v>
      </c>
      <c r="J790" s="227">
        <f>IF(DAY(A790)='Main Budget'!$J$29,'Main Budget'!$E$29,0)</f>
        <v>0</v>
      </c>
      <c r="K790" s="20">
        <f>IF(DAY(A790)='Main Budget'!$J$30,'Main Budget'!$E$30,0)</f>
        <v>0</v>
      </c>
      <c r="L790" s="20">
        <f>IF(DAY(A790)='Main Budget'!$J$31,'Main Budget'!$E$31,0)</f>
        <v>0</v>
      </c>
      <c r="M790" s="20">
        <f>IF(DAY(A790)='Main Budget'!$J$27,'Main Budget'!$E$27,0)</f>
        <v>0</v>
      </c>
      <c r="O790" s="228">
        <f>B790+(SUM(H790:M790)+(SUM(D790:E790)))</f>
        <v>100</v>
      </c>
      <c r="P790" s="228">
        <f>C790+F790+G790+N790</f>
        <v>100</v>
      </c>
      <c r="Q790" s="252">
        <f>O790+P790</f>
        <v>200</v>
      </c>
      <c r="S790" s="231" t="str">
        <f>TEXT(A790,"dddd")</f>
        <v>Monday</v>
      </c>
    </row>
    <row r="791" spans="1:19" x14ac:dyDescent="0.25">
      <c r="A791" s="226">
        <v>46812</v>
      </c>
      <c r="B791" s="227">
        <f>O790</f>
        <v>100</v>
      </c>
      <c r="C791" s="228">
        <f>P790</f>
        <v>100</v>
      </c>
      <c r="D791" s="228">
        <f>IF(OR(DAY(A791+2)=1,DAY(A791+2)=15),-SUM('Main Budget'!$H$26:$H$31),0)</f>
        <v>0</v>
      </c>
      <c r="E791" s="228">
        <f>IF(DAY(A791+2)=22,-SUM('Main Budget'!$F$26:$F$31),0)</f>
        <v>0</v>
      </c>
      <c r="F791" s="228">
        <f>IF(D791&gt;0,-'Main Budget'!$H$25+0.15,0)</f>
        <v>0</v>
      </c>
      <c r="G791" s="228">
        <f>IF(E791&gt;0,-'Main Budget'!$F$25+0.81,0)</f>
        <v>0</v>
      </c>
      <c r="H791" s="227">
        <f>IF(DAY(A791)='Main Budget'!$J$26,'Main Budget'!$E$26,0)</f>
        <v>0</v>
      </c>
      <c r="I791" s="227">
        <f>IF(DAY(A791)='Main Budget'!$J$28,'Main Budget'!$E$28,0)</f>
        <v>0</v>
      </c>
      <c r="J791" s="227">
        <f>IF(DAY(A791)='Main Budget'!$J$29,'Main Budget'!$E$29,0)</f>
        <v>0</v>
      </c>
      <c r="K791" s="20">
        <f>IF(DAY(A791)='Main Budget'!$J$30,'Main Budget'!$E$30,0)</f>
        <v>0</v>
      </c>
      <c r="L791" s="20">
        <f>IF(DAY(A791)='Main Budget'!$J$31,'Main Budget'!$E$31,0)</f>
        <v>0</v>
      </c>
      <c r="M791" s="20">
        <f>IF(DAY(A791)='Main Budget'!$J$27,'Main Budget'!$E$27,0)</f>
        <v>0</v>
      </c>
      <c r="O791" s="228">
        <f>B791+(SUM(H791:M791)+(SUM(D791:E791)))</f>
        <v>100</v>
      </c>
      <c r="P791" s="228">
        <f>C791+F791+G791+N791</f>
        <v>100</v>
      </c>
      <c r="Q791" s="252">
        <f>O791+P791</f>
        <v>200</v>
      </c>
      <c r="S791" s="231" t="str">
        <f>TEXT(A791,"dddd")</f>
        <v>Tuesday</v>
      </c>
    </row>
    <row r="792" spans="1:19" x14ac:dyDescent="0.25">
      <c r="A792" s="226">
        <v>46813</v>
      </c>
      <c r="B792" s="227">
        <f>O791</f>
        <v>100</v>
      </c>
      <c r="C792" s="228">
        <f>P791</f>
        <v>100</v>
      </c>
      <c r="D792" s="228">
        <f>IF(OR(DAY(A792+2)=1,DAY(A792+2)=15),-SUM('Main Budget'!$H$26:$H$31),0)</f>
        <v>0</v>
      </c>
      <c r="E792" s="228">
        <f>IF(DAY(A792+2)=22,-SUM('Main Budget'!$F$26:$F$31),0)</f>
        <v>0</v>
      </c>
      <c r="F792" s="228">
        <f>IF(D792&gt;0,-'Main Budget'!$H$25+0.15,0)</f>
        <v>0</v>
      </c>
      <c r="G792" s="228">
        <f>IF(E792&gt;0,-'Main Budget'!$F$25+0.81,0)</f>
        <v>0</v>
      </c>
      <c r="H792" s="227">
        <f>IF(DAY(A792)='Main Budget'!$J$26,'Main Budget'!$E$26,0)</f>
        <v>0</v>
      </c>
      <c r="I792" s="227">
        <f>IF(DAY(A792)='Main Budget'!$J$28,'Main Budget'!$E$28,0)</f>
        <v>0</v>
      </c>
      <c r="J792" s="227">
        <f>IF(DAY(A792)='Main Budget'!$J$29,'Main Budget'!$E$29,0)</f>
        <v>0</v>
      </c>
      <c r="K792" s="20">
        <f>IF(DAY(A792)='Main Budget'!$J$30,'Main Budget'!$E$30,0)</f>
        <v>0</v>
      </c>
      <c r="L792" s="20">
        <f>IF(DAY(A792)='Main Budget'!$J$31,'Main Budget'!$E$31,0)</f>
        <v>0</v>
      </c>
      <c r="M792" s="20">
        <f>IF(DAY(A792)='Main Budget'!$J$27,'Main Budget'!$E$27,0)</f>
        <v>0</v>
      </c>
      <c r="O792" s="228">
        <f>B792+(SUM(H792:M792)+(SUM(D792:E792)))</f>
        <v>100</v>
      </c>
      <c r="P792" s="228">
        <f>C792+F792+G792+N792</f>
        <v>100</v>
      </c>
      <c r="Q792" s="252">
        <f>O792+P792</f>
        <v>200</v>
      </c>
      <c r="S792" s="231" t="str">
        <f>TEXT(A792,"dddd")</f>
        <v>Wednesday</v>
      </c>
    </row>
    <row r="793" spans="1:19" x14ac:dyDescent="0.25">
      <c r="A793" s="226">
        <v>46814</v>
      </c>
      <c r="B793" s="227">
        <f>O792</f>
        <v>100</v>
      </c>
      <c r="C793" s="228">
        <f>P792</f>
        <v>100</v>
      </c>
      <c r="D793" s="228">
        <f>IF(OR(DAY(A793+2)=1,DAY(A793+2)=15),-SUM('Main Budget'!$H$26:$H$31),0)</f>
        <v>0</v>
      </c>
      <c r="E793" s="228">
        <f>IF(DAY(A793+2)=22,-SUM('Main Budget'!$F$26:$F$31),0)</f>
        <v>0</v>
      </c>
      <c r="F793" s="228">
        <f>IF(D793&gt;0,-'Main Budget'!$H$25+0.15,0)</f>
        <v>0</v>
      </c>
      <c r="G793" s="228">
        <f>IF(E793&gt;0,-'Main Budget'!$F$25+0.81,0)</f>
        <v>0</v>
      </c>
      <c r="H793" s="227">
        <f>IF(DAY(A793)='Main Budget'!$J$26,'Main Budget'!$E$26,0)</f>
        <v>0</v>
      </c>
      <c r="I793" s="227">
        <f>IF(DAY(A793)='Main Budget'!$J$28,'Main Budget'!$E$28,0)</f>
        <v>0</v>
      </c>
      <c r="J793" s="227">
        <f>IF(DAY(A793)='Main Budget'!$J$29,'Main Budget'!$E$29,0)</f>
        <v>0</v>
      </c>
      <c r="K793" s="20">
        <f>IF(DAY(A793)='Main Budget'!$J$30,'Main Budget'!$E$30,0)</f>
        <v>0</v>
      </c>
      <c r="L793" s="20">
        <f>IF(DAY(A793)='Main Budget'!$J$31,'Main Budget'!$E$31,0)</f>
        <v>0</v>
      </c>
      <c r="M793" s="20">
        <f>IF(DAY(A793)='Main Budget'!$J$27,'Main Budget'!$E$27,0)</f>
        <v>0</v>
      </c>
      <c r="O793" s="228">
        <f>B793+(SUM(H793:M793)+(SUM(D793:E793)))</f>
        <v>100</v>
      </c>
      <c r="P793" s="228">
        <f>C793+F793+G793+N793</f>
        <v>100</v>
      </c>
      <c r="Q793" s="252">
        <f>O793+P793</f>
        <v>200</v>
      </c>
      <c r="S793" s="231" t="str">
        <f>TEXT(A793,"dddd")</f>
        <v>Thursday</v>
      </c>
    </row>
    <row r="794" spans="1:19" x14ac:dyDescent="0.25">
      <c r="A794" s="226">
        <v>46815</v>
      </c>
      <c r="B794" s="227">
        <f>O793</f>
        <v>100</v>
      </c>
      <c r="C794" s="228">
        <f>P793</f>
        <v>100</v>
      </c>
      <c r="D794" s="228">
        <f>IF(OR(DAY(A794+2)=1,DAY(A794+2)=15),-SUM('Main Budget'!$H$26:$H$31),0)</f>
        <v>0</v>
      </c>
      <c r="E794" s="228">
        <f>IF(DAY(A794+2)=22,-SUM('Main Budget'!$F$26:$F$31),0)</f>
        <v>0</v>
      </c>
      <c r="F794" s="228">
        <f>IF(D794&gt;0,-'Main Budget'!$H$25+0.15,0)</f>
        <v>0</v>
      </c>
      <c r="G794" s="228">
        <f>IF(E794&gt;0,-'Main Budget'!$F$25+0.81,0)</f>
        <v>0</v>
      </c>
      <c r="H794" s="227">
        <f>IF(DAY(A794)='Main Budget'!$J$26,'Main Budget'!$E$26,0)</f>
        <v>0</v>
      </c>
      <c r="I794" s="227">
        <f>IF(DAY(A794)='Main Budget'!$J$28,'Main Budget'!$E$28,0)</f>
        <v>0</v>
      </c>
      <c r="J794" s="227">
        <f>IF(DAY(A794)='Main Budget'!$J$29,'Main Budget'!$E$29,0)</f>
        <v>0</v>
      </c>
      <c r="K794" s="20">
        <f>IF(DAY(A794)='Main Budget'!$J$30,'Main Budget'!$E$30,0)</f>
        <v>0</v>
      </c>
      <c r="L794" s="20">
        <f>IF(DAY(A794)='Main Budget'!$J$31,'Main Budget'!$E$31,0)</f>
        <v>0</v>
      </c>
      <c r="M794" s="20">
        <f>IF(DAY(A794)='Main Budget'!$J$27,'Main Budget'!$E$27,0)</f>
        <v>0</v>
      </c>
      <c r="O794" s="228">
        <f>B794+(SUM(H794:M794)+(SUM(D794:E794)))</f>
        <v>100</v>
      </c>
      <c r="P794" s="228">
        <f>C794+F794+G794+N794</f>
        <v>100</v>
      </c>
      <c r="Q794" s="252">
        <f>O794+P794</f>
        <v>200</v>
      </c>
      <c r="S794" s="231" t="str">
        <f>TEXT(A794,"dddd")</f>
        <v>Friday</v>
      </c>
    </row>
    <row r="795" spans="1:19" x14ac:dyDescent="0.25">
      <c r="A795" s="226">
        <v>46816</v>
      </c>
      <c r="B795" s="227">
        <f>O794</f>
        <v>100</v>
      </c>
      <c r="C795" s="228">
        <f>P794</f>
        <v>100</v>
      </c>
      <c r="D795" s="228">
        <f>IF(OR(DAY(A795+2)=1,DAY(A795+2)=15),-SUM('Main Budget'!$H$26:$H$31),0)</f>
        <v>0</v>
      </c>
      <c r="E795" s="228">
        <f>IF(DAY(A795+2)=22,-SUM('Main Budget'!$F$26:$F$31),0)</f>
        <v>0</v>
      </c>
      <c r="F795" s="228">
        <f>IF(D795&gt;0,-'Main Budget'!$H$25+0.15,0)</f>
        <v>0</v>
      </c>
      <c r="G795" s="228">
        <f>IF(E795&gt;0,-'Main Budget'!$F$25+0.81,0)</f>
        <v>0</v>
      </c>
      <c r="H795" s="227">
        <f>IF(DAY(A795)='Main Budget'!$J$26,'Main Budget'!$E$26,0)</f>
        <v>0</v>
      </c>
      <c r="I795" s="227">
        <f>IF(DAY(A795)='Main Budget'!$J$28,'Main Budget'!$E$28,0)</f>
        <v>0</v>
      </c>
      <c r="J795" s="227">
        <f>IF(DAY(A795)='Main Budget'!$J$29,'Main Budget'!$E$29,0)</f>
        <v>0</v>
      </c>
      <c r="K795" s="20">
        <f>IF(DAY(A795)='Main Budget'!$J$30,'Main Budget'!$E$30,0)</f>
        <v>0</v>
      </c>
      <c r="L795" s="20">
        <f>IF(DAY(A795)='Main Budget'!$J$31,'Main Budget'!$E$31,0)</f>
        <v>0</v>
      </c>
      <c r="M795" s="20">
        <f>IF(DAY(A795)='Main Budget'!$J$27,'Main Budget'!$E$27,0)</f>
        <v>0</v>
      </c>
      <c r="O795" s="228">
        <f>B795+(SUM(H795:M795)+(SUM(D795:E795)))</f>
        <v>100</v>
      </c>
      <c r="P795" s="228">
        <f>C795+F795+G795+N795</f>
        <v>100</v>
      </c>
      <c r="Q795" s="252">
        <f>O795+P795</f>
        <v>200</v>
      </c>
      <c r="S795" s="231" t="str">
        <f>TEXT(A795,"dddd")</f>
        <v>Saturday</v>
      </c>
    </row>
    <row r="796" spans="1:19" x14ac:dyDescent="0.25">
      <c r="A796" s="226">
        <v>46817</v>
      </c>
      <c r="B796" s="227">
        <f>O795</f>
        <v>100</v>
      </c>
      <c r="C796" s="228">
        <f>P795</f>
        <v>100</v>
      </c>
      <c r="D796" s="228">
        <f>IF(OR(DAY(A796+2)=1,DAY(A796+2)=15),-SUM('Main Budget'!$H$26:$H$31),0)</f>
        <v>0</v>
      </c>
      <c r="E796" s="228">
        <f>IF(DAY(A796+2)=22,-SUM('Main Budget'!$F$26:$F$31),0)</f>
        <v>0</v>
      </c>
      <c r="F796" s="228">
        <f>IF(D796&gt;0,-'Main Budget'!$H$25+0.15,0)</f>
        <v>0</v>
      </c>
      <c r="G796" s="228">
        <f>IF(E796&gt;0,-'Main Budget'!$F$25+0.81,0)</f>
        <v>0</v>
      </c>
      <c r="H796" s="227">
        <f>IF(DAY(A796)='Main Budget'!$J$26,'Main Budget'!$E$26,0)</f>
        <v>0</v>
      </c>
      <c r="I796" s="227">
        <f>IF(DAY(A796)='Main Budget'!$J$28,'Main Budget'!$E$28,0)</f>
        <v>0</v>
      </c>
      <c r="J796" s="227">
        <f>IF(DAY(A796)='Main Budget'!$J$29,'Main Budget'!$E$29,0)</f>
        <v>0</v>
      </c>
      <c r="K796" s="20">
        <f>IF(DAY(A796)='Main Budget'!$J$30,'Main Budget'!$E$30,0)</f>
        <v>0</v>
      </c>
      <c r="L796" s="20">
        <f>IF(DAY(A796)='Main Budget'!$J$31,'Main Budget'!$E$31,0)</f>
        <v>0</v>
      </c>
      <c r="M796" s="20">
        <f>IF(DAY(A796)='Main Budget'!$J$27,'Main Budget'!$E$27,0)</f>
        <v>0</v>
      </c>
      <c r="O796" s="228">
        <f>B796+(SUM(H796:M796)+(SUM(D796:E796)))</f>
        <v>100</v>
      </c>
      <c r="P796" s="228">
        <f>C796+F796+G796+N796</f>
        <v>100</v>
      </c>
      <c r="Q796" s="252">
        <f>O796+P796</f>
        <v>200</v>
      </c>
      <c r="S796" s="231" t="str">
        <f>TEXT(A796,"dddd")</f>
        <v>Sunday</v>
      </c>
    </row>
    <row r="797" spans="1:19" x14ac:dyDescent="0.25">
      <c r="A797" s="226">
        <v>46818</v>
      </c>
      <c r="B797" s="227">
        <f>O796</f>
        <v>100</v>
      </c>
      <c r="C797" s="228">
        <f>P796</f>
        <v>100</v>
      </c>
      <c r="D797" s="228">
        <f>IF(OR(DAY(A797+2)=1,DAY(A797+2)=15),-SUM('Main Budget'!$H$26:$H$31),0)</f>
        <v>0</v>
      </c>
      <c r="E797" s="228">
        <f>IF(DAY(A797+2)=22,-SUM('Main Budget'!$F$26:$F$31),0)</f>
        <v>0</v>
      </c>
      <c r="F797" s="228">
        <f>IF(D797&gt;0,-'Main Budget'!$H$25+0.15,0)</f>
        <v>0</v>
      </c>
      <c r="G797" s="228">
        <f>IF(E797&gt;0,-'Main Budget'!$F$25+0.81,0)</f>
        <v>0</v>
      </c>
      <c r="H797" s="227">
        <f>IF(DAY(A797)='Main Budget'!$J$26,'Main Budget'!$E$26,0)</f>
        <v>0</v>
      </c>
      <c r="I797" s="227">
        <f>IF(DAY(A797)='Main Budget'!$J$28,'Main Budget'!$E$28,0)</f>
        <v>0</v>
      </c>
      <c r="J797" s="227">
        <f>IF(DAY(A797)='Main Budget'!$J$29,'Main Budget'!$E$29,0)</f>
        <v>0</v>
      </c>
      <c r="K797" s="20">
        <f>IF(DAY(A797)='Main Budget'!$J$30,'Main Budget'!$E$30,0)</f>
        <v>0</v>
      </c>
      <c r="L797" s="20">
        <f>IF(DAY(A797)='Main Budget'!$J$31,'Main Budget'!$E$31,0)</f>
        <v>0</v>
      </c>
      <c r="M797" s="20">
        <f>IF(DAY(A797)='Main Budget'!$J$27,'Main Budget'!$E$27,0)</f>
        <v>0</v>
      </c>
      <c r="O797" s="228">
        <f>B797+(SUM(H797:M797)+(SUM(D797:E797)))</f>
        <v>100</v>
      </c>
      <c r="P797" s="228">
        <f>C797+F797+G797+N797</f>
        <v>100</v>
      </c>
      <c r="Q797" s="252">
        <f>O797+P797</f>
        <v>200</v>
      </c>
      <c r="S797" s="231" t="str">
        <f>TEXT(A797,"dddd")</f>
        <v>Monday</v>
      </c>
    </row>
    <row r="798" spans="1:19" x14ac:dyDescent="0.25">
      <c r="A798" s="226">
        <v>46819</v>
      </c>
      <c r="B798" s="227">
        <f>O797</f>
        <v>100</v>
      </c>
      <c r="C798" s="228">
        <f>P797</f>
        <v>100</v>
      </c>
      <c r="D798" s="228">
        <f>IF(OR(DAY(A798+2)=1,DAY(A798+2)=15),-SUM('Main Budget'!$H$26:$H$31),0)</f>
        <v>0</v>
      </c>
      <c r="E798" s="228">
        <f>IF(DAY(A798+2)=22,-SUM('Main Budget'!$F$26:$F$31),0)</f>
        <v>0</v>
      </c>
      <c r="F798" s="228">
        <f>IF(D798&gt;0,-'Main Budget'!$H$25+0.15,0)</f>
        <v>0</v>
      </c>
      <c r="G798" s="228">
        <f>IF(E798&gt;0,-'Main Budget'!$F$25+0.81,0)</f>
        <v>0</v>
      </c>
      <c r="H798" s="227">
        <f>IF(DAY(A798)='Main Budget'!$J$26,'Main Budget'!$E$26,0)</f>
        <v>0</v>
      </c>
      <c r="I798" s="227">
        <f>IF(DAY(A798)='Main Budget'!$J$28,'Main Budget'!$E$28,0)</f>
        <v>0</v>
      </c>
      <c r="J798" s="227">
        <f>IF(DAY(A798)='Main Budget'!$J$29,'Main Budget'!$E$29,0)</f>
        <v>0</v>
      </c>
      <c r="K798" s="20">
        <f>IF(DAY(A798)='Main Budget'!$J$30,'Main Budget'!$E$30,0)</f>
        <v>0</v>
      </c>
      <c r="L798" s="20">
        <f>IF(DAY(A798)='Main Budget'!$J$31,'Main Budget'!$E$31,0)</f>
        <v>0</v>
      </c>
      <c r="M798" s="20">
        <f>IF(DAY(A798)='Main Budget'!$J$27,'Main Budget'!$E$27,0)</f>
        <v>0</v>
      </c>
      <c r="O798" s="228">
        <f>B798+(SUM(H798:M798)+(SUM(D798:E798)))</f>
        <v>100</v>
      </c>
      <c r="P798" s="228">
        <f>C798+F798+G798+N798</f>
        <v>100</v>
      </c>
      <c r="Q798" s="252">
        <f>O798+P798</f>
        <v>200</v>
      </c>
      <c r="S798" s="231" t="str">
        <f>TEXT(A798,"dddd")</f>
        <v>Tuesday</v>
      </c>
    </row>
    <row r="799" spans="1:19" x14ac:dyDescent="0.25">
      <c r="A799" s="226">
        <v>46820</v>
      </c>
      <c r="B799" s="227">
        <f>O798</f>
        <v>100</v>
      </c>
      <c r="C799" s="228">
        <f>P798</f>
        <v>100</v>
      </c>
      <c r="D799" s="228">
        <f>IF(OR(DAY(A799+2)=1,DAY(A799+2)=15),-SUM('Main Budget'!$H$26:$H$31),0)</f>
        <v>0</v>
      </c>
      <c r="E799" s="228">
        <f>IF(DAY(A799+2)=22,-SUM('Main Budget'!$F$26:$F$31),0)</f>
        <v>0</v>
      </c>
      <c r="F799" s="228">
        <f>IF(D799&gt;0,-'Main Budget'!$H$25+0.15,0)</f>
        <v>0</v>
      </c>
      <c r="G799" s="228">
        <f>IF(E799&gt;0,-'Main Budget'!$F$25+0.81,0)</f>
        <v>0</v>
      </c>
      <c r="H799" s="227">
        <f>IF(DAY(A799)='Main Budget'!$J$26,'Main Budget'!$E$26,0)</f>
        <v>0</v>
      </c>
      <c r="I799" s="227">
        <f>IF(DAY(A799)='Main Budget'!$J$28,'Main Budget'!$E$28,0)</f>
        <v>0</v>
      </c>
      <c r="J799" s="227">
        <f>IF(DAY(A799)='Main Budget'!$J$29,'Main Budget'!$E$29,0)</f>
        <v>0</v>
      </c>
      <c r="K799" s="20">
        <f>IF(DAY(A799)='Main Budget'!$J$30,'Main Budget'!$E$30,0)</f>
        <v>0</v>
      </c>
      <c r="L799" s="20">
        <f>IF(DAY(A799)='Main Budget'!$J$31,'Main Budget'!$E$31,0)</f>
        <v>0</v>
      </c>
      <c r="M799" s="20">
        <f>IF(DAY(A799)='Main Budget'!$J$27,'Main Budget'!$E$27,0)</f>
        <v>0</v>
      </c>
      <c r="O799" s="228">
        <f>B799+(SUM(H799:M799)+(SUM(D799:E799)))</f>
        <v>100</v>
      </c>
      <c r="P799" s="228">
        <f>C799+F799+G799+N799</f>
        <v>100</v>
      </c>
      <c r="Q799" s="252">
        <f>O799+P799</f>
        <v>200</v>
      </c>
      <c r="S799" s="231" t="str">
        <f>TEXT(A799,"dddd")</f>
        <v>Wednesday</v>
      </c>
    </row>
    <row r="800" spans="1:19" x14ac:dyDescent="0.25">
      <c r="A800" s="226">
        <v>46821</v>
      </c>
      <c r="B800" s="227">
        <f>O799</f>
        <v>100</v>
      </c>
      <c r="C800" s="228">
        <f>P799</f>
        <v>100</v>
      </c>
      <c r="D800" s="228">
        <f>IF(OR(DAY(A800+2)=1,DAY(A800+2)=15),-SUM('Main Budget'!$H$26:$H$31),0)</f>
        <v>0</v>
      </c>
      <c r="E800" s="228">
        <f>IF(DAY(A800+2)=22,-SUM('Main Budget'!$F$26:$F$31),0)</f>
        <v>0</v>
      </c>
      <c r="F800" s="228">
        <f>IF(D800&gt;0,-'Main Budget'!$H$25+0.15,0)</f>
        <v>0</v>
      </c>
      <c r="G800" s="228">
        <f>IF(E800&gt;0,-'Main Budget'!$F$25+0.81,0)</f>
        <v>0</v>
      </c>
      <c r="H800" s="227">
        <f>IF(DAY(A800)='Main Budget'!$J$26,'Main Budget'!$E$26,0)</f>
        <v>0</v>
      </c>
      <c r="I800" s="227">
        <f>IF(DAY(A800)='Main Budget'!$J$28,'Main Budget'!$E$28,0)</f>
        <v>0</v>
      </c>
      <c r="J800" s="227">
        <f>IF(DAY(A800)='Main Budget'!$J$29,'Main Budget'!$E$29,0)</f>
        <v>0</v>
      </c>
      <c r="K800" s="20">
        <f>IF(DAY(A800)='Main Budget'!$J$30,'Main Budget'!$E$30,0)</f>
        <v>0</v>
      </c>
      <c r="L800" s="20">
        <f>IF(DAY(A800)='Main Budget'!$J$31,'Main Budget'!$E$31,0)</f>
        <v>0</v>
      </c>
      <c r="M800" s="20">
        <f>IF(DAY(A800)='Main Budget'!$J$27,'Main Budget'!$E$27,0)</f>
        <v>0</v>
      </c>
      <c r="O800" s="228">
        <f>B800+(SUM(H800:M800)+(SUM(D800:E800)))</f>
        <v>100</v>
      </c>
      <c r="P800" s="228">
        <f>C800+F800+G800+N800</f>
        <v>100</v>
      </c>
      <c r="Q800" s="252">
        <f>O800+P800</f>
        <v>200</v>
      </c>
      <c r="S800" s="231" t="str">
        <f>TEXT(A800,"dddd")</f>
        <v>Thursday</v>
      </c>
    </row>
    <row r="801" spans="1:19" x14ac:dyDescent="0.25">
      <c r="A801" s="226">
        <v>46822</v>
      </c>
      <c r="B801" s="227">
        <f>O800</f>
        <v>100</v>
      </c>
      <c r="C801" s="228">
        <f>P800</f>
        <v>100</v>
      </c>
      <c r="D801" s="228">
        <f>IF(OR(DAY(A801+2)=1,DAY(A801+2)=15),-SUM('Main Budget'!$H$26:$H$31),0)</f>
        <v>0</v>
      </c>
      <c r="E801" s="228">
        <f>IF(DAY(A801+2)=22,-SUM('Main Budget'!$F$26:$F$31),0)</f>
        <v>0</v>
      </c>
      <c r="F801" s="228">
        <f>IF(D801&gt;0,-'Main Budget'!$H$25+0.15,0)</f>
        <v>0</v>
      </c>
      <c r="G801" s="228">
        <f>IF(E801&gt;0,-'Main Budget'!$F$25+0.81,0)</f>
        <v>0</v>
      </c>
      <c r="H801" s="227">
        <f>IF(DAY(A801)='Main Budget'!$J$26,'Main Budget'!$E$26,0)</f>
        <v>0</v>
      </c>
      <c r="I801" s="227">
        <f>IF(DAY(A801)='Main Budget'!$J$28,'Main Budget'!$E$28,0)</f>
        <v>0</v>
      </c>
      <c r="J801" s="227">
        <f>IF(DAY(A801)='Main Budget'!$J$29,'Main Budget'!$E$29,0)</f>
        <v>0</v>
      </c>
      <c r="K801" s="20">
        <f>IF(DAY(A801)='Main Budget'!$J$30,'Main Budget'!$E$30,0)</f>
        <v>0</v>
      </c>
      <c r="L801" s="20">
        <f>IF(DAY(A801)='Main Budget'!$J$31,'Main Budget'!$E$31,0)</f>
        <v>0</v>
      </c>
      <c r="M801" s="20">
        <f>IF(DAY(A801)='Main Budget'!$J$27,'Main Budget'!$E$27,0)</f>
        <v>0</v>
      </c>
      <c r="O801" s="228">
        <f>B801+(SUM(H801:M801)+(SUM(D801:E801)))</f>
        <v>100</v>
      </c>
      <c r="P801" s="228">
        <f>C801+F801+G801+N801</f>
        <v>100</v>
      </c>
      <c r="Q801" s="252">
        <f>O801+P801</f>
        <v>200</v>
      </c>
      <c r="S801" s="231" t="str">
        <f>TEXT(A801,"dddd")</f>
        <v>Friday</v>
      </c>
    </row>
    <row r="802" spans="1:19" x14ac:dyDescent="0.25">
      <c r="A802" s="226">
        <v>46823</v>
      </c>
      <c r="B802" s="227">
        <f>O801</f>
        <v>100</v>
      </c>
      <c r="C802" s="228">
        <f>P801</f>
        <v>100</v>
      </c>
      <c r="D802" s="228">
        <f>IF(OR(DAY(A802+2)=1,DAY(A802+2)=15),-SUM('Main Budget'!$H$26:$H$31),0)</f>
        <v>0</v>
      </c>
      <c r="E802" s="228">
        <f>IF(DAY(A802+2)=22,-SUM('Main Budget'!$F$26:$F$31),0)</f>
        <v>0</v>
      </c>
      <c r="F802" s="228">
        <f>IF(D802&gt;0,-'Main Budget'!$H$25+0.15,0)</f>
        <v>0</v>
      </c>
      <c r="G802" s="228">
        <f>IF(E802&gt;0,-'Main Budget'!$F$25+0.81,0)</f>
        <v>0</v>
      </c>
      <c r="H802" s="227">
        <f>IF(DAY(A802)='Main Budget'!$J$26,'Main Budget'!$E$26,0)</f>
        <v>0</v>
      </c>
      <c r="I802" s="227">
        <f>IF(DAY(A802)='Main Budget'!$J$28,'Main Budget'!$E$28,0)</f>
        <v>0</v>
      </c>
      <c r="J802" s="227">
        <f>IF(DAY(A802)='Main Budget'!$J$29,'Main Budget'!$E$29,0)</f>
        <v>0</v>
      </c>
      <c r="K802" s="20">
        <f>IF(DAY(A802)='Main Budget'!$J$30,'Main Budget'!$E$30,0)</f>
        <v>0</v>
      </c>
      <c r="L802" s="20">
        <f>IF(DAY(A802)='Main Budget'!$J$31,'Main Budget'!$E$31,0)</f>
        <v>0</v>
      </c>
      <c r="M802" s="20">
        <f>IF(DAY(A802)='Main Budget'!$J$27,'Main Budget'!$E$27,0)</f>
        <v>0</v>
      </c>
      <c r="O802" s="228">
        <f>B802+(SUM(H802:M802)+(SUM(D802:E802)))</f>
        <v>100</v>
      </c>
      <c r="P802" s="228">
        <f>C802+F802+G802+N802</f>
        <v>100</v>
      </c>
      <c r="Q802" s="252">
        <f>O802+P802</f>
        <v>200</v>
      </c>
      <c r="S802" s="231" t="str">
        <f>TEXT(A802,"dddd")</f>
        <v>Saturday</v>
      </c>
    </row>
    <row r="803" spans="1:19" x14ac:dyDescent="0.25">
      <c r="A803" s="226">
        <v>46824</v>
      </c>
      <c r="B803" s="227">
        <f>O802</f>
        <v>100</v>
      </c>
      <c r="C803" s="228">
        <f>P802</f>
        <v>100</v>
      </c>
      <c r="D803" s="228">
        <f>IF(OR(DAY(A803+2)=1,DAY(A803+2)=15),-SUM('Main Budget'!$H$26:$H$31),0)</f>
        <v>0</v>
      </c>
      <c r="E803" s="228">
        <f>IF(DAY(A803+2)=22,-SUM('Main Budget'!$F$26:$F$31),0)</f>
        <v>0</v>
      </c>
      <c r="F803" s="228">
        <f>IF(D803&gt;0,-'Main Budget'!$H$25+0.15,0)</f>
        <v>0</v>
      </c>
      <c r="G803" s="228">
        <f>IF(E803&gt;0,-'Main Budget'!$F$25+0.81,0)</f>
        <v>0</v>
      </c>
      <c r="H803" s="227">
        <f>IF(DAY(A803)='Main Budget'!$J$26,'Main Budget'!$E$26,0)</f>
        <v>0</v>
      </c>
      <c r="I803" s="227">
        <f>IF(DAY(A803)='Main Budget'!$J$28,'Main Budget'!$E$28,0)</f>
        <v>0</v>
      </c>
      <c r="J803" s="227">
        <f>IF(DAY(A803)='Main Budget'!$J$29,'Main Budget'!$E$29,0)</f>
        <v>0</v>
      </c>
      <c r="K803" s="20">
        <f>IF(DAY(A803)='Main Budget'!$J$30,'Main Budget'!$E$30,0)</f>
        <v>0</v>
      </c>
      <c r="L803" s="20">
        <f>IF(DAY(A803)='Main Budget'!$J$31,'Main Budget'!$E$31,0)</f>
        <v>0</v>
      </c>
      <c r="M803" s="20">
        <f>IF(DAY(A803)='Main Budget'!$J$27,'Main Budget'!$E$27,0)</f>
        <v>0</v>
      </c>
      <c r="O803" s="228">
        <f>B803+(SUM(H803:M803)+(SUM(D803:E803)))</f>
        <v>100</v>
      </c>
      <c r="P803" s="228">
        <f>C803+F803+G803+N803</f>
        <v>100</v>
      </c>
      <c r="Q803" s="252">
        <f>O803+P803</f>
        <v>200</v>
      </c>
      <c r="S803" s="231" t="str">
        <f>TEXT(A803,"dddd")</f>
        <v>Sunday</v>
      </c>
    </row>
    <row r="804" spans="1:19" x14ac:dyDescent="0.25">
      <c r="A804" s="226">
        <v>46825</v>
      </c>
      <c r="B804" s="227">
        <f>O803</f>
        <v>100</v>
      </c>
      <c r="C804" s="228">
        <f>P803</f>
        <v>100</v>
      </c>
      <c r="D804" s="228">
        <f>IF(OR(DAY(A804+2)=1,DAY(A804+2)=15),-SUM('Main Budget'!$H$26:$H$31),0)</f>
        <v>0</v>
      </c>
      <c r="E804" s="228">
        <f>IF(DAY(A804+2)=22,-SUM('Main Budget'!$F$26:$F$31),0)</f>
        <v>0</v>
      </c>
      <c r="F804" s="228">
        <f>IF(D804&gt;0,-'Main Budget'!$H$25+0.15,0)</f>
        <v>0</v>
      </c>
      <c r="G804" s="228">
        <f>IF(E804&gt;0,-'Main Budget'!$F$25+0.81,0)</f>
        <v>0</v>
      </c>
      <c r="H804" s="227">
        <f>IF(DAY(A804)='Main Budget'!$J$26,'Main Budget'!$E$26,0)</f>
        <v>0</v>
      </c>
      <c r="I804" s="227">
        <f>IF(DAY(A804)='Main Budget'!$J$28,'Main Budget'!$E$28,0)</f>
        <v>0</v>
      </c>
      <c r="J804" s="227">
        <f>IF(DAY(A804)='Main Budget'!$J$29,'Main Budget'!$E$29,0)</f>
        <v>0</v>
      </c>
      <c r="K804" s="20">
        <f>IF(DAY(A804)='Main Budget'!$J$30,'Main Budget'!$E$30,0)</f>
        <v>0</v>
      </c>
      <c r="L804" s="20">
        <f>IF(DAY(A804)='Main Budget'!$J$31,'Main Budget'!$E$31,0)</f>
        <v>0</v>
      </c>
      <c r="M804" s="20">
        <f>IF(DAY(A804)='Main Budget'!$J$27,'Main Budget'!$E$27,0)</f>
        <v>0</v>
      </c>
      <c r="O804" s="228">
        <f>B804+(SUM(H804:M804)+(SUM(D804:E804)))</f>
        <v>100</v>
      </c>
      <c r="P804" s="228">
        <f>C804+F804+G804+N804</f>
        <v>100</v>
      </c>
      <c r="Q804" s="252">
        <f>O804+P804</f>
        <v>200</v>
      </c>
      <c r="S804" s="231" t="str">
        <f>TEXT(A804,"dddd")</f>
        <v>Monday</v>
      </c>
    </row>
    <row r="805" spans="1:19" x14ac:dyDescent="0.25">
      <c r="A805" s="226">
        <v>46826</v>
      </c>
      <c r="B805" s="227">
        <f>O804</f>
        <v>100</v>
      </c>
      <c r="C805" s="228">
        <f>P804</f>
        <v>100</v>
      </c>
      <c r="D805" s="228">
        <f>IF(OR(DAY(A805+2)=1,DAY(A805+2)=15),-SUM('Main Budget'!$H$26:$H$31),0)</f>
        <v>0</v>
      </c>
      <c r="E805" s="228">
        <f>IF(DAY(A805+2)=22,-SUM('Main Budget'!$F$26:$F$31),0)</f>
        <v>0</v>
      </c>
      <c r="F805" s="228">
        <f>IF(D805&gt;0,-'Main Budget'!$H$25+0.15,0)</f>
        <v>0</v>
      </c>
      <c r="G805" s="228">
        <f>IF(E805&gt;0,-'Main Budget'!$F$25+0.81,0)</f>
        <v>0</v>
      </c>
      <c r="H805" s="227">
        <f>IF(DAY(A805)='Main Budget'!$J$26,'Main Budget'!$E$26,0)</f>
        <v>0</v>
      </c>
      <c r="I805" s="227">
        <f>IF(DAY(A805)='Main Budget'!$J$28,'Main Budget'!$E$28,0)</f>
        <v>0</v>
      </c>
      <c r="J805" s="227">
        <f>IF(DAY(A805)='Main Budget'!$J$29,'Main Budget'!$E$29,0)</f>
        <v>0</v>
      </c>
      <c r="K805" s="20">
        <f>IF(DAY(A805)='Main Budget'!$J$30,'Main Budget'!$E$30,0)</f>
        <v>0</v>
      </c>
      <c r="L805" s="20">
        <f>IF(DAY(A805)='Main Budget'!$J$31,'Main Budget'!$E$31,0)</f>
        <v>0</v>
      </c>
      <c r="M805" s="20">
        <f>IF(DAY(A805)='Main Budget'!$J$27,'Main Budget'!$E$27,0)</f>
        <v>0</v>
      </c>
      <c r="O805" s="228">
        <f>B805+(SUM(H805:M805)+(SUM(D805:E805)))</f>
        <v>100</v>
      </c>
      <c r="P805" s="228">
        <f>C805+F805+G805+N805</f>
        <v>100</v>
      </c>
      <c r="Q805" s="252">
        <f>O805+P805</f>
        <v>200</v>
      </c>
      <c r="S805" s="231" t="str">
        <f>TEXT(A805,"dddd")</f>
        <v>Tuesday</v>
      </c>
    </row>
    <row r="806" spans="1:19" x14ac:dyDescent="0.25">
      <c r="A806" s="226">
        <v>46827</v>
      </c>
      <c r="B806" s="227">
        <f>O805</f>
        <v>100</v>
      </c>
      <c r="C806" s="228">
        <f>P805</f>
        <v>100</v>
      </c>
      <c r="D806" s="228">
        <f>IF(OR(DAY(A806+2)=1,DAY(A806+2)=15),-SUM('Main Budget'!$H$26:$H$31),0)</f>
        <v>0</v>
      </c>
      <c r="E806" s="228">
        <f>IF(DAY(A806+2)=22,-SUM('Main Budget'!$F$26:$F$31),0)</f>
        <v>0</v>
      </c>
      <c r="F806" s="228">
        <f>IF(D806&gt;0,-'Main Budget'!$H$25+0.15,0)</f>
        <v>0</v>
      </c>
      <c r="G806" s="228">
        <f>IF(E806&gt;0,-'Main Budget'!$F$25+0.81,0)</f>
        <v>0</v>
      </c>
      <c r="H806" s="227">
        <f>IF(DAY(A806)='Main Budget'!$J$26,'Main Budget'!$E$26,0)</f>
        <v>0</v>
      </c>
      <c r="I806" s="227">
        <f>IF(DAY(A806)='Main Budget'!$J$28,'Main Budget'!$E$28,0)</f>
        <v>0</v>
      </c>
      <c r="J806" s="227">
        <f>IF(DAY(A806)='Main Budget'!$J$29,'Main Budget'!$E$29,0)</f>
        <v>0</v>
      </c>
      <c r="K806" s="20">
        <f>IF(DAY(A806)='Main Budget'!$J$30,'Main Budget'!$E$30,0)</f>
        <v>0</v>
      </c>
      <c r="L806" s="20">
        <f>IF(DAY(A806)='Main Budget'!$J$31,'Main Budget'!$E$31,0)</f>
        <v>0</v>
      </c>
      <c r="M806" s="20">
        <f>IF(DAY(A806)='Main Budget'!$J$27,'Main Budget'!$E$27,0)</f>
        <v>0</v>
      </c>
      <c r="O806" s="228">
        <f>B806+(SUM(H806:M806)+(SUM(D806:E806)))</f>
        <v>100</v>
      </c>
      <c r="P806" s="228">
        <f>C806+F806+G806+N806</f>
        <v>100</v>
      </c>
      <c r="Q806" s="252">
        <f>O806+P806</f>
        <v>200</v>
      </c>
      <c r="S806" s="231" t="str">
        <f>TEXT(A806,"dddd")</f>
        <v>Wednesday</v>
      </c>
    </row>
    <row r="807" spans="1:19" x14ac:dyDescent="0.25">
      <c r="A807" s="226">
        <v>46828</v>
      </c>
      <c r="B807" s="227">
        <f>O806</f>
        <v>100</v>
      </c>
      <c r="C807" s="228">
        <f>P806</f>
        <v>100</v>
      </c>
      <c r="D807" s="228">
        <f>IF(OR(DAY(A807+2)=1,DAY(A807+2)=15),-SUM('Main Budget'!$H$26:$H$31),0)</f>
        <v>0</v>
      </c>
      <c r="E807" s="228">
        <f>IF(DAY(A807+2)=22,-SUM('Main Budget'!$F$26:$F$31),0)</f>
        <v>0</v>
      </c>
      <c r="F807" s="228">
        <f>IF(D807&gt;0,-'Main Budget'!$H$25+0.15,0)</f>
        <v>0</v>
      </c>
      <c r="G807" s="228">
        <f>IF(E807&gt;0,-'Main Budget'!$F$25+0.81,0)</f>
        <v>0</v>
      </c>
      <c r="H807" s="227">
        <f>IF(DAY(A807)='Main Budget'!$J$26,'Main Budget'!$E$26,0)</f>
        <v>0</v>
      </c>
      <c r="I807" s="227">
        <f>IF(DAY(A807)='Main Budget'!$J$28,'Main Budget'!$E$28,0)</f>
        <v>0</v>
      </c>
      <c r="J807" s="227">
        <f>IF(DAY(A807)='Main Budget'!$J$29,'Main Budget'!$E$29,0)</f>
        <v>0</v>
      </c>
      <c r="K807" s="20">
        <f>IF(DAY(A807)='Main Budget'!$J$30,'Main Budget'!$E$30,0)</f>
        <v>0</v>
      </c>
      <c r="L807" s="20">
        <f>IF(DAY(A807)='Main Budget'!$J$31,'Main Budget'!$E$31,0)</f>
        <v>0</v>
      </c>
      <c r="M807" s="20">
        <f>IF(DAY(A807)='Main Budget'!$J$27,'Main Budget'!$E$27,0)</f>
        <v>0</v>
      </c>
      <c r="O807" s="228">
        <f>B807+(SUM(H807:M807)+(SUM(D807:E807)))</f>
        <v>100</v>
      </c>
      <c r="P807" s="228">
        <f>C807+F807+G807+N807</f>
        <v>100</v>
      </c>
      <c r="Q807" s="252">
        <f>O807+P807</f>
        <v>200</v>
      </c>
      <c r="S807" s="231" t="str">
        <f>TEXT(A807,"dddd")</f>
        <v>Thursday</v>
      </c>
    </row>
    <row r="808" spans="1:19" x14ac:dyDescent="0.25">
      <c r="A808" s="226">
        <v>46829</v>
      </c>
      <c r="B808" s="227">
        <f>O807</f>
        <v>100</v>
      </c>
      <c r="C808" s="228">
        <f>P807</f>
        <v>100</v>
      </c>
      <c r="D808" s="228">
        <f>IF(OR(DAY(A808+2)=1,DAY(A808+2)=15),-SUM('Main Budget'!$H$26:$H$31),0)</f>
        <v>0</v>
      </c>
      <c r="E808" s="228">
        <f>IF(DAY(A808+2)=22,-SUM('Main Budget'!$F$26:$F$31),0)</f>
        <v>0</v>
      </c>
      <c r="F808" s="228">
        <f>IF(D808&gt;0,-'Main Budget'!$H$25+0.15,0)</f>
        <v>0</v>
      </c>
      <c r="G808" s="228">
        <f>IF(E808&gt;0,-'Main Budget'!$F$25+0.81,0)</f>
        <v>0</v>
      </c>
      <c r="H808" s="227">
        <f>IF(DAY(A808)='Main Budget'!$J$26,'Main Budget'!$E$26,0)</f>
        <v>0</v>
      </c>
      <c r="I808" s="227">
        <f>IF(DAY(A808)='Main Budget'!$J$28,'Main Budget'!$E$28,0)</f>
        <v>0</v>
      </c>
      <c r="J808" s="227">
        <f>IF(DAY(A808)='Main Budget'!$J$29,'Main Budget'!$E$29,0)</f>
        <v>0</v>
      </c>
      <c r="K808" s="20">
        <f>IF(DAY(A808)='Main Budget'!$J$30,'Main Budget'!$E$30,0)</f>
        <v>0</v>
      </c>
      <c r="L808" s="20">
        <f>IF(DAY(A808)='Main Budget'!$J$31,'Main Budget'!$E$31,0)</f>
        <v>0</v>
      </c>
      <c r="M808" s="20">
        <f>IF(DAY(A808)='Main Budget'!$J$27,'Main Budget'!$E$27,0)</f>
        <v>0</v>
      </c>
      <c r="O808" s="228">
        <f>B808+(SUM(H808:M808)+(SUM(D808:E808)))</f>
        <v>100</v>
      </c>
      <c r="P808" s="228">
        <f>C808+F808+G808+N808</f>
        <v>100</v>
      </c>
      <c r="Q808" s="252">
        <f>O808+P808</f>
        <v>200</v>
      </c>
      <c r="S808" s="231" t="str">
        <f>TEXT(A808,"dddd")</f>
        <v>Friday</v>
      </c>
    </row>
    <row r="809" spans="1:19" x14ac:dyDescent="0.25">
      <c r="A809" s="226">
        <v>46830</v>
      </c>
      <c r="B809" s="227">
        <f>O808</f>
        <v>100</v>
      </c>
      <c r="C809" s="228">
        <f>P808</f>
        <v>100</v>
      </c>
      <c r="D809" s="228">
        <f>IF(OR(DAY(A809+2)=1,DAY(A809+2)=15),-SUM('Main Budget'!$H$26:$H$31),0)</f>
        <v>0</v>
      </c>
      <c r="E809" s="228">
        <f>IF(DAY(A809+2)=22,-SUM('Main Budget'!$F$26:$F$31),0)</f>
        <v>0</v>
      </c>
      <c r="F809" s="228">
        <f>IF(D809&gt;0,-'Main Budget'!$H$25+0.15,0)</f>
        <v>0</v>
      </c>
      <c r="G809" s="228">
        <f>IF(E809&gt;0,-'Main Budget'!$F$25+0.81,0)</f>
        <v>0</v>
      </c>
      <c r="H809" s="227">
        <f>IF(DAY(A809)='Main Budget'!$J$26,'Main Budget'!$E$26,0)</f>
        <v>0</v>
      </c>
      <c r="I809" s="227">
        <f>IF(DAY(A809)='Main Budget'!$J$28,'Main Budget'!$E$28,0)</f>
        <v>0</v>
      </c>
      <c r="J809" s="227">
        <f>IF(DAY(A809)='Main Budget'!$J$29,'Main Budget'!$E$29,0)</f>
        <v>0</v>
      </c>
      <c r="K809" s="20">
        <f>IF(DAY(A809)='Main Budget'!$J$30,'Main Budget'!$E$30,0)</f>
        <v>0</v>
      </c>
      <c r="L809" s="20">
        <f>IF(DAY(A809)='Main Budget'!$J$31,'Main Budget'!$E$31,0)</f>
        <v>0</v>
      </c>
      <c r="M809" s="20">
        <f>IF(DAY(A809)='Main Budget'!$J$27,'Main Budget'!$E$27,0)</f>
        <v>0</v>
      </c>
      <c r="O809" s="228">
        <f>B809+(SUM(H809:M809)+(SUM(D809:E809)))</f>
        <v>100</v>
      </c>
      <c r="P809" s="228">
        <f>C809+F809+G809+N809</f>
        <v>100</v>
      </c>
      <c r="Q809" s="252">
        <f>O809+P809</f>
        <v>200</v>
      </c>
      <c r="S809" s="231" t="str">
        <f>TEXT(A809,"dddd")</f>
        <v>Saturday</v>
      </c>
    </row>
    <row r="810" spans="1:19" x14ac:dyDescent="0.25">
      <c r="A810" s="226">
        <v>46831</v>
      </c>
      <c r="B810" s="227">
        <f>O809</f>
        <v>100</v>
      </c>
      <c r="C810" s="228">
        <f>P809</f>
        <v>100</v>
      </c>
      <c r="D810" s="228">
        <f>IF(OR(DAY(A810+2)=1,DAY(A810+2)=15),-SUM('Main Budget'!$H$26:$H$31),0)</f>
        <v>0</v>
      </c>
      <c r="E810" s="228">
        <f>IF(DAY(A810+2)=22,-SUM('Main Budget'!$F$26:$F$31),0)</f>
        <v>0</v>
      </c>
      <c r="F810" s="228">
        <f>IF(D810&gt;0,-'Main Budget'!$H$25+0.15,0)</f>
        <v>0</v>
      </c>
      <c r="G810" s="228">
        <f>IF(E810&gt;0,-'Main Budget'!$F$25+0.81,0)</f>
        <v>0</v>
      </c>
      <c r="H810" s="227">
        <f>IF(DAY(A810)='Main Budget'!$J$26,'Main Budget'!$E$26,0)</f>
        <v>0</v>
      </c>
      <c r="I810" s="227">
        <f>IF(DAY(A810)='Main Budget'!$J$28,'Main Budget'!$E$28,0)</f>
        <v>0</v>
      </c>
      <c r="J810" s="227">
        <f>IF(DAY(A810)='Main Budget'!$J$29,'Main Budget'!$E$29,0)</f>
        <v>0</v>
      </c>
      <c r="K810" s="20">
        <f>IF(DAY(A810)='Main Budget'!$J$30,'Main Budget'!$E$30,0)</f>
        <v>0</v>
      </c>
      <c r="L810" s="20">
        <f>IF(DAY(A810)='Main Budget'!$J$31,'Main Budget'!$E$31,0)</f>
        <v>0</v>
      </c>
      <c r="M810" s="20">
        <f>IF(DAY(A810)='Main Budget'!$J$27,'Main Budget'!$E$27,0)</f>
        <v>0</v>
      </c>
      <c r="O810" s="228">
        <f>B810+(SUM(H810:M810)+(SUM(D810:E810)))</f>
        <v>100</v>
      </c>
      <c r="P810" s="228">
        <f>C810+F810+G810+N810</f>
        <v>100</v>
      </c>
      <c r="Q810" s="252">
        <f>O810+P810</f>
        <v>200</v>
      </c>
      <c r="S810" s="231" t="str">
        <f>TEXT(A810,"dddd")</f>
        <v>Sunday</v>
      </c>
    </row>
    <row r="811" spans="1:19" x14ac:dyDescent="0.25">
      <c r="A811" s="226">
        <v>46832</v>
      </c>
      <c r="B811" s="227">
        <f>O810</f>
        <v>100</v>
      </c>
      <c r="C811" s="228">
        <f>P810</f>
        <v>100</v>
      </c>
      <c r="D811" s="228">
        <f>IF(OR(DAY(A811+2)=1,DAY(A811+2)=15),-SUM('Main Budget'!$H$26:$H$31),0)</f>
        <v>0</v>
      </c>
      <c r="E811" s="228">
        <f>IF(DAY(A811+2)=22,-SUM('Main Budget'!$F$26:$F$31),0)</f>
        <v>0</v>
      </c>
      <c r="F811" s="228">
        <f>IF(D811&gt;0,-'Main Budget'!$H$25+0.15,0)</f>
        <v>0</v>
      </c>
      <c r="G811" s="228">
        <f>IF(E811&gt;0,-'Main Budget'!$F$25+0.81,0)</f>
        <v>0</v>
      </c>
      <c r="H811" s="227">
        <f>IF(DAY(A811)='Main Budget'!$J$26,'Main Budget'!$E$26,0)</f>
        <v>0</v>
      </c>
      <c r="I811" s="227">
        <f>IF(DAY(A811)='Main Budget'!$J$28,'Main Budget'!$E$28,0)</f>
        <v>0</v>
      </c>
      <c r="J811" s="227">
        <f>IF(DAY(A811)='Main Budget'!$J$29,'Main Budget'!$E$29,0)</f>
        <v>0</v>
      </c>
      <c r="K811" s="20">
        <f>IF(DAY(A811)='Main Budget'!$J$30,'Main Budget'!$E$30,0)</f>
        <v>0</v>
      </c>
      <c r="L811" s="20">
        <f>IF(DAY(A811)='Main Budget'!$J$31,'Main Budget'!$E$31,0)</f>
        <v>0</v>
      </c>
      <c r="M811" s="20">
        <f>IF(DAY(A811)='Main Budget'!$J$27,'Main Budget'!$E$27,0)</f>
        <v>0</v>
      </c>
      <c r="O811" s="228">
        <f>B811+(SUM(H811:M811)+(SUM(D811:E811)))</f>
        <v>100</v>
      </c>
      <c r="P811" s="228">
        <f>C811+F811+G811+N811</f>
        <v>100</v>
      </c>
      <c r="Q811" s="252">
        <f>O811+P811</f>
        <v>200</v>
      </c>
      <c r="S811" s="231" t="str">
        <f>TEXT(A811,"dddd")</f>
        <v>Monday</v>
      </c>
    </row>
    <row r="812" spans="1:19" x14ac:dyDescent="0.25">
      <c r="A812" s="226">
        <v>46833</v>
      </c>
      <c r="B812" s="227">
        <f>O811</f>
        <v>100</v>
      </c>
      <c r="C812" s="228">
        <f>P811</f>
        <v>100</v>
      </c>
      <c r="D812" s="228">
        <f>IF(OR(DAY(A812+2)=1,DAY(A812+2)=15),-SUM('Main Budget'!$H$26:$H$31),0)</f>
        <v>0</v>
      </c>
      <c r="E812" s="228">
        <f>IF(DAY(A812+2)=22,-SUM('Main Budget'!$F$26:$F$31),0)</f>
        <v>0</v>
      </c>
      <c r="F812" s="228">
        <f>IF(D812&gt;0,-'Main Budget'!$H$25+0.15,0)</f>
        <v>0</v>
      </c>
      <c r="G812" s="228">
        <f>IF(E812&gt;0,-'Main Budget'!$F$25+0.81,0)</f>
        <v>0</v>
      </c>
      <c r="H812" s="227">
        <f>IF(DAY(A812)='Main Budget'!$J$26,'Main Budget'!$E$26,0)</f>
        <v>0</v>
      </c>
      <c r="I812" s="227">
        <f>IF(DAY(A812)='Main Budget'!$J$28,'Main Budget'!$E$28,0)</f>
        <v>0</v>
      </c>
      <c r="J812" s="227">
        <f>IF(DAY(A812)='Main Budget'!$J$29,'Main Budget'!$E$29,0)</f>
        <v>0</v>
      </c>
      <c r="K812" s="20">
        <f>IF(DAY(A812)='Main Budget'!$J$30,'Main Budget'!$E$30,0)</f>
        <v>0</v>
      </c>
      <c r="L812" s="20">
        <f>IF(DAY(A812)='Main Budget'!$J$31,'Main Budget'!$E$31,0)</f>
        <v>0</v>
      </c>
      <c r="M812" s="20">
        <f>IF(DAY(A812)='Main Budget'!$J$27,'Main Budget'!$E$27,0)</f>
        <v>0</v>
      </c>
      <c r="O812" s="228">
        <f>B812+(SUM(H812:M812)+(SUM(D812:E812)))</f>
        <v>100</v>
      </c>
      <c r="P812" s="228">
        <f>C812+F812+G812+N812</f>
        <v>100</v>
      </c>
      <c r="Q812" s="252">
        <f>O812+P812</f>
        <v>200</v>
      </c>
      <c r="S812" s="231" t="str">
        <f>TEXT(A812,"dddd")</f>
        <v>Tuesday</v>
      </c>
    </row>
    <row r="813" spans="1:19" x14ac:dyDescent="0.25">
      <c r="A813" s="226">
        <v>46834</v>
      </c>
      <c r="B813" s="227">
        <f>O812</f>
        <v>100</v>
      </c>
      <c r="C813" s="228">
        <f>P812</f>
        <v>100</v>
      </c>
      <c r="D813" s="228">
        <f>IF(OR(DAY(A813+2)=1,DAY(A813+2)=15),-SUM('Main Budget'!$H$26:$H$31),0)</f>
        <v>0</v>
      </c>
      <c r="E813" s="228">
        <f>IF(DAY(A813+2)=22,-SUM('Main Budget'!$F$26:$F$31),0)</f>
        <v>0</v>
      </c>
      <c r="F813" s="228">
        <f>IF(D813&gt;0,-'Main Budget'!$H$25+0.15,0)</f>
        <v>0</v>
      </c>
      <c r="G813" s="228">
        <f>IF(E813&gt;0,-'Main Budget'!$F$25+0.81,0)</f>
        <v>0</v>
      </c>
      <c r="H813" s="227">
        <f>IF(DAY(A813)='Main Budget'!$J$26,'Main Budget'!$E$26,0)</f>
        <v>0</v>
      </c>
      <c r="I813" s="227">
        <f>IF(DAY(A813)='Main Budget'!$J$28,'Main Budget'!$E$28,0)</f>
        <v>0</v>
      </c>
      <c r="J813" s="227">
        <f>IF(DAY(A813)='Main Budget'!$J$29,'Main Budget'!$E$29,0)</f>
        <v>0</v>
      </c>
      <c r="K813" s="20">
        <f>IF(DAY(A813)='Main Budget'!$J$30,'Main Budget'!$E$30,0)</f>
        <v>0</v>
      </c>
      <c r="L813" s="20">
        <f>IF(DAY(A813)='Main Budget'!$J$31,'Main Budget'!$E$31,0)</f>
        <v>0</v>
      </c>
      <c r="M813" s="20">
        <f>IF(DAY(A813)='Main Budget'!$J$27,'Main Budget'!$E$27,0)</f>
        <v>0</v>
      </c>
      <c r="O813" s="228">
        <f>B813+(SUM(H813:M813)+(SUM(D813:E813)))</f>
        <v>100</v>
      </c>
      <c r="P813" s="228">
        <f>C813+F813+G813+N813</f>
        <v>100</v>
      </c>
      <c r="Q813" s="252">
        <f>O813+P813</f>
        <v>200</v>
      </c>
      <c r="S813" s="231" t="str">
        <f>TEXT(A813,"dddd")</f>
        <v>Wednesday</v>
      </c>
    </row>
    <row r="814" spans="1:19" x14ac:dyDescent="0.25">
      <c r="A814" s="226">
        <v>46835</v>
      </c>
      <c r="B814" s="227">
        <f>O813</f>
        <v>100</v>
      </c>
      <c r="C814" s="228">
        <f>P813</f>
        <v>100</v>
      </c>
      <c r="D814" s="228">
        <f>IF(OR(DAY(A814+2)=1,DAY(A814+2)=15),-SUM('Main Budget'!$H$26:$H$31),0)</f>
        <v>0</v>
      </c>
      <c r="E814" s="228">
        <f>IF(DAY(A814+2)=22,-SUM('Main Budget'!$F$26:$F$31),0)</f>
        <v>0</v>
      </c>
      <c r="F814" s="228">
        <f>IF(D814&gt;0,-'Main Budget'!$H$25+0.15,0)</f>
        <v>0</v>
      </c>
      <c r="G814" s="228">
        <f>IF(E814&gt;0,-'Main Budget'!$F$25+0.81,0)</f>
        <v>0</v>
      </c>
      <c r="H814" s="227">
        <f>IF(DAY(A814)='Main Budget'!$J$26,'Main Budget'!$E$26,0)</f>
        <v>0</v>
      </c>
      <c r="I814" s="227">
        <f>IF(DAY(A814)='Main Budget'!$J$28,'Main Budget'!$E$28,0)</f>
        <v>0</v>
      </c>
      <c r="J814" s="227">
        <f>IF(DAY(A814)='Main Budget'!$J$29,'Main Budget'!$E$29,0)</f>
        <v>0</v>
      </c>
      <c r="K814" s="20">
        <f>IF(DAY(A814)='Main Budget'!$J$30,'Main Budget'!$E$30,0)</f>
        <v>0</v>
      </c>
      <c r="L814" s="20">
        <f>IF(DAY(A814)='Main Budget'!$J$31,'Main Budget'!$E$31,0)</f>
        <v>0</v>
      </c>
      <c r="M814" s="20">
        <f>IF(DAY(A814)='Main Budget'!$J$27,'Main Budget'!$E$27,0)</f>
        <v>0</v>
      </c>
      <c r="O814" s="228">
        <f>B814+(SUM(H814:M814)+(SUM(D814:E814)))</f>
        <v>100</v>
      </c>
      <c r="P814" s="228">
        <f>C814+F814+G814+N814</f>
        <v>100</v>
      </c>
      <c r="Q814" s="252">
        <f>O814+P814</f>
        <v>200</v>
      </c>
      <c r="S814" s="231" t="str">
        <f>TEXT(A814,"dddd")</f>
        <v>Thursday</v>
      </c>
    </row>
    <row r="815" spans="1:19" x14ac:dyDescent="0.25">
      <c r="A815" s="226">
        <v>46836</v>
      </c>
      <c r="B815" s="227">
        <f>O814</f>
        <v>100</v>
      </c>
      <c r="C815" s="228">
        <f>P814</f>
        <v>100</v>
      </c>
      <c r="D815" s="228">
        <f>IF(OR(DAY(A815+2)=1,DAY(A815+2)=15),-SUM('Main Budget'!$H$26:$H$31),0)</f>
        <v>0</v>
      </c>
      <c r="E815" s="228">
        <f>IF(DAY(A815+2)=22,-SUM('Main Budget'!$F$26:$F$31),0)</f>
        <v>0</v>
      </c>
      <c r="F815" s="228">
        <f>IF(D815&gt;0,-'Main Budget'!$H$25+0.15,0)</f>
        <v>0</v>
      </c>
      <c r="G815" s="228">
        <f>IF(E815&gt;0,-'Main Budget'!$F$25+0.81,0)</f>
        <v>0</v>
      </c>
      <c r="H815" s="227">
        <f>IF(DAY(A815)='Main Budget'!$J$26,'Main Budget'!$E$26,0)</f>
        <v>0</v>
      </c>
      <c r="I815" s="227">
        <f>IF(DAY(A815)='Main Budget'!$J$28,'Main Budget'!$E$28,0)</f>
        <v>0</v>
      </c>
      <c r="J815" s="227">
        <f>IF(DAY(A815)='Main Budget'!$J$29,'Main Budget'!$E$29,0)</f>
        <v>0</v>
      </c>
      <c r="K815" s="20">
        <f>IF(DAY(A815)='Main Budget'!$J$30,'Main Budget'!$E$30,0)</f>
        <v>0</v>
      </c>
      <c r="L815" s="20">
        <f>IF(DAY(A815)='Main Budget'!$J$31,'Main Budget'!$E$31,0)</f>
        <v>0</v>
      </c>
      <c r="M815" s="20">
        <f>IF(DAY(A815)='Main Budget'!$J$27,'Main Budget'!$E$27,0)</f>
        <v>0</v>
      </c>
      <c r="O815" s="228">
        <f>B815+(SUM(H815:M815)+(SUM(D815:E815)))</f>
        <v>100</v>
      </c>
      <c r="P815" s="228">
        <f>C815+F815+G815+N815</f>
        <v>100</v>
      </c>
      <c r="Q815" s="252">
        <f>O815+P815</f>
        <v>200</v>
      </c>
      <c r="S815" s="231" t="str">
        <f>TEXT(A815,"dddd")</f>
        <v>Friday</v>
      </c>
    </row>
    <row r="816" spans="1:19" x14ac:dyDescent="0.25">
      <c r="A816" s="226">
        <v>46837</v>
      </c>
      <c r="B816" s="227">
        <f>O815</f>
        <v>100</v>
      </c>
      <c r="C816" s="228">
        <f>P815</f>
        <v>100</v>
      </c>
      <c r="D816" s="228">
        <f>IF(OR(DAY(A816+2)=1,DAY(A816+2)=15),-SUM('Main Budget'!$H$26:$H$31),0)</f>
        <v>0</v>
      </c>
      <c r="E816" s="228">
        <f>IF(DAY(A816+2)=22,-SUM('Main Budget'!$F$26:$F$31),0)</f>
        <v>0</v>
      </c>
      <c r="F816" s="228">
        <f>IF(D816&gt;0,-'Main Budget'!$H$25+0.15,0)</f>
        <v>0</v>
      </c>
      <c r="G816" s="228">
        <f>IF(E816&gt;0,-'Main Budget'!$F$25+0.81,0)</f>
        <v>0</v>
      </c>
      <c r="H816" s="227">
        <f>IF(DAY(A816)='Main Budget'!$J$26,'Main Budget'!$E$26,0)</f>
        <v>0</v>
      </c>
      <c r="I816" s="227">
        <f>IF(DAY(A816)='Main Budget'!$J$28,'Main Budget'!$E$28,0)</f>
        <v>0</v>
      </c>
      <c r="J816" s="227">
        <f>IF(DAY(A816)='Main Budget'!$J$29,'Main Budget'!$E$29,0)</f>
        <v>0</v>
      </c>
      <c r="K816" s="20">
        <f>IF(DAY(A816)='Main Budget'!$J$30,'Main Budget'!$E$30,0)</f>
        <v>0</v>
      </c>
      <c r="L816" s="20">
        <f>IF(DAY(A816)='Main Budget'!$J$31,'Main Budget'!$E$31,0)</f>
        <v>0</v>
      </c>
      <c r="M816" s="20">
        <f>IF(DAY(A816)='Main Budget'!$J$27,'Main Budget'!$E$27,0)</f>
        <v>0</v>
      </c>
      <c r="O816" s="228">
        <f>B816+(SUM(H816:M816)+(SUM(D816:E816)))</f>
        <v>100</v>
      </c>
      <c r="P816" s="228">
        <f>C816+F816+G816+N816</f>
        <v>100</v>
      </c>
      <c r="Q816" s="252">
        <f>O816+P816</f>
        <v>200</v>
      </c>
      <c r="S816" s="231" t="str">
        <f>TEXT(A816,"dddd")</f>
        <v>Saturday</v>
      </c>
    </row>
    <row r="817" spans="1:19" x14ac:dyDescent="0.25">
      <c r="A817" s="226">
        <v>46838</v>
      </c>
      <c r="B817" s="227">
        <f>O816</f>
        <v>100</v>
      </c>
      <c r="C817" s="228">
        <f>P816</f>
        <v>100</v>
      </c>
      <c r="D817" s="228">
        <f>IF(OR(DAY(A817+2)=1,DAY(A817+2)=15),-SUM('Main Budget'!$H$26:$H$31),0)</f>
        <v>0</v>
      </c>
      <c r="E817" s="228">
        <f>IF(DAY(A817+2)=22,-SUM('Main Budget'!$F$26:$F$31),0)</f>
        <v>0</v>
      </c>
      <c r="F817" s="228">
        <f>IF(D817&gt;0,-'Main Budget'!$H$25+0.15,0)</f>
        <v>0</v>
      </c>
      <c r="G817" s="228">
        <f>IF(E817&gt;0,-'Main Budget'!$F$25+0.81,0)</f>
        <v>0</v>
      </c>
      <c r="H817" s="227">
        <f>IF(DAY(A817)='Main Budget'!$J$26,'Main Budget'!$E$26,0)</f>
        <v>0</v>
      </c>
      <c r="I817" s="227">
        <f>IF(DAY(A817)='Main Budget'!$J$28,'Main Budget'!$E$28,0)</f>
        <v>0</v>
      </c>
      <c r="J817" s="227">
        <f>IF(DAY(A817)='Main Budget'!$J$29,'Main Budget'!$E$29,0)</f>
        <v>0</v>
      </c>
      <c r="K817" s="20">
        <f>IF(DAY(A817)='Main Budget'!$J$30,'Main Budget'!$E$30,0)</f>
        <v>0</v>
      </c>
      <c r="L817" s="20">
        <f>IF(DAY(A817)='Main Budget'!$J$31,'Main Budget'!$E$31,0)</f>
        <v>0</v>
      </c>
      <c r="M817" s="20">
        <f>IF(DAY(A817)='Main Budget'!$J$27,'Main Budget'!$E$27,0)</f>
        <v>0</v>
      </c>
      <c r="O817" s="228">
        <f>B817+(SUM(H817:M817)+(SUM(D817:E817)))</f>
        <v>100</v>
      </c>
      <c r="P817" s="228">
        <f>C817+F817+G817+N817</f>
        <v>100</v>
      </c>
      <c r="Q817" s="252">
        <f>O817+P817</f>
        <v>200</v>
      </c>
      <c r="S817" s="231" t="str">
        <f>TEXT(A817,"dddd")</f>
        <v>Sunday</v>
      </c>
    </row>
    <row r="818" spans="1:19" x14ac:dyDescent="0.25">
      <c r="A818" s="226">
        <v>46839</v>
      </c>
      <c r="B818" s="227">
        <f>O817</f>
        <v>100</v>
      </c>
      <c r="C818" s="228">
        <f>P817</f>
        <v>100</v>
      </c>
      <c r="D818" s="228">
        <f>IF(OR(DAY(A818+2)=1,DAY(A818+2)=15),-SUM('Main Budget'!$H$26:$H$31),0)</f>
        <v>0</v>
      </c>
      <c r="E818" s="228">
        <f>IF(DAY(A818+2)=22,-SUM('Main Budget'!$F$26:$F$31),0)</f>
        <v>0</v>
      </c>
      <c r="F818" s="228">
        <f>IF(D818&gt;0,-'Main Budget'!$H$25+0.15,0)</f>
        <v>0</v>
      </c>
      <c r="G818" s="228">
        <f>IF(E818&gt;0,-'Main Budget'!$F$25+0.81,0)</f>
        <v>0</v>
      </c>
      <c r="H818" s="227">
        <f>IF(DAY(A818)='Main Budget'!$J$26,'Main Budget'!$E$26,0)</f>
        <v>0</v>
      </c>
      <c r="I818" s="227">
        <f>IF(DAY(A818)='Main Budget'!$J$28,'Main Budget'!$E$28,0)</f>
        <v>0</v>
      </c>
      <c r="J818" s="227">
        <f>IF(DAY(A818)='Main Budget'!$J$29,'Main Budget'!$E$29,0)</f>
        <v>0</v>
      </c>
      <c r="K818" s="20">
        <f>IF(DAY(A818)='Main Budget'!$J$30,'Main Budget'!$E$30,0)</f>
        <v>0</v>
      </c>
      <c r="L818" s="20">
        <f>IF(DAY(A818)='Main Budget'!$J$31,'Main Budget'!$E$31,0)</f>
        <v>0</v>
      </c>
      <c r="M818" s="20">
        <f>IF(DAY(A818)='Main Budget'!$J$27,'Main Budget'!$E$27,0)</f>
        <v>0</v>
      </c>
      <c r="O818" s="228">
        <f>B818+(SUM(H818:M818)+(SUM(D818:E818)))</f>
        <v>100</v>
      </c>
      <c r="P818" s="228">
        <f>C818+F818+G818+N818</f>
        <v>100</v>
      </c>
      <c r="Q818" s="252">
        <f>O818+P818</f>
        <v>200</v>
      </c>
      <c r="S818" s="231" t="str">
        <f>TEXT(A818,"dddd")</f>
        <v>Monday</v>
      </c>
    </row>
    <row r="819" spans="1:19" x14ac:dyDescent="0.25">
      <c r="A819" s="226">
        <v>46840</v>
      </c>
      <c r="B819" s="227">
        <f>O818</f>
        <v>100</v>
      </c>
      <c r="C819" s="228">
        <f>P818</f>
        <v>100</v>
      </c>
      <c r="D819" s="228">
        <f>IF(OR(DAY(A819+2)=1,DAY(A819+2)=15),-SUM('Main Budget'!$H$26:$H$31),0)</f>
        <v>0</v>
      </c>
      <c r="E819" s="228">
        <f>IF(DAY(A819+2)=22,-SUM('Main Budget'!$F$26:$F$31),0)</f>
        <v>0</v>
      </c>
      <c r="F819" s="228">
        <f>IF(D819&gt;0,-'Main Budget'!$H$25+0.15,0)</f>
        <v>0</v>
      </c>
      <c r="G819" s="228">
        <f>IF(E819&gt;0,-'Main Budget'!$F$25+0.81,0)</f>
        <v>0</v>
      </c>
      <c r="H819" s="227">
        <f>IF(DAY(A819)='Main Budget'!$J$26,'Main Budget'!$E$26,0)</f>
        <v>0</v>
      </c>
      <c r="I819" s="227">
        <f>IF(DAY(A819)='Main Budget'!$J$28,'Main Budget'!$E$28,0)</f>
        <v>0</v>
      </c>
      <c r="J819" s="227">
        <f>IF(DAY(A819)='Main Budget'!$J$29,'Main Budget'!$E$29,0)</f>
        <v>0</v>
      </c>
      <c r="K819" s="20">
        <f>IF(DAY(A819)='Main Budget'!$J$30,'Main Budget'!$E$30,0)</f>
        <v>0</v>
      </c>
      <c r="L819" s="20">
        <f>IF(DAY(A819)='Main Budget'!$J$31,'Main Budget'!$E$31,0)</f>
        <v>0</v>
      </c>
      <c r="M819" s="20">
        <f>IF(DAY(A819)='Main Budget'!$J$27,'Main Budget'!$E$27,0)</f>
        <v>0</v>
      </c>
      <c r="O819" s="228">
        <f>B819+(SUM(H819:M819)+(SUM(D819:E819)))</f>
        <v>100</v>
      </c>
      <c r="P819" s="228">
        <f>C819+F819+G819+N819</f>
        <v>100</v>
      </c>
      <c r="Q819" s="252">
        <f>O819+P819</f>
        <v>200</v>
      </c>
      <c r="S819" s="231" t="str">
        <f>TEXT(A819,"dddd")</f>
        <v>Tuesday</v>
      </c>
    </row>
    <row r="820" spans="1:19" x14ac:dyDescent="0.25">
      <c r="A820" s="226">
        <v>46841</v>
      </c>
      <c r="B820" s="227">
        <f>O819</f>
        <v>100</v>
      </c>
      <c r="C820" s="228">
        <f>P819</f>
        <v>100</v>
      </c>
      <c r="D820" s="228">
        <f>IF(OR(DAY(A820+2)=1,DAY(A820+2)=15),-SUM('Main Budget'!$H$26:$H$31),0)</f>
        <v>0</v>
      </c>
      <c r="E820" s="228">
        <f>IF(DAY(A820+2)=22,-SUM('Main Budget'!$F$26:$F$31),0)</f>
        <v>0</v>
      </c>
      <c r="F820" s="228">
        <f>IF(D820&gt;0,-'Main Budget'!$H$25+0.15,0)</f>
        <v>0</v>
      </c>
      <c r="G820" s="228">
        <f>IF(E820&gt;0,-'Main Budget'!$F$25+0.81,0)</f>
        <v>0</v>
      </c>
      <c r="H820" s="227">
        <f>IF(DAY(A820)='Main Budget'!$J$26,'Main Budget'!$E$26,0)</f>
        <v>0</v>
      </c>
      <c r="I820" s="227">
        <f>IF(DAY(A820)='Main Budget'!$J$28,'Main Budget'!$E$28,0)</f>
        <v>0</v>
      </c>
      <c r="J820" s="227">
        <f>IF(DAY(A820)='Main Budget'!$J$29,'Main Budget'!$E$29,0)</f>
        <v>0</v>
      </c>
      <c r="K820" s="20">
        <f>IF(DAY(A820)='Main Budget'!$J$30,'Main Budget'!$E$30,0)</f>
        <v>0</v>
      </c>
      <c r="L820" s="20">
        <f>IF(DAY(A820)='Main Budget'!$J$31,'Main Budget'!$E$31,0)</f>
        <v>0</v>
      </c>
      <c r="M820" s="20">
        <f>IF(DAY(A820)='Main Budget'!$J$27,'Main Budget'!$E$27,0)</f>
        <v>0</v>
      </c>
      <c r="O820" s="228">
        <f>B820+(SUM(H820:M820)+(SUM(D820:E820)))</f>
        <v>100</v>
      </c>
      <c r="P820" s="228">
        <f>C820+F820+G820+N820</f>
        <v>100</v>
      </c>
      <c r="Q820" s="252">
        <f>O820+P820</f>
        <v>200</v>
      </c>
      <c r="S820" s="231" t="str">
        <f>TEXT(A820,"dddd")</f>
        <v>Wednesday</v>
      </c>
    </row>
    <row r="821" spans="1:19" x14ac:dyDescent="0.25">
      <c r="A821" s="226">
        <v>46842</v>
      </c>
      <c r="B821" s="227">
        <f>O820</f>
        <v>100</v>
      </c>
      <c r="C821" s="228">
        <f>P820</f>
        <v>100</v>
      </c>
      <c r="D821" s="228">
        <f>IF(OR(DAY(A821+2)=1,DAY(A821+2)=15),-SUM('Main Budget'!$H$26:$H$31),0)</f>
        <v>0</v>
      </c>
      <c r="E821" s="228">
        <f>IF(DAY(A821+2)=22,-SUM('Main Budget'!$F$26:$F$31),0)</f>
        <v>0</v>
      </c>
      <c r="F821" s="228">
        <f>IF(D821&gt;0,-'Main Budget'!$H$25+0.15,0)</f>
        <v>0</v>
      </c>
      <c r="G821" s="228">
        <f>IF(E821&gt;0,-'Main Budget'!$F$25+0.81,0)</f>
        <v>0</v>
      </c>
      <c r="H821" s="227">
        <f>IF(DAY(A821)='Main Budget'!$J$26,'Main Budget'!$E$26,0)</f>
        <v>0</v>
      </c>
      <c r="I821" s="227">
        <f>IF(DAY(A821)='Main Budget'!$J$28,'Main Budget'!$E$28,0)</f>
        <v>0</v>
      </c>
      <c r="J821" s="227">
        <f>IF(DAY(A821)='Main Budget'!$J$29,'Main Budget'!$E$29,0)</f>
        <v>0</v>
      </c>
      <c r="K821" s="20">
        <f>IF(DAY(A821)='Main Budget'!$J$30,'Main Budget'!$E$30,0)</f>
        <v>0</v>
      </c>
      <c r="L821" s="20">
        <f>IF(DAY(A821)='Main Budget'!$J$31,'Main Budget'!$E$31,0)</f>
        <v>0</v>
      </c>
      <c r="M821" s="20">
        <f>IF(DAY(A821)='Main Budget'!$J$27,'Main Budget'!$E$27,0)</f>
        <v>0</v>
      </c>
      <c r="O821" s="228">
        <f>B821+(SUM(H821:M821)+(SUM(D821:E821)))</f>
        <v>100</v>
      </c>
      <c r="P821" s="228">
        <f>C821+F821+G821+N821</f>
        <v>100</v>
      </c>
      <c r="Q821" s="252">
        <f>O821+P821</f>
        <v>200</v>
      </c>
      <c r="S821" s="231" t="str">
        <f>TEXT(A821,"dddd")</f>
        <v>Thursday</v>
      </c>
    </row>
    <row r="822" spans="1:19" x14ac:dyDescent="0.25">
      <c r="A822" s="226">
        <v>46843</v>
      </c>
      <c r="B822" s="227">
        <f>O821</f>
        <v>100</v>
      </c>
      <c r="C822" s="228">
        <f>P821</f>
        <v>100</v>
      </c>
      <c r="D822" s="228">
        <f>IF(OR(DAY(A822+2)=1,DAY(A822+2)=15),-SUM('Main Budget'!$H$26:$H$31),0)</f>
        <v>0</v>
      </c>
      <c r="E822" s="228">
        <f>IF(DAY(A822+2)=22,-SUM('Main Budget'!$F$26:$F$31),0)</f>
        <v>0</v>
      </c>
      <c r="F822" s="228">
        <f>IF(D822&gt;0,-'Main Budget'!$H$25+0.15,0)</f>
        <v>0</v>
      </c>
      <c r="G822" s="228">
        <f>IF(E822&gt;0,-'Main Budget'!$F$25+0.81,0)</f>
        <v>0</v>
      </c>
      <c r="H822" s="227">
        <f>IF(DAY(A822)='Main Budget'!$J$26,'Main Budget'!$E$26,0)</f>
        <v>0</v>
      </c>
      <c r="I822" s="227">
        <f>IF(DAY(A822)='Main Budget'!$J$28,'Main Budget'!$E$28,0)</f>
        <v>0</v>
      </c>
      <c r="J822" s="227">
        <f>IF(DAY(A822)='Main Budget'!$J$29,'Main Budget'!$E$29,0)</f>
        <v>0</v>
      </c>
      <c r="K822" s="20">
        <f>IF(DAY(A822)='Main Budget'!$J$30,'Main Budget'!$E$30,0)</f>
        <v>0</v>
      </c>
      <c r="L822" s="20">
        <f>IF(DAY(A822)='Main Budget'!$J$31,'Main Budget'!$E$31,0)</f>
        <v>0</v>
      </c>
      <c r="M822" s="20">
        <f>IF(DAY(A822)='Main Budget'!$J$27,'Main Budget'!$E$27,0)</f>
        <v>0</v>
      </c>
      <c r="O822" s="228">
        <f>B822+(SUM(H822:M822)+(SUM(D822:E822)))</f>
        <v>100</v>
      </c>
      <c r="P822" s="228">
        <f>C822+F822+G822+N822</f>
        <v>100</v>
      </c>
      <c r="Q822" s="252">
        <f>O822+P822</f>
        <v>200</v>
      </c>
      <c r="S822" s="231" t="str">
        <f>TEXT(A822,"dddd")</f>
        <v>Friday</v>
      </c>
    </row>
    <row r="823" spans="1:19" x14ac:dyDescent="0.25">
      <c r="A823" s="226">
        <v>46844</v>
      </c>
      <c r="B823" s="227">
        <f>O822</f>
        <v>100</v>
      </c>
      <c r="C823" s="228">
        <f>P822</f>
        <v>100</v>
      </c>
      <c r="D823" s="228">
        <f>IF(OR(DAY(A823+2)=1,DAY(A823+2)=15),-SUM('Main Budget'!$H$26:$H$31),0)</f>
        <v>0</v>
      </c>
      <c r="E823" s="228">
        <f>IF(DAY(A823+2)=22,-SUM('Main Budget'!$F$26:$F$31),0)</f>
        <v>0</v>
      </c>
      <c r="F823" s="228">
        <f>IF(D823&gt;0,-'Main Budget'!$H$25+0.15,0)</f>
        <v>0</v>
      </c>
      <c r="G823" s="228">
        <f>IF(E823&gt;0,-'Main Budget'!$F$25+0.81,0)</f>
        <v>0</v>
      </c>
      <c r="H823" s="227">
        <f>IF(DAY(A823)='Main Budget'!$J$26,'Main Budget'!$E$26,0)</f>
        <v>0</v>
      </c>
      <c r="I823" s="227">
        <f>IF(DAY(A823)='Main Budget'!$J$28,'Main Budget'!$E$28,0)</f>
        <v>0</v>
      </c>
      <c r="J823" s="227">
        <f>IF(DAY(A823)='Main Budget'!$J$29,'Main Budget'!$E$29,0)</f>
        <v>0</v>
      </c>
      <c r="K823" s="20">
        <f>IF(DAY(A823)='Main Budget'!$J$30,'Main Budget'!$E$30,0)</f>
        <v>0</v>
      </c>
      <c r="L823" s="20">
        <f>IF(DAY(A823)='Main Budget'!$J$31,'Main Budget'!$E$31,0)</f>
        <v>0</v>
      </c>
      <c r="M823" s="20">
        <f>IF(DAY(A823)='Main Budget'!$J$27,'Main Budget'!$E$27,0)</f>
        <v>0</v>
      </c>
      <c r="O823" s="228">
        <f>B823+(SUM(H823:M823)+(SUM(D823:E823)))</f>
        <v>100</v>
      </c>
      <c r="P823" s="228">
        <f>C823+F823+G823+N823</f>
        <v>100</v>
      </c>
      <c r="Q823" s="252">
        <f>O823+P823</f>
        <v>200</v>
      </c>
      <c r="S823" s="231" t="str">
        <f>TEXT(A823,"dddd")</f>
        <v>Saturday</v>
      </c>
    </row>
    <row r="824" spans="1:19" x14ac:dyDescent="0.25">
      <c r="A824" s="226">
        <v>46845</v>
      </c>
      <c r="B824" s="227">
        <f>O823</f>
        <v>100</v>
      </c>
      <c r="C824" s="228">
        <f>P823</f>
        <v>100</v>
      </c>
      <c r="D824" s="228">
        <f>IF(OR(DAY(A824+2)=1,DAY(A824+2)=15),-SUM('Main Budget'!$H$26:$H$31),0)</f>
        <v>0</v>
      </c>
      <c r="E824" s="228">
        <f>IF(DAY(A824+2)=22,-SUM('Main Budget'!$F$26:$F$31),0)</f>
        <v>0</v>
      </c>
      <c r="F824" s="228">
        <f>IF(D824&gt;0,-'Main Budget'!$H$25+0.15,0)</f>
        <v>0</v>
      </c>
      <c r="G824" s="228">
        <f>IF(E824&gt;0,-'Main Budget'!$F$25+0.81,0)</f>
        <v>0</v>
      </c>
      <c r="H824" s="227">
        <f>IF(DAY(A824)='Main Budget'!$J$26,'Main Budget'!$E$26,0)</f>
        <v>0</v>
      </c>
      <c r="I824" s="227">
        <f>IF(DAY(A824)='Main Budget'!$J$28,'Main Budget'!$E$28,0)</f>
        <v>0</v>
      </c>
      <c r="J824" s="227">
        <f>IF(DAY(A824)='Main Budget'!$J$29,'Main Budget'!$E$29,0)</f>
        <v>0</v>
      </c>
      <c r="K824" s="20">
        <f>IF(DAY(A824)='Main Budget'!$J$30,'Main Budget'!$E$30,0)</f>
        <v>0</v>
      </c>
      <c r="L824" s="20">
        <f>IF(DAY(A824)='Main Budget'!$J$31,'Main Budget'!$E$31,0)</f>
        <v>0</v>
      </c>
      <c r="M824" s="20">
        <f>IF(DAY(A824)='Main Budget'!$J$27,'Main Budget'!$E$27,0)</f>
        <v>0</v>
      </c>
      <c r="O824" s="228">
        <f>B824+(SUM(H824:M824)+(SUM(D824:E824)))</f>
        <v>100</v>
      </c>
      <c r="P824" s="228">
        <f>C824+F824+G824+N824</f>
        <v>100</v>
      </c>
      <c r="Q824" s="252">
        <f>O824+P824</f>
        <v>200</v>
      </c>
      <c r="S824" s="231" t="str">
        <f>TEXT(A824,"dddd")</f>
        <v>Sunday</v>
      </c>
    </row>
    <row r="825" spans="1:19" x14ac:dyDescent="0.25">
      <c r="A825" s="226">
        <v>46846</v>
      </c>
      <c r="B825" s="227">
        <f>O824</f>
        <v>100</v>
      </c>
      <c r="C825" s="228">
        <f>P824</f>
        <v>100</v>
      </c>
      <c r="D825" s="228">
        <f>IF(OR(DAY(A825+2)=1,DAY(A825+2)=15),-SUM('Main Budget'!$H$26:$H$31),0)</f>
        <v>0</v>
      </c>
      <c r="E825" s="228">
        <f>IF(DAY(A825+2)=22,-SUM('Main Budget'!$F$26:$F$31),0)</f>
        <v>0</v>
      </c>
      <c r="F825" s="228">
        <f>IF(D825&gt;0,-'Main Budget'!$H$25+0.15,0)</f>
        <v>0</v>
      </c>
      <c r="G825" s="228">
        <f>IF(E825&gt;0,-'Main Budget'!$F$25+0.81,0)</f>
        <v>0</v>
      </c>
      <c r="H825" s="227">
        <f>IF(DAY(A825)='Main Budget'!$J$26,'Main Budget'!$E$26,0)</f>
        <v>0</v>
      </c>
      <c r="I825" s="227">
        <f>IF(DAY(A825)='Main Budget'!$J$28,'Main Budget'!$E$28,0)</f>
        <v>0</v>
      </c>
      <c r="J825" s="227">
        <f>IF(DAY(A825)='Main Budget'!$J$29,'Main Budget'!$E$29,0)</f>
        <v>0</v>
      </c>
      <c r="K825" s="20">
        <f>IF(DAY(A825)='Main Budget'!$J$30,'Main Budget'!$E$30,0)</f>
        <v>0</v>
      </c>
      <c r="L825" s="20">
        <f>IF(DAY(A825)='Main Budget'!$J$31,'Main Budget'!$E$31,0)</f>
        <v>0</v>
      </c>
      <c r="M825" s="20">
        <f>IF(DAY(A825)='Main Budget'!$J$27,'Main Budget'!$E$27,0)</f>
        <v>0</v>
      </c>
      <c r="O825" s="228">
        <f>B825+(SUM(H825:M825)+(SUM(D825:E825)))</f>
        <v>100</v>
      </c>
      <c r="P825" s="228">
        <f>C825+F825+G825+N825</f>
        <v>100</v>
      </c>
      <c r="Q825" s="252">
        <f>O825+P825</f>
        <v>200</v>
      </c>
      <c r="S825" s="231" t="str">
        <f>TEXT(A825,"dddd")</f>
        <v>Monday</v>
      </c>
    </row>
    <row r="826" spans="1:19" x14ac:dyDescent="0.25">
      <c r="A826" s="226">
        <v>46847</v>
      </c>
      <c r="B826" s="227">
        <f>O825</f>
        <v>100</v>
      </c>
      <c r="C826" s="228">
        <f>P825</f>
        <v>100</v>
      </c>
      <c r="D826" s="228">
        <f>IF(OR(DAY(A826+2)=1,DAY(A826+2)=15),-SUM('Main Budget'!$H$26:$H$31),0)</f>
        <v>0</v>
      </c>
      <c r="E826" s="228">
        <f>IF(DAY(A826+2)=22,-SUM('Main Budget'!$F$26:$F$31),0)</f>
        <v>0</v>
      </c>
      <c r="F826" s="228">
        <f>IF(D826&gt;0,-'Main Budget'!$H$25+0.15,0)</f>
        <v>0</v>
      </c>
      <c r="G826" s="228">
        <f>IF(E826&gt;0,-'Main Budget'!$F$25+0.81,0)</f>
        <v>0</v>
      </c>
      <c r="H826" s="227">
        <f>IF(DAY(A826)='Main Budget'!$J$26,'Main Budget'!$E$26,0)</f>
        <v>0</v>
      </c>
      <c r="I826" s="227">
        <f>IF(DAY(A826)='Main Budget'!$J$28,'Main Budget'!$E$28,0)</f>
        <v>0</v>
      </c>
      <c r="J826" s="227">
        <f>IF(DAY(A826)='Main Budget'!$J$29,'Main Budget'!$E$29,0)</f>
        <v>0</v>
      </c>
      <c r="K826" s="20">
        <f>IF(DAY(A826)='Main Budget'!$J$30,'Main Budget'!$E$30,0)</f>
        <v>0</v>
      </c>
      <c r="L826" s="20">
        <f>IF(DAY(A826)='Main Budget'!$J$31,'Main Budget'!$E$31,0)</f>
        <v>0</v>
      </c>
      <c r="M826" s="20">
        <f>IF(DAY(A826)='Main Budget'!$J$27,'Main Budget'!$E$27,0)</f>
        <v>0</v>
      </c>
      <c r="O826" s="228">
        <f>B826+(SUM(H826:M826)+(SUM(D826:E826)))</f>
        <v>100</v>
      </c>
      <c r="P826" s="228">
        <f>C826+F826+G826+N826</f>
        <v>100</v>
      </c>
      <c r="Q826" s="252">
        <f>O826+P826</f>
        <v>200</v>
      </c>
      <c r="S826" s="231" t="str">
        <f>TEXT(A826,"dddd")</f>
        <v>Tuesday</v>
      </c>
    </row>
    <row r="827" spans="1:19" x14ac:dyDescent="0.25">
      <c r="A827" s="226">
        <v>46848</v>
      </c>
      <c r="B827" s="227">
        <f>O826</f>
        <v>100</v>
      </c>
      <c r="C827" s="228">
        <f>P826</f>
        <v>100</v>
      </c>
      <c r="D827" s="228">
        <f>IF(OR(DAY(A827+2)=1,DAY(A827+2)=15),-SUM('Main Budget'!$H$26:$H$31),0)</f>
        <v>0</v>
      </c>
      <c r="E827" s="228">
        <f>IF(DAY(A827+2)=22,-SUM('Main Budget'!$F$26:$F$31),0)</f>
        <v>0</v>
      </c>
      <c r="F827" s="228">
        <f>IF(D827&gt;0,-'Main Budget'!$H$25+0.15,0)</f>
        <v>0</v>
      </c>
      <c r="G827" s="228">
        <f>IF(E827&gt;0,-'Main Budget'!$F$25+0.81,0)</f>
        <v>0</v>
      </c>
      <c r="H827" s="227">
        <f>IF(DAY(A827)='Main Budget'!$J$26,'Main Budget'!$E$26,0)</f>
        <v>0</v>
      </c>
      <c r="I827" s="227">
        <f>IF(DAY(A827)='Main Budget'!$J$28,'Main Budget'!$E$28,0)</f>
        <v>0</v>
      </c>
      <c r="J827" s="227">
        <f>IF(DAY(A827)='Main Budget'!$J$29,'Main Budget'!$E$29,0)</f>
        <v>0</v>
      </c>
      <c r="K827" s="20">
        <f>IF(DAY(A827)='Main Budget'!$J$30,'Main Budget'!$E$30,0)</f>
        <v>0</v>
      </c>
      <c r="L827" s="20">
        <f>IF(DAY(A827)='Main Budget'!$J$31,'Main Budget'!$E$31,0)</f>
        <v>0</v>
      </c>
      <c r="M827" s="20">
        <f>IF(DAY(A827)='Main Budget'!$J$27,'Main Budget'!$E$27,0)</f>
        <v>0</v>
      </c>
      <c r="O827" s="228">
        <f>B827+(SUM(H827:M827)+(SUM(D827:E827)))</f>
        <v>100</v>
      </c>
      <c r="P827" s="228">
        <f>C827+F827+G827+N827</f>
        <v>100</v>
      </c>
      <c r="Q827" s="252">
        <f>O827+P827</f>
        <v>200</v>
      </c>
      <c r="S827" s="231" t="str">
        <f>TEXT(A827,"dddd")</f>
        <v>Wednesday</v>
      </c>
    </row>
    <row r="828" spans="1:19" x14ac:dyDescent="0.25">
      <c r="A828" s="226">
        <v>46849</v>
      </c>
      <c r="B828" s="227">
        <f>O827</f>
        <v>100</v>
      </c>
      <c r="C828" s="228">
        <f>P827</f>
        <v>100</v>
      </c>
      <c r="D828" s="228">
        <f>IF(OR(DAY(A828+2)=1,DAY(A828+2)=15),-SUM('Main Budget'!$H$26:$H$31),0)</f>
        <v>0</v>
      </c>
      <c r="E828" s="228">
        <f>IF(DAY(A828+2)=22,-SUM('Main Budget'!$F$26:$F$31),0)</f>
        <v>0</v>
      </c>
      <c r="F828" s="228">
        <f>IF(D828&gt;0,-'Main Budget'!$H$25+0.15,0)</f>
        <v>0</v>
      </c>
      <c r="G828" s="228">
        <f>IF(E828&gt;0,-'Main Budget'!$F$25+0.81,0)</f>
        <v>0</v>
      </c>
      <c r="H828" s="227">
        <f>IF(DAY(A828)='Main Budget'!$J$26,'Main Budget'!$E$26,0)</f>
        <v>0</v>
      </c>
      <c r="I828" s="227">
        <f>IF(DAY(A828)='Main Budget'!$J$28,'Main Budget'!$E$28,0)</f>
        <v>0</v>
      </c>
      <c r="J828" s="227">
        <f>IF(DAY(A828)='Main Budget'!$J$29,'Main Budget'!$E$29,0)</f>
        <v>0</v>
      </c>
      <c r="K828" s="20">
        <f>IF(DAY(A828)='Main Budget'!$J$30,'Main Budget'!$E$30,0)</f>
        <v>0</v>
      </c>
      <c r="L828" s="20">
        <f>IF(DAY(A828)='Main Budget'!$J$31,'Main Budget'!$E$31,0)</f>
        <v>0</v>
      </c>
      <c r="M828" s="20">
        <f>IF(DAY(A828)='Main Budget'!$J$27,'Main Budget'!$E$27,0)</f>
        <v>0</v>
      </c>
      <c r="O828" s="228">
        <f>B828+(SUM(H828:M828)+(SUM(D828:E828)))</f>
        <v>100</v>
      </c>
      <c r="P828" s="228">
        <f>C828+F828+G828+N828</f>
        <v>100</v>
      </c>
      <c r="Q828" s="252">
        <f>O828+P828</f>
        <v>200</v>
      </c>
      <c r="S828" s="231" t="str">
        <f>TEXT(A828,"dddd")</f>
        <v>Thursday</v>
      </c>
    </row>
    <row r="829" spans="1:19" x14ac:dyDescent="0.25">
      <c r="A829" s="226">
        <v>46850</v>
      </c>
      <c r="B829" s="227">
        <f>O828</f>
        <v>100</v>
      </c>
      <c r="C829" s="228">
        <f>P828</f>
        <v>100</v>
      </c>
      <c r="D829" s="228">
        <f>IF(OR(DAY(A829+2)=1,DAY(A829+2)=15),-SUM('Main Budget'!$H$26:$H$31),0)</f>
        <v>0</v>
      </c>
      <c r="E829" s="228">
        <f>IF(DAY(A829+2)=22,-SUM('Main Budget'!$F$26:$F$31),0)</f>
        <v>0</v>
      </c>
      <c r="F829" s="228">
        <f>IF(D829&gt;0,-'Main Budget'!$H$25+0.15,0)</f>
        <v>0</v>
      </c>
      <c r="G829" s="228">
        <f>IF(E829&gt;0,-'Main Budget'!$F$25+0.81,0)</f>
        <v>0</v>
      </c>
      <c r="H829" s="227">
        <f>IF(DAY(A829)='Main Budget'!$J$26,'Main Budget'!$E$26,0)</f>
        <v>0</v>
      </c>
      <c r="I829" s="227">
        <f>IF(DAY(A829)='Main Budget'!$J$28,'Main Budget'!$E$28,0)</f>
        <v>0</v>
      </c>
      <c r="J829" s="227">
        <f>IF(DAY(A829)='Main Budget'!$J$29,'Main Budget'!$E$29,0)</f>
        <v>0</v>
      </c>
      <c r="K829" s="20">
        <f>IF(DAY(A829)='Main Budget'!$J$30,'Main Budget'!$E$30,0)</f>
        <v>0</v>
      </c>
      <c r="L829" s="20">
        <f>IF(DAY(A829)='Main Budget'!$J$31,'Main Budget'!$E$31,0)</f>
        <v>0</v>
      </c>
      <c r="M829" s="20">
        <f>IF(DAY(A829)='Main Budget'!$J$27,'Main Budget'!$E$27,0)</f>
        <v>0</v>
      </c>
      <c r="O829" s="228">
        <f>B829+(SUM(H829:M829)+(SUM(D829:E829)))</f>
        <v>100</v>
      </c>
      <c r="P829" s="228">
        <f>C829+F829+G829+N829</f>
        <v>100</v>
      </c>
      <c r="Q829" s="252">
        <f>O829+P829</f>
        <v>200</v>
      </c>
      <c r="S829" s="231" t="str">
        <f>TEXT(A829,"dddd")</f>
        <v>Friday</v>
      </c>
    </row>
    <row r="830" spans="1:19" x14ac:dyDescent="0.25">
      <c r="A830" s="226">
        <v>46851</v>
      </c>
      <c r="B830" s="227">
        <f>O829</f>
        <v>100</v>
      </c>
      <c r="C830" s="228">
        <f>P829</f>
        <v>100</v>
      </c>
      <c r="D830" s="228">
        <f>IF(OR(DAY(A830+2)=1,DAY(A830+2)=15),-SUM('Main Budget'!$H$26:$H$31),0)</f>
        <v>0</v>
      </c>
      <c r="E830" s="228">
        <f>IF(DAY(A830+2)=22,-SUM('Main Budget'!$F$26:$F$31),0)</f>
        <v>0</v>
      </c>
      <c r="F830" s="228">
        <f>IF(D830&gt;0,-'Main Budget'!$H$25+0.15,0)</f>
        <v>0</v>
      </c>
      <c r="G830" s="228">
        <f>IF(E830&gt;0,-'Main Budget'!$F$25+0.81,0)</f>
        <v>0</v>
      </c>
      <c r="H830" s="227">
        <f>IF(DAY(A830)='Main Budget'!$J$26,'Main Budget'!$E$26,0)</f>
        <v>0</v>
      </c>
      <c r="I830" s="227">
        <f>IF(DAY(A830)='Main Budget'!$J$28,'Main Budget'!$E$28,0)</f>
        <v>0</v>
      </c>
      <c r="J830" s="227">
        <f>IF(DAY(A830)='Main Budget'!$J$29,'Main Budget'!$E$29,0)</f>
        <v>0</v>
      </c>
      <c r="K830" s="20">
        <f>IF(DAY(A830)='Main Budget'!$J$30,'Main Budget'!$E$30,0)</f>
        <v>0</v>
      </c>
      <c r="L830" s="20">
        <f>IF(DAY(A830)='Main Budget'!$J$31,'Main Budget'!$E$31,0)</f>
        <v>0</v>
      </c>
      <c r="M830" s="20">
        <f>IF(DAY(A830)='Main Budget'!$J$27,'Main Budget'!$E$27,0)</f>
        <v>0</v>
      </c>
      <c r="O830" s="228">
        <f>B830+(SUM(H830:M830)+(SUM(D830:E830)))</f>
        <v>100</v>
      </c>
      <c r="P830" s="228">
        <f>C830+F830+G830+N830</f>
        <v>100</v>
      </c>
      <c r="Q830" s="252">
        <f>O830+P830</f>
        <v>200</v>
      </c>
      <c r="S830" s="231" t="str">
        <f>TEXT(A830,"dddd")</f>
        <v>Saturday</v>
      </c>
    </row>
    <row r="831" spans="1:19" x14ac:dyDescent="0.25">
      <c r="A831" s="226">
        <v>46852</v>
      </c>
      <c r="B831" s="227">
        <f>O830</f>
        <v>100</v>
      </c>
      <c r="C831" s="228">
        <f>P830</f>
        <v>100</v>
      </c>
      <c r="D831" s="228">
        <f>IF(OR(DAY(A831+2)=1,DAY(A831+2)=15),-SUM('Main Budget'!$H$26:$H$31),0)</f>
        <v>0</v>
      </c>
      <c r="E831" s="228">
        <f>IF(DAY(A831+2)=22,-SUM('Main Budget'!$F$26:$F$31),0)</f>
        <v>0</v>
      </c>
      <c r="F831" s="228">
        <f>IF(D831&gt;0,-'Main Budget'!$H$25+0.15,0)</f>
        <v>0</v>
      </c>
      <c r="G831" s="228">
        <f>IF(E831&gt;0,-'Main Budget'!$F$25+0.81,0)</f>
        <v>0</v>
      </c>
      <c r="H831" s="227">
        <f>IF(DAY(A831)='Main Budget'!$J$26,'Main Budget'!$E$26,0)</f>
        <v>0</v>
      </c>
      <c r="I831" s="227">
        <f>IF(DAY(A831)='Main Budget'!$J$28,'Main Budget'!$E$28,0)</f>
        <v>0</v>
      </c>
      <c r="J831" s="227">
        <f>IF(DAY(A831)='Main Budget'!$J$29,'Main Budget'!$E$29,0)</f>
        <v>0</v>
      </c>
      <c r="K831" s="20">
        <f>IF(DAY(A831)='Main Budget'!$J$30,'Main Budget'!$E$30,0)</f>
        <v>0</v>
      </c>
      <c r="L831" s="20">
        <f>IF(DAY(A831)='Main Budget'!$J$31,'Main Budget'!$E$31,0)</f>
        <v>0</v>
      </c>
      <c r="M831" s="20">
        <f>IF(DAY(A831)='Main Budget'!$J$27,'Main Budget'!$E$27,0)</f>
        <v>0</v>
      </c>
      <c r="O831" s="228">
        <f>B831+(SUM(H831:M831)+(SUM(D831:E831)))</f>
        <v>100</v>
      </c>
      <c r="P831" s="228">
        <f>C831+F831+G831+N831</f>
        <v>100</v>
      </c>
      <c r="Q831" s="252">
        <f>O831+P831</f>
        <v>200</v>
      </c>
      <c r="S831" s="231" t="str">
        <f>TEXT(A831,"dddd")</f>
        <v>Sunday</v>
      </c>
    </row>
    <row r="832" spans="1:19" x14ac:dyDescent="0.25">
      <c r="A832" s="226">
        <v>46853</v>
      </c>
      <c r="B832" s="227">
        <f>O831</f>
        <v>100</v>
      </c>
      <c r="C832" s="228">
        <f>P831</f>
        <v>100</v>
      </c>
      <c r="D832" s="228">
        <f>IF(OR(DAY(A832+2)=1,DAY(A832+2)=15),-SUM('Main Budget'!$H$26:$H$31),0)</f>
        <v>0</v>
      </c>
      <c r="E832" s="228">
        <f>IF(DAY(A832+2)=22,-SUM('Main Budget'!$F$26:$F$31),0)</f>
        <v>0</v>
      </c>
      <c r="F832" s="228">
        <f>IF(D832&gt;0,-'Main Budget'!$H$25+0.15,0)</f>
        <v>0</v>
      </c>
      <c r="G832" s="228">
        <f>IF(E832&gt;0,-'Main Budget'!$F$25+0.81,0)</f>
        <v>0</v>
      </c>
      <c r="H832" s="227">
        <f>IF(DAY(A832)='Main Budget'!$J$26,'Main Budget'!$E$26,0)</f>
        <v>0</v>
      </c>
      <c r="I832" s="227">
        <f>IF(DAY(A832)='Main Budget'!$J$28,'Main Budget'!$E$28,0)</f>
        <v>0</v>
      </c>
      <c r="J832" s="227">
        <f>IF(DAY(A832)='Main Budget'!$J$29,'Main Budget'!$E$29,0)</f>
        <v>0</v>
      </c>
      <c r="K832" s="20">
        <f>IF(DAY(A832)='Main Budget'!$J$30,'Main Budget'!$E$30,0)</f>
        <v>0</v>
      </c>
      <c r="L832" s="20">
        <f>IF(DAY(A832)='Main Budget'!$J$31,'Main Budget'!$E$31,0)</f>
        <v>0</v>
      </c>
      <c r="M832" s="20">
        <f>IF(DAY(A832)='Main Budget'!$J$27,'Main Budget'!$E$27,0)</f>
        <v>0</v>
      </c>
      <c r="O832" s="228">
        <f>B832+(SUM(H832:M832)+(SUM(D832:E832)))</f>
        <v>100</v>
      </c>
      <c r="P832" s="228">
        <f>C832+F832+G832+N832</f>
        <v>100</v>
      </c>
      <c r="Q832" s="252">
        <f>O832+P832</f>
        <v>200</v>
      </c>
      <c r="S832" s="231" t="str">
        <f>TEXT(A832,"dddd")</f>
        <v>Monday</v>
      </c>
    </row>
    <row r="833" spans="1:19" x14ac:dyDescent="0.25">
      <c r="A833" s="226">
        <v>46854</v>
      </c>
      <c r="B833" s="227">
        <f>O832</f>
        <v>100</v>
      </c>
      <c r="C833" s="228">
        <f>P832</f>
        <v>100</v>
      </c>
      <c r="D833" s="228">
        <f>IF(OR(DAY(A833+2)=1,DAY(A833+2)=15),-SUM('Main Budget'!$H$26:$H$31),0)</f>
        <v>0</v>
      </c>
      <c r="E833" s="228">
        <f>IF(DAY(A833+2)=22,-SUM('Main Budget'!$F$26:$F$31),0)</f>
        <v>0</v>
      </c>
      <c r="F833" s="228">
        <f>IF(D833&gt;0,-'Main Budget'!$H$25+0.15,0)</f>
        <v>0</v>
      </c>
      <c r="G833" s="228">
        <f>IF(E833&gt;0,-'Main Budget'!$F$25+0.81,0)</f>
        <v>0</v>
      </c>
      <c r="H833" s="227">
        <f>IF(DAY(A833)='Main Budget'!$J$26,'Main Budget'!$E$26,0)</f>
        <v>0</v>
      </c>
      <c r="I833" s="227">
        <f>IF(DAY(A833)='Main Budget'!$J$28,'Main Budget'!$E$28,0)</f>
        <v>0</v>
      </c>
      <c r="J833" s="227">
        <f>IF(DAY(A833)='Main Budget'!$J$29,'Main Budget'!$E$29,0)</f>
        <v>0</v>
      </c>
      <c r="K833" s="20">
        <f>IF(DAY(A833)='Main Budget'!$J$30,'Main Budget'!$E$30,0)</f>
        <v>0</v>
      </c>
      <c r="L833" s="20">
        <f>IF(DAY(A833)='Main Budget'!$J$31,'Main Budget'!$E$31,0)</f>
        <v>0</v>
      </c>
      <c r="M833" s="20">
        <f>IF(DAY(A833)='Main Budget'!$J$27,'Main Budget'!$E$27,0)</f>
        <v>0</v>
      </c>
      <c r="O833" s="228">
        <f>B833+(SUM(H833:M833)+(SUM(D833:E833)))</f>
        <v>100</v>
      </c>
      <c r="P833" s="228">
        <f>C833+F833+G833+N833</f>
        <v>100</v>
      </c>
      <c r="Q833" s="252">
        <f>O833+P833</f>
        <v>200</v>
      </c>
      <c r="S833" s="231" t="str">
        <f>TEXT(A833,"dddd")</f>
        <v>Tuesday</v>
      </c>
    </row>
    <row r="834" spans="1:19" x14ac:dyDescent="0.25">
      <c r="A834" s="226">
        <v>46855</v>
      </c>
      <c r="B834" s="227">
        <f>O833</f>
        <v>100</v>
      </c>
      <c r="C834" s="228">
        <f>P833</f>
        <v>100</v>
      </c>
      <c r="D834" s="228">
        <f>IF(OR(DAY(A834+2)=1,DAY(A834+2)=15),-SUM('Main Budget'!$H$26:$H$31),0)</f>
        <v>0</v>
      </c>
      <c r="E834" s="228">
        <f>IF(DAY(A834+2)=22,-SUM('Main Budget'!$F$26:$F$31),0)</f>
        <v>0</v>
      </c>
      <c r="F834" s="228">
        <f>IF(D834&gt;0,-'Main Budget'!$H$25+0.15,0)</f>
        <v>0</v>
      </c>
      <c r="G834" s="228">
        <f>IF(E834&gt;0,-'Main Budget'!$F$25+0.81,0)</f>
        <v>0</v>
      </c>
      <c r="H834" s="227">
        <f>IF(DAY(A834)='Main Budget'!$J$26,'Main Budget'!$E$26,0)</f>
        <v>0</v>
      </c>
      <c r="I834" s="227">
        <f>IF(DAY(A834)='Main Budget'!$J$28,'Main Budget'!$E$28,0)</f>
        <v>0</v>
      </c>
      <c r="J834" s="227">
        <f>IF(DAY(A834)='Main Budget'!$J$29,'Main Budget'!$E$29,0)</f>
        <v>0</v>
      </c>
      <c r="K834" s="20">
        <f>IF(DAY(A834)='Main Budget'!$J$30,'Main Budget'!$E$30,0)</f>
        <v>0</v>
      </c>
      <c r="L834" s="20">
        <f>IF(DAY(A834)='Main Budget'!$J$31,'Main Budget'!$E$31,0)</f>
        <v>0</v>
      </c>
      <c r="M834" s="20">
        <f>IF(DAY(A834)='Main Budget'!$J$27,'Main Budget'!$E$27,0)</f>
        <v>0</v>
      </c>
      <c r="O834" s="228">
        <f>B834+(SUM(H834:M834)+(SUM(D834:E834)))</f>
        <v>100</v>
      </c>
      <c r="P834" s="228">
        <f>C834+F834+G834+N834</f>
        <v>100</v>
      </c>
      <c r="Q834" s="252">
        <f>O834+P834</f>
        <v>200</v>
      </c>
      <c r="S834" s="231" t="str">
        <f>TEXT(A834,"dddd")</f>
        <v>Wednesday</v>
      </c>
    </row>
    <row r="835" spans="1:19" x14ac:dyDescent="0.25">
      <c r="A835" s="226">
        <v>46856</v>
      </c>
      <c r="B835" s="227">
        <f>O834</f>
        <v>100</v>
      </c>
      <c r="C835" s="228">
        <f>P834</f>
        <v>100</v>
      </c>
      <c r="D835" s="228">
        <f>IF(OR(DAY(A835+2)=1,DAY(A835+2)=15),-SUM('Main Budget'!$H$26:$H$31),0)</f>
        <v>0</v>
      </c>
      <c r="E835" s="228">
        <f>IF(DAY(A835+2)=22,-SUM('Main Budget'!$F$26:$F$31),0)</f>
        <v>0</v>
      </c>
      <c r="F835" s="228">
        <f>IF(D835&gt;0,-'Main Budget'!$H$25+0.15,0)</f>
        <v>0</v>
      </c>
      <c r="G835" s="228">
        <f>IF(E835&gt;0,-'Main Budget'!$F$25+0.81,0)</f>
        <v>0</v>
      </c>
      <c r="H835" s="227">
        <f>IF(DAY(A835)='Main Budget'!$J$26,'Main Budget'!$E$26,0)</f>
        <v>0</v>
      </c>
      <c r="I835" s="227">
        <f>IF(DAY(A835)='Main Budget'!$J$28,'Main Budget'!$E$28,0)</f>
        <v>0</v>
      </c>
      <c r="J835" s="227">
        <f>IF(DAY(A835)='Main Budget'!$J$29,'Main Budget'!$E$29,0)</f>
        <v>0</v>
      </c>
      <c r="K835" s="20">
        <f>IF(DAY(A835)='Main Budget'!$J$30,'Main Budget'!$E$30,0)</f>
        <v>0</v>
      </c>
      <c r="L835" s="20">
        <f>IF(DAY(A835)='Main Budget'!$J$31,'Main Budget'!$E$31,0)</f>
        <v>0</v>
      </c>
      <c r="M835" s="20">
        <f>IF(DAY(A835)='Main Budget'!$J$27,'Main Budget'!$E$27,0)</f>
        <v>0</v>
      </c>
      <c r="O835" s="228">
        <f>B835+(SUM(H835:M835)+(SUM(D835:E835)))</f>
        <v>100</v>
      </c>
      <c r="P835" s="228">
        <f>C835+F835+G835+N835</f>
        <v>100</v>
      </c>
      <c r="Q835" s="252">
        <f>O835+P835</f>
        <v>200</v>
      </c>
      <c r="S835" s="231" t="str">
        <f>TEXT(A835,"dddd")</f>
        <v>Thursday</v>
      </c>
    </row>
    <row r="836" spans="1:19" x14ac:dyDescent="0.25">
      <c r="A836" s="226">
        <v>46857</v>
      </c>
      <c r="B836" s="227">
        <f>O835</f>
        <v>100</v>
      </c>
      <c r="C836" s="228">
        <f>P835</f>
        <v>100</v>
      </c>
      <c r="D836" s="228">
        <f>IF(OR(DAY(A836+2)=1,DAY(A836+2)=15),-SUM('Main Budget'!$H$26:$H$31),0)</f>
        <v>0</v>
      </c>
      <c r="E836" s="228">
        <f>IF(DAY(A836+2)=22,-SUM('Main Budget'!$F$26:$F$31),0)</f>
        <v>0</v>
      </c>
      <c r="F836" s="228">
        <f>IF(D836&gt;0,-'Main Budget'!$H$25+0.15,0)</f>
        <v>0</v>
      </c>
      <c r="G836" s="228">
        <f>IF(E836&gt;0,-'Main Budget'!$F$25+0.81,0)</f>
        <v>0</v>
      </c>
      <c r="H836" s="227">
        <f>IF(DAY(A836)='Main Budget'!$J$26,'Main Budget'!$E$26,0)</f>
        <v>0</v>
      </c>
      <c r="I836" s="227">
        <f>IF(DAY(A836)='Main Budget'!$J$28,'Main Budget'!$E$28,0)</f>
        <v>0</v>
      </c>
      <c r="J836" s="227">
        <f>IF(DAY(A836)='Main Budget'!$J$29,'Main Budget'!$E$29,0)</f>
        <v>0</v>
      </c>
      <c r="K836" s="20">
        <f>IF(DAY(A836)='Main Budget'!$J$30,'Main Budget'!$E$30,0)</f>
        <v>0</v>
      </c>
      <c r="L836" s="20">
        <f>IF(DAY(A836)='Main Budget'!$J$31,'Main Budget'!$E$31,0)</f>
        <v>0</v>
      </c>
      <c r="M836" s="20">
        <f>IF(DAY(A836)='Main Budget'!$J$27,'Main Budget'!$E$27,0)</f>
        <v>0</v>
      </c>
      <c r="O836" s="228">
        <f>B836+(SUM(H836:M836)+(SUM(D836:E836)))</f>
        <v>100</v>
      </c>
      <c r="P836" s="228">
        <f>C836+F836+G836+N836</f>
        <v>100</v>
      </c>
      <c r="Q836" s="252">
        <f>O836+P836</f>
        <v>200</v>
      </c>
      <c r="S836" s="231" t="str">
        <f>TEXT(A836,"dddd")</f>
        <v>Friday</v>
      </c>
    </row>
    <row r="837" spans="1:19" x14ac:dyDescent="0.25">
      <c r="A837" s="226">
        <v>46858</v>
      </c>
      <c r="B837" s="227">
        <f>O836</f>
        <v>100</v>
      </c>
      <c r="C837" s="228">
        <f>P836</f>
        <v>100</v>
      </c>
      <c r="D837" s="228">
        <f>IF(OR(DAY(A837+2)=1,DAY(A837+2)=15),-SUM('Main Budget'!$H$26:$H$31),0)</f>
        <v>0</v>
      </c>
      <c r="E837" s="228">
        <f>IF(DAY(A837+2)=22,-SUM('Main Budget'!$F$26:$F$31),0)</f>
        <v>0</v>
      </c>
      <c r="F837" s="228">
        <f>IF(D837&gt;0,-'Main Budget'!$H$25+0.15,0)</f>
        <v>0</v>
      </c>
      <c r="G837" s="228">
        <f>IF(E837&gt;0,-'Main Budget'!$F$25+0.81,0)</f>
        <v>0</v>
      </c>
      <c r="H837" s="227">
        <f>IF(DAY(A837)='Main Budget'!$J$26,'Main Budget'!$E$26,0)</f>
        <v>0</v>
      </c>
      <c r="I837" s="227">
        <f>IF(DAY(A837)='Main Budget'!$J$28,'Main Budget'!$E$28,0)</f>
        <v>0</v>
      </c>
      <c r="J837" s="227">
        <f>IF(DAY(A837)='Main Budget'!$J$29,'Main Budget'!$E$29,0)</f>
        <v>0</v>
      </c>
      <c r="K837" s="20">
        <f>IF(DAY(A837)='Main Budget'!$J$30,'Main Budget'!$E$30,0)</f>
        <v>0</v>
      </c>
      <c r="L837" s="20">
        <f>IF(DAY(A837)='Main Budget'!$J$31,'Main Budget'!$E$31,0)</f>
        <v>0</v>
      </c>
      <c r="M837" s="20">
        <f>IF(DAY(A837)='Main Budget'!$J$27,'Main Budget'!$E$27,0)</f>
        <v>0</v>
      </c>
      <c r="O837" s="228">
        <f>B837+(SUM(H837:M837)+(SUM(D837:E837)))</f>
        <v>100</v>
      </c>
      <c r="P837" s="228">
        <f>C837+F837+G837+N837</f>
        <v>100</v>
      </c>
      <c r="Q837" s="252">
        <f>O837+P837</f>
        <v>200</v>
      </c>
      <c r="S837" s="231" t="str">
        <f>TEXT(A837,"dddd")</f>
        <v>Saturday</v>
      </c>
    </row>
    <row r="838" spans="1:19" x14ac:dyDescent="0.25">
      <c r="A838" s="226">
        <v>46859</v>
      </c>
      <c r="B838" s="227">
        <f>O837</f>
        <v>100</v>
      </c>
      <c r="C838" s="228">
        <f>P837</f>
        <v>100</v>
      </c>
      <c r="D838" s="228">
        <f>IF(OR(DAY(A838+2)=1,DAY(A838+2)=15),-SUM('Main Budget'!$H$26:$H$31),0)</f>
        <v>0</v>
      </c>
      <c r="E838" s="228">
        <f>IF(DAY(A838+2)=22,-SUM('Main Budget'!$F$26:$F$31),0)</f>
        <v>0</v>
      </c>
      <c r="F838" s="228">
        <f>IF(D838&gt;0,-'Main Budget'!$H$25+0.15,0)</f>
        <v>0</v>
      </c>
      <c r="G838" s="228">
        <f>IF(E838&gt;0,-'Main Budget'!$F$25+0.81,0)</f>
        <v>0</v>
      </c>
      <c r="H838" s="227">
        <f>IF(DAY(A838)='Main Budget'!$J$26,'Main Budget'!$E$26,0)</f>
        <v>0</v>
      </c>
      <c r="I838" s="227">
        <f>IF(DAY(A838)='Main Budget'!$J$28,'Main Budget'!$E$28,0)</f>
        <v>0</v>
      </c>
      <c r="J838" s="227">
        <f>IF(DAY(A838)='Main Budget'!$J$29,'Main Budget'!$E$29,0)</f>
        <v>0</v>
      </c>
      <c r="K838" s="20">
        <f>IF(DAY(A838)='Main Budget'!$J$30,'Main Budget'!$E$30,0)</f>
        <v>0</v>
      </c>
      <c r="L838" s="20">
        <f>IF(DAY(A838)='Main Budget'!$J$31,'Main Budget'!$E$31,0)</f>
        <v>0</v>
      </c>
      <c r="M838" s="20">
        <f>IF(DAY(A838)='Main Budget'!$J$27,'Main Budget'!$E$27,0)</f>
        <v>0</v>
      </c>
      <c r="O838" s="228">
        <f>B838+(SUM(H838:M838)+(SUM(D838:E838)))</f>
        <v>100</v>
      </c>
      <c r="P838" s="228">
        <f>C838+F838+G838+N838</f>
        <v>100</v>
      </c>
      <c r="Q838" s="252">
        <f>O838+P838</f>
        <v>200</v>
      </c>
      <c r="S838" s="231" t="str">
        <f>TEXT(A838,"dddd")</f>
        <v>Sunday</v>
      </c>
    </row>
    <row r="839" spans="1:19" x14ac:dyDescent="0.25">
      <c r="A839" s="226">
        <v>46860</v>
      </c>
      <c r="B839" s="227">
        <f>O838</f>
        <v>100</v>
      </c>
      <c r="C839" s="228">
        <f>P838</f>
        <v>100</v>
      </c>
      <c r="D839" s="228">
        <f>IF(OR(DAY(A839+2)=1,DAY(A839+2)=15),-SUM('Main Budget'!$H$26:$H$31),0)</f>
        <v>0</v>
      </c>
      <c r="E839" s="228">
        <f>IF(DAY(A839+2)=22,-SUM('Main Budget'!$F$26:$F$31),0)</f>
        <v>0</v>
      </c>
      <c r="F839" s="228">
        <f>IF(D839&gt;0,-'Main Budget'!$H$25+0.15,0)</f>
        <v>0</v>
      </c>
      <c r="G839" s="228">
        <f>IF(E839&gt;0,-'Main Budget'!$F$25+0.81,0)</f>
        <v>0</v>
      </c>
      <c r="H839" s="227">
        <f>IF(DAY(A839)='Main Budget'!$J$26,'Main Budget'!$E$26,0)</f>
        <v>0</v>
      </c>
      <c r="I839" s="227">
        <f>IF(DAY(A839)='Main Budget'!$J$28,'Main Budget'!$E$28,0)</f>
        <v>0</v>
      </c>
      <c r="J839" s="227">
        <f>IF(DAY(A839)='Main Budget'!$J$29,'Main Budget'!$E$29,0)</f>
        <v>0</v>
      </c>
      <c r="K839" s="20">
        <f>IF(DAY(A839)='Main Budget'!$J$30,'Main Budget'!$E$30,0)</f>
        <v>0</v>
      </c>
      <c r="L839" s="20">
        <f>IF(DAY(A839)='Main Budget'!$J$31,'Main Budget'!$E$31,0)</f>
        <v>0</v>
      </c>
      <c r="M839" s="20">
        <f>IF(DAY(A839)='Main Budget'!$J$27,'Main Budget'!$E$27,0)</f>
        <v>0</v>
      </c>
      <c r="O839" s="228">
        <f>B839+(SUM(H839:M839)+(SUM(D839:E839)))</f>
        <v>100</v>
      </c>
      <c r="P839" s="228">
        <f>C839+F839+G839+N839</f>
        <v>100</v>
      </c>
      <c r="Q839" s="252">
        <f>O839+P839</f>
        <v>200</v>
      </c>
      <c r="S839" s="231" t="str">
        <f>TEXT(A839,"dddd")</f>
        <v>Monday</v>
      </c>
    </row>
    <row r="840" spans="1:19" x14ac:dyDescent="0.25">
      <c r="A840" s="226">
        <v>46861</v>
      </c>
      <c r="B840" s="227">
        <f>O839</f>
        <v>100</v>
      </c>
      <c r="C840" s="228">
        <f>P839</f>
        <v>100</v>
      </c>
      <c r="D840" s="228">
        <f>IF(OR(DAY(A840+2)=1,DAY(A840+2)=15),-SUM('Main Budget'!$H$26:$H$31),0)</f>
        <v>0</v>
      </c>
      <c r="E840" s="228">
        <f>IF(DAY(A840+2)=22,-SUM('Main Budget'!$F$26:$F$31),0)</f>
        <v>0</v>
      </c>
      <c r="F840" s="228">
        <f>IF(D840&gt;0,-'Main Budget'!$H$25+0.15,0)</f>
        <v>0</v>
      </c>
      <c r="G840" s="228">
        <f>IF(E840&gt;0,-'Main Budget'!$F$25+0.81,0)</f>
        <v>0</v>
      </c>
      <c r="H840" s="227">
        <f>IF(DAY(A840)='Main Budget'!$J$26,'Main Budget'!$E$26,0)</f>
        <v>0</v>
      </c>
      <c r="I840" s="227">
        <f>IF(DAY(A840)='Main Budget'!$J$28,'Main Budget'!$E$28,0)</f>
        <v>0</v>
      </c>
      <c r="J840" s="227">
        <f>IF(DAY(A840)='Main Budget'!$J$29,'Main Budget'!$E$29,0)</f>
        <v>0</v>
      </c>
      <c r="K840" s="20">
        <f>IF(DAY(A840)='Main Budget'!$J$30,'Main Budget'!$E$30,0)</f>
        <v>0</v>
      </c>
      <c r="L840" s="20">
        <f>IF(DAY(A840)='Main Budget'!$J$31,'Main Budget'!$E$31,0)</f>
        <v>0</v>
      </c>
      <c r="M840" s="20">
        <f>IF(DAY(A840)='Main Budget'!$J$27,'Main Budget'!$E$27,0)</f>
        <v>0</v>
      </c>
      <c r="O840" s="228">
        <f>B840+(SUM(H840:M840)+(SUM(D840:E840)))</f>
        <v>100</v>
      </c>
      <c r="P840" s="228">
        <f>C840+F840+G840+N840</f>
        <v>100</v>
      </c>
      <c r="Q840" s="252">
        <f>O840+P840</f>
        <v>200</v>
      </c>
      <c r="S840" s="231" t="str">
        <f>TEXT(A840,"dddd")</f>
        <v>Tuesday</v>
      </c>
    </row>
    <row r="841" spans="1:19" x14ac:dyDescent="0.25">
      <c r="A841" s="226">
        <v>46862</v>
      </c>
      <c r="B841" s="227">
        <f>O840</f>
        <v>100</v>
      </c>
      <c r="C841" s="228">
        <f>P840</f>
        <v>100</v>
      </c>
      <c r="D841" s="228">
        <f>IF(OR(DAY(A841+2)=1,DAY(A841+2)=15),-SUM('Main Budget'!$H$26:$H$31),0)</f>
        <v>0</v>
      </c>
      <c r="E841" s="228">
        <f>IF(DAY(A841+2)=22,-SUM('Main Budget'!$F$26:$F$31),0)</f>
        <v>0</v>
      </c>
      <c r="F841" s="228">
        <f>IF(D841&gt;0,-'Main Budget'!$H$25+0.15,0)</f>
        <v>0</v>
      </c>
      <c r="G841" s="228">
        <f>IF(E841&gt;0,-'Main Budget'!$F$25+0.81,0)</f>
        <v>0</v>
      </c>
      <c r="H841" s="227">
        <f>IF(DAY(A841)='Main Budget'!$J$26,'Main Budget'!$E$26,0)</f>
        <v>0</v>
      </c>
      <c r="I841" s="227">
        <f>IF(DAY(A841)='Main Budget'!$J$28,'Main Budget'!$E$28,0)</f>
        <v>0</v>
      </c>
      <c r="J841" s="227">
        <f>IF(DAY(A841)='Main Budget'!$J$29,'Main Budget'!$E$29,0)</f>
        <v>0</v>
      </c>
      <c r="K841" s="20">
        <f>IF(DAY(A841)='Main Budget'!$J$30,'Main Budget'!$E$30,0)</f>
        <v>0</v>
      </c>
      <c r="L841" s="20">
        <f>IF(DAY(A841)='Main Budget'!$J$31,'Main Budget'!$E$31,0)</f>
        <v>0</v>
      </c>
      <c r="M841" s="20">
        <f>IF(DAY(A841)='Main Budget'!$J$27,'Main Budget'!$E$27,0)</f>
        <v>0</v>
      </c>
      <c r="O841" s="228">
        <f>B841+(SUM(H841:M841)+(SUM(D841:E841)))</f>
        <v>100</v>
      </c>
      <c r="P841" s="228">
        <f>C841+F841+G841+N841</f>
        <v>100</v>
      </c>
      <c r="Q841" s="252">
        <f>O841+P841</f>
        <v>200</v>
      </c>
      <c r="S841" s="231" t="str">
        <f>TEXT(A841,"dddd")</f>
        <v>Wednesday</v>
      </c>
    </row>
    <row r="842" spans="1:19" x14ac:dyDescent="0.25">
      <c r="A842" s="226">
        <v>46863</v>
      </c>
      <c r="B842" s="227">
        <f>O841</f>
        <v>100</v>
      </c>
      <c r="C842" s="228">
        <f>P841</f>
        <v>100</v>
      </c>
      <c r="D842" s="228">
        <f>IF(OR(DAY(A842+2)=1,DAY(A842+2)=15),-SUM('Main Budget'!$H$26:$H$31),0)</f>
        <v>0</v>
      </c>
      <c r="E842" s="228">
        <f>IF(DAY(A842+2)=22,-SUM('Main Budget'!$F$26:$F$31),0)</f>
        <v>0</v>
      </c>
      <c r="F842" s="228">
        <f>IF(D842&gt;0,-'Main Budget'!$H$25+0.15,0)</f>
        <v>0</v>
      </c>
      <c r="G842" s="228">
        <f>IF(E842&gt;0,-'Main Budget'!$F$25+0.81,0)</f>
        <v>0</v>
      </c>
      <c r="H842" s="227">
        <f>IF(DAY(A842)='Main Budget'!$J$26,'Main Budget'!$E$26,0)</f>
        <v>0</v>
      </c>
      <c r="I842" s="227">
        <f>IF(DAY(A842)='Main Budget'!$J$28,'Main Budget'!$E$28,0)</f>
        <v>0</v>
      </c>
      <c r="J842" s="227">
        <f>IF(DAY(A842)='Main Budget'!$J$29,'Main Budget'!$E$29,0)</f>
        <v>0</v>
      </c>
      <c r="K842" s="20">
        <f>IF(DAY(A842)='Main Budget'!$J$30,'Main Budget'!$E$30,0)</f>
        <v>0</v>
      </c>
      <c r="L842" s="20">
        <f>IF(DAY(A842)='Main Budget'!$J$31,'Main Budget'!$E$31,0)</f>
        <v>0</v>
      </c>
      <c r="M842" s="20">
        <f>IF(DAY(A842)='Main Budget'!$J$27,'Main Budget'!$E$27,0)</f>
        <v>0</v>
      </c>
      <c r="O842" s="228">
        <f>B842+(SUM(H842:M842)+(SUM(D842:E842)))</f>
        <v>100</v>
      </c>
      <c r="P842" s="228">
        <f>C842+F842+G842+N842</f>
        <v>100</v>
      </c>
      <c r="Q842" s="252">
        <f>O842+P842</f>
        <v>200</v>
      </c>
      <c r="S842" s="231" t="str">
        <f>TEXT(A842,"dddd")</f>
        <v>Thursday</v>
      </c>
    </row>
    <row r="843" spans="1:19" x14ac:dyDescent="0.25">
      <c r="A843" s="226">
        <v>46864</v>
      </c>
      <c r="B843" s="227">
        <f>O842</f>
        <v>100</v>
      </c>
      <c r="C843" s="228">
        <f>P842</f>
        <v>100</v>
      </c>
      <c r="D843" s="228">
        <f>IF(OR(DAY(A843+2)=1,DAY(A843+2)=15),-SUM('Main Budget'!$H$26:$H$31),0)</f>
        <v>0</v>
      </c>
      <c r="E843" s="228">
        <f>IF(DAY(A843+2)=22,-SUM('Main Budget'!$F$26:$F$31),0)</f>
        <v>0</v>
      </c>
      <c r="F843" s="228">
        <f>IF(D843&gt;0,-'Main Budget'!$H$25+0.15,0)</f>
        <v>0</v>
      </c>
      <c r="G843" s="228">
        <f>IF(E843&gt;0,-'Main Budget'!$F$25+0.81,0)</f>
        <v>0</v>
      </c>
      <c r="H843" s="227">
        <f>IF(DAY(A843)='Main Budget'!$J$26,'Main Budget'!$E$26,0)</f>
        <v>0</v>
      </c>
      <c r="I843" s="227">
        <f>IF(DAY(A843)='Main Budget'!$J$28,'Main Budget'!$E$28,0)</f>
        <v>0</v>
      </c>
      <c r="J843" s="227">
        <f>IF(DAY(A843)='Main Budget'!$J$29,'Main Budget'!$E$29,0)</f>
        <v>0</v>
      </c>
      <c r="K843" s="20">
        <f>IF(DAY(A843)='Main Budget'!$J$30,'Main Budget'!$E$30,0)</f>
        <v>0</v>
      </c>
      <c r="L843" s="20">
        <f>IF(DAY(A843)='Main Budget'!$J$31,'Main Budget'!$E$31,0)</f>
        <v>0</v>
      </c>
      <c r="M843" s="20">
        <f>IF(DAY(A843)='Main Budget'!$J$27,'Main Budget'!$E$27,0)</f>
        <v>0</v>
      </c>
      <c r="O843" s="228">
        <f>B843+(SUM(H843:M843)+(SUM(D843:E843)))</f>
        <v>100</v>
      </c>
      <c r="P843" s="228">
        <f>C843+F843+G843+N843</f>
        <v>100</v>
      </c>
      <c r="Q843" s="252">
        <f>O843+P843</f>
        <v>200</v>
      </c>
      <c r="S843" s="231" t="str">
        <f>TEXT(A843,"dddd")</f>
        <v>Friday</v>
      </c>
    </row>
    <row r="844" spans="1:19" x14ac:dyDescent="0.25">
      <c r="A844" s="226">
        <v>46865</v>
      </c>
      <c r="B844" s="227">
        <f>O843</f>
        <v>100</v>
      </c>
      <c r="C844" s="228">
        <f>P843</f>
        <v>100</v>
      </c>
      <c r="D844" s="228">
        <f>IF(OR(DAY(A844+2)=1,DAY(A844+2)=15),-SUM('Main Budget'!$H$26:$H$31),0)</f>
        <v>0</v>
      </c>
      <c r="E844" s="228">
        <f>IF(DAY(A844+2)=22,-SUM('Main Budget'!$F$26:$F$31),0)</f>
        <v>0</v>
      </c>
      <c r="F844" s="228">
        <f>IF(D844&gt;0,-'Main Budget'!$H$25+0.15,0)</f>
        <v>0</v>
      </c>
      <c r="G844" s="228">
        <f>IF(E844&gt;0,-'Main Budget'!$F$25+0.81,0)</f>
        <v>0</v>
      </c>
      <c r="H844" s="227">
        <f>IF(DAY(A844)='Main Budget'!$J$26,'Main Budget'!$E$26,0)</f>
        <v>0</v>
      </c>
      <c r="I844" s="227">
        <f>IF(DAY(A844)='Main Budget'!$J$28,'Main Budget'!$E$28,0)</f>
        <v>0</v>
      </c>
      <c r="J844" s="227">
        <f>IF(DAY(A844)='Main Budget'!$J$29,'Main Budget'!$E$29,0)</f>
        <v>0</v>
      </c>
      <c r="K844" s="20">
        <f>IF(DAY(A844)='Main Budget'!$J$30,'Main Budget'!$E$30,0)</f>
        <v>0</v>
      </c>
      <c r="L844" s="20">
        <f>IF(DAY(A844)='Main Budget'!$J$31,'Main Budget'!$E$31,0)</f>
        <v>0</v>
      </c>
      <c r="M844" s="20">
        <f>IF(DAY(A844)='Main Budget'!$J$27,'Main Budget'!$E$27,0)</f>
        <v>0</v>
      </c>
      <c r="O844" s="228">
        <f>B844+(SUM(H844:M844)+(SUM(D844:E844)))</f>
        <v>100</v>
      </c>
      <c r="P844" s="228">
        <f>C844+F844+G844+N844</f>
        <v>100</v>
      </c>
      <c r="Q844" s="252">
        <f>O844+P844</f>
        <v>200</v>
      </c>
      <c r="S844" s="231" t="str">
        <f>TEXT(A844,"dddd")</f>
        <v>Saturday</v>
      </c>
    </row>
    <row r="845" spans="1:19" x14ac:dyDescent="0.25">
      <c r="A845" s="226">
        <v>46866</v>
      </c>
      <c r="B845" s="227">
        <f>O844</f>
        <v>100</v>
      </c>
      <c r="C845" s="228">
        <f>P844</f>
        <v>100</v>
      </c>
      <c r="D845" s="228">
        <f>IF(OR(DAY(A845+2)=1,DAY(A845+2)=15),-SUM('Main Budget'!$H$26:$H$31),0)</f>
        <v>0</v>
      </c>
      <c r="E845" s="228">
        <f>IF(DAY(A845+2)=22,-SUM('Main Budget'!$F$26:$F$31),0)</f>
        <v>0</v>
      </c>
      <c r="F845" s="228">
        <f>IF(D845&gt;0,-'Main Budget'!$H$25+0.15,0)</f>
        <v>0</v>
      </c>
      <c r="G845" s="228">
        <f>IF(E845&gt;0,-'Main Budget'!$F$25+0.81,0)</f>
        <v>0</v>
      </c>
      <c r="H845" s="227">
        <f>IF(DAY(A845)='Main Budget'!$J$26,'Main Budget'!$E$26,0)</f>
        <v>0</v>
      </c>
      <c r="I845" s="227">
        <f>IF(DAY(A845)='Main Budget'!$J$28,'Main Budget'!$E$28,0)</f>
        <v>0</v>
      </c>
      <c r="J845" s="227">
        <f>IF(DAY(A845)='Main Budget'!$J$29,'Main Budget'!$E$29,0)</f>
        <v>0</v>
      </c>
      <c r="K845" s="20">
        <f>IF(DAY(A845)='Main Budget'!$J$30,'Main Budget'!$E$30,0)</f>
        <v>0</v>
      </c>
      <c r="L845" s="20">
        <f>IF(DAY(A845)='Main Budget'!$J$31,'Main Budget'!$E$31,0)</f>
        <v>0</v>
      </c>
      <c r="M845" s="20">
        <f>IF(DAY(A845)='Main Budget'!$J$27,'Main Budget'!$E$27,0)</f>
        <v>0</v>
      </c>
      <c r="O845" s="228">
        <f>B845+(SUM(H845:M845)+(SUM(D845:E845)))</f>
        <v>100</v>
      </c>
      <c r="P845" s="228">
        <f>C845+F845+G845+N845</f>
        <v>100</v>
      </c>
      <c r="Q845" s="252">
        <f>O845+P845</f>
        <v>200</v>
      </c>
      <c r="S845" s="231" t="str">
        <f>TEXT(A845,"dddd")</f>
        <v>Sunday</v>
      </c>
    </row>
    <row r="846" spans="1:19" x14ac:dyDescent="0.25">
      <c r="A846" s="226">
        <v>46867</v>
      </c>
      <c r="B846" s="227">
        <f>O845</f>
        <v>100</v>
      </c>
      <c r="C846" s="228">
        <f>P845</f>
        <v>100</v>
      </c>
      <c r="D846" s="228">
        <f>IF(OR(DAY(A846+2)=1,DAY(A846+2)=15),-SUM('Main Budget'!$H$26:$H$31),0)</f>
        <v>0</v>
      </c>
      <c r="E846" s="228">
        <f>IF(DAY(A846+2)=22,-SUM('Main Budget'!$F$26:$F$31),0)</f>
        <v>0</v>
      </c>
      <c r="F846" s="228">
        <f>IF(D846&gt;0,-'Main Budget'!$H$25+0.15,0)</f>
        <v>0</v>
      </c>
      <c r="G846" s="228">
        <f>IF(E846&gt;0,-'Main Budget'!$F$25+0.81,0)</f>
        <v>0</v>
      </c>
      <c r="H846" s="227">
        <f>IF(DAY(A846)='Main Budget'!$J$26,'Main Budget'!$E$26,0)</f>
        <v>0</v>
      </c>
      <c r="I846" s="227">
        <f>IF(DAY(A846)='Main Budget'!$J$28,'Main Budget'!$E$28,0)</f>
        <v>0</v>
      </c>
      <c r="J846" s="227">
        <f>IF(DAY(A846)='Main Budget'!$J$29,'Main Budget'!$E$29,0)</f>
        <v>0</v>
      </c>
      <c r="K846" s="20">
        <f>IF(DAY(A846)='Main Budget'!$J$30,'Main Budget'!$E$30,0)</f>
        <v>0</v>
      </c>
      <c r="L846" s="20">
        <f>IF(DAY(A846)='Main Budget'!$J$31,'Main Budget'!$E$31,0)</f>
        <v>0</v>
      </c>
      <c r="M846" s="20">
        <f>IF(DAY(A846)='Main Budget'!$J$27,'Main Budget'!$E$27,0)</f>
        <v>0</v>
      </c>
      <c r="O846" s="228">
        <f>B846+(SUM(H846:M846)+(SUM(D846:E846)))</f>
        <v>100</v>
      </c>
      <c r="P846" s="228">
        <f>C846+F846+G846+N846</f>
        <v>100</v>
      </c>
      <c r="Q846" s="252">
        <f>O846+P846</f>
        <v>200</v>
      </c>
      <c r="S846" s="231" t="str">
        <f>TEXT(A846,"dddd")</f>
        <v>Monday</v>
      </c>
    </row>
    <row r="847" spans="1:19" x14ac:dyDescent="0.25">
      <c r="A847" s="226">
        <v>46868</v>
      </c>
      <c r="B847" s="227">
        <f>O846</f>
        <v>100</v>
      </c>
      <c r="C847" s="228">
        <f>P846</f>
        <v>100</v>
      </c>
      <c r="D847" s="228">
        <f>IF(OR(DAY(A847+2)=1,DAY(A847+2)=15),-SUM('Main Budget'!$H$26:$H$31),0)</f>
        <v>0</v>
      </c>
      <c r="E847" s="228">
        <f>IF(DAY(A847+2)=22,-SUM('Main Budget'!$F$26:$F$31),0)</f>
        <v>0</v>
      </c>
      <c r="F847" s="228">
        <f>IF(D847&gt;0,-'Main Budget'!$H$25+0.15,0)</f>
        <v>0</v>
      </c>
      <c r="G847" s="228">
        <f>IF(E847&gt;0,-'Main Budget'!$F$25+0.81,0)</f>
        <v>0</v>
      </c>
      <c r="H847" s="227">
        <f>IF(DAY(A847)='Main Budget'!$J$26,'Main Budget'!$E$26,0)</f>
        <v>0</v>
      </c>
      <c r="I847" s="227">
        <f>IF(DAY(A847)='Main Budget'!$J$28,'Main Budget'!$E$28,0)</f>
        <v>0</v>
      </c>
      <c r="J847" s="227">
        <f>IF(DAY(A847)='Main Budget'!$J$29,'Main Budget'!$E$29,0)</f>
        <v>0</v>
      </c>
      <c r="K847" s="20">
        <f>IF(DAY(A847)='Main Budget'!$J$30,'Main Budget'!$E$30,0)</f>
        <v>0</v>
      </c>
      <c r="L847" s="20">
        <f>IF(DAY(A847)='Main Budget'!$J$31,'Main Budget'!$E$31,0)</f>
        <v>0</v>
      </c>
      <c r="M847" s="20">
        <f>IF(DAY(A847)='Main Budget'!$J$27,'Main Budget'!$E$27,0)</f>
        <v>0</v>
      </c>
      <c r="O847" s="228">
        <f>B847+(SUM(H847:M847)+(SUM(D847:E847)))</f>
        <v>100</v>
      </c>
      <c r="P847" s="228">
        <f>C847+F847+G847+N847</f>
        <v>100</v>
      </c>
      <c r="Q847" s="252">
        <f>O847+P847</f>
        <v>200</v>
      </c>
      <c r="S847" s="231" t="str">
        <f>TEXT(A847,"dddd")</f>
        <v>Tuesday</v>
      </c>
    </row>
    <row r="848" spans="1:19" x14ac:dyDescent="0.25">
      <c r="A848" s="226">
        <v>46869</v>
      </c>
      <c r="B848" s="227">
        <f>O847</f>
        <v>100</v>
      </c>
      <c r="C848" s="228">
        <f>P847</f>
        <v>100</v>
      </c>
      <c r="D848" s="228">
        <f>IF(OR(DAY(A848+2)=1,DAY(A848+2)=15),-SUM('Main Budget'!$H$26:$H$31),0)</f>
        <v>0</v>
      </c>
      <c r="E848" s="228">
        <f>IF(DAY(A848+2)=22,-SUM('Main Budget'!$F$26:$F$31),0)</f>
        <v>0</v>
      </c>
      <c r="F848" s="228">
        <f>IF(D848&gt;0,-'Main Budget'!$H$25+0.15,0)</f>
        <v>0</v>
      </c>
      <c r="G848" s="228">
        <f>IF(E848&gt;0,-'Main Budget'!$F$25+0.81,0)</f>
        <v>0</v>
      </c>
      <c r="H848" s="227">
        <f>IF(DAY(A848)='Main Budget'!$J$26,'Main Budget'!$E$26,0)</f>
        <v>0</v>
      </c>
      <c r="I848" s="227">
        <f>IF(DAY(A848)='Main Budget'!$J$28,'Main Budget'!$E$28,0)</f>
        <v>0</v>
      </c>
      <c r="J848" s="227">
        <f>IF(DAY(A848)='Main Budget'!$J$29,'Main Budget'!$E$29,0)</f>
        <v>0</v>
      </c>
      <c r="K848" s="20">
        <f>IF(DAY(A848)='Main Budget'!$J$30,'Main Budget'!$E$30,0)</f>
        <v>0</v>
      </c>
      <c r="L848" s="20">
        <f>IF(DAY(A848)='Main Budget'!$J$31,'Main Budget'!$E$31,0)</f>
        <v>0</v>
      </c>
      <c r="M848" s="20">
        <f>IF(DAY(A848)='Main Budget'!$J$27,'Main Budget'!$E$27,0)</f>
        <v>0</v>
      </c>
      <c r="O848" s="228">
        <f>B848+(SUM(H848:M848)+(SUM(D848:E848)))</f>
        <v>100</v>
      </c>
      <c r="P848" s="228">
        <f>C848+F848+G848+N848</f>
        <v>100</v>
      </c>
      <c r="Q848" s="252">
        <f>O848+P848</f>
        <v>200</v>
      </c>
      <c r="S848" s="231" t="str">
        <f>TEXT(A848,"dddd")</f>
        <v>Wednesday</v>
      </c>
    </row>
    <row r="849" spans="1:19" x14ac:dyDescent="0.25">
      <c r="A849" s="226">
        <v>46870</v>
      </c>
      <c r="B849" s="227">
        <f>O848</f>
        <v>100</v>
      </c>
      <c r="C849" s="228">
        <f>P848</f>
        <v>100</v>
      </c>
      <c r="D849" s="228">
        <f>IF(OR(DAY(A849+2)=1,DAY(A849+2)=15),-SUM('Main Budget'!$H$26:$H$31),0)</f>
        <v>0</v>
      </c>
      <c r="E849" s="228">
        <f>IF(DAY(A849+2)=22,-SUM('Main Budget'!$F$26:$F$31),0)</f>
        <v>0</v>
      </c>
      <c r="F849" s="228">
        <f>IF(D849&gt;0,-'Main Budget'!$H$25+0.15,0)</f>
        <v>0</v>
      </c>
      <c r="G849" s="228">
        <f>IF(E849&gt;0,-'Main Budget'!$F$25+0.81,0)</f>
        <v>0</v>
      </c>
      <c r="H849" s="227">
        <f>IF(DAY(A849)='Main Budget'!$J$26,'Main Budget'!$E$26,0)</f>
        <v>0</v>
      </c>
      <c r="I849" s="227">
        <f>IF(DAY(A849)='Main Budget'!$J$28,'Main Budget'!$E$28,0)</f>
        <v>0</v>
      </c>
      <c r="J849" s="227">
        <f>IF(DAY(A849)='Main Budget'!$J$29,'Main Budget'!$E$29,0)</f>
        <v>0</v>
      </c>
      <c r="K849" s="20">
        <f>IF(DAY(A849)='Main Budget'!$J$30,'Main Budget'!$E$30,0)</f>
        <v>0</v>
      </c>
      <c r="L849" s="20">
        <f>IF(DAY(A849)='Main Budget'!$J$31,'Main Budget'!$E$31,0)</f>
        <v>0</v>
      </c>
      <c r="M849" s="20">
        <f>IF(DAY(A849)='Main Budget'!$J$27,'Main Budget'!$E$27,0)</f>
        <v>0</v>
      </c>
      <c r="O849" s="228">
        <f>B849+(SUM(H849:M849)+(SUM(D849:E849)))</f>
        <v>100</v>
      </c>
      <c r="P849" s="228">
        <f>C849+F849+G849+N849</f>
        <v>100</v>
      </c>
      <c r="Q849" s="252">
        <f>O849+P849</f>
        <v>200</v>
      </c>
      <c r="S849" s="231" t="str">
        <f>TEXT(A849,"dddd")</f>
        <v>Thursday</v>
      </c>
    </row>
    <row r="850" spans="1:19" x14ac:dyDescent="0.25">
      <c r="A850" s="226">
        <v>46871</v>
      </c>
      <c r="B850" s="227">
        <f>O849</f>
        <v>100</v>
      </c>
      <c r="C850" s="228">
        <f>P849</f>
        <v>100</v>
      </c>
      <c r="D850" s="228">
        <f>IF(OR(DAY(A850+2)=1,DAY(A850+2)=15),-SUM('Main Budget'!$H$26:$H$31),0)</f>
        <v>0</v>
      </c>
      <c r="E850" s="228">
        <f>IF(DAY(A850+2)=22,-SUM('Main Budget'!$F$26:$F$31),0)</f>
        <v>0</v>
      </c>
      <c r="F850" s="228">
        <f>IF(D850&gt;0,-'Main Budget'!$H$25+0.15,0)</f>
        <v>0</v>
      </c>
      <c r="G850" s="228">
        <f>IF(E850&gt;0,-'Main Budget'!$F$25+0.81,0)</f>
        <v>0</v>
      </c>
      <c r="H850" s="227">
        <f>IF(DAY(A850)='Main Budget'!$J$26,'Main Budget'!$E$26,0)</f>
        <v>0</v>
      </c>
      <c r="I850" s="227">
        <f>IF(DAY(A850)='Main Budget'!$J$28,'Main Budget'!$E$28,0)</f>
        <v>0</v>
      </c>
      <c r="J850" s="227">
        <f>IF(DAY(A850)='Main Budget'!$J$29,'Main Budget'!$E$29,0)</f>
        <v>0</v>
      </c>
      <c r="K850" s="20">
        <f>IF(DAY(A850)='Main Budget'!$J$30,'Main Budget'!$E$30,0)</f>
        <v>0</v>
      </c>
      <c r="L850" s="20">
        <f>IF(DAY(A850)='Main Budget'!$J$31,'Main Budget'!$E$31,0)</f>
        <v>0</v>
      </c>
      <c r="M850" s="20">
        <f>IF(DAY(A850)='Main Budget'!$J$27,'Main Budget'!$E$27,0)</f>
        <v>0</v>
      </c>
      <c r="O850" s="228">
        <f>B850+(SUM(H850:M850)+(SUM(D850:E850)))</f>
        <v>100</v>
      </c>
      <c r="P850" s="228">
        <f>C850+F850+G850+N850</f>
        <v>100</v>
      </c>
      <c r="Q850" s="252">
        <f>O850+P850</f>
        <v>200</v>
      </c>
      <c r="S850" s="231" t="str">
        <f>TEXT(A850,"dddd")</f>
        <v>Friday</v>
      </c>
    </row>
    <row r="851" spans="1:19" x14ac:dyDescent="0.25">
      <c r="A851" s="226">
        <v>46872</v>
      </c>
      <c r="B851" s="227">
        <f>O850</f>
        <v>100</v>
      </c>
      <c r="C851" s="228">
        <f>P850</f>
        <v>100</v>
      </c>
      <c r="D851" s="228">
        <f>IF(OR(DAY(A851+2)=1,DAY(A851+2)=15),-SUM('Main Budget'!$H$26:$H$31),0)</f>
        <v>0</v>
      </c>
      <c r="E851" s="228">
        <f>IF(DAY(A851+2)=22,-SUM('Main Budget'!$F$26:$F$31),0)</f>
        <v>0</v>
      </c>
      <c r="F851" s="228">
        <f>IF(D851&gt;0,-'Main Budget'!$H$25+0.15,0)</f>
        <v>0</v>
      </c>
      <c r="G851" s="228">
        <f>IF(E851&gt;0,-'Main Budget'!$F$25+0.81,0)</f>
        <v>0</v>
      </c>
      <c r="H851" s="227">
        <f>IF(DAY(A851)='Main Budget'!$J$26,'Main Budget'!$E$26,0)</f>
        <v>0</v>
      </c>
      <c r="I851" s="227">
        <f>IF(DAY(A851)='Main Budget'!$J$28,'Main Budget'!$E$28,0)</f>
        <v>0</v>
      </c>
      <c r="J851" s="227">
        <f>IF(DAY(A851)='Main Budget'!$J$29,'Main Budget'!$E$29,0)</f>
        <v>0</v>
      </c>
      <c r="K851" s="20">
        <f>IF(DAY(A851)='Main Budget'!$J$30,'Main Budget'!$E$30,0)</f>
        <v>0</v>
      </c>
      <c r="L851" s="20">
        <f>IF(DAY(A851)='Main Budget'!$J$31,'Main Budget'!$E$31,0)</f>
        <v>0</v>
      </c>
      <c r="M851" s="20">
        <f>IF(DAY(A851)='Main Budget'!$J$27,'Main Budget'!$E$27,0)</f>
        <v>0</v>
      </c>
      <c r="O851" s="228">
        <f>B851+(SUM(H851:M851)+(SUM(D851:E851)))</f>
        <v>100</v>
      </c>
      <c r="P851" s="228">
        <f>C851+F851+G851+N851</f>
        <v>100</v>
      </c>
      <c r="Q851" s="252">
        <f>O851+P851</f>
        <v>200</v>
      </c>
      <c r="S851" s="231" t="str">
        <f>TEXT(A851,"dddd")</f>
        <v>Saturday</v>
      </c>
    </row>
    <row r="852" spans="1:19" x14ac:dyDescent="0.25">
      <c r="A852" s="226">
        <v>46873</v>
      </c>
      <c r="B852" s="227">
        <f>O851</f>
        <v>100</v>
      </c>
      <c r="C852" s="228">
        <f>P851</f>
        <v>100</v>
      </c>
      <c r="D852" s="228">
        <f>IF(OR(DAY(A852+2)=1,DAY(A852+2)=15),-SUM('Main Budget'!$H$26:$H$31),0)</f>
        <v>0</v>
      </c>
      <c r="E852" s="228">
        <f>IF(DAY(A852+2)=22,-SUM('Main Budget'!$F$26:$F$31),0)</f>
        <v>0</v>
      </c>
      <c r="F852" s="228">
        <f>IF(D852&gt;0,-'Main Budget'!$H$25+0.15,0)</f>
        <v>0</v>
      </c>
      <c r="G852" s="228">
        <f>IF(E852&gt;0,-'Main Budget'!$F$25+0.81,0)</f>
        <v>0</v>
      </c>
      <c r="H852" s="227">
        <f>IF(DAY(A852)='Main Budget'!$J$26,'Main Budget'!$E$26,0)</f>
        <v>0</v>
      </c>
      <c r="I852" s="227">
        <f>IF(DAY(A852)='Main Budget'!$J$28,'Main Budget'!$E$28,0)</f>
        <v>0</v>
      </c>
      <c r="J852" s="227">
        <f>IF(DAY(A852)='Main Budget'!$J$29,'Main Budget'!$E$29,0)</f>
        <v>0</v>
      </c>
      <c r="K852" s="20">
        <f>IF(DAY(A852)='Main Budget'!$J$30,'Main Budget'!$E$30,0)</f>
        <v>0</v>
      </c>
      <c r="L852" s="20">
        <f>IF(DAY(A852)='Main Budget'!$J$31,'Main Budget'!$E$31,0)</f>
        <v>0</v>
      </c>
      <c r="M852" s="20">
        <f>IF(DAY(A852)='Main Budget'!$J$27,'Main Budget'!$E$27,0)</f>
        <v>0</v>
      </c>
      <c r="O852" s="228">
        <f>B852+(SUM(H852:M852)+(SUM(D852:E852)))</f>
        <v>100</v>
      </c>
      <c r="P852" s="228">
        <f>C852+F852+G852+N852</f>
        <v>100</v>
      </c>
      <c r="Q852" s="252">
        <f>O852+P852</f>
        <v>200</v>
      </c>
      <c r="S852" s="231" t="str">
        <f>TEXT(A852,"dddd")</f>
        <v>Sunday</v>
      </c>
    </row>
    <row r="853" spans="1:19" x14ac:dyDescent="0.25">
      <c r="A853" s="226">
        <v>46874</v>
      </c>
      <c r="B853" s="227">
        <f>O852</f>
        <v>100</v>
      </c>
      <c r="C853" s="228">
        <f>P852</f>
        <v>100</v>
      </c>
      <c r="D853" s="228">
        <f>IF(OR(DAY(A853+2)=1,DAY(A853+2)=15),-SUM('Main Budget'!$H$26:$H$31),0)</f>
        <v>0</v>
      </c>
      <c r="E853" s="228">
        <f>IF(DAY(A853+2)=22,-SUM('Main Budget'!$F$26:$F$31),0)</f>
        <v>0</v>
      </c>
      <c r="F853" s="228">
        <f>IF(D853&gt;0,-'Main Budget'!$H$25+0.15,0)</f>
        <v>0</v>
      </c>
      <c r="G853" s="228">
        <f>IF(E853&gt;0,-'Main Budget'!$F$25+0.81,0)</f>
        <v>0</v>
      </c>
      <c r="H853" s="227">
        <f>IF(DAY(A853)='Main Budget'!$J$26,'Main Budget'!$E$26,0)</f>
        <v>0</v>
      </c>
      <c r="I853" s="227">
        <f>IF(DAY(A853)='Main Budget'!$J$28,'Main Budget'!$E$28,0)</f>
        <v>0</v>
      </c>
      <c r="J853" s="227">
        <f>IF(DAY(A853)='Main Budget'!$J$29,'Main Budget'!$E$29,0)</f>
        <v>0</v>
      </c>
      <c r="K853" s="20">
        <f>IF(DAY(A853)='Main Budget'!$J$30,'Main Budget'!$E$30,0)</f>
        <v>0</v>
      </c>
      <c r="L853" s="20">
        <f>IF(DAY(A853)='Main Budget'!$J$31,'Main Budget'!$E$31,0)</f>
        <v>0</v>
      </c>
      <c r="M853" s="20">
        <f>IF(DAY(A853)='Main Budget'!$J$27,'Main Budget'!$E$27,0)</f>
        <v>0</v>
      </c>
      <c r="O853" s="228">
        <f>B853+(SUM(H853:M853)+(SUM(D853:E853)))</f>
        <v>100</v>
      </c>
      <c r="P853" s="228">
        <f>C853+F853+G853+N853</f>
        <v>100</v>
      </c>
      <c r="Q853" s="252">
        <f>O853+P853</f>
        <v>200</v>
      </c>
      <c r="S853" s="231" t="str">
        <f>TEXT(A853,"dddd")</f>
        <v>Monday</v>
      </c>
    </row>
    <row r="854" spans="1:19" x14ac:dyDescent="0.25">
      <c r="A854" s="226">
        <v>46875</v>
      </c>
      <c r="B854" s="227">
        <f>O853</f>
        <v>100</v>
      </c>
      <c r="C854" s="228">
        <f>P853</f>
        <v>100</v>
      </c>
      <c r="D854" s="228">
        <f>IF(OR(DAY(A854+2)=1,DAY(A854+2)=15),-SUM('Main Budget'!$H$26:$H$31),0)</f>
        <v>0</v>
      </c>
      <c r="E854" s="228">
        <f>IF(DAY(A854+2)=22,-SUM('Main Budget'!$F$26:$F$31),0)</f>
        <v>0</v>
      </c>
      <c r="F854" s="228">
        <f>IF(D854&gt;0,-'Main Budget'!$H$25+0.15,0)</f>
        <v>0</v>
      </c>
      <c r="G854" s="228">
        <f>IF(E854&gt;0,-'Main Budget'!$F$25+0.81,0)</f>
        <v>0</v>
      </c>
      <c r="H854" s="227">
        <f>IF(DAY(A854)='Main Budget'!$J$26,'Main Budget'!$E$26,0)</f>
        <v>0</v>
      </c>
      <c r="I854" s="227">
        <f>IF(DAY(A854)='Main Budget'!$J$28,'Main Budget'!$E$28,0)</f>
        <v>0</v>
      </c>
      <c r="J854" s="227">
        <f>IF(DAY(A854)='Main Budget'!$J$29,'Main Budget'!$E$29,0)</f>
        <v>0</v>
      </c>
      <c r="K854" s="20">
        <f>IF(DAY(A854)='Main Budget'!$J$30,'Main Budget'!$E$30,0)</f>
        <v>0</v>
      </c>
      <c r="L854" s="20">
        <f>IF(DAY(A854)='Main Budget'!$J$31,'Main Budget'!$E$31,0)</f>
        <v>0</v>
      </c>
      <c r="M854" s="20">
        <f>IF(DAY(A854)='Main Budget'!$J$27,'Main Budget'!$E$27,0)</f>
        <v>0</v>
      </c>
      <c r="O854" s="228">
        <f>B854+(SUM(H854:M854)+(SUM(D854:E854)))</f>
        <v>100</v>
      </c>
      <c r="P854" s="228">
        <f>C854+F854+G854+N854</f>
        <v>100</v>
      </c>
      <c r="Q854" s="252">
        <f>O854+P854</f>
        <v>200</v>
      </c>
      <c r="S854" s="231" t="str">
        <f>TEXT(A854,"dddd")</f>
        <v>Tuesday</v>
      </c>
    </row>
    <row r="855" spans="1:19" x14ac:dyDescent="0.25">
      <c r="A855" s="226">
        <v>46876</v>
      </c>
      <c r="B855" s="227">
        <f>O854</f>
        <v>100</v>
      </c>
      <c r="C855" s="228">
        <f>P854</f>
        <v>100</v>
      </c>
      <c r="D855" s="228">
        <f>IF(OR(DAY(A855+2)=1,DAY(A855+2)=15),-SUM('Main Budget'!$H$26:$H$31),0)</f>
        <v>0</v>
      </c>
      <c r="E855" s="228">
        <f>IF(DAY(A855+2)=22,-SUM('Main Budget'!$F$26:$F$31),0)</f>
        <v>0</v>
      </c>
      <c r="F855" s="228">
        <f>IF(D855&gt;0,-'Main Budget'!$H$25+0.15,0)</f>
        <v>0</v>
      </c>
      <c r="G855" s="228">
        <f>IF(E855&gt;0,-'Main Budget'!$F$25+0.81,0)</f>
        <v>0</v>
      </c>
      <c r="H855" s="227">
        <f>IF(DAY(A855)='Main Budget'!$J$26,'Main Budget'!$E$26,0)</f>
        <v>0</v>
      </c>
      <c r="I855" s="227">
        <f>IF(DAY(A855)='Main Budget'!$J$28,'Main Budget'!$E$28,0)</f>
        <v>0</v>
      </c>
      <c r="J855" s="227">
        <f>IF(DAY(A855)='Main Budget'!$J$29,'Main Budget'!$E$29,0)</f>
        <v>0</v>
      </c>
      <c r="K855" s="20">
        <f>IF(DAY(A855)='Main Budget'!$J$30,'Main Budget'!$E$30,0)</f>
        <v>0</v>
      </c>
      <c r="L855" s="20">
        <f>IF(DAY(A855)='Main Budget'!$J$31,'Main Budget'!$E$31,0)</f>
        <v>0</v>
      </c>
      <c r="M855" s="20">
        <f>IF(DAY(A855)='Main Budget'!$J$27,'Main Budget'!$E$27,0)</f>
        <v>0</v>
      </c>
      <c r="O855" s="228">
        <f>B855+(SUM(H855:M855)+(SUM(D855:E855)))</f>
        <v>100</v>
      </c>
      <c r="P855" s="228">
        <f>C855+F855+G855+N855</f>
        <v>100</v>
      </c>
      <c r="Q855" s="252">
        <f>O855+P855</f>
        <v>200</v>
      </c>
      <c r="S855" s="231" t="str">
        <f>TEXT(A855,"dddd")</f>
        <v>Wednesday</v>
      </c>
    </row>
    <row r="856" spans="1:19" x14ac:dyDescent="0.25">
      <c r="A856" s="226">
        <v>46877</v>
      </c>
      <c r="B856" s="227">
        <f>O855</f>
        <v>100</v>
      </c>
      <c r="C856" s="228">
        <f>P855</f>
        <v>100</v>
      </c>
      <c r="D856" s="228">
        <f>IF(OR(DAY(A856+2)=1,DAY(A856+2)=15),-SUM('Main Budget'!$H$26:$H$31),0)</f>
        <v>0</v>
      </c>
      <c r="E856" s="228">
        <f>IF(DAY(A856+2)=22,-SUM('Main Budget'!$F$26:$F$31),0)</f>
        <v>0</v>
      </c>
      <c r="F856" s="228">
        <f>IF(D856&gt;0,-'Main Budget'!$H$25+0.15,0)</f>
        <v>0</v>
      </c>
      <c r="G856" s="228">
        <f>IF(E856&gt;0,-'Main Budget'!$F$25+0.81,0)</f>
        <v>0</v>
      </c>
      <c r="H856" s="227">
        <f>IF(DAY(A856)='Main Budget'!$J$26,'Main Budget'!$E$26,0)</f>
        <v>0</v>
      </c>
      <c r="I856" s="227">
        <f>IF(DAY(A856)='Main Budget'!$J$28,'Main Budget'!$E$28,0)</f>
        <v>0</v>
      </c>
      <c r="J856" s="227">
        <f>IF(DAY(A856)='Main Budget'!$J$29,'Main Budget'!$E$29,0)</f>
        <v>0</v>
      </c>
      <c r="K856" s="20">
        <f>IF(DAY(A856)='Main Budget'!$J$30,'Main Budget'!$E$30,0)</f>
        <v>0</v>
      </c>
      <c r="L856" s="20">
        <f>IF(DAY(A856)='Main Budget'!$J$31,'Main Budget'!$E$31,0)</f>
        <v>0</v>
      </c>
      <c r="M856" s="20">
        <f>IF(DAY(A856)='Main Budget'!$J$27,'Main Budget'!$E$27,0)</f>
        <v>0</v>
      </c>
      <c r="O856" s="228">
        <f>B856+(SUM(H856:M856)+(SUM(D856:E856)))</f>
        <v>100</v>
      </c>
      <c r="P856" s="228">
        <f>C856+F856+G856+N856</f>
        <v>100</v>
      </c>
      <c r="Q856" s="252">
        <f>O856+P856</f>
        <v>200</v>
      </c>
      <c r="S856" s="231" t="str">
        <f>TEXT(A856,"dddd")</f>
        <v>Thursday</v>
      </c>
    </row>
    <row r="857" spans="1:19" x14ac:dyDescent="0.25">
      <c r="A857" s="226">
        <v>46878</v>
      </c>
      <c r="B857" s="227">
        <f>O856</f>
        <v>100</v>
      </c>
      <c r="C857" s="228">
        <f>P856</f>
        <v>100</v>
      </c>
      <c r="D857" s="228">
        <f>IF(OR(DAY(A857+2)=1,DAY(A857+2)=15),-SUM('Main Budget'!$H$26:$H$31),0)</f>
        <v>0</v>
      </c>
      <c r="E857" s="228">
        <f>IF(DAY(A857+2)=22,-SUM('Main Budget'!$F$26:$F$31),0)</f>
        <v>0</v>
      </c>
      <c r="F857" s="228">
        <f>IF(D857&gt;0,-'Main Budget'!$H$25+0.15,0)</f>
        <v>0</v>
      </c>
      <c r="G857" s="228">
        <f>IF(E857&gt;0,-'Main Budget'!$F$25+0.81,0)</f>
        <v>0</v>
      </c>
      <c r="H857" s="227">
        <f>IF(DAY(A857)='Main Budget'!$J$26,'Main Budget'!$E$26,0)</f>
        <v>0</v>
      </c>
      <c r="I857" s="227">
        <f>IF(DAY(A857)='Main Budget'!$J$28,'Main Budget'!$E$28,0)</f>
        <v>0</v>
      </c>
      <c r="J857" s="227">
        <f>IF(DAY(A857)='Main Budget'!$J$29,'Main Budget'!$E$29,0)</f>
        <v>0</v>
      </c>
      <c r="K857" s="20">
        <f>IF(DAY(A857)='Main Budget'!$J$30,'Main Budget'!$E$30,0)</f>
        <v>0</v>
      </c>
      <c r="L857" s="20">
        <f>IF(DAY(A857)='Main Budget'!$J$31,'Main Budget'!$E$31,0)</f>
        <v>0</v>
      </c>
      <c r="M857" s="20">
        <f>IF(DAY(A857)='Main Budget'!$J$27,'Main Budget'!$E$27,0)</f>
        <v>0</v>
      </c>
      <c r="O857" s="228">
        <f>B857+(SUM(H857:M857)+(SUM(D857:E857)))</f>
        <v>100</v>
      </c>
      <c r="P857" s="228">
        <f>C857+F857+G857+N857</f>
        <v>100</v>
      </c>
      <c r="Q857" s="252">
        <f>O857+P857</f>
        <v>200</v>
      </c>
      <c r="S857" s="231" t="str">
        <f>TEXT(A857,"dddd")</f>
        <v>Friday</v>
      </c>
    </row>
    <row r="858" spans="1:19" x14ac:dyDescent="0.25">
      <c r="A858" s="226">
        <v>46879</v>
      </c>
      <c r="B858" s="227">
        <f>O857</f>
        <v>100</v>
      </c>
      <c r="C858" s="228">
        <f>P857</f>
        <v>100</v>
      </c>
      <c r="D858" s="228">
        <f>IF(OR(DAY(A858+2)=1,DAY(A858+2)=15),-SUM('Main Budget'!$H$26:$H$31),0)</f>
        <v>0</v>
      </c>
      <c r="E858" s="228">
        <f>IF(DAY(A858+2)=22,-SUM('Main Budget'!$F$26:$F$31),0)</f>
        <v>0</v>
      </c>
      <c r="F858" s="228">
        <f>IF(D858&gt;0,-'Main Budget'!$H$25+0.15,0)</f>
        <v>0</v>
      </c>
      <c r="G858" s="228">
        <f>IF(E858&gt;0,-'Main Budget'!$F$25+0.81,0)</f>
        <v>0</v>
      </c>
      <c r="H858" s="227">
        <f>IF(DAY(A858)='Main Budget'!$J$26,'Main Budget'!$E$26,0)</f>
        <v>0</v>
      </c>
      <c r="I858" s="227">
        <f>IF(DAY(A858)='Main Budget'!$J$28,'Main Budget'!$E$28,0)</f>
        <v>0</v>
      </c>
      <c r="J858" s="227">
        <f>IF(DAY(A858)='Main Budget'!$J$29,'Main Budget'!$E$29,0)</f>
        <v>0</v>
      </c>
      <c r="K858" s="20">
        <f>IF(DAY(A858)='Main Budget'!$J$30,'Main Budget'!$E$30,0)</f>
        <v>0</v>
      </c>
      <c r="L858" s="20">
        <f>IF(DAY(A858)='Main Budget'!$J$31,'Main Budget'!$E$31,0)</f>
        <v>0</v>
      </c>
      <c r="M858" s="20">
        <f>IF(DAY(A858)='Main Budget'!$J$27,'Main Budget'!$E$27,0)</f>
        <v>0</v>
      </c>
      <c r="O858" s="228">
        <f>B858+(SUM(H858:M858)+(SUM(D858:E858)))</f>
        <v>100</v>
      </c>
      <c r="P858" s="228">
        <f>C858+F858+G858+N858</f>
        <v>100</v>
      </c>
      <c r="Q858" s="252">
        <f>O858+P858</f>
        <v>200</v>
      </c>
      <c r="S858" s="231" t="str">
        <f>TEXT(A858,"dddd")</f>
        <v>Saturday</v>
      </c>
    </row>
    <row r="859" spans="1:19" x14ac:dyDescent="0.25">
      <c r="A859" s="226">
        <v>46880</v>
      </c>
      <c r="B859" s="227">
        <f>O858</f>
        <v>100</v>
      </c>
      <c r="C859" s="228">
        <f>P858</f>
        <v>100</v>
      </c>
      <c r="D859" s="228">
        <f>IF(OR(DAY(A859+2)=1,DAY(A859+2)=15),-SUM('Main Budget'!$H$26:$H$31),0)</f>
        <v>0</v>
      </c>
      <c r="E859" s="228">
        <f>IF(DAY(A859+2)=22,-SUM('Main Budget'!$F$26:$F$31),0)</f>
        <v>0</v>
      </c>
      <c r="F859" s="228">
        <f>IF(D859&gt;0,-'Main Budget'!$H$25+0.15,0)</f>
        <v>0</v>
      </c>
      <c r="G859" s="228">
        <f>IF(E859&gt;0,-'Main Budget'!$F$25+0.81,0)</f>
        <v>0</v>
      </c>
      <c r="H859" s="227">
        <f>IF(DAY(A859)='Main Budget'!$J$26,'Main Budget'!$E$26,0)</f>
        <v>0</v>
      </c>
      <c r="I859" s="227">
        <f>IF(DAY(A859)='Main Budget'!$J$28,'Main Budget'!$E$28,0)</f>
        <v>0</v>
      </c>
      <c r="J859" s="227">
        <f>IF(DAY(A859)='Main Budget'!$J$29,'Main Budget'!$E$29,0)</f>
        <v>0</v>
      </c>
      <c r="K859" s="20">
        <f>IF(DAY(A859)='Main Budget'!$J$30,'Main Budget'!$E$30,0)</f>
        <v>0</v>
      </c>
      <c r="L859" s="20">
        <f>IF(DAY(A859)='Main Budget'!$J$31,'Main Budget'!$E$31,0)</f>
        <v>0</v>
      </c>
      <c r="M859" s="20">
        <f>IF(DAY(A859)='Main Budget'!$J$27,'Main Budget'!$E$27,0)</f>
        <v>0</v>
      </c>
      <c r="O859" s="228">
        <f>B859+(SUM(H859:M859)+(SUM(D859:E859)))</f>
        <v>100</v>
      </c>
      <c r="P859" s="228">
        <f>C859+F859+G859+N859</f>
        <v>100</v>
      </c>
      <c r="Q859" s="252">
        <f>O859+P859</f>
        <v>200</v>
      </c>
      <c r="S859" s="231" t="str">
        <f>TEXT(A859,"dddd")</f>
        <v>Sunday</v>
      </c>
    </row>
    <row r="860" spans="1:19" x14ac:dyDescent="0.25">
      <c r="A860" s="226">
        <v>46881</v>
      </c>
      <c r="B860" s="227">
        <f>O859</f>
        <v>100</v>
      </c>
      <c r="C860" s="228">
        <f>P859</f>
        <v>100</v>
      </c>
      <c r="D860" s="228">
        <f>IF(OR(DAY(A860+2)=1,DAY(A860+2)=15),-SUM('Main Budget'!$H$26:$H$31),0)</f>
        <v>0</v>
      </c>
      <c r="E860" s="228">
        <f>IF(DAY(A860+2)=22,-SUM('Main Budget'!$F$26:$F$31),0)</f>
        <v>0</v>
      </c>
      <c r="F860" s="228">
        <f>IF(D860&gt;0,-'Main Budget'!$H$25+0.15,0)</f>
        <v>0</v>
      </c>
      <c r="G860" s="228">
        <f>IF(E860&gt;0,-'Main Budget'!$F$25+0.81,0)</f>
        <v>0</v>
      </c>
      <c r="H860" s="227">
        <f>IF(DAY(A860)='Main Budget'!$J$26,'Main Budget'!$E$26,0)</f>
        <v>0</v>
      </c>
      <c r="I860" s="227">
        <f>IF(DAY(A860)='Main Budget'!$J$28,'Main Budget'!$E$28,0)</f>
        <v>0</v>
      </c>
      <c r="J860" s="227">
        <f>IF(DAY(A860)='Main Budget'!$J$29,'Main Budget'!$E$29,0)</f>
        <v>0</v>
      </c>
      <c r="K860" s="20">
        <f>IF(DAY(A860)='Main Budget'!$J$30,'Main Budget'!$E$30,0)</f>
        <v>0</v>
      </c>
      <c r="L860" s="20">
        <f>IF(DAY(A860)='Main Budget'!$J$31,'Main Budget'!$E$31,0)</f>
        <v>0</v>
      </c>
      <c r="M860" s="20">
        <f>IF(DAY(A860)='Main Budget'!$J$27,'Main Budget'!$E$27,0)</f>
        <v>0</v>
      </c>
      <c r="O860" s="228">
        <f>B860+(SUM(H860:M860)+(SUM(D860:E860)))</f>
        <v>100</v>
      </c>
      <c r="P860" s="228">
        <f>C860+F860+G860+N860</f>
        <v>100</v>
      </c>
      <c r="Q860" s="252">
        <f>O860+P860</f>
        <v>200</v>
      </c>
      <c r="S860" s="231" t="str">
        <f>TEXT(A860,"dddd")</f>
        <v>Monday</v>
      </c>
    </row>
    <row r="861" spans="1:19" x14ac:dyDescent="0.25">
      <c r="A861" s="226">
        <v>46882</v>
      </c>
      <c r="B861" s="227">
        <f>O860</f>
        <v>100</v>
      </c>
      <c r="C861" s="228">
        <f>P860</f>
        <v>100</v>
      </c>
      <c r="D861" s="228">
        <f>IF(OR(DAY(A861+2)=1,DAY(A861+2)=15),-SUM('Main Budget'!$H$26:$H$31),0)</f>
        <v>0</v>
      </c>
      <c r="E861" s="228">
        <f>IF(DAY(A861+2)=22,-SUM('Main Budget'!$F$26:$F$31),0)</f>
        <v>0</v>
      </c>
      <c r="F861" s="228">
        <f>IF(D861&gt;0,-'Main Budget'!$H$25+0.15,0)</f>
        <v>0</v>
      </c>
      <c r="G861" s="228">
        <f>IF(E861&gt;0,-'Main Budget'!$F$25+0.81,0)</f>
        <v>0</v>
      </c>
      <c r="H861" s="227">
        <f>IF(DAY(A861)='Main Budget'!$J$26,'Main Budget'!$E$26,0)</f>
        <v>0</v>
      </c>
      <c r="I861" s="227">
        <f>IF(DAY(A861)='Main Budget'!$J$28,'Main Budget'!$E$28,0)</f>
        <v>0</v>
      </c>
      <c r="J861" s="227">
        <f>IF(DAY(A861)='Main Budget'!$J$29,'Main Budget'!$E$29,0)</f>
        <v>0</v>
      </c>
      <c r="K861" s="20">
        <f>IF(DAY(A861)='Main Budget'!$J$30,'Main Budget'!$E$30,0)</f>
        <v>0</v>
      </c>
      <c r="L861" s="20">
        <f>IF(DAY(A861)='Main Budget'!$J$31,'Main Budget'!$E$31,0)</f>
        <v>0</v>
      </c>
      <c r="M861" s="20">
        <f>IF(DAY(A861)='Main Budget'!$J$27,'Main Budget'!$E$27,0)</f>
        <v>0</v>
      </c>
      <c r="O861" s="228">
        <f>B861+(SUM(H861:M861)+(SUM(D861:E861)))</f>
        <v>100</v>
      </c>
      <c r="P861" s="228">
        <f>C861+F861+G861+N861</f>
        <v>100</v>
      </c>
      <c r="Q861" s="252">
        <f>O861+P861</f>
        <v>200</v>
      </c>
      <c r="S861" s="231" t="str">
        <f>TEXT(A861,"dddd")</f>
        <v>Tuesday</v>
      </c>
    </row>
    <row r="862" spans="1:19" x14ac:dyDescent="0.25">
      <c r="A862" s="226">
        <v>46883</v>
      </c>
      <c r="B862" s="227">
        <f>O861</f>
        <v>100</v>
      </c>
      <c r="C862" s="228">
        <f>P861</f>
        <v>100</v>
      </c>
      <c r="D862" s="228">
        <f>IF(OR(DAY(A862+2)=1,DAY(A862+2)=15),-SUM('Main Budget'!$H$26:$H$31),0)</f>
        <v>0</v>
      </c>
      <c r="E862" s="228">
        <f>IF(DAY(A862+2)=22,-SUM('Main Budget'!$F$26:$F$31),0)</f>
        <v>0</v>
      </c>
      <c r="F862" s="228">
        <f>IF(D862&gt;0,-'Main Budget'!$H$25+0.15,0)</f>
        <v>0</v>
      </c>
      <c r="G862" s="228">
        <f>IF(E862&gt;0,-'Main Budget'!$F$25+0.81,0)</f>
        <v>0</v>
      </c>
      <c r="H862" s="227">
        <f>IF(DAY(A862)='Main Budget'!$J$26,'Main Budget'!$E$26,0)</f>
        <v>0</v>
      </c>
      <c r="I862" s="227">
        <f>IF(DAY(A862)='Main Budget'!$J$28,'Main Budget'!$E$28,0)</f>
        <v>0</v>
      </c>
      <c r="J862" s="227">
        <f>IF(DAY(A862)='Main Budget'!$J$29,'Main Budget'!$E$29,0)</f>
        <v>0</v>
      </c>
      <c r="K862" s="20">
        <f>IF(DAY(A862)='Main Budget'!$J$30,'Main Budget'!$E$30,0)</f>
        <v>0</v>
      </c>
      <c r="L862" s="20">
        <f>IF(DAY(A862)='Main Budget'!$J$31,'Main Budget'!$E$31,0)</f>
        <v>0</v>
      </c>
      <c r="M862" s="20">
        <f>IF(DAY(A862)='Main Budget'!$J$27,'Main Budget'!$E$27,0)</f>
        <v>0</v>
      </c>
      <c r="O862" s="228">
        <f>B862+(SUM(H862:M862)+(SUM(D862:E862)))</f>
        <v>100</v>
      </c>
      <c r="P862" s="228">
        <f>C862+F862+G862+N862</f>
        <v>100</v>
      </c>
      <c r="Q862" s="252">
        <f>O862+P862</f>
        <v>200</v>
      </c>
      <c r="S862" s="231" t="str">
        <f>TEXT(A862,"dddd")</f>
        <v>Wednesday</v>
      </c>
    </row>
    <row r="863" spans="1:19" x14ac:dyDescent="0.25">
      <c r="A863" s="226">
        <v>46884</v>
      </c>
      <c r="B863" s="227">
        <f>O862</f>
        <v>100</v>
      </c>
      <c r="C863" s="228">
        <f>P862</f>
        <v>100</v>
      </c>
      <c r="D863" s="228">
        <f>IF(OR(DAY(A863+2)=1,DAY(A863+2)=15),-SUM('Main Budget'!$H$26:$H$31),0)</f>
        <v>0</v>
      </c>
      <c r="E863" s="228">
        <f>IF(DAY(A863+2)=22,-SUM('Main Budget'!$F$26:$F$31),0)</f>
        <v>0</v>
      </c>
      <c r="F863" s="228">
        <f>IF(D863&gt;0,-'Main Budget'!$H$25+0.15,0)</f>
        <v>0</v>
      </c>
      <c r="G863" s="228">
        <f>IF(E863&gt;0,-'Main Budget'!$F$25+0.81,0)</f>
        <v>0</v>
      </c>
      <c r="H863" s="227">
        <f>IF(DAY(A863)='Main Budget'!$J$26,'Main Budget'!$E$26,0)</f>
        <v>0</v>
      </c>
      <c r="I863" s="227">
        <f>IF(DAY(A863)='Main Budget'!$J$28,'Main Budget'!$E$28,0)</f>
        <v>0</v>
      </c>
      <c r="J863" s="227">
        <f>IF(DAY(A863)='Main Budget'!$J$29,'Main Budget'!$E$29,0)</f>
        <v>0</v>
      </c>
      <c r="K863" s="20">
        <f>IF(DAY(A863)='Main Budget'!$J$30,'Main Budget'!$E$30,0)</f>
        <v>0</v>
      </c>
      <c r="L863" s="20">
        <f>IF(DAY(A863)='Main Budget'!$J$31,'Main Budget'!$E$31,0)</f>
        <v>0</v>
      </c>
      <c r="M863" s="20">
        <f>IF(DAY(A863)='Main Budget'!$J$27,'Main Budget'!$E$27,0)</f>
        <v>0</v>
      </c>
      <c r="O863" s="228">
        <f>B863+(SUM(H863:M863)+(SUM(D863:E863)))</f>
        <v>100</v>
      </c>
      <c r="P863" s="228">
        <f>C863+F863+G863+N863</f>
        <v>100</v>
      </c>
      <c r="Q863" s="252">
        <f>O863+P863</f>
        <v>200</v>
      </c>
      <c r="S863" s="231" t="str">
        <f>TEXT(A863,"dddd")</f>
        <v>Thursday</v>
      </c>
    </row>
    <row r="864" spans="1:19" x14ac:dyDescent="0.25">
      <c r="A864" s="226">
        <v>46885</v>
      </c>
      <c r="B864" s="227">
        <f>O863</f>
        <v>100</v>
      </c>
      <c r="C864" s="228">
        <f>P863</f>
        <v>100</v>
      </c>
      <c r="D864" s="228">
        <f>IF(OR(DAY(A864+2)=1,DAY(A864+2)=15),-SUM('Main Budget'!$H$26:$H$31),0)</f>
        <v>0</v>
      </c>
      <c r="E864" s="228">
        <f>IF(DAY(A864+2)=22,-SUM('Main Budget'!$F$26:$F$31),0)</f>
        <v>0</v>
      </c>
      <c r="F864" s="228">
        <f>IF(D864&gt;0,-'Main Budget'!$H$25+0.15,0)</f>
        <v>0</v>
      </c>
      <c r="G864" s="228">
        <f>IF(E864&gt;0,-'Main Budget'!$F$25+0.81,0)</f>
        <v>0</v>
      </c>
      <c r="H864" s="227">
        <f>IF(DAY(A864)='Main Budget'!$J$26,'Main Budget'!$E$26,0)</f>
        <v>0</v>
      </c>
      <c r="I864" s="227">
        <f>IF(DAY(A864)='Main Budget'!$J$28,'Main Budget'!$E$28,0)</f>
        <v>0</v>
      </c>
      <c r="J864" s="227">
        <f>IF(DAY(A864)='Main Budget'!$J$29,'Main Budget'!$E$29,0)</f>
        <v>0</v>
      </c>
      <c r="K864" s="20">
        <f>IF(DAY(A864)='Main Budget'!$J$30,'Main Budget'!$E$30,0)</f>
        <v>0</v>
      </c>
      <c r="L864" s="20">
        <f>IF(DAY(A864)='Main Budget'!$J$31,'Main Budget'!$E$31,0)</f>
        <v>0</v>
      </c>
      <c r="M864" s="20">
        <f>IF(DAY(A864)='Main Budget'!$J$27,'Main Budget'!$E$27,0)</f>
        <v>0</v>
      </c>
      <c r="O864" s="228">
        <f>B864+(SUM(H864:M864)+(SUM(D864:E864)))</f>
        <v>100</v>
      </c>
      <c r="P864" s="228">
        <f>C864+F864+G864+N864</f>
        <v>100</v>
      </c>
      <c r="Q864" s="252">
        <f>O864+P864</f>
        <v>200</v>
      </c>
      <c r="S864" s="231" t="str">
        <f>TEXT(A864,"dddd")</f>
        <v>Friday</v>
      </c>
    </row>
    <row r="865" spans="1:19" x14ac:dyDescent="0.25">
      <c r="A865" s="226">
        <v>46886</v>
      </c>
      <c r="B865" s="227">
        <f>O864</f>
        <v>100</v>
      </c>
      <c r="C865" s="228">
        <f>P864</f>
        <v>100</v>
      </c>
      <c r="D865" s="228">
        <f>IF(OR(DAY(A865+2)=1,DAY(A865+2)=15),-SUM('Main Budget'!$H$26:$H$31),0)</f>
        <v>0</v>
      </c>
      <c r="E865" s="228">
        <f>IF(DAY(A865+2)=22,-SUM('Main Budget'!$F$26:$F$31),0)</f>
        <v>0</v>
      </c>
      <c r="F865" s="228">
        <f>IF(D865&gt;0,-'Main Budget'!$H$25+0.15,0)</f>
        <v>0</v>
      </c>
      <c r="G865" s="228">
        <f>IF(E865&gt;0,-'Main Budget'!$F$25+0.81,0)</f>
        <v>0</v>
      </c>
      <c r="H865" s="227">
        <f>IF(DAY(A865)='Main Budget'!$J$26,'Main Budget'!$E$26,0)</f>
        <v>0</v>
      </c>
      <c r="I865" s="227">
        <f>IF(DAY(A865)='Main Budget'!$J$28,'Main Budget'!$E$28,0)</f>
        <v>0</v>
      </c>
      <c r="J865" s="227">
        <f>IF(DAY(A865)='Main Budget'!$J$29,'Main Budget'!$E$29,0)</f>
        <v>0</v>
      </c>
      <c r="K865" s="20">
        <f>IF(DAY(A865)='Main Budget'!$J$30,'Main Budget'!$E$30,0)</f>
        <v>0</v>
      </c>
      <c r="L865" s="20">
        <f>IF(DAY(A865)='Main Budget'!$J$31,'Main Budget'!$E$31,0)</f>
        <v>0</v>
      </c>
      <c r="M865" s="20">
        <f>IF(DAY(A865)='Main Budget'!$J$27,'Main Budget'!$E$27,0)</f>
        <v>0</v>
      </c>
      <c r="O865" s="228">
        <f>B865+(SUM(H865:M865)+(SUM(D865:E865)))</f>
        <v>100</v>
      </c>
      <c r="P865" s="228">
        <f>C865+F865+G865+N865</f>
        <v>100</v>
      </c>
      <c r="Q865" s="252">
        <f>O865+P865</f>
        <v>200</v>
      </c>
      <c r="S865" s="231" t="str">
        <f>TEXT(A865,"dddd")</f>
        <v>Saturday</v>
      </c>
    </row>
    <row r="866" spans="1:19" x14ac:dyDescent="0.25">
      <c r="A866" s="226">
        <v>46887</v>
      </c>
      <c r="B866" s="227">
        <f>O865</f>
        <v>100</v>
      </c>
      <c r="C866" s="228">
        <f>P865</f>
        <v>100</v>
      </c>
      <c r="D866" s="228">
        <f>IF(OR(DAY(A866+2)=1,DAY(A866+2)=15),-SUM('Main Budget'!$H$26:$H$31),0)</f>
        <v>0</v>
      </c>
      <c r="E866" s="228">
        <f>IF(DAY(A866+2)=22,-SUM('Main Budget'!$F$26:$F$31),0)</f>
        <v>0</v>
      </c>
      <c r="F866" s="228">
        <f>IF(D866&gt;0,-'Main Budget'!$H$25+0.15,0)</f>
        <v>0</v>
      </c>
      <c r="G866" s="228">
        <f>IF(E866&gt;0,-'Main Budget'!$F$25+0.81,0)</f>
        <v>0</v>
      </c>
      <c r="H866" s="227">
        <f>IF(DAY(A866)='Main Budget'!$J$26,'Main Budget'!$E$26,0)</f>
        <v>0</v>
      </c>
      <c r="I866" s="227">
        <f>IF(DAY(A866)='Main Budget'!$J$28,'Main Budget'!$E$28,0)</f>
        <v>0</v>
      </c>
      <c r="J866" s="227">
        <f>IF(DAY(A866)='Main Budget'!$J$29,'Main Budget'!$E$29,0)</f>
        <v>0</v>
      </c>
      <c r="K866" s="20">
        <f>IF(DAY(A866)='Main Budget'!$J$30,'Main Budget'!$E$30,0)</f>
        <v>0</v>
      </c>
      <c r="L866" s="20">
        <f>IF(DAY(A866)='Main Budget'!$J$31,'Main Budget'!$E$31,0)</f>
        <v>0</v>
      </c>
      <c r="M866" s="20">
        <f>IF(DAY(A866)='Main Budget'!$J$27,'Main Budget'!$E$27,0)</f>
        <v>0</v>
      </c>
      <c r="O866" s="228">
        <f>B866+(SUM(H866:M866)+(SUM(D866:E866)))</f>
        <v>100</v>
      </c>
      <c r="P866" s="228">
        <f>C866+F866+G866+N866</f>
        <v>100</v>
      </c>
      <c r="Q866" s="252">
        <f>O866+P866</f>
        <v>200</v>
      </c>
      <c r="S866" s="231" t="str">
        <f>TEXT(A866,"dddd")</f>
        <v>Sunday</v>
      </c>
    </row>
    <row r="867" spans="1:19" x14ac:dyDescent="0.25">
      <c r="A867" s="226">
        <v>46888</v>
      </c>
      <c r="B867" s="227">
        <f>O866</f>
        <v>100</v>
      </c>
      <c r="C867" s="228">
        <f>P866</f>
        <v>100</v>
      </c>
      <c r="D867" s="228">
        <f>IF(OR(DAY(A867+2)=1,DAY(A867+2)=15),-SUM('Main Budget'!$H$26:$H$31),0)</f>
        <v>0</v>
      </c>
      <c r="E867" s="228">
        <f>IF(DAY(A867+2)=22,-SUM('Main Budget'!$F$26:$F$31),0)</f>
        <v>0</v>
      </c>
      <c r="F867" s="228">
        <f>IF(D867&gt;0,-'Main Budget'!$H$25+0.15,0)</f>
        <v>0</v>
      </c>
      <c r="G867" s="228">
        <f>IF(E867&gt;0,-'Main Budget'!$F$25+0.81,0)</f>
        <v>0</v>
      </c>
      <c r="H867" s="227">
        <f>IF(DAY(A867)='Main Budget'!$J$26,'Main Budget'!$E$26,0)</f>
        <v>0</v>
      </c>
      <c r="I867" s="227">
        <f>IF(DAY(A867)='Main Budget'!$J$28,'Main Budget'!$E$28,0)</f>
        <v>0</v>
      </c>
      <c r="J867" s="227">
        <f>IF(DAY(A867)='Main Budget'!$J$29,'Main Budget'!$E$29,0)</f>
        <v>0</v>
      </c>
      <c r="K867" s="20">
        <f>IF(DAY(A867)='Main Budget'!$J$30,'Main Budget'!$E$30,0)</f>
        <v>0</v>
      </c>
      <c r="L867" s="20">
        <f>IF(DAY(A867)='Main Budget'!$J$31,'Main Budget'!$E$31,0)</f>
        <v>0</v>
      </c>
      <c r="M867" s="20">
        <f>IF(DAY(A867)='Main Budget'!$J$27,'Main Budget'!$E$27,0)</f>
        <v>0</v>
      </c>
      <c r="O867" s="228">
        <f>B867+(SUM(H867:M867)+(SUM(D867:E867)))</f>
        <v>100</v>
      </c>
      <c r="P867" s="228">
        <f>C867+F867+G867+N867</f>
        <v>100</v>
      </c>
      <c r="Q867" s="252">
        <f>O867+P867</f>
        <v>200</v>
      </c>
      <c r="S867" s="231" t="str">
        <f>TEXT(A867,"dddd")</f>
        <v>Monday</v>
      </c>
    </row>
    <row r="868" spans="1:19" x14ac:dyDescent="0.25">
      <c r="A868" s="226">
        <v>46889</v>
      </c>
      <c r="B868" s="227">
        <f>O867</f>
        <v>100</v>
      </c>
      <c r="C868" s="228">
        <f>P867</f>
        <v>100</v>
      </c>
      <c r="D868" s="228">
        <f>IF(OR(DAY(A868+2)=1,DAY(A868+2)=15),-SUM('Main Budget'!$H$26:$H$31),0)</f>
        <v>0</v>
      </c>
      <c r="E868" s="228">
        <f>IF(DAY(A868+2)=22,-SUM('Main Budget'!$F$26:$F$31),0)</f>
        <v>0</v>
      </c>
      <c r="F868" s="228">
        <f>IF(D868&gt;0,-'Main Budget'!$H$25+0.15,0)</f>
        <v>0</v>
      </c>
      <c r="G868" s="228">
        <f>IF(E868&gt;0,-'Main Budget'!$F$25+0.81,0)</f>
        <v>0</v>
      </c>
      <c r="H868" s="227">
        <f>IF(DAY(A868)='Main Budget'!$J$26,'Main Budget'!$E$26,0)</f>
        <v>0</v>
      </c>
      <c r="I868" s="227">
        <f>IF(DAY(A868)='Main Budget'!$J$28,'Main Budget'!$E$28,0)</f>
        <v>0</v>
      </c>
      <c r="J868" s="227">
        <f>IF(DAY(A868)='Main Budget'!$J$29,'Main Budget'!$E$29,0)</f>
        <v>0</v>
      </c>
      <c r="K868" s="20">
        <f>IF(DAY(A868)='Main Budget'!$J$30,'Main Budget'!$E$30,0)</f>
        <v>0</v>
      </c>
      <c r="L868" s="20">
        <f>IF(DAY(A868)='Main Budget'!$J$31,'Main Budget'!$E$31,0)</f>
        <v>0</v>
      </c>
      <c r="M868" s="20">
        <f>IF(DAY(A868)='Main Budget'!$J$27,'Main Budget'!$E$27,0)</f>
        <v>0</v>
      </c>
      <c r="O868" s="228">
        <f>B868+(SUM(H868:M868)+(SUM(D868:E868)))</f>
        <v>100</v>
      </c>
      <c r="P868" s="228">
        <f>C868+F868+G868+N868</f>
        <v>100</v>
      </c>
      <c r="Q868" s="252">
        <f>O868+P868</f>
        <v>200</v>
      </c>
      <c r="S868" s="231" t="str">
        <f>TEXT(A868,"dddd")</f>
        <v>Tuesday</v>
      </c>
    </row>
    <row r="869" spans="1:19" x14ac:dyDescent="0.25">
      <c r="A869" s="226">
        <v>46890</v>
      </c>
      <c r="B869" s="227">
        <f>O868</f>
        <v>100</v>
      </c>
      <c r="C869" s="228">
        <f>P868</f>
        <v>100</v>
      </c>
      <c r="D869" s="228">
        <f>IF(OR(DAY(A869+2)=1,DAY(A869+2)=15),-SUM('Main Budget'!$H$26:$H$31),0)</f>
        <v>0</v>
      </c>
      <c r="E869" s="228">
        <f>IF(DAY(A869+2)=22,-SUM('Main Budget'!$F$26:$F$31),0)</f>
        <v>0</v>
      </c>
      <c r="F869" s="228">
        <f>IF(D869&gt;0,-'Main Budget'!$H$25+0.15,0)</f>
        <v>0</v>
      </c>
      <c r="G869" s="228">
        <f>IF(E869&gt;0,-'Main Budget'!$F$25+0.81,0)</f>
        <v>0</v>
      </c>
      <c r="H869" s="227">
        <f>IF(DAY(A869)='Main Budget'!$J$26,'Main Budget'!$E$26,0)</f>
        <v>0</v>
      </c>
      <c r="I869" s="227">
        <f>IF(DAY(A869)='Main Budget'!$J$28,'Main Budget'!$E$28,0)</f>
        <v>0</v>
      </c>
      <c r="J869" s="227">
        <f>IF(DAY(A869)='Main Budget'!$J$29,'Main Budget'!$E$29,0)</f>
        <v>0</v>
      </c>
      <c r="K869" s="20">
        <f>IF(DAY(A869)='Main Budget'!$J$30,'Main Budget'!$E$30,0)</f>
        <v>0</v>
      </c>
      <c r="L869" s="20">
        <f>IF(DAY(A869)='Main Budget'!$J$31,'Main Budget'!$E$31,0)</f>
        <v>0</v>
      </c>
      <c r="M869" s="20">
        <f>IF(DAY(A869)='Main Budget'!$J$27,'Main Budget'!$E$27,0)</f>
        <v>0</v>
      </c>
      <c r="O869" s="228">
        <f>B869+(SUM(H869:M869)+(SUM(D869:E869)))</f>
        <v>100</v>
      </c>
      <c r="P869" s="228">
        <f>C869+F869+G869+N869</f>
        <v>100</v>
      </c>
      <c r="Q869" s="252">
        <f>O869+P869</f>
        <v>200</v>
      </c>
      <c r="S869" s="231" t="str">
        <f>TEXT(A869,"dddd")</f>
        <v>Wednesday</v>
      </c>
    </row>
    <row r="870" spans="1:19" x14ac:dyDescent="0.25">
      <c r="A870" s="226">
        <v>46891</v>
      </c>
      <c r="B870" s="227">
        <f>O869</f>
        <v>100</v>
      </c>
      <c r="C870" s="228">
        <f>P869</f>
        <v>100</v>
      </c>
      <c r="D870" s="228">
        <f>IF(OR(DAY(A870+2)=1,DAY(A870+2)=15),-SUM('Main Budget'!$H$26:$H$31),0)</f>
        <v>0</v>
      </c>
      <c r="E870" s="228">
        <f>IF(DAY(A870+2)=22,-SUM('Main Budget'!$F$26:$F$31),0)</f>
        <v>0</v>
      </c>
      <c r="F870" s="228">
        <f>IF(D870&gt;0,-'Main Budget'!$H$25+0.15,0)</f>
        <v>0</v>
      </c>
      <c r="G870" s="228">
        <f>IF(E870&gt;0,-'Main Budget'!$F$25+0.81,0)</f>
        <v>0</v>
      </c>
      <c r="H870" s="227">
        <f>IF(DAY(A870)='Main Budget'!$J$26,'Main Budget'!$E$26,0)</f>
        <v>0</v>
      </c>
      <c r="I870" s="227">
        <f>IF(DAY(A870)='Main Budget'!$J$28,'Main Budget'!$E$28,0)</f>
        <v>0</v>
      </c>
      <c r="J870" s="227">
        <f>IF(DAY(A870)='Main Budget'!$J$29,'Main Budget'!$E$29,0)</f>
        <v>0</v>
      </c>
      <c r="K870" s="20">
        <f>IF(DAY(A870)='Main Budget'!$J$30,'Main Budget'!$E$30,0)</f>
        <v>0</v>
      </c>
      <c r="L870" s="20">
        <f>IF(DAY(A870)='Main Budget'!$J$31,'Main Budget'!$E$31,0)</f>
        <v>0</v>
      </c>
      <c r="M870" s="20">
        <f>IF(DAY(A870)='Main Budget'!$J$27,'Main Budget'!$E$27,0)</f>
        <v>0</v>
      </c>
      <c r="O870" s="228">
        <f>B870+(SUM(H870:M870)+(SUM(D870:E870)))</f>
        <v>100</v>
      </c>
      <c r="P870" s="228">
        <f>C870+F870+G870+N870</f>
        <v>100</v>
      </c>
      <c r="Q870" s="252">
        <f>O870+P870</f>
        <v>200</v>
      </c>
      <c r="S870" s="231" t="str">
        <f>TEXT(A870,"dddd")</f>
        <v>Thursday</v>
      </c>
    </row>
    <row r="871" spans="1:19" x14ac:dyDescent="0.25">
      <c r="A871" s="226">
        <v>46892</v>
      </c>
      <c r="B871" s="227">
        <f>O870</f>
        <v>100</v>
      </c>
      <c r="C871" s="228">
        <f>P870</f>
        <v>100</v>
      </c>
      <c r="D871" s="228">
        <f>IF(OR(DAY(A871+2)=1,DAY(A871+2)=15),-SUM('Main Budget'!$H$26:$H$31),0)</f>
        <v>0</v>
      </c>
      <c r="E871" s="228">
        <f>IF(DAY(A871+2)=22,-SUM('Main Budget'!$F$26:$F$31),0)</f>
        <v>0</v>
      </c>
      <c r="F871" s="228">
        <f>IF(D871&gt;0,-'Main Budget'!$H$25+0.15,0)</f>
        <v>0</v>
      </c>
      <c r="G871" s="228">
        <f>IF(E871&gt;0,-'Main Budget'!$F$25+0.81,0)</f>
        <v>0</v>
      </c>
      <c r="H871" s="227">
        <f>IF(DAY(A871)='Main Budget'!$J$26,'Main Budget'!$E$26,0)</f>
        <v>0</v>
      </c>
      <c r="I871" s="227">
        <f>IF(DAY(A871)='Main Budget'!$J$28,'Main Budget'!$E$28,0)</f>
        <v>0</v>
      </c>
      <c r="J871" s="227">
        <f>IF(DAY(A871)='Main Budget'!$J$29,'Main Budget'!$E$29,0)</f>
        <v>0</v>
      </c>
      <c r="K871" s="20">
        <f>IF(DAY(A871)='Main Budget'!$J$30,'Main Budget'!$E$30,0)</f>
        <v>0</v>
      </c>
      <c r="L871" s="20">
        <f>IF(DAY(A871)='Main Budget'!$J$31,'Main Budget'!$E$31,0)</f>
        <v>0</v>
      </c>
      <c r="M871" s="20">
        <f>IF(DAY(A871)='Main Budget'!$J$27,'Main Budget'!$E$27,0)</f>
        <v>0</v>
      </c>
      <c r="O871" s="228">
        <f>B871+(SUM(H871:M871)+(SUM(D871:E871)))</f>
        <v>100</v>
      </c>
      <c r="P871" s="228">
        <f>C871+F871+G871+N871</f>
        <v>100</v>
      </c>
      <c r="Q871" s="252">
        <f>O871+P871</f>
        <v>200</v>
      </c>
      <c r="S871" s="231" t="str">
        <f>TEXT(A871,"dddd")</f>
        <v>Friday</v>
      </c>
    </row>
    <row r="872" spans="1:19" x14ac:dyDescent="0.25">
      <c r="A872" s="226">
        <v>46893</v>
      </c>
      <c r="B872" s="227">
        <f>O871</f>
        <v>100</v>
      </c>
      <c r="C872" s="228">
        <f>P871</f>
        <v>100</v>
      </c>
      <c r="D872" s="228">
        <f>IF(OR(DAY(A872+2)=1,DAY(A872+2)=15),-SUM('Main Budget'!$H$26:$H$31),0)</f>
        <v>0</v>
      </c>
      <c r="E872" s="228">
        <f>IF(DAY(A872+2)=22,-SUM('Main Budget'!$F$26:$F$31),0)</f>
        <v>0</v>
      </c>
      <c r="F872" s="228">
        <f>IF(D872&gt;0,-'Main Budget'!$H$25+0.15,0)</f>
        <v>0</v>
      </c>
      <c r="G872" s="228">
        <f>IF(E872&gt;0,-'Main Budget'!$F$25+0.81,0)</f>
        <v>0</v>
      </c>
      <c r="H872" s="227">
        <f>IF(DAY(A872)='Main Budget'!$J$26,'Main Budget'!$E$26,0)</f>
        <v>0</v>
      </c>
      <c r="I872" s="227">
        <f>IF(DAY(A872)='Main Budget'!$J$28,'Main Budget'!$E$28,0)</f>
        <v>0</v>
      </c>
      <c r="J872" s="227">
        <f>IF(DAY(A872)='Main Budget'!$J$29,'Main Budget'!$E$29,0)</f>
        <v>0</v>
      </c>
      <c r="K872" s="20">
        <f>IF(DAY(A872)='Main Budget'!$J$30,'Main Budget'!$E$30,0)</f>
        <v>0</v>
      </c>
      <c r="L872" s="20">
        <f>IF(DAY(A872)='Main Budget'!$J$31,'Main Budget'!$E$31,0)</f>
        <v>0</v>
      </c>
      <c r="M872" s="20">
        <f>IF(DAY(A872)='Main Budget'!$J$27,'Main Budget'!$E$27,0)</f>
        <v>0</v>
      </c>
      <c r="O872" s="228">
        <f>B872+(SUM(H872:M872)+(SUM(D872:E872)))</f>
        <v>100</v>
      </c>
      <c r="P872" s="228">
        <f>C872+F872+G872+N872</f>
        <v>100</v>
      </c>
      <c r="Q872" s="252">
        <f>O872+P872</f>
        <v>200</v>
      </c>
      <c r="S872" s="231" t="str">
        <f>TEXT(A872,"dddd")</f>
        <v>Saturday</v>
      </c>
    </row>
    <row r="873" spans="1:19" x14ac:dyDescent="0.25">
      <c r="A873" s="226">
        <v>46894</v>
      </c>
      <c r="B873" s="227">
        <f>O872</f>
        <v>100</v>
      </c>
      <c r="C873" s="228">
        <f>P872</f>
        <v>100</v>
      </c>
      <c r="D873" s="228">
        <f>IF(OR(DAY(A873+2)=1,DAY(A873+2)=15),-SUM('Main Budget'!$H$26:$H$31),0)</f>
        <v>0</v>
      </c>
      <c r="E873" s="228">
        <f>IF(DAY(A873+2)=22,-SUM('Main Budget'!$F$26:$F$31),0)</f>
        <v>0</v>
      </c>
      <c r="F873" s="228">
        <f>IF(D873&gt;0,-'Main Budget'!$H$25+0.15,0)</f>
        <v>0</v>
      </c>
      <c r="G873" s="228">
        <f>IF(E873&gt;0,-'Main Budget'!$F$25+0.81,0)</f>
        <v>0</v>
      </c>
      <c r="H873" s="227">
        <f>IF(DAY(A873)='Main Budget'!$J$26,'Main Budget'!$E$26,0)</f>
        <v>0</v>
      </c>
      <c r="I873" s="227">
        <f>IF(DAY(A873)='Main Budget'!$J$28,'Main Budget'!$E$28,0)</f>
        <v>0</v>
      </c>
      <c r="J873" s="227">
        <f>IF(DAY(A873)='Main Budget'!$J$29,'Main Budget'!$E$29,0)</f>
        <v>0</v>
      </c>
      <c r="K873" s="20">
        <f>IF(DAY(A873)='Main Budget'!$J$30,'Main Budget'!$E$30,0)</f>
        <v>0</v>
      </c>
      <c r="L873" s="20">
        <f>IF(DAY(A873)='Main Budget'!$J$31,'Main Budget'!$E$31,0)</f>
        <v>0</v>
      </c>
      <c r="M873" s="20">
        <f>IF(DAY(A873)='Main Budget'!$J$27,'Main Budget'!$E$27,0)</f>
        <v>0</v>
      </c>
      <c r="O873" s="228">
        <f>B873+(SUM(H873:M873)+(SUM(D873:E873)))</f>
        <v>100</v>
      </c>
      <c r="P873" s="228">
        <f>C873+F873+G873+N873</f>
        <v>100</v>
      </c>
      <c r="Q873" s="252">
        <f>O873+P873</f>
        <v>200</v>
      </c>
      <c r="S873" s="231" t="str">
        <f>TEXT(A873,"dddd")</f>
        <v>Sunday</v>
      </c>
    </row>
    <row r="874" spans="1:19" x14ac:dyDescent="0.25">
      <c r="A874" s="226">
        <v>46895</v>
      </c>
      <c r="B874" s="227">
        <f>O873</f>
        <v>100</v>
      </c>
      <c r="C874" s="228">
        <f>P873</f>
        <v>100</v>
      </c>
      <c r="D874" s="228">
        <f>IF(OR(DAY(A874+2)=1,DAY(A874+2)=15),-SUM('Main Budget'!$H$26:$H$31),0)</f>
        <v>0</v>
      </c>
      <c r="E874" s="228">
        <f>IF(DAY(A874+2)=22,-SUM('Main Budget'!$F$26:$F$31),0)</f>
        <v>0</v>
      </c>
      <c r="F874" s="228">
        <f>IF(D874&gt;0,-'Main Budget'!$H$25+0.15,0)</f>
        <v>0</v>
      </c>
      <c r="G874" s="228">
        <f>IF(E874&gt;0,-'Main Budget'!$F$25+0.81,0)</f>
        <v>0</v>
      </c>
      <c r="H874" s="227">
        <f>IF(DAY(A874)='Main Budget'!$J$26,'Main Budget'!$E$26,0)</f>
        <v>0</v>
      </c>
      <c r="I874" s="227">
        <f>IF(DAY(A874)='Main Budget'!$J$28,'Main Budget'!$E$28,0)</f>
        <v>0</v>
      </c>
      <c r="J874" s="227">
        <f>IF(DAY(A874)='Main Budget'!$J$29,'Main Budget'!$E$29,0)</f>
        <v>0</v>
      </c>
      <c r="K874" s="20">
        <f>IF(DAY(A874)='Main Budget'!$J$30,'Main Budget'!$E$30,0)</f>
        <v>0</v>
      </c>
      <c r="L874" s="20">
        <f>IF(DAY(A874)='Main Budget'!$J$31,'Main Budget'!$E$31,0)</f>
        <v>0</v>
      </c>
      <c r="M874" s="20">
        <f>IF(DAY(A874)='Main Budget'!$J$27,'Main Budget'!$E$27,0)</f>
        <v>0</v>
      </c>
      <c r="O874" s="228">
        <f>B874+(SUM(H874:M874)+(SUM(D874:E874)))</f>
        <v>100</v>
      </c>
      <c r="P874" s="228">
        <f>C874+F874+G874+N874</f>
        <v>100</v>
      </c>
      <c r="Q874" s="252">
        <f>O874+P874</f>
        <v>200</v>
      </c>
      <c r="S874" s="231" t="str">
        <f>TEXT(A874,"dddd")</f>
        <v>Monday</v>
      </c>
    </row>
    <row r="875" spans="1:19" x14ac:dyDescent="0.25">
      <c r="A875" s="226">
        <v>46896</v>
      </c>
      <c r="B875" s="227">
        <f>O874</f>
        <v>100</v>
      </c>
      <c r="C875" s="228">
        <f>P874</f>
        <v>100</v>
      </c>
      <c r="D875" s="228">
        <f>IF(OR(DAY(A875+2)=1,DAY(A875+2)=15),-SUM('Main Budget'!$H$26:$H$31),0)</f>
        <v>0</v>
      </c>
      <c r="E875" s="228">
        <f>IF(DAY(A875+2)=22,-SUM('Main Budget'!$F$26:$F$31),0)</f>
        <v>0</v>
      </c>
      <c r="F875" s="228">
        <f>IF(D875&gt;0,-'Main Budget'!$H$25+0.15,0)</f>
        <v>0</v>
      </c>
      <c r="G875" s="228">
        <f>IF(E875&gt;0,-'Main Budget'!$F$25+0.81,0)</f>
        <v>0</v>
      </c>
      <c r="H875" s="227">
        <f>IF(DAY(A875)='Main Budget'!$J$26,'Main Budget'!$E$26,0)</f>
        <v>0</v>
      </c>
      <c r="I875" s="227">
        <f>IF(DAY(A875)='Main Budget'!$J$28,'Main Budget'!$E$28,0)</f>
        <v>0</v>
      </c>
      <c r="J875" s="227">
        <f>IF(DAY(A875)='Main Budget'!$J$29,'Main Budget'!$E$29,0)</f>
        <v>0</v>
      </c>
      <c r="K875" s="20">
        <f>IF(DAY(A875)='Main Budget'!$J$30,'Main Budget'!$E$30,0)</f>
        <v>0</v>
      </c>
      <c r="L875" s="20">
        <f>IF(DAY(A875)='Main Budget'!$J$31,'Main Budget'!$E$31,0)</f>
        <v>0</v>
      </c>
      <c r="M875" s="20">
        <f>IF(DAY(A875)='Main Budget'!$J$27,'Main Budget'!$E$27,0)</f>
        <v>0</v>
      </c>
      <c r="O875" s="228">
        <f>B875+(SUM(H875:M875)+(SUM(D875:E875)))</f>
        <v>100</v>
      </c>
      <c r="P875" s="228">
        <f>C875+F875+G875+N875</f>
        <v>100</v>
      </c>
      <c r="Q875" s="252">
        <f>O875+P875</f>
        <v>200</v>
      </c>
      <c r="S875" s="231" t="str">
        <f>TEXT(A875,"dddd")</f>
        <v>Tuesday</v>
      </c>
    </row>
    <row r="876" spans="1:19" x14ac:dyDescent="0.25">
      <c r="A876" s="226">
        <v>46897</v>
      </c>
      <c r="B876" s="227">
        <f>O875</f>
        <v>100</v>
      </c>
      <c r="C876" s="228">
        <f>P875</f>
        <v>100</v>
      </c>
      <c r="D876" s="228">
        <f>IF(OR(DAY(A876+2)=1,DAY(A876+2)=15),-SUM('Main Budget'!$H$26:$H$31),0)</f>
        <v>0</v>
      </c>
      <c r="E876" s="228">
        <f>IF(DAY(A876+2)=22,-SUM('Main Budget'!$F$26:$F$31),0)</f>
        <v>0</v>
      </c>
      <c r="F876" s="228">
        <f>IF(D876&gt;0,-'Main Budget'!$H$25+0.15,0)</f>
        <v>0</v>
      </c>
      <c r="G876" s="228">
        <f>IF(E876&gt;0,-'Main Budget'!$F$25+0.81,0)</f>
        <v>0</v>
      </c>
      <c r="H876" s="227">
        <f>IF(DAY(A876)='Main Budget'!$J$26,'Main Budget'!$E$26,0)</f>
        <v>0</v>
      </c>
      <c r="I876" s="227">
        <f>IF(DAY(A876)='Main Budget'!$J$28,'Main Budget'!$E$28,0)</f>
        <v>0</v>
      </c>
      <c r="J876" s="227">
        <f>IF(DAY(A876)='Main Budget'!$J$29,'Main Budget'!$E$29,0)</f>
        <v>0</v>
      </c>
      <c r="K876" s="20">
        <f>IF(DAY(A876)='Main Budget'!$J$30,'Main Budget'!$E$30,0)</f>
        <v>0</v>
      </c>
      <c r="L876" s="20">
        <f>IF(DAY(A876)='Main Budget'!$J$31,'Main Budget'!$E$31,0)</f>
        <v>0</v>
      </c>
      <c r="M876" s="20">
        <f>IF(DAY(A876)='Main Budget'!$J$27,'Main Budget'!$E$27,0)</f>
        <v>0</v>
      </c>
      <c r="O876" s="228">
        <f>B876+(SUM(H876:M876)+(SUM(D876:E876)))</f>
        <v>100</v>
      </c>
      <c r="P876" s="228">
        <f>C876+F876+G876+N876</f>
        <v>100</v>
      </c>
      <c r="Q876" s="252">
        <f>O876+P876</f>
        <v>200</v>
      </c>
      <c r="S876" s="231" t="str">
        <f>TEXT(A876,"dddd")</f>
        <v>Wednesday</v>
      </c>
    </row>
    <row r="877" spans="1:19" x14ac:dyDescent="0.25">
      <c r="A877" s="226">
        <v>46898</v>
      </c>
      <c r="B877" s="227">
        <f>O876</f>
        <v>100</v>
      </c>
      <c r="C877" s="228">
        <f>P876</f>
        <v>100</v>
      </c>
      <c r="D877" s="228">
        <f>IF(OR(DAY(A877+2)=1,DAY(A877+2)=15),-SUM('Main Budget'!$H$26:$H$31),0)</f>
        <v>0</v>
      </c>
      <c r="E877" s="228">
        <f>IF(DAY(A877+2)=22,-SUM('Main Budget'!$F$26:$F$31),0)</f>
        <v>0</v>
      </c>
      <c r="F877" s="228">
        <f>IF(D877&gt;0,-'Main Budget'!$H$25+0.15,0)</f>
        <v>0</v>
      </c>
      <c r="G877" s="228">
        <f>IF(E877&gt;0,-'Main Budget'!$F$25+0.81,0)</f>
        <v>0</v>
      </c>
      <c r="H877" s="227">
        <f>IF(DAY(A877)='Main Budget'!$J$26,'Main Budget'!$E$26,0)</f>
        <v>0</v>
      </c>
      <c r="I877" s="227">
        <f>IF(DAY(A877)='Main Budget'!$J$28,'Main Budget'!$E$28,0)</f>
        <v>0</v>
      </c>
      <c r="J877" s="227">
        <f>IF(DAY(A877)='Main Budget'!$J$29,'Main Budget'!$E$29,0)</f>
        <v>0</v>
      </c>
      <c r="K877" s="20">
        <f>IF(DAY(A877)='Main Budget'!$J$30,'Main Budget'!$E$30,0)</f>
        <v>0</v>
      </c>
      <c r="L877" s="20">
        <f>IF(DAY(A877)='Main Budget'!$J$31,'Main Budget'!$E$31,0)</f>
        <v>0</v>
      </c>
      <c r="M877" s="20">
        <f>IF(DAY(A877)='Main Budget'!$J$27,'Main Budget'!$E$27,0)</f>
        <v>0</v>
      </c>
      <c r="O877" s="228">
        <f>B877+(SUM(H877:M877)+(SUM(D877:E877)))</f>
        <v>100</v>
      </c>
      <c r="P877" s="228">
        <f>C877+F877+G877+N877</f>
        <v>100</v>
      </c>
      <c r="Q877" s="252">
        <f>O877+P877</f>
        <v>200</v>
      </c>
      <c r="S877" s="231" t="str">
        <f>TEXT(A877,"dddd")</f>
        <v>Thursday</v>
      </c>
    </row>
    <row r="878" spans="1:19" x14ac:dyDescent="0.25">
      <c r="A878" s="226">
        <v>46899</v>
      </c>
      <c r="B878" s="227">
        <f>O877</f>
        <v>100</v>
      </c>
      <c r="C878" s="228">
        <f>P877</f>
        <v>100</v>
      </c>
      <c r="D878" s="228">
        <f>IF(OR(DAY(A878+2)=1,DAY(A878+2)=15),-SUM('Main Budget'!$H$26:$H$31),0)</f>
        <v>0</v>
      </c>
      <c r="E878" s="228">
        <f>IF(DAY(A878+2)=22,-SUM('Main Budget'!$F$26:$F$31),0)</f>
        <v>0</v>
      </c>
      <c r="F878" s="228">
        <f>IF(D878&gt;0,-'Main Budget'!$H$25+0.15,0)</f>
        <v>0</v>
      </c>
      <c r="G878" s="228">
        <f>IF(E878&gt;0,-'Main Budget'!$F$25+0.81,0)</f>
        <v>0</v>
      </c>
      <c r="H878" s="227">
        <f>IF(DAY(A878)='Main Budget'!$J$26,'Main Budget'!$E$26,0)</f>
        <v>0</v>
      </c>
      <c r="I878" s="227">
        <f>IF(DAY(A878)='Main Budget'!$J$28,'Main Budget'!$E$28,0)</f>
        <v>0</v>
      </c>
      <c r="J878" s="227">
        <f>IF(DAY(A878)='Main Budget'!$J$29,'Main Budget'!$E$29,0)</f>
        <v>0</v>
      </c>
      <c r="K878" s="20">
        <f>IF(DAY(A878)='Main Budget'!$J$30,'Main Budget'!$E$30,0)</f>
        <v>0</v>
      </c>
      <c r="L878" s="20">
        <f>IF(DAY(A878)='Main Budget'!$J$31,'Main Budget'!$E$31,0)</f>
        <v>0</v>
      </c>
      <c r="M878" s="20">
        <f>IF(DAY(A878)='Main Budget'!$J$27,'Main Budget'!$E$27,0)</f>
        <v>0</v>
      </c>
      <c r="O878" s="228">
        <f>B878+(SUM(H878:M878)+(SUM(D878:E878)))</f>
        <v>100</v>
      </c>
      <c r="P878" s="228">
        <f>C878+F878+G878+N878</f>
        <v>100</v>
      </c>
      <c r="Q878" s="252">
        <f>O878+P878</f>
        <v>200</v>
      </c>
      <c r="S878" s="231" t="str">
        <f>TEXT(A878,"dddd")</f>
        <v>Friday</v>
      </c>
    </row>
    <row r="879" spans="1:19" x14ac:dyDescent="0.25">
      <c r="A879" s="226">
        <v>46900</v>
      </c>
      <c r="B879" s="227">
        <f>O878</f>
        <v>100</v>
      </c>
      <c r="C879" s="228">
        <f>P878</f>
        <v>100</v>
      </c>
      <c r="D879" s="228">
        <f>IF(OR(DAY(A879+2)=1,DAY(A879+2)=15),-SUM('Main Budget'!$H$26:$H$31),0)</f>
        <v>0</v>
      </c>
      <c r="E879" s="228">
        <f>IF(DAY(A879+2)=22,-SUM('Main Budget'!$F$26:$F$31),0)</f>
        <v>0</v>
      </c>
      <c r="F879" s="228">
        <f>IF(D879&gt;0,-'Main Budget'!$H$25+0.15,0)</f>
        <v>0</v>
      </c>
      <c r="G879" s="228">
        <f>IF(E879&gt;0,-'Main Budget'!$F$25+0.81,0)</f>
        <v>0</v>
      </c>
      <c r="H879" s="227">
        <f>IF(DAY(A879)='Main Budget'!$J$26,'Main Budget'!$E$26,0)</f>
        <v>0</v>
      </c>
      <c r="I879" s="227">
        <f>IF(DAY(A879)='Main Budget'!$J$28,'Main Budget'!$E$28,0)</f>
        <v>0</v>
      </c>
      <c r="J879" s="227">
        <f>IF(DAY(A879)='Main Budget'!$J$29,'Main Budget'!$E$29,0)</f>
        <v>0</v>
      </c>
      <c r="K879" s="20">
        <f>IF(DAY(A879)='Main Budget'!$J$30,'Main Budget'!$E$30,0)</f>
        <v>0</v>
      </c>
      <c r="L879" s="20">
        <f>IF(DAY(A879)='Main Budget'!$J$31,'Main Budget'!$E$31,0)</f>
        <v>0</v>
      </c>
      <c r="M879" s="20">
        <f>IF(DAY(A879)='Main Budget'!$J$27,'Main Budget'!$E$27,0)</f>
        <v>0</v>
      </c>
      <c r="O879" s="228">
        <f>B879+(SUM(H879:M879)+(SUM(D879:E879)))</f>
        <v>100</v>
      </c>
      <c r="P879" s="228">
        <f>C879+F879+G879+N879</f>
        <v>100</v>
      </c>
      <c r="Q879" s="252">
        <f>O879+P879</f>
        <v>200</v>
      </c>
      <c r="S879" s="231" t="str">
        <f>TEXT(A879,"dddd")</f>
        <v>Saturday</v>
      </c>
    </row>
    <row r="880" spans="1:19" x14ac:dyDescent="0.25">
      <c r="A880" s="226">
        <v>46901</v>
      </c>
      <c r="B880" s="227">
        <f>O879</f>
        <v>100</v>
      </c>
      <c r="C880" s="228">
        <f>P879</f>
        <v>100</v>
      </c>
      <c r="D880" s="228">
        <f>IF(OR(DAY(A880+2)=1,DAY(A880+2)=15),-SUM('Main Budget'!$H$26:$H$31),0)</f>
        <v>0</v>
      </c>
      <c r="E880" s="228">
        <f>IF(DAY(A880+2)=22,-SUM('Main Budget'!$F$26:$F$31),0)</f>
        <v>0</v>
      </c>
      <c r="F880" s="228">
        <f>IF(D880&gt;0,-'Main Budget'!$H$25+0.15,0)</f>
        <v>0</v>
      </c>
      <c r="G880" s="228">
        <f>IF(E880&gt;0,-'Main Budget'!$F$25+0.81,0)</f>
        <v>0</v>
      </c>
      <c r="H880" s="227">
        <f>IF(DAY(A880)='Main Budget'!$J$26,'Main Budget'!$E$26,0)</f>
        <v>0</v>
      </c>
      <c r="I880" s="227">
        <f>IF(DAY(A880)='Main Budget'!$J$28,'Main Budget'!$E$28,0)</f>
        <v>0</v>
      </c>
      <c r="J880" s="227">
        <f>IF(DAY(A880)='Main Budget'!$J$29,'Main Budget'!$E$29,0)</f>
        <v>0</v>
      </c>
      <c r="K880" s="20">
        <f>IF(DAY(A880)='Main Budget'!$J$30,'Main Budget'!$E$30,0)</f>
        <v>0</v>
      </c>
      <c r="L880" s="20">
        <f>IF(DAY(A880)='Main Budget'!$J$31,'Main Budget'!$E$31,0)</f>
        <v>0</v>
      </c>
      <c r="M880" s="20">
        <f>IF(DAY(A880)='Main Budget'!$J$27,'Main Budget'!$E$27,0)</f>
        <v>0</v>
      </c>
      <c r="O880" s="228">
        <f>B880+(SUM(H880:M880)+(SUM(D880:E880)))</f>
        <v>100</v>
      </c>
      <c r="P880" s="228">
        <f>C880+F880+G880+N880</f>
        <v>100</v>
      </c>
      <c r="Q880" s="252">
        <f>O880+P880</f>
        <v>200</v>
      </c>
      <c r="S880" s="231" t="str">
        <f>TEXT(A880,"dddd")</f>
        <v>Sunday</v>
      </c>
    </row>
    <row r="881" spans="1:19" x14ac:dyDescent="0.25">
      <c r="A881" s="226">
        <v>46902</v>
      </c>
      <c r="B881" s="227">
        <f>O880</f>
        <v>100</v>
      </c>
      <c r="C881" s="228">
        <f>P880</f>
        <v>100</v>
      </c>
      <c r="D881" s="228">
        <f>IF(OR(DAY(A881+2)=1,DAY(A881+2)=15),-SUM('Main Budget'!$H$26:$H$31),0)</f>
        <v>0</v>
      </c>
      <c r="E881" s="228">
        <f>IF(DAY(A881+2)=22,-SUM('Main Budget'!$F$26:$F$31),0)</f>
        <v>0</v>
      </c>
      <c r="F881" s="228">
        <f>IF(D881&gt;0,-'Main Budget'!$H$25+0.15,0)</f>
        <v>0</v>
      </c>
      <c r="G881" s="228">
        <f>IF(E881&gt;0,-'Main Budget'!$F$25+0.81,0)</f>
        <v>0</v>
      </c>
      <c r="H881" s="227">
        <f>IF(DAY(A881)='Main Budget'!$J$26,'Main Budget'!$E$26,0)</f>
        <v>0</v>
      </c>
      <c r="I881" s="227">
        <f>IF(DAY(A881)='Main Budget'!$J$28,'Main Budget'!$E$28,0)</f>
        <v>0</v>
      </c>
      <c r="J881" s="227">
        <f>IF(DAY(A881)='Main Budget'!$J$29,'Main Budget'!$E$29,0)</f>
        <v>0</v>
      </c>
      <c r="K881" s="20">
        <f>IF(DAY(A881)='Main Budget'!$J$30,'Main Budget'!$E$30,0)</f>
        <v>0</v>
      </c>
      <c r="L881" s="20">
        <f>IF(DAY(A881)='Main Budget'!$J$31,'Main Budget'!$E$31,0)</f>
        <v>0</v>
      </c>
      <c r="M881" s="20">
        <f>IF(DAY(A881)='Main Budget'!$J$27,'Main Budget'!$E$27,0)</f>
        <v>0</v>
      </c>
      <c r="O881" s="228">
        <f>B881+(SUM(H881:M881)+(SUM(D881:E881)))</f>
        <v>100</v>
      </c>
      <c r="P881" s="228">
        <f>C881+F881+G881+N881</f>
        <v>100</v>
      </c>
      <c r="Q881" s="252">
        <f>O881+P881</f>
        <v>200</v>
      </c>
      <c r="S881" s="231" t="str">
        <f>TEXT(A881,"dddd")</f>
        <v>Monday</v>
      </c>
    </row>
    <row r="882" spans="1:19" x14ac:dyDescent="0.25">
      <c r="A882" s="226">
        <v>46903</v>
      </c>
      <c r="B882" s="227">
        <f>O881</f>
        <v>100</v>
      </c>
      <c r="C882" s="228">
        <f>P881</f>
        <v>100</v>
      </c>
      <c r="D882" s="228">
        <f>IF(OR(DAY(A882+2)=1,DAY(A882+2)=15),-SUM('Main Budget'!$H$26:$H$31),0)</f>
        <v>0</v>
      </c>
      <c r="E882" s="228">
        <f>IF(DAY(A882+2)=22,-SUM('Main Budget'!$F$26:$F$31),0)</f>
        <v>0</v>
      </c>
      <c r="F882" s="228">
        <f>IF(D882&gt;0,-'Main Budget'!$H$25+0.15,0)</f>
        <v>0</v>
      </c>
      <c r="G882" s="228">
        <f>IF(E882&gt;0,-'Main Budget'!$F$25+0.81,0)</f>
        <v>0</v>
      </c>
      <c r="H882" s="227">
        <f>IF(DAY(A882)='Main Budget'!$J$26,'Main Budget'!$E$26,0)</f>
        <v>0</v>
      </c>
      <c r="I882" s="227">
        <f>IF(DAY(A882)='Main Budget'!$J$28,'Main Budget'!$E$28,0)</f>
        <v>0</v>
      </c>
      <c r="J882" s="227">
        <f>IF(DAY(A882)='Main Budget'!$J$29,'Main Budget'!$E$29,0)</f>
        <v>0</v>
      </c>
      <c r="K882" s="20">
        <f>IF(DAY(A882)='Main Budget'!$J$30,'Main Budget'!$E$30,0)</f>
        <v>0</v>
      </c>
      <c r="L882" s="20">
        <f>IF(DAY(A882)='Main Budget'!$J$31,'Main Budget'!$E$31,0)</f>
        <v>0</v>
      </c>
      <c r="M882" s="20">
        <f>IF(DAY(A882)='Main Budget'!$J$27,'Main Budget'!$E$27,0)</f>
        <v>0</v>
      </c>
      <c r="O882" s="228">
        <f>B882+(SUM(H882:M882)+(SUM(D882:E882)))</f>
        <v>100</v>
      </c>
      <c r="P882" s="228">
        <f>C882+F882+G882+N882</f>
        <v>100</v>
      </c>
      <c r="Q882" s="252">
        <f>O882+P882</f>
        <v>200</v>
      </c>
      <c r="S882" s="231" t="str">
        <f>TEXT(A882,"dddd")</f>
        <v>Tuesday</v>
      </c>
    </row>
    <row r="883" spans="1:19" x14ac:dyDescent="0.25">
      <c r="A883" s="226">
        <v>46904</v>
      </c>
      <c r="B883" s="227">
        <f>O882</f>
        <v>100</v>
      </c>
      <c r="C883" s="228">
        <f>P882</f>
        <v>100</v>
      </c>
      <c r="D883" s="228">
        <f>IF(OR(DAY(A883+2)=1,DAY(A883+2)=15),-SUM('Main Budget'!$H$26:$H$31),0)</f>
        <v>0</v>
      </c>
      <c r="E883" s="228">
        <f>IF(DAY(A883+2)=22,-SUM('Main Budget'!$F$26:$F$31),0)</f>
        <v>0</v>
      </c>
      <c r="F883" s="228">
        <f>IF(D883&gt;0,-'Main Budget'!$H$25+0.15,0)</f>
        <v>0</v>
      </c>
      <c r="G883" s="228">
        <f>IF(E883&gt;0,-'Main Budget'!$F$25+0.81,0)</f>
        <v>0</v>
      </c>
      <c r="H883" s="227">
        <f>IF(DAY(A883)='Main Budget'!$J$26,'Main Budget'!$E$26,0)</f>
        <v>0</v>
      </c>
      <c r="I883" s="227">
        <f>IF(DAY(A883)='Main Budget'!$J$28,'Main Budget'!$E$28,0)</f>
        <v>0</v>
      </c>
      <c r="J883" s="227">
        <f>IF(DAY(A883)='Main Budget'!$J$29,'Main Budget'!$E$29,0)</f>
        <v>0</v>
      </c>
      <c r="K883" s="20">
        <f>IF(DAY(A883)='Main Budget'!$J$30,'Main Budget'!$E$30,0)</f>
        <v>0</v>
      </c>
      <c r="L883" s="20">
        <f>IF(DAY(A883)='Main Budget'!$J$31,'Main Budget'!$E$31,0)</f>
        <v>0</v>
      </c>
      <c r="M883" s="20">
        <f>IF(DAY(A883)='Main Budget'!$J$27,'Main Budget'!$E$27,0)</f>
        <v>0</v>
      </c>
      <c r="O883" s="228">
        <f>B883+(SUM(H883:M883)+(SUM(D883:E883)))</f>
        <v>100</v>
      </c>
      <c r="P883" s="228">
        <f>C883+F883+G883+N883</f>
        <v>100</v>
      </c>
      <c r="Q883" s="252">
        <f>O883+P883</f>
        <v>200</v>
      </c>
      <c r="S883" s="231" t="str">
        <f>TEXT(A883,"dddd")</f>
        <v>Wednesday</v>
      </c>
    </row>
    <row r="884" spans="1:19" x14ac:dyDescent="0.25">
      <c r="A884" s="226">
        <v>46905</v>
      </c>
      <c r="B884" s="227">
        <f>O883</f>
        <v>100</v>
      </c>
      <c r="C884" s="228">
        <f>P883</f>
        <v>100</v>
      </c>
      <c r="D884" s="228">
        <f>IF(OR(DAY(A884+2)=1,DAY(A884+2)=15),-SUM('Main Budget'!$H$26:$H$31),0)</f>
        <v>0</v>
      </c>
      <c r="E884" s="228">
        <f>IF(DAY(A884+2)=22,-SUM('Main Budget'!$F$26:$F$31),0)</f>
        <v>0</v>
      </c>
      <c r="F884" s="228">
        <f>IF(D884&gt;0,-'Main Budget'!$H$25+0.15,0)</f>
        <v>0</v>
      </c>
      <c r="G884" s="228">
        <f>IF(E884&gt;0,-'Main Budget'!$F$25+0.81,0)</f>
        <v>0</v>
      </c>
      <c r="H884" s="227">
        <f>IF(DAY(A884)='Main Budget'!$J$26,'Main Budget'!$E$26,0)</f>
        <v>0</v>
      </c>
      <c r="I884" s="227">
        <f>IF(DAY(A884)='Main Budget'!$J$28,'Main Budget'!$E$28,0)</f>
        <v>0</v>
      </c>
      <c r="J884" s="227">
        <f>IF(DAY(A884)='Main Budget'!$J$29,'Main Budget'!$E$29,0)</f>
        <v>0</v>
      </c>
      <c r="K884" s="20">
        <f>IF(DAY(A884)='Main Budget'!$J$30,'Main Budget'!$E$30,0)</f>
        <v>0</v>
      </c>
      <c r="L884" s="20">
        <f>IF(DAY(A884)='Main Budget'!$J$31,'Main Budget'!$E$31,0)</f>
        <v>0</v>
      </c>
      <c r="M884" s="20">
        <f>IF(DAY(A884)='Main Budget'!$J$27,'Main Budget'!$E$27,0)</f>
        <v>0</v>
      </c>
      <c r="O884" s="228">
        <f>B884+(SUM(H884:M884)+(SUM(D884:E884)))</f>
        <v>100</v>
      </c>
      <c r="P884" s="228">
        <f>C884+F884+G884+N884</f>
        <v>100</v>
      </c>
      <c r="Q884" s="252">
        <f>O884+P884</f>
        <v>200</v>
      </c>
      <c r="S884" s="231" t="str">
        <f>TEXT(A884,"dddd")</f>
        <v>Thursday</v>
      </c>
    </row>
    <row r="885" spans="1:19" x14ac:dyDescent="0.25">
      <c r="A885" s="226">
        <v>46906</v>
      </c>
      <c r="B885" s="227">
        <f>O884</f>
        <v>100</v>
      </c>
      <c r="C885" s="228">
        <f>P884</f>
        <v>100</v>
      </c>
      <c r="D885" s="228">
        <f>IF(OR(DAY(A885+2)=1,DAY(A885+2)=15),-SUM('Main Budget'!$H$26:$H$31),0)</f>
        <v>0</v>
      </c>
      <c r="E885" s="228">
        <f>IF(DAY(A885+2)=22,-SUM('Main Budget'!$F$26:$F$31),0)</f>
        <v>0</v>
      </c>
      <c r="F885" s="228">
        <f>IF(D885&gt;0,-'Main Budget'!$H$25+0.15,0)</f>
        <v>0</v>
      </c>
      <c r="G885" s="228">
        <f>IF(E885&gt;0,-'Main Budget'!$F$25+0.81,0)</f>
        <v>0</v>
      </c>
      <c r="H885" s="227">
        <f>IF(DAY(A885)='Main Budget'!$J$26,'Main Budget'!$E$26,0)</f>
        <v>0</v>
      </c>
      <c r="I885" s="227">
        <f>IF(DAY(A885)='Main Budget'!$J$28,'Main Budget'!$E$28,0)</f>
        <v>0</v>
      </c>
      <c r="J885" s="227">
        <f>IF(DAY(A885)='Main Budget'!$J$29,'Main Budget'!$E$29,0)</f>
        <v>0</v>
      </c>
      <c r="K885" s="20">
        <f>IF(DAY(A885)='Main Budget'!$J$30,'Main Budget'!$E$30,0)</f>
        <v>0</v>
      </c>
      <c r="L885" s="20">
        <f>IF(DAY(A885)='Main Budget'!$J$31,'Main Budget'!$E$31,0)</f>
        <v>0</v>
      </c>
      <c r="M885" s="20">
        <f>IF(DAY(A885)='Main Budget'!$J$27,'Main Budget'!$E$27,0)</f>
        <v>0</v>
      </c>
      <c r="O885" s="228">
        <f>B885+(SUM(H885:M885)+(SUM(D885:E885)))</f>
        <v>100</v>
      </c>
      <c r="P885" s="228">
        <f>C885+F885+G885+N885</f>
        <v>100</v>
      </c>
      <c r="Q885" s="252">
        <f>O885+P885</f>
        <v>200</v>
      </c>
      <c r="S885" s="231" t="str">
        <f>TEXT(A885,"dddd")</f>
        <v>Friday</v>
      </c>
    </row>
    <row r="886" spans="1:19" x14ac:dyDescent="0.25">
      <c r="A886" s="226">
        <v>46907</v>
      </c>
      <c r="B886" s="227">
        <f>O885</f>
        <v>100</v>
      </c>
      <c r="C886" s="228">
        <f>P885</f>
        <v>100</v>
      </c>
      <c r="D886" s="228">
        <f>IF(OR(DAY(A886+2)=1,DAY(A886+2)=15),-SUM('Main Budget'!$H$26:$H$31),0)</f>
        <v>0</v>
      </c>
      <c r="E886" s="228">
        <f>IF(DAY(A886+2)=22,-SUM('Main Budget'!$F$26:$F$31),0)</f>
        <v>0</v>
      </c>
      <c r="F886" s="228">
        <f>IF(D886&gt;0,-'Main Budget'!$H$25+0.15,0)</f>
        <v>0</v>
      </c>
      <c r="G886" s="228">
        <f>IF(E886&gt;0,-'Main Budget'!$F$25+0.81,0)</f>
        <v>0</v>
      </c>
      <c r="H886" s="227">
        <f>IF(DAY(A886)='Main Budget'!$J$26,'Main Budget'!$E$26,0)</f>
        <v>0</v>
      </c>
      <c r="I886" s="227">
        <f>IF(DAY(A886)='Main Budget'!$J$28,'Main Budget'!$E$28,0)</f>
        <v>0</v>
      </c>
      <c r="J886" s="227">
        <f>IF(DAY(A886)='Main Budget'!$J$29,'Main Budget'!$E$29,0)</f>
        <v>0</v>
      </c>
      <c r="K886" s="20">
        <f>IF(DAY(A886)='Main Budget'!$J$30,'Main Budget'!$E$30,0)</f>
        <v>0</v>
      </c>
      <c r="L886" s="20">
        <f>IF(DAY(A886)='Main Budget'!$J$31,'Main Budget'!$E$31,0)</f>
        <v>0</v>
      </c>
      <c r="M886" s="20">
        <f>IF(DAY(A886)='Main Budget'!$J$27,'Main Budget'!$E$27,0)</f>
        <v>0</v>
      </c>
      <c r="O886" s="228">
        <f>B886+(SUM(H886:M886)+(SUM(D886:E886)))</f>
        <v>100</v>
      </c>
      <c r="P886" s="228">
        <f>C886+F886+G886+N886</f>
        <v>100</v>
      </c>
      <c r="Q886" s="252">
        <f>O886+P886</f>
        <v>200</v>
      </c>
      <c r="S886" s="231" t="str">
        <f>TEXT(A886,"dddd")</f>
        <v>Saturday</v>
      </c>
    </row>
    <row r="887" spans="1:19" x14ac:dyDescent="0.25">
      <c r="A887" s="226">
        <v>46908</v>
      </c>
      <c r="B887" s="227">
        <f>O886</f>
        <v>100</v>
      </c>
      <c r="C887" s="228">
        <f>P886</f>
        <v>100</v>
      </c>
      <c r="D887" s="228">
        <f>IF(OR(DAY(A887+2)=1,DAY(A887+2)=15),-SUM('Main Budget'!$H$26:$H$31),0)</f>
        <v>0</v>
      </c>
      <c r="E887" s="228">
        <f>IF(DAY(A887+2)=22,-SUM('Main Budget'!$F$26:$F$31),0)</f>
        <v>0</v>
      </c>
      <c r="F887" s="228">
        <f>IF(D887&gt;0,-'Main Budget'!$H$25+0.15,0)</f>
        <v>0</v>
      </c>
      <c r="G887" s="228">
        <f>IF(E887&gt;0,-'Main Budget'!$F$25+0.81,0)</f>
        <v>0</v>
      </c>
      <c r="H887" s="227">
        <f>IF(DAY(A887)='Main Budget'!$J$26,'Main Budget'!$E$26,0)</f>
        <v>0</v>
      </c>
      <c r="I887" s="227">
        <f>IF(DAY(A887)='Main Budget'!$J$28,'Main Budget'!$E$28,0)</f>
        <v>0</v>
      </c>
      <c r="J887" s="227">
        <f>IF(DAY(A887)='Main Budget'!$J$29,'Main Budget'!$E$29,0)</f>
        <v>0</v>
      </c>
      <c r="K887" s="20">
        <f>IF(DAY(A887)='Main Budget'!$J$30,'Main Budget'!$E$30,0)</f>
        <v>0</v>
      </c>
      <c r="L887" s="20">
        <f>IF(DAY(A887)='Main Budget'!$J$31,'Main Budget'!$E$31,0)</f>
        <v>0</v>
      </c>
      <c r="M887" s="20">
        <f>IF(DAY(A887)='Main Budget'!$J$27,'Main Budget'!$E$27,0)</f>
        <v>0</v>
      </c>
      <c r="O887" s="228">
        <f>B887+(SUM(H887:M887)+(SUM(D887:E887)))</f>
        <v>100</v>
      </c>
      <c r="P887" s="228">
        <f>C887+F887+G887+N887</f>
        <v>100</v>
      </c>
      <c r="Q887" s="252">
        <f>O887+P887</f>
        <v>200</v>
      </c>
      <c r="S887" s="231" t="str">
        <f>TEXT(A887,"dddd")</f>
        <v>Sunday</v>
      </c>
    </row>
    <row r="888" spans="1:19" x14ac:dyDescent="0.25">
      <c r="A888" s="226">
        <v>46909</v>
      </c>
      <c r="B888" s="227">
        <f>O887</f>
        <v>100</v>
      </c>
      <c r="C888" s="228">
        <f>P887</f>
        <v>100</v>
      </c>
      <c r="D888" s="228">
        <f>IF(OR(DAY(A888+2)=1,DAY(A888+2)=15),-SUM('Main Budget'!$H$26:$H$31),0)</f>
        <v>0</v>
      </c>
      <c r="E888" s="228">
        <f>IF(DAY(A888+2)=22,-SUM('Main Budget'!$F$26:$F$31),0)</f>
        <v>0</v>
      </c>
      <c r="F888" s="228">
        <f>IF(D888&gt;0,-'Main Budget'!$H$25+0.15,0)</f>
        <v>0</v>
      </c>
      <c r="G888" s="228">
        <f>IF(E888&gt;0,-'Main Budget'!$F$25+0.81,0)</f>
        <v>0</v>
      </c>
      <c r="H888" s="227">
        <f>IF(DAY(A888)='Main Budget'!$J$26,'Main Budget'!$E$26,0)</f>
        <v>0</v>
      </c>
      <c r="I888" s="227">
        <f>IF(DAY(A888)='Main Budget'!$J$28,'Main Budget'!$E$28,0)</f>
        <v>0</v>
      </c>
      <c r="J888" s="227">
        <f>IF(DAY(A888)='Main Budget'!$J$29,'Main Budget'!$E$29,0)</f>
        <v>0</v>
      </c>
      <c r="K888" s="20">
        <f>IF(DAY(A888)='Main Budget'!$J$30,'Main Budget'!$E$30,0)</f>
        <v>0</v>
      </c>
      <c r="L888" s="20">
        <f>IF(DAY(A888)='Main Budget'!$J$31,'Main Budget'!$E$31,0)</f>
        <v>0</v>
      </c>
      <c r="M888" s="20">
        <f>IF(DAY(A888)='Main Budget'!$J$27,'Main Budget'!$E$27,0)</f>
        <v>0</v>
      </c>
      <c r="O888" s="228">
        <f>B888+(SUM(H888:M888)+(SUM(D888:E888)))</f>
        <v>100</v>
      </c>
      <c r="P888" s="228">
        <f>C888+F888+G888+N888</f>
        <v>100</v>
      </c>
      <c r="Q888" s="252">
        <f>O888+P888</f>
        <v>200</v>
      </c>
      <c r="S888" s="231" t="str">
        <f>TEXT(A888,"dddd")</f>
        <v>Monday</v>
      </c>
    </row>
    <row r="889" spans="1:19" x14ac:dyDescent="0.25">
      <c r="A889" s="226">
        <v>46910</v>
      </c>
      <c r="B889" s="227">
        <f>O888</f>
        <v>100</v>
      </c>
      <c r="C889" s="228">
        <f>P888</f>
        <v>100</v>
      </c>
      <c r="D889" s="228">
        <f>IF(OR(DAY(A889+2)=1,DAY(A889+2)=15),-SUM('Main Budget'!$H$26:$H$31),0)</f>
        <v>0</v>
      </c>
      <c r="E889" s="228">
        <f>IF(DAY(A889+2)=22,-SUM('Main Budget'!$F$26:$F$31),0)</f>
        <v>0</v>
      </c>
      <c r="F889" s="228">
        <f>IF(D889&gt;0,-'Main Budget'!$H$25+0.15,0)</f>
        <v>0</v>
      </c>
      <c r="G889" s="228">
        <f>IF(E889&gt;0,-'Main Budget'!$F$25+0.81,0)</f>
        <v>0</v>
      </c>
      <c r="H889" s="227">
        <f>IF(DAY(A889)='Main Budget'!$J$26,'Main Budget'!$E$26,0)</f>
        <v>0</v>
      </c>
      <c r="I889" s="227">
        <f>IF(DAY(A889)='Main Budget'!$J$28,'Main Budget'!$E$28,0)</f>
        <v>0</v>
      </c>
      <c r="J889" s="227">
        <f>IF(DAY(A889)='Main Budget'!$J$29,'Main Budget'!$E$29,0)</f>
        <v>0</v>
      </c>
      <c r="K889" s="20">
        <f>IF(DAY(A889)='Main Budget'!$J$30,'Main Budget'!$E$30,0)</f>
        <v>0</v>
      </c>
      <c r="L889" s="20">
        <f>IF(DAY(A889)='Main Budget'!$J$31,'Main Budget'!$E$31,0)</f>
        <v>0</v>
      </c>
      <c r="M889" s="20">
        <f>IF(DAY(A889)='Main Budget'!$J$27,'Main Budget'!$E$27,0)</f>
        <v>0</v>
      </c>
      <c r="O889" s="228">
        <f>B889+(SUM(H889:M889)+(SUM(D889:E889)))</f>
        <v>100</v>
      </c>
      <c r="P889" s="228">
        <f>C889+F889+G889+N889</f>
        <v>100</v>
      </c>
      <c r="Q889" s="252">
        <f>O889+P889</f>
        <v>200</v>
      </c>
      <c r="S889" s="231" t="str">
        <f>TEXT(A889,"dddd")</f>
        <v>Tuesday</v>
      </c>
    </row>
    <row r="890" spans="1:19" x14ac:dyDescent="0.25">
      <c r="A890" s="226">
        <v>46911</v>
      </c>
      <c r="B890" s="227">
        <f>O889</f>
        <v>100</v>
      </c>
      <c r="C890" s="228">
        <f>P889</f>
        <v>100</v>
      </c>
      <c r="D890" s="228">
        <f>IF(OR(DAY(A890+2)=1,DAY(A890+2)=15),-SUM('Main Budget'!$H$26:$H$31),0)</f>
        <v>0</v>
      </c>
      <c r="E890" s="228">
        <f>IF(DAY(A890+2)=22,-SUM('Main Budget'!$F$26:$F$31),0)</f>
        <v>0</v>
      </c>
      <c r="F890" s="228">
        <f>IF(D890&gt;0,-'Main Budget'!$H$25+0.15,0)</f>
        <v>0</v>
      </c>
      <c r="G890" s="228">
        <f>IF(E890&gt;0,-'Main Budget'!$F$25+0.81,0)</f>
        <v>0</v>
      </c>
      <c r="H890" s="227">
        <f>IF(DAY(A890)='Main Budget'!$J$26,'Main Budget'!$E$26,0)</f>
        <v>0</v>
      </c>
      <c r="I890" s="227">
        <f>IF(DAY(A890)='Main Budget'!$J$28,'Main Budget'!$E$28,0)</f>
        <v>0</v>
      </c>
      <c r="J890" s="227">
        <f>IF(DAY(A890)='Main Budget'!$J$29,'Main Budget'!$E$29,0)</f>
        <v>0</v>
      </c>
      <c r="K890" s="20">
        <f>IF(DAY(A890)='Main Budget'!$J$30,'Main Budget'!$E$30,0)</f>
        <v>0</v>
      </c>
      <c r="L890" s="20">
        <f>IF(DAY(A890)='Main Budget'!$J$31,'Main Budget'!$E$31,0)</f>
        <v>0</v>
      </c>
      <c r="M890" s="20">
        <f>IF(DAY(A890)='Main Budget'!$J$27,'Main Budget'!$E$27,0)</f>
        <v>0</v>
      </c>
      <c r="O890" s="228">
        <f>B890+(SUM(H890:M890)+(SUM(D890:E890)))</f>
        <v>100</v>
      </c>
      <c r="P890" s="228">
        <f>C890+F890+G890+N890</f>
        <v>100</v>
      </c>
      <c r="Q890" s="252">
        <f>O890+P890</f>
        <v>200</v>
      </c>
      <c r="S890" s="231" t="str">
        <f>TEXT(A890,"dddd")</f>
        <v>Wednesday</v>
      </c>
    </row>
    <row r="891" spans="1:19" x14ac:dyDescent="0.25">
      <c r="A891" s="226">
        <v>46912</v>
      </c>
      <c r="B891" s="227">
        <f>O890</f>
        <v>100</v>
      </c>
      <c r="C891" s="228">
        <f>P890</f>
        <v>100</v>
      </c>
      <c r="D891" s="228">
        <f>IF(OR(DAY(A891+2)=1,DAY(A891+2)=15),-SUM('Main Budget'!$H$26:$H$31),0)</f>
        <v>0</v>
      </c>
      <c r="E891" s="228">
        <f>IF(DAY(A891+2)=22,-SUM('Main Budget'!$F$26:$F$31),0)</f>
        <v>0</v>
      </c>
      <c r="F891" s="228">
        <f>IF(D891&gt;0,-'Main Budget'!$H$25+0.15,0)</f>
        <v>0</v>
      </c>
      <c r="G891" s="228">
        <f>IF(E891&gt;0,-'Main Budget'!$F$25+0.81,0)</f>
        <v>0</v>
      </c>
      <c r="H891" s="227">
        <f>IF(DAY(A891)='Main Budget'!$J$26,'Main Budget'!$E$26,0)</f>
        <v>0</v>
      </c>
      <c r="I891" s="227">
        <f>IF(DAY(A891)='Main Budget'!$J$28,'Main Budget'!$E$28,0)</f>
        <v>0</v>
      </c>
      <c r="J891" s="227">
        <f>IF(DAY(A891)='Main Budget'!$J$29,'Main Budget'!$E$29,0)</f>
        <v>0</v>
      </c>
      <c r="K891" s="20">
        <f>IF(DAY(A891)='Main Budget'!$J$30,'Main Budget'!$E$30,0)</f>
        <v>0</v>
      </c>
      <c r="L891" s="20">
        <f>IF(DAY(A891)='Main Budget'!$J$31,'Main Budget'!$E$31,0)</f>
        <v>0</v>
      </c>
      <c r="M891" s="20">
        <f>IF(DAY(A891)='Main Budget'!$J$27,'Main Budget'!$E$27,0)</f>
        <v>0</v>
      </c>
      <c r="O891" s="228">
        <f>B891+(SUM(H891:M891)+(SUM(D891:E891)))</f>
        <v>100</v>
      </c>
      <c r="P891" s="228">
        <f>C891+F891+G891+N891</f>
        <v>100</v>
      </c>
      <c r="Q891" s="252">
        <f>O891+P891</f>
        <v>200</v>
      </c>
      <c r="S891" s="231" t="str">
        <f>TEXT(A891,"dddd")</f>
        <v>Thursday</v>
      </c>
    </row>
    <row r="892" spans="1:19" x14ac:dyDescent="0.25">
      <c r="A892" s="226">
        <v>46913</v>
      </c>
      <c r="B892" s="227">
        <f>O891</f>
        <v>100</v>
      </c>
      <c r="C892" s="228">
        <f>P891</f>
        <v>100</v>
      </c>
      <c r="D892" s="228">
        <f>IF(OR(DAY(A892+2)=1,DAY(A892+2)=15),-SUM('Main Budget'!$H$26:$H$31),0)</f>
        <v>0</v>
      </c>
      <c r="E892" s="228">
        <f>IF(DAY(A892+2)=22,-SUM('Main Budget'!$F$26:$F$31),0)</f>
        <v>0</v>
      </c>
      <c r="F892" s="228">
        <f>IF(D892&gt;0,-'Main Budget'!$H$25+0.15,0)</f>
        <v>0</v>
      </c>
      <c r="G892" s="228">
        <f>IF(E892&gt;0,-'Main Budget'!$F$25+0.81,0)</f>
        <v>0</v>
      </c>
      <c r="H892" s="227">
        <f>IF(DAY(A892)='Main Budget'!$J$26,'Main Budget'!$E$26,0)</f>
        <v>0</v>
      </c>
      <c r="I892" s="227">
        <f>IF(DAY(A892)='Main Budget'!$J$28,'Main Budget'!$E$28,0)</f>
        <v>0</v>
      </c>
      <c r="J892" s="227">
        <f>IF(DAY(A892)='Main Budget'!$J$29,'Main Budget'!$E$29,0)</f>
        <v>0</v>
      </c>
      <c r="K892" s="20">
        <f>IF(DAY(A892)='Main Budget'!$J$30,'Main Budget'!$E$30,0)</f>
        <v>0</v>
      </c>
      <c r="L892" s="20">
        <f>IF(DAY(A892)='Main Budget'!$J$31,'Main Budget'!$E$31,0)</f>
        <v>0</v>
      </c>
      <c r="M892" s="20">
        <f>IF(DAY(A892)='Main Budget'!$J$27,'Main Budget'!$E$27,0)</f>
        <v>0</v>
      </c>
      <c r="O892" s="228">
        <f>B892+(SUM(H892:M892)+(SUM(D892:E892)))</f>
        <v>100</v>
      </c>
      <c r="P892" s="228">
        <f>C892+F892+G892+N892</f>
        <v>100</v>
      </c>
      <c r="Q892" s="252">
        <f>O892+P892</f>
        <v>200</v>
      </c>
      <c r="S892" s="231" t="str">
        <f>TEXT(A892,"dddd")</f>
        <v>Friday</v>
      </c>
    </row>
    <row r="893" spans="1:19" x14ac:dyDescent="0.25">
      <c r="A893" s="226">
        <v>46914</v>
      </c>
      <c r="B893" s="227">
        <f>O892</f>
        <v>100</v>
      </c>
      <c r="C893" s="228">
        <f>P892</f>
        <v>100</v>
      </c>
      <c r="D893" s="228">
        <f>IF(OR(DAY(A893+2)=1,DAY(A893+2)=15),-SUM('Main Budget'!$H$26:$H$31),0)</f>
        <v>0</v>
      </c>
      <c r="E893" s="228">
        <f>IF(DAY(A893+2)=22,-SUM('Main Budget'!$F$26:$F$31),0)</f>
        <v>0</v>
      </c>
      <c r="F893" s="228">
        <f>IF(D893&gt;0,-'Main Budget'!$H$25+0.15,0)</f>
        <v>0</v>
      </c>
      <c r="G893" s="228">
        <f>IF(E893&gt;0,-'Main Budget'!$F$25+0.81,0)</f>
        <v>0</v>
      </c>
      <c r="H893" s="227">
        <f>IF(DAY(A893)='Main Budget'!$J$26,'Main Budget'!$E$26,0)</f>
        <v>0</v>
      </c>
      <c r="I893" s="227">
        <f>IF(DAY(A893)='Main Budget'!$J$28,'Main Budget'!$E$28,0)</f>
        <v>0</v>
      </c>
      <c r="J893" s="227">
        <f>IF(DAY(A893)='Main Budget'!$J$29,'Main Budget'!$E$29,0)</f>
        <v>0</v>
      </c>
      <c r="K893" s="20">
        <f>IF(DAY(A893)='Main Budget'!$J$30,'Main Budget'!$E$30,0)</f>
        <v>0</v>
      </c>
      <c r="L893" s="20">
        <f>IF(DAY(A893)='Main Budget'!$J$31,'Main Budget'!$E$31,0)</f>
        <v>0</v>
      </c>
      <c r="M893" s="20">
        <f>IF(DAY(A893)='Main Budget'!$J$27,'Main Budget'!$E$27,0)</f>
        <v>0</v>
      </c>
      <c r="O893" s="228">
        <f>B893+(SUM(H893:M893)+(SUM(D893:E893)))</f>
        <v>100</v>
      </c>
      <c r="P893" s="228">
        <f>C893+F893+G893+N893</f>
        <v>100</v>
      </c>
      <c r="Q893" s="252">
        <f>O893+P893</f>
        <v>200</v>
      </c>
      <c r="S893" s="231" t="str">
        <f>TEXT(A893,"dddd")</f>
        <v>Saturday</v>
      </c>
    </row>
    <row r="894" spans="1:19" x14ac:dyDescent="0.25">
      <c r="A894" s="226">
        <v>46915</v>
      </c>
      <c r="B894" s="227">
        <f>O893</f>
        <v>100</v>
      </c>
      <c r="C894" s="228">
        <f>P893</f>
        <v>100</v>
      </c>
      <c r="D894" s="228">
        <f>IF(OR(DAY(A894+2)=1,DAY(A894+2)=15),-SUM('Main Budget'!$H$26:$H$31),0)</f>
        <v>0</v>
      </c>
      <c r="E894" s="228">
        <f>IF(DAY(A894+2)=22,-SUM('Main Budget'!$F$26:$F$31),0)</f>
        <v>0</v>
      </c>
      <c r="F894" s="228">
        <f>IF(D894&gt;0,-'Main Budget'!$H$25+0.15,0)</f>
        <v>0</v>
      </c>
      <c r="G894" s="228">
        <f>IF(E894&gt;0,-'Main Budget'!$F$25+0.81,0)</f>
        <v>0</v>
      </c>
      <c r="H894" s="227">
        <f>IF(DAY(A894)='Main Budget'!$J$26,'Main Budget'!$E$26,0)</f>
        <v>0</v>
      </c>
      <c r="I894" s="227">
        <f>IF(DAY(A894)='Main Budget'!$J$28,'Main Budget'!$E$28,0)</f>
        <v>0</v>
      </c>
      <c r="J894" s="227">
        <f>IF(DAY(A894)='Main Budget'!$J$29,'Main Budget'!$E$29,0)</f>
        <v>0</v>
      </c>
      <c r="K894" s="20">
        <f>IF(DAY(A894)='Main Budget'!$J$30,'Main Budget'!$E$30,0)</f>
        <v>0</v>
      </c>
      <c r="L894" s="20">
        <f>IF(DAY(A894)='Main Budget'!$J$31,'Main Budget'!$E$31,0)</f>
        <v>0</v>
      </c>
      <c r="M894" s="20">
        <f>IF(DAY(A894)='Main Budget'!$J$27,'Main Budget'!$E$27,0)</f>
        <v>0</v>
      </c>
      <c r="O894" s="228">
        <f>B894+(SUM(H894:M894)+(SUM(D894:E894)))</f>
        <v>100</v>
      </c>
      <c r="P894" s="228">
        <f>C894+F894+G894+N894</f>
        <v>100</v>
      </c>
      <c r="Q894" s="252">
        <f>O894+P894</f>
        <v>200</v>
      </c>
      <c r="S894" s="231" t="str">
        <f>TEXT(A894,"dddd")</f>
        <v>Sunday</v>
      </c>
    </row>
    <row r="895" spans="1:19" x14ac:dyDescent="0.25">
      <c r="A895" s="226">
        <v>46916</v>
      </c>
      <c r="B895" s="227">
        <f>O894</f>
        <v>100</v>
      </c>
      <c r="C895" s="228">
        <f>P894</f>
        <v>100</v>
      </c>
      <c r="D895" s="228">
        <f>IF(OR(DAY(A895+2)=1,DAY(A895+2)=15),-SUM('Main Budget'!$H$26:$H$31),0)</f>
        <v>0</v>
      </c>
      <c r="E895" s="228">
        <f>IF(DAY(A895+2)=22,-SUM('Main Budget'!$F$26:$F$31),0)</f>
        <v>0</v>
      </c>
      <c r="F895" s="228">
        <f>IF(D895&gt;0,-'Main Budget'!$H$25+0.15,0)</f>
        <v>0</v>
      </c>
      <c r="G895" s="228">
        <f>IF(E895&gt;0,-'Main Budget'!$F$25+0.81,0)</f>
        <v>0</v>
      </c>
      <c r="H895" s="227">
        <f>IF(DAY(A895)='Main Budget'!$J$26,'Main Budget'!$E$26,0)</f>
        <v>0</v>
      </c>
      <c r="I895" s="227">
        <f>IF(DAY(A895)='Main Budget'!$J$28,'Main Budget'!$E$28,0)</f>
        <v>0</v>
      </c>
      <c r="J895" s="227">
        <f>IF(DAY(A895)='Main Budget'!$J$29,'Main Budget'!$E$29,0)</f>
        <v>0</v>
      </c>
      <c r="K895" s="20">
        <f>IF(DAY(A895)='Main Budget'!$J$30,'Main Budget'!$E$30,0)</f>
        <v>0</v>
      </c>
      <c r="L895" s="20">
        <f>IF(DAY(A895)='Main Budget'!$J$31,'Main Budget'!$E$31,0)</f>
        <v>0</v>
      </c>
      <c r="M895" s="20">
        <f>IF(DAY(A895)='Main Budget'!$J$27,'Main Budget'!$E$27,0)</f>
        <v>0</v>
      </c>
      <c r="O895" s="228">
        <f>B895+(SUM(H895:M895)+(SUM(D895:E895)))</f>
        <v>100</v>
      </c>
      <c r="P895" s="228">
        <f>C895+F895+G895+N895</f>
        <v>100</v>
      </c>
      <c r="Q895" s="252">
        <f>O895+P895</f>
        <v>200</v>
      </c>
      <c r="S895" s="231" t="str">
        <f>TEXT(A895,"dddd")</f>
        <v>Monday</v>
      </c>
    </row>
    <row r="896" spans="1:19" x14ac:dyDescent="0.25">
      <c r="A896" s="226">
        <v>46917</v>
      </c>
      <c r="B896" s="227">
        <f>O895</f>
        <v>100</v>
      </c>
      <c r="C896" s="228">
        <f>P895</f>
        <v>100</v>
      </c>
      <c r="D896" s="228">
        <f>IF(OR(DAY(A896+2)=1,DAY(A896+2)=15),-SUM('Main Budget'!$H$26:$H$31),0)</f>
        <v>0</v>
      </c>
      <c r="E896" s="228">
        <f>IF(DAY(A896+2)=22,-SUM('Main Budget'!$F$26:$F$31),0)</f>
        <v>0</v>
      </c>
      <c r="F896" s="228">
        <f>IF(D896&gt;0,-'Main Budget'!$H$25+0.15,0)</f>
        <v>0</v>
      </c>
      <c r="G896" s="228">
        <f>IF(E896&gt;0,-'Main Budget'!$F$25+0.81,0)</f>
        <v>0</v>
      </c>
      <c r="H896" s="227">
        <f>IF(DAY(A896)='Main Budget'!$J$26,'Main Budget'!$E$26,0)</f>
        <v>0</v>
      </c>
      <c r="I896" s="227">
        <f>IF(DAY(A896)='Main Budget'!$J$28,'Main Budget'!$E$28,0)</f>
        <v>0</v>
      </c>
      <c r="J896" s="227">
        <f>IF(DAY(A896)='Main Budget'!$J$29,'Main Budget'!$E$29,0)</f>
        <v>0</v>
      </c>
      <c r="K896" s="20">
        <f>IF(DAY(A896)='Main Budget'!$J$30,'Main Budget'!$E$30,0)</f>
        <v>0</v>
      </c>
      <c r="L896" s="20">
        <f>IF(DAY(A896)='Main Budget'!$J$31,'Main Budget'!$E$31,0)</f>
        <v>0</v>
      </c>
      <c r="M896" s="20">
        <f>IF(DAY(A896)='Main Budget'!$J$27,'Main Budget'!$E$27,0)</f>
        <v>0</v>
      </c>
      <c r="O896" s="228">
        <f>B896+(SUM(H896:M896)+(SUM(D896:E896)))</f>
        <v>100</v>
      </c>
      <c r="P896" s="228">
        <f>C896+F896+G896+N896</f>
        <v>100</v>
      </c>
      <c r="Q896" s="252">
        <f>O896+P896</f>
        <v>200</v>
      </c>
      <c r="S896" s="231" t="str">
        <f>TEXT(A896,"dddd")</f>
        <v>Tuesday</v>
      </c>
    </row>
    <row r="897" spans="1:19" x14ac:dyDescent="0.25">
      <c r="A897" s="226">
        <v>46918</v>
      </c>
      <c r="B897" s="227">
        <f>O896</f>
        <v>100</v>
      </c>
      <c r="C897" s="228">
        <f>P896</f>
        <v>100</v>
      </c>
      <c r="D897" s="228">
        <f>IF(OR(DAY(A897+2)=1,DAY(A897+2)=15),-SUM('Main Budget'!$H$26:$H$31),0)</f>
        <v>0</v>
      </c>
      <c r="E897" s="228">
        <f>IF(DAY(A897+2)=22,-SUM('Main Budget'!$F$26:$F$31),0)</f>
        <v>0</v>
      </c>
      <c r="F897" s="228">
        <f>IF(D897&gt;0,-'Main Budget'!$H$25+0.15,0)</f>
        <v>0</v>
      </c>
      <c r="G897" s="228">
        <f>IF(E897&gt;0,-'Main Budget'!$F$25+0.81,0)</f>
        <v>0</v>
      </c>
      <c r="H897" s="227">
        <f>IF(DAY(A897)='Main Budget'!$J$26,'Main Budget'!$E$26,0)</f>
        <v>0</v>
      </c>
      <c r="I897" s="227">
        <f>IF(DAY(A897)='Main Budget'!$J$28,'Main Budget'!$E$28,0)</f>
        <v>0</v>
      </c>
      <c r="J897" s="227">
        <f>IF(DAY(A897)='Main Budget'!$J$29,'Main Budget'!$E$29,0)</f>
        <v>0</v>
      </c>
      <c r="K897" s="20">
        <f>IF(DAY(A897)='Main Budget'!$J$30,'Main Budget'!$E$30,0)</f>
        <v>0</v>
      </c>
      <c r="L897" s="20">
        <f>IF(DAY(A897)='Main Budget'!$J$31,'Main Budget'!$E$31,0)</f>
        <v>0</v>
      </c>
      <c r="M897" s="20">
        <f>IF(DAY(A897)='Main Budget'!$J$27,'Main Budget'!$E$27,0)</f>
        <v>0</v>
      </c>
      <c r="O897" s="228">
        <f>B897+(SUM(H897:M897)+(SUM(D897:E897)))</f>
        <v>100</v>
      </c>
      <c r="P897" s="228">
        <f>C897+F897+G897+N897</f>
        <v>100</v>
      </c>
      <c r="Q897" s="252">
        <f>O897+P897</f>
        <v>200</v>
      </c>
      <c r="S897" s="231" t="str">
        <f>TEXT(A897,"dddd")</f>
        <v>Wednesday</v>
      </c>
    </row>
    <row r="898" spans="1:19" x14ac:dyDescent="0.25">
      <c r="A898" s="226">
        <v>46919</v>
      </c>
      <c r="B898" s="227">
        <f>O897</f>
        <v>100</v>
      </c>
      <c r="C898" s="228">
        <f>P897</f>
        <v>100</v>
      </c>
      <c r="D898" s="228">
        <f>IF(OR(DAY(A898+2)=1,DAY(A898+2)=15),-SUM('Main Budget'!$H$26:$H$31),0)</f>
        <v>0</v>
      </c>
      <c r="E898" s="228">
        <f>IF(DAY(A898+2)=22,-SUM('Main Budget'!$F$26:$F$31),0)</f>
        <v>0</v>
      </c>
      <c r="F898" s="228">
        <f>IF(D898&gt;0,-'Main Budget'!$H$25+0.15,0)</f>
        <v>0</v>
      </c>
      <c r="G898" s="228">
        <f>IF(E898&gt;0,-'Main Budget'!$F$25+0.81,0)</f>
        <v>0</v>
      </c>
      <c r="H898" s="227">
        <f>IF(DAY(A898)='Main Budget'!$J$26,'Main Budget'!$E$26,0)</f>
        <v>0</v>
      </c>
      <c r="I898" s="227">
        <f>IF(DAY(A898)='Main Budget'!$J$28,'Main Budget'!$E$28,0)</f>
        <v>0</v>
      </c>
      <c r="J898" s="227">
        <f>IF(DAY(A898)='Main Budget'!$J$29,'Main Budget'!$E$29,0)</f>
        <v>0</v>
      </c>
      <c r="K898" s="20">
        <f>IF(DAY(A898)='Main Budget'!$J$30,'Main Budget'!$E$30,0)</f>
        <v>0</v>
      </c>
      <c r="L898" s="20">
        <f>IF(DAY(A898)='Main Budget'!$J$31,'Main Budget'!$E$31,0)</f>
        <v>0</v>
      </c>
      <c r="M898" s="20">
        <f>IF(DAY(A898)='Main Budget'!$J$27,'Main Budget'!$E$27,0)</f>
        <v>0</v>
      </c>
      <c r="O898" s="228">
        <f>B898+(SUM(H898:M898)+(SUM(D898:E898)))</f>
        <v>100</v>
      </c>
      <c r="P898" s="228">
        <f>C898+F898+G898+N898</f>
        <v>100</v>
      </c>
      <c r="Q898" s="252">
        <f>O898+P898</f>
        <v>200</v>
      </c>
      <c r="S898" s="231" t="str">
        <f>TEXT(A898,"dddd")</f>
        <v>Thursday</v>
      </c>
    </row>
    <row r="899" spans="1:19" x14ac:dyDescent="0.25">
      <c r="A899" s="226">
        <v>46920</v>
      </c>
      <c r="B899" s="227">
        <f>O898</f>
        <v>100</v>
      </c>
      <c r="C899" s="228">
        <f>P898</f>
        <v>100</v>
      </c>
      <c r="D899" s="228">
        <f>IF(OR(DAY(A899+2)=1,DAY(A899+2)=15),-SUM('Main Budget'!$H$26:$H$31),0)</f>
        <v>0</v>
      </c>
      <c r="E899" s="228">
        <f>IF(DAY(A899+2)=22,-SUM('Main Budget'!$F$26:$F$31),0)</f>
        <v>0</v>
      </c>
      <c r="F899" s="228">
        <f>IF(D899&gt;0,-'Main Budget'!$H$25+0.15,0)</f>
        <v>0</v>
      </c>
      <c r="G899" s="228">
        <f>IF(E899&gt;0,-'Main Budget'!$F$25+0.81,0)</f>
        <v>0</v>
      </c>
      <c r="H899" s="227">
        <f>IF(DAY(A899)='Main Budget'!$J$26,'Main Budget'!$E$26,0)</f>
        <v>0</v>
      </c>
      <c r="I899" s="227">
        <f>IF(DAY(A899)='Main Budget'!$J$28,'Main Budget'!$E$28,0)</f>
        <v>0</v>
      </c>
      <c r="J899" s="227">
        <f>IF(DAY(A899)='Main Budget'!$J$29,'Main Budget'!$E$29,0)</f>
        <v>0</v>
      </c>
      <c r="K899" s="20">
        <f>IF(DAY(A899)='Main Budget'!$J$30,'Main Budget'!$E$30,0)</f>
        <v>0</v>
      </c>
      <c r="L899" s="20">
        <f>IF(DAY(A899)='Main Budget'!$J$31,'Main Budget'!$E$31,0)</f>
        <v>0</v>
      </c>
      <c r="M899" s="20">
        <f>IF(DAY(A899)='Main Budget'!$J$27,'Main Budget'!$E$27,0)</f>
        <v>0</v>
      </c>
      <c r="O899" s="228">
        <f>B899+(SUM(H899:M899)+(SUM(D899:E899)))</f>
        <v>100</v>
      </c>
      <c r="P899" s="228">
        <f>C899+F899+G899+N899</f>
        <v>100</v>
      </c>
      <c r="Q899" s="252">
        <f>O899+P899</f>
        <v>200</v>
      </c>
      <c r="S899" s="231" t="str">
        <f>TEXT(A899,"dddd")</f>
        <v>Friday</v>
      </c>
    </row>
    <row r="900" spans="1:19" x14ac:dyDescent="0.25">
      <c r="A900" s="226">
        <v>46921</v>
      </c>
      <c r="B900" s="227">
        <f>O899</f>
        <v>100</v>
      </c>
      <c r="C900" s="228">
        <f>P899</f>
        <v>100</v>
      </c>
      <c r="D900" s="228">
        <f>IF(OR(DAY(A900+2)=1,DAY(A900+2)=15),-SUM('Main Budget'!$H$26:$H$31),0)</f>
        <v>0</v>
      </c>
      <c r="E900" s="228">
        <f>IF(DAY(A900+2)=22,-SUM('Main Budget'!$F$26:$F$31),0)</f>
        <v>0</v>
      </c>
      <c r="F900" s="228">
        <f>IF(D900&gt;0,-'Main Budget'!$H$25+0.15,0)</f>
        <v>0</v>
      </c>
      <c r="G900" s="228">
        <f>IF(E900&gt;0,-'Main Budget'!$F$25+0.81,0)</f>
        <v>0</v>
      </c>
      <c r="H900" s="227">
        <f>IF(DAY(A900)='Main Budget'!$J$26,'Main Budget'!$E$26,0)</f>
        <v>0</v>
      </c>
      <c r="I900" s="227">
        <f>IF(DAY(A900)='Main Budget'!$J$28,'Main Budget'!$E$28,0)</f>
        <v>0</v>
      </c>
      <c r="J900" s="227">
        <f>IF(DAY(A900)='Main Budget'!$J$29,'Main Budget'!$E$29,0)</f>
        <v>0</v>
      </c>
      <c r="K900" s="20">
        <f>IF(DAY(A900)='Main Budget'!$J$30,'Main Budget'!$E$30,0)</f>
        <v>0</v>
      </c>
      <c r="L900" s="20">
        <f>IF(DAY(A900)='Main Budget'!$J$31,'Main Budget'!$E$31,0)</f>
        <v>0</v>
      </c>
      <c r="M900" s="20">
        <f>IF(DAY(A900)='Main Budget'!$J$27,'Main Budget'!$E$27,0)</f>
        <v>0</v>
      </c>
      <c r="O900" s="228">
        <f>B900+(SUM(H900:M900)+(SUM(D900:E900)))</f>
        <v>100</v>
      </c>
      <c r="P900" s="228">
        <f>C900+F900+G900+N900</f>
        <v>100</v>
      </c>
      <c r="Q900" s="252">
        <f>O900+P900</f>
        <v>200</v>
      </c>
      <c r="S900" s="231" t="str">
        <f>TEXT(A900,"dddd")</f>
        <v>Saturday</v>
      </c>
    </row>
    <row r="901" spans="1:19" x14ac:dyDescent="0.25">
      <c r="A901" s="226">
        <v>46922</v>
      </c>
      <c r="B901" s="227">
        <f>O900</f>
        <v>100</v>
      </c>
      <c r="C901" s="228">
        <f>P900</f>
        <v>100</v>
      </c>
      <c r="D901" s="228">
        <f>IF(OR(DAY(A901+2)=1,DAY(A901+2)=15),-SUM('Main Budget'!$H$26:$H$31),0)</f>
        <v>0</v>
      </c>
      <c r="E901" s="228">
        <f>IF(DAY(A901+2)=22,-SUM('Main Budget'!$F$26:$F$31),0)</f>
        <v>0</v>
      </c>
      <c r="F901" s="228">
        <f>IF(D901&gt;0,-'Main Budget'!$H$25+0.15,0)</f>
        <v>0</v>
      </c>
      <c r="G901" s="228">
        <f>IF(E901&gt;0,-'Main Budget'!$F$25+0.81,0)</f>
        <v>0</v>
      </c>
      <c r="H901" s="227">
        <f>IF(DAY(A901)='Main Budget'!$J$26,'Main Budget'!$E$26,0)</f>
        <v>0</v>
      </c>
      <c r="I901" s="227">
        <f>IF(DAY(A901)='Main Budget'!$J$28,'Main Budget'!$E$28,0)</f>
        <v>0</v>
      </c>
      <c r="J901" s="227">
        <f>IF(DAY(A901)='Main Budget'!$J$29,'Main Budget'!$E$29,0)</f>
        <v>0</v>
      </c>
      <c r="K901" s="20">
        <f>IF(DAY(A901)='Main Budget'!$J$30,'Main Budget'!$E$30,0)</f>
        <v>0</v>
      </c>
      <c r="L901" s="20">
        <f>IF(DAY(A901)='Main Budget'!$J$31,'Main Budget'!$E$31,0)</f>
        <v>0</v>
      </c>
      <c r="M901" s="20">
        <f>IF(DAY(A901)='Main Budget'!$J$27,'Main Budget'!$E$27,0)</f>
        <v>0</v>
      </c>
      <c r="O901" s="228">
        <f>B901+(SUM(H901:M901)+(SUM(D901:E901)))</f>
        <v>100</v>
      </c>
      <c r="P901" s="228">
        <f>C901+F901+G901+N901</f>
        <v>100</v>
      </c>
      <c r="Q901" s="252">
        <f>O901+P901</f>
        <v>200</v>
      </c>
      <c r="S901" s="231" t="str">
        <f>TEXT(A901,"dddd")</f>
        <v>Sunday</v>
      </c>
    </row>
    <row r="902" spans="1:19" x14ac:dyDescent="0.25">
      <c r="A902" s="226">
        <v>46923</v>
      </c>
      <c r="B902" s="227">
        <f>O901</f>
        <v>100</v>
      </c>
      <c r="C902" s="228">
        <f>P901</f>
        <v>100</v>
      </c>
      <c r="D902" s="228">
        <f>IF(OR(DAY(A902+2)=1,DAY(A902+2)=15),-SUM('Main Budget'!$H$26:$H$31),0)</f>
        <v>0</v>
      </c>
      <c r="E902" s="228">
        <f>IF(DAY(A902+2)=22,-SUM('Main Budget'!$F$26:$F$31),0)</f>
        <v>0</v>
      </c>
      <c r="F902" s="228">
        <f>IF(D902&gt;0,-'Main Budget'!$H$25+0.15,0)</f>
        <v>0</v>
      </c>
      <c r="G902" s="228">
        <f>IF(E902&gt;0,-'Main Budget'!$F$25+0.81,0)</f>
        <v>0</v>
      </c>
      <c r="H902" s="227">
        <f>IF(DAY(A902)='Main Budget'!$J$26,'Main Budget'!$E$26,0)</f>
        <v>0</v>
      </c>
      <c r="I902" s="227">
        <f>IF(DAY(A902)='Main Budget'!$J$28,'Main Budget'!$E$28,0)</f>
        <v>0</v>
      </c>
      <c r="J902" s="227">
        <f>IF(DAY(A902)='Main Budget'!$J$29,'Main Budget'!$E$29,0)</f>
        <v>0</v>
      </c>
      <c r="K902" s="20">
        <f>IF(DAY(A902)='Main Budget'!$J$30,'Main Budget'!$E$30,0)</f>
        <v>0</v>
      </c>
      <c r="L902" s="20">
        <f>IF(DAY(A902)='Main Budget'!$J$31,'Main Budget'!$E$31,0)</f>
        <v>0</v>
      </c>
      <c r="M902" s="20">
        <f>IF(DAY(A902)='Main Budget'!$J$27,'Main Budget'!$E$27,0)</f>
        <v>0</v>
      </c>
      <c r="O902" s="228">
        <f>B902+(SUM(H902:M902)+(SUM(D902:E902)))</f>
        <v>100</v>
      </c>
      <c r="P902" s="228">
        <f>C902+F902+G902+N902</f>
        <v>100</v>
      </c>
      <c r="Q902" s="252">
        <f>O902+P902</f>
        <v>200</v>
      </c>
      <c r="S902" s="231" t="str">
        <f>TEXT(A902,"dddd")</f>
        <v>Monday</v>
      </c>
    </row>
    <row r="903" spans="1:19" x14ac:dyDescent="0.25">
      <c r="A903" s="226">
        <v>46924</v>
      </c>
      <c r="B903" s="227">
        <f>O902</f>
        <v>100</v>
      </c>
      <c r="C903" s="228">
        <f>P902</f>
        <v>100</v>
      </c>
      <c r="D903" s="228">
        <f>IF(OR(DAY(A903+2)=1,DAY(A903+2)=15),-SUM('Main Budget'!$H$26:$H$31),0)</f>
        <v>0</v>
      </c>
      <c r="E903" s="228">
        <f>IF(DAY(A903+2)=22,-SUM('Main Budget'!$F$26:$F$31),0)</f>
        <v>0</v>
      </c>
      <c r="F903" s="228">
        <f>IF(D903&gt;0,-'Main Budget'!$H$25+0.15,0)</f>
        <v>0</v>
      </c>
      <c r="G903" s="228">
        <f>IF(E903&gt;0,-'Main Budget'!$F$25+0.81,0)</f>
        <v>0</v>
      </c>
      <c r="H903" s="227">
        <f>IF(DAY(A903)='Main Budget'!$J$26,'Main Budget'!$E$26,0)</f>
        <v>0</v>
      </c>
      <c r="I903" s="227">
        <f>IF(DAY(A903)='Main Budget'!$J$28,'Main Budget'!$E$28,0)</f>
        <v>0</v>
      </c>
      <c r="J903" s="227">
        <f>IF(DAY(A903)='Main Budget'!$J$29,'Main Budget'!$E$29,0)</f>
        <v>0</v>
      </c>
      <c r="K903" s="20">
        <f>IF(DAY(A903)='Main Budget'!$J$30,'Main Budget'!$E$30,0)</f>
        <v>0</v>
      </c>
      <c r="L903" s="20">
        <f>IF(DAY(A903)='Main Budget'!$J$31,'Main Budget'!$E$31,0)</f>
        <v>0</v>
      </c>
      <c r="M903" s="20">
        <f>IF(DAY(A903)='Main Budget'!$J$27,'Main Budget'!$E$27,0)</f>
        <v>0</v>
      </c>
      <c r="O903" s="228">
        <f>B903+(SUM(H903:M903)+(SUM(D903:E903)))</f>
        <v>100</v>
      </c>
      <c r="P903" s="228">
        <f>C903+F903+G903+N903</f>
        <v>100</v>
      </c>
      <c r="Q903" s="252">
        <f>O903+P903</f>
        <v>200</v>
      </c>
      <c r="S903" s="231" t="str">
        <f>TEXT(A903,"dddd")</f>
        <v>Tuesday</v>
      </c>
    </row>
    <row r="904" spans="1:19" x14ac:dyDescent="0.25">
      <c r="A904" s="226">
        <v>46925</v>
      </c>
      <c r="B904" s="227">
        <f>O903</f>
        <v>100</v>
      </c>
      <c r="C904" s="228">
        <f>P903</f>
        <v>100</v>
      </c>
      <c r="D904" s="228">
        <f>IF(OR(DAY(A904+2)=1,DAY(A904+2)=15),-SUM('Main Budget'!$H$26:$H$31),0)</f>
        <v>0</v>
      </c>
      <c r="E904" s="228">
        <f>IF(DAY(A904+2)=22,-SUM('Main Budget'!$F$26:$F$31),0)</f>
        <v>0</v>
      </c>
      <c r="F904" s="228">
        <f>IF(D904&gt;0,-'Main Budget'!$H$25+0.15,0)</f>
        <v>0</v>
      </c>
      <c r="G904" s="228">
        <f>IF(E904&gt;0,-'Main Budget'!$F$25+0.81,0)</f>
        <v>0</v>
      </c>
      <c r="H904" s="227">
        <f>IF(DAY(A904)='Main Budget'!$J$26,'Main Budget'!$E$26,0)</f>
        <v>0</v>
      </c>
      <c r="I904" s="227">
        <f>IF(DAY(A904)='Main Budget'!$J$28,'Main Budget'!$E$28,0)</f>
        <v>0</v>
      </c>
      <c r="J904" s="227">
        <f>IF(DAY(A904)='Main Budget'!$J$29,'Main Budget'!$E$29,0)</f>
        <v>0</v>
      </c>
      <c r="K904" s="20">
        <f>IF(DAY(A904)='Main Budget'!$J$30,'Main Budget'!$E$30,0)</f>
        <v>0</v>
      </c>
      <c r="L904" s="20">
        <f>IF(DAY(A904)='Main Budget'!$J$31,'Main Budget'!$E$31,0)</f>
        <v>0</v>
      </c>
      <c r="M904" s="20">
        <f>IF(DAY(A904)='Main Budget'!$J$27,'Main Budget'!$E$27,0)</f>
        <v>0</v>
      </c>
      <c r="O904" s="228">
        <f>B904+(SUM(H904:M904)+(SUM(D904:E904)))</f>
        <v>100</v>
      </c>
      <c r="P904" s="228">
        <f>C904+F904+G904+N904</f>
        <v>100</v>
      </c>
      <c r="Q904" s="252">
        <f>O904+P904</f>
        <v>200</v>
      </c>
      <c r="S904" s="231" t="str">
        <f>TEXT(A904,"dddd")</f>
        <v>Wednesday</v>
      </c>
    </row>
    <row r="905" spans="1:19" x14ac:dyDescent="0.25">
      <c r="A905" s="226">
        <v>46926</v>
      </c>
      <c r="B905" s="227">
        <f>O904</f>
        <v>100</v>
      </c>
      <c r="C905" s="228">
        <f>P904</f>
        <v>100</v>
      </c>
      <c r="D905" s="228">
        <f>IF(OR(DAY(A905+2)=1,DAY(A905+2)=15),-SUM('Main Budget'!$H$26:$H$31),0)</f>
        <v>0</v>
      </c>
      <c r="E905" s="228">
        <f>IF(DAY(A905+2)=22,-SUM('Main Budget'!$F$26:$F$31),0)</f>
        <v>0</v>
      </c>
      <c r="F905" s="228">
        <f>IF(D905&gt;0,-'Main Budget'!$H$25+0.15,0)</f>
        <v>0</v>
      </c>
      <c r="G905" s="228">
        <f>IF(E905&gt;0,-'Main Budget'!$F$25+0.81,0)</f>
        <v>0</v>
      </c>
      <c r="H905" s="227">
        <f>IF(DAY(A905)='Main Budget'!$J$26,'Main Budget'!$E$26,0)</f>
        <v>0</v>
      </c>
      <c r="I905" s="227">
        <f>IF(DAY(A905)='Main Budget'!$J$28,'Main Budget'!$E$28,0)</f>
        <v>0</v>
      </c>
      <c r="J905" s="227">
        <f>IF(DAY(A905)='Main Budget'!$J$29,'Main Budget'!$E$29,0)</f>
        <v>0</v>
      </c>
      <c r="K905" s="20">
        <f>IF(DAY(A905)='Main Budget'!$J$30,'Main Budget'!$E$30,0)</f>
        <v>0</v>
      </c>
      <c r="L905" s="20">
        <f>IF(DAY(A905)='Main Budget'!$J$31,'Main Budget'!$E$31,0)</f>
        <v>0</v>
      </c>
      <c r="M905" s="20">
        <f>IF(DAY(A905)='Main Budget'!$J$27,'Main Budget'!$E$27,0)</f>
        <v>0</v>
      </c>
      <c r="O905" s="228">
        <f>B905+(SUM(H905:M905)+(SUM(D905:E905)))</f>
        <v>100</v>
      </c>
      <c r="P905" s="228">
        <f>C905+F905+G905+N905</f>
        <v>100</v>
      </c>
      <c r="Q905" s="252">
        <f>O905+P905</f>
        <v>200</v>
      </c>
      <c r="S905" s="231" t="str">
        <f>TEXT(A905,"dddd")</f>
        <v>Thursday</v>
      </c>
    </row>
    <row r="906" spans="1:19" x14ac:dyDescent="0.25">
      <c r="A906" s="226">
        <v>46927</v>
      </c>
      <c r="B906" s="227">
        <f>O905</f>
        <v>100</v>
      </c>
      <c r="C906" s="228">
        <f>P905</f>
        <v>100</v>
      </c>
      <c r="D906" s="228">
        <f>IF(OR(DAY(A906+2)=1,DAY(A906+2)=15),-SUM('Main Budget'!$H$26:$H$31),0)</f>
        <v>0</v>
      </c>
      <c r="E906" s="228">
        <f>IF(DAY(A906+2)=22,-SUM('Main Budget'!$F$26:$F$31),0)</f>
        <v>0</v>
      </c>
      <c r="F906" s="228">
        <f>IF(D906&gt;0,-'Main Budget'!$H$25+0.15,0)</f>
        <v>0</v>
      </c>
      <c r="G906" s="228">
        <f>IF(E906&gt;0,-'Main Budget'!$F$25+0.81,0)</f>
        <v>0</v>
      </c>
      <c r="H906" s="227">
        <f>IF(DAY(A906)='Main Budget'!$J$26,'Main Budget'!$E$26,0)</f>
        <v>0</v>
      </c>
      <c r="I906" s="227">
        <f>IF(DAY(A906)='Main Budget'!$J$28,'Main Budget'!$E$28,0)</f>
        <v>0</v>
      </c>
      <c r="J906" s="227">
        <f>IF(DAY(A906)='Main Budget'!$J$29,'Main Budget'!$E$29,0)</f>
        <v>0</v>
      </c>
      <c r="K906" s="20">
        <f>IF(DAY(A906)='Main Budget'!$J$30,'Main Budget'!$E$30,0)</f>
        <v>0</v>
      </c>
      <c r="L906" s="20">
        <f>IF(DAY(A906)='Main Budget'!$J$31,'Main Budget'!$E$31,0)</f>
        <v>0</v>
      </c>
      <c r="M906" s="20">
        <f>IF(DAY(A906)='Main Budget'!$J$27,'Main Budget'!$E$27,0)</f>
        <v>0</v>
      </c>
      <c r="O906" s="228">
        <f>B906+(SUM(H906:M906)+(SUM(D906:E906)))</f>
        <v>100</v>
      </c>
      <c r="P906" s="228">
        <f>C906+F906+G906+N906</f>
        <v>100</v>
      </c>
      <c r="Q906" s="252">
        <f>O906+P906</f>
        <v>200</v>
      </c>
      <c r="S906" s="231" t="str">
        <f>TEXT(A906,"dddd")</f>
        <v>Friday</v>
      </c>
    </row>
    <row r="907" spans="1:19" x14ac:dyDescent="0.25">
      <c r="A907" s="226">
        <v>46928</v>
      </c>
      <c r="B907" s="227">
        <f>O906</f>
        <v>100</v>
      </c>
      <c r="C907" s="228">
        <f>P906</f>
        <v>100</v>
      </c>
      <c r="D907" s="228">
        <f>IF(OR(DAY(A907+2)=1,DAY(A907+2)=15),-SUM('Main Budget'!$H$26:$H$31),0)</f>
        <v>0</v>
      </c>
      <c r="E907" s="228">
        <f>IF(DAY(A907+2)=22,-SUM('Main Budget'!$F$26:$F$31),0)</f>
        <v>0</v>
      </c>
      <c r="F907" s="228">
        <f>IF(D907&gt;0,-'Main Budget'!$H$25+0.15,0)</f>
        <v>0</v>
      </c>
      <c r="G907" s="228">
        <f>IF(E907&gt;0,-'Main Budget'!$F$25+0.81,0)</f>
        <v>0</v>
      </c>
      <c r="H907" s="227">
        <f>IF(DAY(A907)='Main Budget'!$J$26,'Main Budget'!$E$26,0)</f>
        <v>0</v>
      </c>
      <c r="I907" s="227">
        <f>IF(DAY(A907)='Main Budget'!$J$28,'Main Budget'!$E$28,0)</f>
        <v>0</v>
      </c>
      <c r="J907" s="227">
        <f>IF(DAY(A907)='Main Budget'!$J$29,'Main Budget'!$E$29,0)</f>
        <v>0</v>
      </c>
      <c r="K907" s="20">
        <f>IF(DAY(A907)='Main Budget'!$J$30,'Main Budget'!$E$30,0)</f>
        <v>0</v>
      </c>
      <c r="L907" s="20">
        <f>IF(DAY(A907)='Main Budget'!$J$31,'Main Budget'!$E$31,0)</f>
        <v>0</v>
      </c>
      <c r="M907" s="20">
        <f>IF(DAY(A907)='Main Budget'!$J$27,'Main Budget'!$E$27,0)</f>
        <v>0</v>
      </c>
      <c r="O907" s="228">
        <f>B907+(SUM(H907:M907)+(SUM(D907:E907)))</f>
        <v>100</v>
      </c>
      <c r="P907" s="228">
        <f>C907+F907+G907+N907</f>
        <v>100</v>
      </c>
      <c r="Q907" s="252">
        <f>O907+P907</f>
        <v>200</v>
      </c>
      <c r="S907" s="231" t="str">
        <f>TEXT(A907,"dddd")</f>
        <v>Saturday</v>
      </c>
    </row>
    <row r="908" spans="1:19" x14ac:dyDescent="0.25">
      <c r="A908" s="226">
        <v>46929</v>
      </c>
      <c r="B908" s="227">
        <f>O907</f>
        <v>100</v>
      </c>
      <c r="C908" s="228">
        <f>P907</f>
        <v>100</v>
      </c>
      <c r="D908" s="228">
        <f>IF(OR(DAY(A908+2)=1,DAY(A908+2)=15),-SUM('Main Budget'!$H$26:$H$31),0)</f>
        <v>0</v>
      </c>
      <c r="E908" s="228">
        <f>IF(DAY(A908+2)=22,-SUM('Main Budget'!$F$26:$F$31),0)</f>
        <v>0</v>
      </c>
      <c r="F908" s="228">
        <f>IF(D908&gt;0,-'Main Budget'!$H$25+0.15,0)</f>
        <v>0</v>
      </c>
      <c r="G908" s="228">
        <f>IF(E908&gt;0,-'Main Budget'!$F$25+0.81,0)</f>
        <v>0</v>
      </c>
      <c r="H908" s="227">
        <f>IF(DAY(A908)='Main Budget'!$J$26,'Main Budget'!$E$26,0)</f>
        <v>0</v>
      </c>
      <c r="I908" s="227">
        <f>IF(DAY(A908)='Main Budget'!$J$28,'Main Budget'!$E$28,0)</f>
        <v>0</v>
      </c>
      <c r="J908" s="227">
        <f>IF(DAY(A908)='Main Budget'!$J$29,'Main Budget'!$E$29,0)</f>
        <v>0</v>
      </c>
      <c r="K908" s="20">
        <f>IF(DAY(A908)='Main Budget'!$J$30,'Main Budget'!$E$30,0)</f>
        <v>0</v>
      </c>
      <c r="L908" s="20">
        <f>IF(DAY(A908)='Main Budget'!$J$31,'Main Budget'!$E$31,0)</f>
        <v>0</v>
      </c>
      <c r="M908" s="20">
        <f>IF(DAY(A908)='Main Budget'!$J$27,'Main Budget'!$E$27,0)</f>
        <v>0</v>
      </c>
      <c r="O908" s="228">
        <f>B908+(SUM(H908:M908)+(SUM(D908:E908)))</f>
        <v>100</v>
      </c>
      <c r="P908" s="228">
        <f>C908+F908+G908+N908</f>
        <v>100</v>
      </c>
      <c r="Q908" s="252">
        <f>O908+P908</f>
        <v>200</v>
      </c>
      <c r="S908" s="231" t="str">
        <f>TEXT(A908,"dddd")</f>
        <v>Sunday</v>
      </c>
    </row>
    <row r="909" spans="1:19" x14ac:dyDescent="0.25">
      <c r="A909" s="226">
        <v>46930</v>
      </c>
      <c r="B909" s="227">
        <f>O908</f>
        <v>100</v>
      </c>
      <c r="C909" s="228">
        <f>P908</f>
        <v>100</v>
      </c>
      <c r="D909" s="228">
        <f>IF(OR(DAY(A909+2)=1,DAY(A909+2)=15),-SUM('Main Budget'!$H$26:$H$31),0)</f>
        <v>0</v>
      </c>
      <c r="E909" s="228">
        <f>IF(DAY(A909+2)=22,-SUM('Main Budget'!$F$26:$F$31),0)</f>
        <v>0</v>
      </c>
      <c r="F909" s="228">
        <f>IF(D909&gt;0,-'Main Budget'!$H$25+0.15,0)</f>
        <v>0</v>
      </c>
      <c r="G909" s="228">
        <f>IF(E909&gt;0,-'Main Budget'!$F$25+0.81,0)</f>
        <v>0</v>
      </c>
      <c r="H909" s="227">
        <f>IF(DAY(A909)='Main Budget'!$J$26,'Main Budget'!$E$26,0)</f>
        <v>0</v>
      </c>
      <c r="I909" s="227">
        <f>IF(DAY(A909)='Main Budget'!$J$28,'Main Budget'!$E$28,0)</f>
        <v>0</v>
      </c>
      <c r="J909" s="227">
        <f>IF(DAY(A909)='Main Budget'!$J$29,'Main Budget'!$E$29,0)</f>
        <v>0</v>
      </c>
      <c r="K909" s="20">
        <f>IF(DAY(A909)='Main Budget'!$J$30,'Main Budget'!$E$30,0)</f>
        <v>0</v>
      </c>
      <c r="L909" s="20">
        <f>IF(DAY(A909)='Main Budget'!$J$31,'Main Budget'!$E$31,0)</f>
        <v>0</v>
      </c>
      <c r="M909" s="20">
        <f>IF(DAY(A909)='Main Budget'!$J$27,'Main Budget'!$E$27,0)</f>
        <v>0</v>
      </c>
      <c r="O909" s="228">
        <f>B909+(SUM(H909:M909)+(SUM(D909:E909)))</f>
        <v>100</v>
      </c>
      <c r="P909" s="228">
        <f>C909+F909+G909+N909</f>
        <v>100</v>
      </c>
      <c r="Q909" s="252">
        <f>O909+P909</f>
        <v>200</v>
      </c>
      <c r="S909" s="231" t="str">
        <f>TEXT(A909,"dddd")</f>
        <v>Monday</v>
      </c>
    </row>
    <row r="910" spans="1:19" x14ac:dyDescent="0.25">
      <c r="A910" s="226">
        <v>46931</v>
      </c>
      <c r="B910" s="227">
        <f>O909</f>
        <v>100</v>
      </c>
      <c r="C910" s="228">
        <f>P909</f>
        <v>100</v>
      </c>
      <c r="D910" s="228">
        <f>IF(OR(DAY(A910+2)=1,DAY(A910+2)=15),-SUM('Main Budget'!$H$26:$H$31),0)</f>
        <v>0</v>
      </c>
      <c r="E910" s="228">
        <f>IF(DAY(A910+2)=22,-SUM('Main Budget'!$F$26:$F$31),0)</f>
        <v>0</v>
      </c>
      <c r="F910" s="228">
        <f>IF(D910&gt;0,-'Main Budget'!$H$25+0.15,0)</f>
        <v>0</v>
      </c>
      <c r="G910" s="228">
        <f>IF(E910&gt;0,-'Main Budget'!$F$25+0.81,0)</f>
        <v>0</v>
      </c>
      <c r="H910" s="227">
        <f>IF(DAY(A910)='Main Budget'!$J$26,'Main Budget'!$E$26,0)</f>
        <v>0</v>
      </c>
      <c r="I910" s="227">
        <f>IF(DAY(A910)='Main Budget'!$J$28,'Main Budget'!$E$28,0)</f>
        <v>0</v>
      </c>
      <c r="J910" s="227">
        <f>IF(DAY(A910)='Main Budget'!$J$29,'Main Budget'!$E$29,0)</f>
        <v>0</v>
      </c>
      <c r="K910" s="20">
        <f>IF(DAY(A910)='Main Budget'!$J$30,'Main Budget'!$E$30,0)</f>
        <v>0</v>
      </c>
      <c r="L910" s="20">
        <f>IF(DAY(A910)='Main Budget'!$J$31,'Main Budget'!$E$31,0)</f>
        <v>0</v>
      </c>
      <c r="M910" s="20">
        <f>IF(DAY(A910)='Main Budget'!$J$27,'Main Budget'!$E$27,0)</f>
        <v>0</v>
      </c>
      <c r="O910" s="228">
        <f>B910+(SUM(H910:M910)+(SUM(D910:E910)))</f>
        <v>100</v>
      </c>
      <c r="P910" s="228">
        <f>C910+F910+G910+N910</f>
        <v>100</v>
      </c>
      <c r="Q910" s="252">
        <f>O910+P910</f>
        <v>200</v>
      </c>
      <c r="S910" s="231" t="str">
        <f>TEXT(A910,"dddd")</f>
        <v>Tuesday</v>
      </c>
    </row>
    <row r="911" spans="1:19" x14ac:dyDescent="0.25">
      <c r="A911" s="226">
        <v>46932</v>
      </c>
      <c r="B911" s="227">
        <f>O910</f>
        <v>100</v>
      </c>
      <c r="C911" s="228">
        <f>P910</f>
        <v>100</v>
      </c>
      <c r="D911" s="228">
        <f>IF(OR(DAY(A911+2)=1,DAY(A911+2)=15),-SUM('Main Budget'!$H$26:$H$31),0)</f>
        <v>0</v>
      </c>
      <c r="E911" s="228">
        <f>IF(DAY(A911+2)=22,-SUM('Main Budget'!$F$26:$F$31),0)</f>
        <v>0</v>
      </c>
      <c r="F911" s="228">
        <f>IF(D911&gt;0,-'Main Budget'!$H$25+0.15,0)</f>
        <v>0</v>
      </c>
      <c r="G911" s="228">
        <f>IF(E911&gt;0,-'Main Budget'!$F$25+0.81,0)</f>
        <v>0</v>
      </c>
      <c r="H911" s="227">
        <f>IF(DAY(A911)='Main Budget'!$J$26,'Main Budget'!$E$26,0)</f>
        <v>0</v>
      </c>
      <c r="I911" s="227">
        <f>IF(DAY(A911)='Main Budget'!$J$28,'Main Budget'!$E$28,0)</f>
        <v>0</v>
      </c>
      <c r="J911" s="227">
        <f>IF(DAY(A911)='Main Budget'!$J$29,'Main Budget'!$E$29,0)</f>
        <v>0</v>
      </c>
      <c r="K911" s="20">
        <f>IF(DAY(A911)='Main Budget'!$J$30,'Main Budget'!$E$30,0)</f>
        <v>0</v>
      </c>
      <c r="L911" s="20">
        <f>IF(DAY(A911)='Main Budget'!$J$31,'Main Budget'!$E$31,0)</f>
        <v>0</v>
      </c>
      <c r="M911" s="20">
        <f>IF(DAY(A911)='Main Budget'!$J$27,'Main Budget'!$E$27,0)</f>
        <v>0</v>
      </c>
      <c r="O911" s="228">
        <f>B911+(SUM(H911:M911)+(SUM(D911:E911)))</f>
        <v>100</v>
      </c>
      <c r="P911" s="228">
        <f>C911+F911+G911+N911</f>
        <v>100</v>
      </c>
      <c r="Q911" s="252">
        <f>O911+P911</f>
        <v>200</v>
      </c>
      <c r="S911" s="231" t="str">
        <f>TEXT(A911,"dddd")</f>
        <v>Wednesday</v>
      </c>
    </row>
    <row r="912" spans="1:19" x14ac:dyDescent="0.25">
      <c r="A912" s="226">
        <v>46933</v>
      </c>
      <c r="B912" s="227">
        <f>O911</f>
        <v>100</v>
      </c>
      <c r="C912" s="228">
        <f>P911</f>
        <v>100</v>
      </c>
      <c r="D912" s="228">
        <f>IF(OR(DAY(A912+2)=1,DAY(A912+2)=15),-SUM('Main Budget'!$H$26:$H$31),0)</f>
        <v>0</v>
      </c>
      <c r="E912" s="228">
        <f>IF(DAY(A912+2)=22,-SUM('Main Budget'!$F$26:$F$31),0)</f>
        <v>0</v>
      </c>
      <c r="F912" s="228">
        <f>IF(D912&gt;0,-'Main Budget'!$H$25+0.15,0)</f>
        <v>0</v>
      </c>
      <c r="G912" s="228">
        <f>IF(E912&gt;0,-'Main Budget'!$F$25+0.81,0)</f>
        <v>0</v>
      </c>
      <c r="H912" s="227">
        <f>IF(DAY(A912)='Main Budget'!$J$26,'Main Budget'!$E$26,0)</f>
        <v>0</v>
      </c>
      <c r="I912" s="227">
        <f>IF(DAY(A912)='Main Budget'!$J$28,'Main Budget'!$E$28,0)</f>
        <v>0</v>
      </c>
      <c r="J912" s="227">
        <f>IF(DAY(A912)='Main Budget'!$J$29,'Main Budget'!$E$29,0)</f>
        <v>0</v>
      </c>
      <c r="K912" s="20">
        <f>IF(DAY(A912)='Main Budget'!$J$30,'Main Budget'!$E$30,0)</f>
        <v>0</v>
      </c>
      <c r="L912" s="20">
        <f>IF(DAY(A912)='Main Budget'!$J$31,'Main Budget'!$E$31,0)</f>
        <v>0</v>
      </c>
      <c r="M912" s="20">
        <f>IF(DAY(A912)='Main Budget'!$J$27,'Main Budget'!$E$27,0)</f>
        <v>0</v>
      </c>
      <c r="O912" s="228">
        <f>B912+(SUM(H912:M912)+(SUM(D912:E912)))</f>
        <v>100</v>
      </c>
      <c r="P912" s="228">
        <f>C912+F912+G912+N912</f>
        <v>100</v>
      </c>
      <c r="Q912" s="252">
        <f>O912+P912</f>
        <v>200</v>
      </c>
      <c r="S912" s="231" t="str">
        <f>TEXT(A912,"dddd")</f>
        <v>Thursday</v>
      </c>
    </row>
    <row r="913" spans="1:19" x14ac:dyDescent="0.25">
      <c r="A913" s="226">
        <v>46934</v>
      </c>
      <c r="B913" s="227">
        <f>O912</f>
        <v>100</v>
      </c>
      <c r="C913" s="228">
        <f>P912</f>
        <v>100</v>
      </c>
      <c r="D913" s="228">
        <f>IF(OR(DAY(A913+2)=1,DAY(A913+2)=15),-SUM('Main Budget'!$H$26:$H$31),0)</f>
        <v>0</v>
      </c>
      <c r="E913" s="228">
        <f>IF(DAY(A913+2)=22,-SUM('Main Budget'!$F$26:$F$31),0)</f>
        <v>0</v>
      </c>
      <c r="F913" s="228">
        <f>IF(D913&gt;0,-'Main Budget'!$H$25+0.15,0)</f>
        <v>0</v>
      </c>
      <c r="G913" s="228">
        <f>IF(E913&gt;0,-'Main Budget'!$F$25+0.81,0)</f>
        <v>0</v>
      </c>
      <c r="H913" s="227">
        <f>IF(DAY(A913)='Main Budget'!$J$26,'Main Budget'!$E$26,0)</f>
        <v>0</v>
      </c>
      <c r="I913" s="227">
        <f>IF(DAY(A913)='Main Budget'!$J$28,'Main Budget'!$E$28,0)</f>
        <v>0</v>
      </c>
      <c r="J913" s="227">
        <f>IF(DAY(A913)='Main Budget'!$J$29,'Main Budget'!$E$29,0)</f>
        <v>0</v>
      </c>
      <c r="K913" s="20">
        <f>IF(DAY(A913)='Main Budget'!$J$30,'Main Budget'!$E$30,0)</f>
        <v>0</v>
      </c>
      <c r="L913" s="20">
        <f>IF(DAY(A913)='Main Budget'!$J$31,'Main Budget'!$E$31,0)</f>
        <v>0</v>
      </c>
      <c r="M913" s="20">
        <f>IF(DAY(A913)='Main Budget'!$J$27,'Main Budget'!$E$27,0)</f>
        <v>0</v>
      </c>
      <c r="O913" s="228">
        <f>B913+(SUM(H913:M913)+(SUM(D913:E913)))</f>
        <v>100</v>
      </c>
      <c r="P913" s="228">
        <f>C913+F913+G913+N913</f>
        <v>100</v>
      </c>
      <c r="Q913" s="252">
        <f>O913+P913</f>
        <v>200</v>
      </c>
      <c r="S913" s="231" t="str">
        <f>TEXT(A913,"dddd")</f>
        <v>Friday</v>
      </c>
    </row>
    <row r="914" spans="1:19" x14ac:dyDescent="0.25">
      <c r="A914" s="226">
        <v>46935</v>
      </c>
      <c r="B914" s="227">
        <f>O913</f>
        <v>100</v>
      </c>
      <c r="C914" s="228">
        <f>P913</f>
        <v>100</v>
      </c>
      <c r="D914" s="228">
        <f>IF(OR(DAY(A914+2)=1,DAY(A914+2)=15),-SUM('Main Budget'!$H$26:$H$31),0)</f>
        <v>0</v>
      </c>
      <c r="E914" s="228">
        <f>IF(DAY(A914+2)=22,-SUM('Main Budget'!$F$26:$F$31),0)</f>
        <v>0</v>
      </c>
      <c r="F914" s="228">
        <f>IF(D914&gt;0,-'Main Budget'!$H$25+0.15,0)</f>
        <v>0</v>
      </c>
      <c r="G914" s="228">
        <f>IF(E914&gt;0,-'Main Budget'!$F$25+0.81,0)</f>
        <v>0</v>
      </c>
      <c r="H914" s="227">
        <f>IF(DAY(A914)='Main Budget'!$J$26,'Main Budget'!$E$26,0)</f>
        <v>0</v>
      </c>
      <c r="I914" s="227">
        <f>IF(DAY(A914)='Main Budget'!$J$28,'Main Budget'!$E$28,0)</f>
        <v>0</v>
      </c>
      <c r="J914" s="227">
        <f>IF(DAY(A914)='Main Budget'!$J$29,'Main Budget'!$E$29,0)</f>
        <v>0</v>
      </c>
      <c r="K914" s="20">
        <f>IF(DAY(A914)='Main Budget'!$J$30,'Main Budget'!$E$30,0)</f>
        <v>0</v>
      </c>
      <c r="L914" s="20">
        <f>IF(DAY(A914)='Main Budget'!$J$31,'Main Budget'!$E$31,0)</f>
        <v>0</v>
      </c>
      <c r="M914" s="20">
        <f>IF(DAY(A914)='Main Budget'!$J$27,'Main Budget'!$E$27,0)</f>
        <v>0</v>
      </c>
      <c r="O914" s="228">
        <f>B914+(SUM(H914:M914)+(SUM(D914:E914)))</f>
        <v>100</v>
      </c>
      <c r="P914" s="228">
        <f>C914+F914+G914+N914</f>
        <v>100</v>
      </c>
      <c r="Q914" s="252">
        <f>O914+P914</f>
        <v>200</v>
      </c>
      <c r="S914" s="231" t="str">
        <f>TEXT(A914,"dddd")</f>
        <v>Saturday</v>
      </c>
    </row>
    <row r="915" spans="1:19" x14ac:dyDescent="0.25">
      <c r="A915" s="226">
        <v>46936</v>
      </c>
      <c r="B915" s="227">
        <f>O914</f>
        <v>100</v>
      </c>
      <c r="C915" s="228">
        <f>P914</f>
        <v>100</v>
      </c>
      <c r="D915" s="228">
        <f>IF(OR(DAY(A915+2)=1,DAY(A915+2)=15),-SUM('Main Budget'!$H$26:$H$31),0)</f>
        <v>0</v>
      </c>
      <c r="E915" s="228">
        <f>IF(DAY(A915+2)=22,-SUM('Main Budget'!$F$26:$F$31),0)</f>
        <v>0</v>
      </c>
      <c r="F915" s="228">
        <f>IF(D915&gt;0,-'Main Budget'!$H$25+0.15,0)</f>
        <v>0</v>
      </c>
      <c r="G915" s="228">
        <f>IF(E915&gt;0,-'Main Budget'!$F$25+0.81,0)</f>
        <v>0</v>
      </c>
      <c r="H915" s="227">
        <f>IF(DAY(A915)='Main Budget'!$J$26,'Main Budget'!$E$26,0)</f>
        <v>0</v>
      </c>
      <c r="I915" s="227">
        <f>IF(DAY(A915)='Main Budget'!$J$28,'Main Budget'!$E$28,0)</f>
        <v>0</v>
      </c>
      <c r="J915" s="227">
        <f>IF(DAY(A915)='Main Budget'!$J$29,'Main Budget'!$E$29,0)</f>
        <v>0</v>
      </c>
      <c r="K915" s="20">
        <f>IF(DAY(A915)='Main Budget'!$J$30,'Main Budget'!$E$30,0)</f>
        <v>0</v>
      </c>
      <c r="L915" s="20">
        <f>IF(DAY(A915)='Main Budget'!$J$31,'Main Budget'!$E$31,0)</f>
        <v>0</v>
      </c>
      <c r="M915" s="20">
        <f>IF(DAY(A915)='Main Budget'!$J$27,'Main Budget'!$E$27,0)</f>
        <v>0</v>
      </c>
      <c r="O915" s="228">
        <f>B915+(SUM(H915:M915)+(SUM(D915:E915)))</f>
        <v>100</v>
      </c>
      <c r="P915" s="228">
        <f>C915+F915+G915+N915</f>
        <v>100</v>
      </c>
      <c r="Q915" s="252">
        <f>O915+P915</f>
        <v>200</v>
      </c>
      <c r="S915" s="231" t="str">
        <f>TEXT(A915,"dddd")</f>
        <v>Sunday</v>
      </c>
    </row>
    <row r="916" spans="1:19" x14ac:dyDescent="0.25">
      <c r="A916" s="226">
        <v>46937</v>
      </c>
      <c r="B916" s="227">
        <f>O915</f>
        <v>100</v>
      </c>
      <c r="C916" s="228">
        <f>P915</f>
        <v>100</v>
      </c>
      <c r="D916" s="228">
        <f>IF(OR(DAY(A916+2)=1,DAY(A916+2)=15),-SUM('Main Budget'!$H$26:$H$31),0)</f>
        <v>0</v>
      </c>
      <c r="E916" s="228">
        <f>IF(DAY(A916+2)=22,-SUM('Main Budget'!$F$26:$F$31),0)</f>
        <v>0</v>
      </c>
      <c r="F916" s="228">
        <f>IF(D916&gt;0,-'Main Budget'!$H$25+0.15,0)</f>
        <v>0</v>
      </c>
      <c r="G916" s="228">
        <f>IF(E916&gt;0,-'Main Budget'!$F$25+0.81,0)</f>
        <v>0</v>
      </c>
      <c r="H916" s="227">
        <f>IF(DAY(A916)='Main Budget'!$J$26,'Main Budget'!$E$26,0)</f>
        <v>0</v>
      </c>
      <c r="I916" s="227">
        <f>IF(DAY(A916)='Main Budget'!$J$28,'Main Budget'!$E$28,0)</f>
        <v>0</v>
      </c>
      <c r="J916" s="227">
        <f>IF(DAY(A916)='Main Budget'!$J$29,'Main Budget'!$E$29,0)</f>
        <v>0</v>
      </c>
      <c r="K916" s="20">
        <f>IF(DAY(A916)='Main Budget'!$J$30,'Main Budget'!$E$30,0)</f>
        <v>0</v>
      </c>
      <c r="L916" s="20">
        <f>IF(DAY(A916)='Main Budget'!$J$31,'Main Budget'!$E$31,0)</f>
        <v>0</v>
      </c>
      <c r="M916" s="20">
        <f>IF(DAY(A916)='Main Budget'!$J$27,'Main Budget'!$E$27,0)</f>
        <v>0</v>
      </c>
      <c r="O916" s="228">
        <f>B916+(SUM(H916:M916)+(SUM(D916:E916)))</f>
        <v>100</v>
      </c>
      <c r="P916" s="228">
        <f>C916+F916+G916+N916</f>
        <v>100</v>
      </c>
      <c r="Q916" s="252">
        <f>O916+P916</f>
        <v>200</v>
      </c>
      <c r="S916" s="231" t="str">
        <f>TEXT(A916,"dddd")</f>
        <v>Monday</v>
      </c>
    </row>
    <row r="917" spans="1:19" x14ac:dyDescent="0.25">
      <c r="A917" s="226">
        <v>46938</v>
      </c>
      <c r="B917" s="227">
        <f>O916</f>
        <v>100</v>
      </c>
      <c r="C917" s="228">
        <f>P916</f>
        <v>100</v>
      </c>
      <c r="D917" s="228">
        <f>IF(OR(DAY(A917+2)=1,DAY(A917+2)=15),-SUM('Main Budget'!$H$26:$H$31),0)</f>
        <v>0</v>
      </c>
      <c r="E917" s="228">
        <f>IF(DAY(A917+2)=22,-SUM('Main Budget'!$F$26:$F$31),0)</f>
        <v>0</v>
      </c>
      <c r="F917" s="228">
        <f>IF(D917&gt;0,-'Main Budget'!$H$25+0.15,0)</f>
        <v>0</v>
      </c>
      <c r="G917" s="228">
        <f>IF(E917&gt;0,-'Main Budget'!$F$25+0.81,0)</f>
        <v>0</v>
      </c>
      <c r="H917" s="227">
        <f>IF(DAY(A917)='Main Budget'!$J$26,'Main Budget'!$E$26,0)</f>
        <v>0</v>
      </c>
      <c r="I917" s="227">
        <f>IF(DAY(A917)='Main Budget'!$J$28,'Main Budget'!$E$28,0)</f>
        <v>0</v>
      </c>
      <c r="J917" s="227">
        <f>IF(DAY(A917)='Main Budget'!$J$29,'Main Budget'!$E$29,0)</f>
        <v>0</v>
      </c>
      <c r="K917" s="20">
        <f>IF(DAY(A917)='Main Budget'!$J$30,'Main Budget'!$E$30,0)</f>
        <v>0</v>
      </c>
      <c r="L917" s="20">
        <f>IF(DAY(A917)='Main Budget'!$J$31,'Main Budget'!$E$31,0)</f>
        <v>0</v>
      </c>
      <c r="M917" s="20">
        <f>IF(DAY(A917)='Main Budget'!$J$27,'Main Budget'!$E$27,0)</f>
        <v>0</v>
      </c>
      <c r="O917" s="228">
        <f>B917+(SUM(H917:M917)+(SUM(D917:E917)))</f>
        <v>100</v>
      </c>
      <c r="P917" s="228">
        <f>C917+F917+G917+N917</f>
        <v>100</v>
      </c>
      <c r="Q917" s="252">
        <f>O917+P917</f>
        <v>200</v>
      </c>
      <c r="S917" s="231" t="str">
        <f>TEXT(A917,"dddd")</f>
        <v>Tuesday</v>
      </c>
    </row>
    <row r="918" spans="1:19" x14ac:dyDescent="0.25">
      <c r="A918" s="226">
        <v>46939</v>
      </c>
      <c r="B918" s="227">
        <f>O917</f>
        <v>100</v>
      </c>
      <c r="C918" s="228">
        <f>P917</f>
        <v>100</v>
      </c>
      <c r="D918" s="228">
        <f>IF(OR(DAY(A918+2)=1,DAY(A918+2)=15),-SUM('Main Budget'!$H$26:$H$31),0)</f>
        <v>0</v>
      </c>
      <c r="E918" s="228">
        <f>IF(DAY(A918+2)=22,-SUM('Main Budget'!$F$26:$F$31),0)</f>
        <v>0</v>
      </c>
      <c r="F918" s="228">
        <f>IF(D918&gt;0,-'Main Budget'!$H$25+0.15,0)</f>
        <v>0</v>
      </c>
      <c r="G918" s="228">
        <f>IF(E918&gt;0,-'Main Budget'!$F$25+0.81,0)</f>
        <v>0</v>
      </c>
      <c r="H918" s="227">
        <f>IF(DAY(A918)='Main Budget'!$J$26,'Main Budget'!$E$26,0)</f>
        <v>0</v>
      </c>
      <c r="I918" s="227">
        <f>IF(DAY(A918)='Main Budget'!$J$28,'Main Budget'!$E$28,0)</f>
        <v>0</v>
      </c>
      <c r="J918" s="227">
        <f>IF(DAY(A918)='Main Budget'!$J$29,'Main Budget'!$E$29,0)</f>
        <v>0</v>
      </c>
      <c r="K918" s="20">
        <f>IF(DAY(A918)='Main Budget'!$J$30,'Main Budget'!$E$30,0)</f>
        <v>0</v>
      </c>
      <c r="L918" s="20">
        <f>IF(DAY(A918)='Main Budget'!$J$31,'Main Budget'!$E$31,0)</f>
        <v>0</v>
      </c>
      <c r="M918" s="20">
        <f>IF(DAY(A918)='Main Budget'!$J$27,'Main Budget'!$E$27,0)</f>
        <v>0</v>
      </c>
      <c r="O918" s="228">
        <f>B918+(SUM(H918:M918)+(SUM(D918:E918)))</f>
        <v>100</v>
      </c>
      <c r="P918" s="228">
        <f>C918+F918+G918+N918</f>
        <v>100</v>
      </c>
      <c r="Q918" s="252">
        <f>O918+P918</f>
        <v>200</v>
      </c>
      <c r="S918" s="231" t="str">
        <f>TEXT(A918,"dddd")</f>
        <v>Wednesday</v>
      </c>
    </row>
    <row r="919" spans="1:19" x14ac:dyDescent="0.25">
      <c r="A919" s="226">
        <v>46940</v>
      </c>
      <c r="B919" s="227">
        <f>O918</f>
        <v>100</v>
      </c>
      <c r="C919" s="228">
        <f>P918</f>
        <v>100</v>
      </c>
      <c r="D919" s="228">
        <f>IF(OR(DAY(A919+2)=1,DAY(A919+2)=15),-SUM('Main Budget'!$H$26:$H$31),0)</f>
        <v>0</v>
      </c>
      <c r="E919" s="228">
        <f>IF(DAY(A919+2)=22,-SUM('Main Budget'!$F$26:$F$31),0)</f>
        <v>0</v>
      </c>
      <c r="F919" s="228">
        <f>IF(D919&gt;0,-'Main Budget'!$H$25+0.15,0)</f>
        <v>0</v>
      </c>
      <c r="G919" s="228">
        <f>IF(E919&gt;0,-'Main Budget'!$F$25+0.81,0)</f>
        <v>0</v>
      </c>
      <c r="H919" s="227">
        <f>IF(DAY(A919)='Main Budget'!$J$26,'Main Budget'!$E$26,0)</f>
        <v>0</v>
      </c>
      <c r="I919" s="227">
        <f>IF(DAY(A919)='Main Budget'!$J$28,'Main Budget'!$E$28,0)</f>
        <v>0</v>
      </c>
      <c r="J919" s="227">
        <f>IF(DAY(A919)='Main Budget'!$J$29,'Main Budget'!$E$29,0)</f>
        <v>0</v>
      </c>
      <c r="K919" s="20">
        <f>IF(DAY(A919)='Main Budget'!$J$30,'Main Budget'!$E$30,0)</f>
        <v>0</v>
      </c>
      <c r="L919" s="20">
        <f>IF(DAY(A919)='Main Budget'!$J$31,'Main Budget'!$E$31,0)</f>
        <v>0</v>
      </c>
      <c r="M919" s="20">
        <f>IF(DAY(A919)='Main Budget'!$J$27,'Main Budget'!$E$27,0)</f>
        <v>0</v>
      </c>
      <c r="O919" s="228">
        <f>B919+(SUM(H919:M919)+(SUM(D919:E919)))</f>
        <v>100</v>
      </c>
      <c r="P919" s="228">
        <f>C919+F919+G919+N919</f>
        <v>100</v>
      </c>
      <c r="Q919" s="252">
        <f>O919+P919</f>
        <v>200</v>
      </c>
      <c r="S919" s="231" t="str">
        <f>TEXT(A919,"dddd")</f>
        <v>Thursday</v>
      </c>
    </row>
    <row r="920" spans="1:19" x14ac:dyDescent="0.25">
      <c r="A920" s="226">
        <v>46941</v>
      </c>
      <c r="B920" s="227">
        <f>O919</f>
        <v>100</v>
      </c>
      <c r="C920" s="228">
        <f>P919</f>
        <v>100</v>
      </c>
      <c r="D920" s="228">
        <f>IF(OR(DAY(A920+2)=1,DAY(A920+2)=15),-SUM('Main Budget'!$H$26:$H$31),0)</f>
        <v>0</v>
      </c>
      <c r="E920" s="228">
        <f>IF(DAY(A920+2)=22,-SUM('Main Budget'!$F$26:$F$31),0)</f>
        <v>0</v>
      </c>
      <c r="F920" s="228">
        <f>IF(D920&gt;0,-'Main Budget'!$H$25+0.15,0)</f>
        <v>0</v>
      </c>
      <c r="G920" s="228">
        <f>IF(E920&gt;0,-'Main Budget'!$F$25+0.81,0)</f>
        <v>0</v>
      </c>
      <c r="H920" s="227">
        <f>IF(DAY(A920)='Main Budget'!$J$26,'Main Budget'!$E$26,0)</f>
        <v>0</v>
      </c>
      <c r="I920" s="227">
        <f>IF(DAY(A920)='Main Budget'!$J$28,'Main Budget'!$E$28,0)</f>
        <v>0</v>
      </c>
      <c r="J920" s="227">
        <f>IF(DAY(A920)='Main Budget'!$J$29,'Main Budget'!$E$29,0)</f>
        <v>0</v>
      </c>
      <c r="K920" s="20">
        <f>IF(DAY(A920)='Main Budget'!$J$30,'Main Budget'!$E$30,0)</f>
        <v>0</v>
      </c>
      <c r="L920" s="20">
        <f>IF(DAY(A920)='Main Budget'!$J$31,'Main Budget'!$E$31,0)</f>
        <v>0</v>
      </c>
      <c r="M920" s="20">
        <f>IF(DAY(A920)='Main Budget'!$J$27,'Main Budget'!$E$27,0)</f>
        <v>0</v>
      </c>
      <c r="O920" s="228">
        <f>B920+(SUM(H920:M920)+(SUM(D920:E920)))</f>
        <v>100</v>
      </c>
      <c r="P920" s="228">
        <f>C920+F920+G920+N920</f>
        <v>100</v>
      </c>
      <c r="Q920" s="252">
        <f>O920+P920</f>
        <v>200</v>
      </c>
      <c r="S920" s="231" t="str">
        <f>TEXT(A920,"dddd")</f>
        <v>Friday</v>
      </c>
    </row>
    <row r="921" spans="1:19" x14ac:dyDescent="0.25">
      <c r="A921" s="226">
        <v>46942</v>
      </c>
      <c r="B921" s="227">
        <f>O920</f>
        <v>100</v>
      </c>
      <c r="C921" s="228">
        <f>P920</f>
        <v>100</v>
      </c>
      <c r="D921" s="228">
        <f>IF(OR(DAY(A921+2)=1,DAY(A921+2)=15),-SUM('Main Budget'!$H$26:$H$31),0)</f>
        <v>0</v>
      </c>
      <c r="E921" s="228">
        <f>IF(DAY(A921+2)=22,-SUM('Main Budget'!$F$26:$F$31),0)</f>
        <v>0</v>
      </c>
      <c r="F921" s="228">
        <f>IF(D921&gt;0,-'Main Budget'!$H$25+0.15,0)</f>
        <v>0</v>
      </c>
      <c r="G921" s="228">
        <f>IF(E921&gt;0,-'Main Budget'!$F$25+0.81,0)</f>
        <v>0</v>
      </c>
      <c r="H921" s="227">
        <f>IF(DAY(A921)='Main Budget'!$J$26,'Main Budget'!$E$26,0)</f>
        <v>0</v>
      </c>
      <c r="I921" s="227">
        <f>IF(DAY(A921)='Main Budget'!$J$28,'Main Budget'!$E$28,0)</f>
        <v>0</v>
      </c>
      <c r="J921" s="227">
        <f>IF(DAY(A921)='Main Budget'!$J$29,'Main Budget'!$E$29,0)</f>
        <v>0</v>
      </c>
      <c r="K921" s="20">
        <f>IF(DAY(A921)='Main Budget'!$J$30,'Main Budget'!$E$30,0)</f>
        <v>0</v>
      </c>
      <c r="L921" s="20">
        <f>IF(DAY(A921)='Main Budget'!$J$31,'Main Budget'!$E$31,0)</f>
        <v>0</v>
      </c>
      <c r="M921" s="20">
        <f>IF(DAY(A921)='Main Budget'!$J$27,'Main Budget'!$E$27,0)</f>
        <v>0</v>
      </c>
      <c r="O921" s="228">
        <f>B921+(SUM(H921:M921)+(SUM(D921:E921)))</f>
        <v>100</v>
      </c>
      <c r="P921" s="228">
        <f>C921+F921+G921+N921</f>
        <v>100</v>
      </c>
      <c r="Q921" s="252">
        <f>O921+P921</f>
        <v>200</v>
      </c>
      <c r="S921" s="231" t="str">
        <f>TEXT(A921,"dddd")</f>
        <v>Saturday</v>
      </c>
    </row>
    <row r="922" spans="1:19" x14ac:dyDescent="0.25">
      <c r="A922" s="226">
        <v>46943</v>
      </c>
      <c r="B922" s="227">
        <f>O921</f>
        <v>100</v>
      </c>
      <c r="C922" s="228">
        <f>P921</f>
        <v>100</v>
      </c>
      <c r="D922" s="228">
        <f>IF(OR(DAY(A922+2)=1,DAY(A922+2)=15),-SUM('Main Budget'!$H$26:$H$31),0)</f>
        <v>0</v>
      </c>
      <c r="E922" s="228">
        <f>IF(DAY(A922+2)=22,-SUM('Main Budget'!$F$26:$F$31),0)</f>
        <v>0</v>
      </c>
      <c r="F922" s="228">
        <f>IF(D922&gt;0,-'Main Budget'!$H$25+0.15,0)</f>
        <v>0</v>
      </c>
      <c r="G922" s="228">
        <f>IF(E922&gt;0,-'Main Budget'!$F$25+0.81,0)</f>
        <v>0</v>
      </c>
      <c r="H922" s="227">
        <f>IF(DAY(A922)='Main Budget'!$J$26,'Main Budget'!$E$26,0)</f>
        <v>0</v>
      </c>
      <c r="I922" s="227">
        <f>IF(DAY(A922)='Main Budget'!$J$28,'Main Budget'!$E$28,0)</f>
        <v>0</v>
      </c>
      <c r="J922" s="227">
        <f>IF(DAY(A922)='Main Budget'!$J$29,'Main Budget'!$E$29,0)</f>
        <v>0</v>
      </c>
      <c r="K922" s="20">
        <f>IF(DAY(A922)='Main Budget'!$J$30,'Main Budget'!$E$30,0)</f>
        <v>0</v>
      </c>
      <c r="L922" s="20">
        <f>IF(DAY(A922)='Main Budget'!$J$31,'Main Budget'!$E$31,0)</f>
        <v>0</v>
      </c>
      <c r="M922" s="20">
        <f>IF(DAY(A922)='Main Budget'!$J$27,'Main Budget'!$E$27,0)</f>
        <v>0</v>
      </c>
      <c r="O922" s="228">
        <f>B922+(SUM(H922:M922)+(SUM(D922:E922)))</f>
        <v>100</v>
      </c>
      <c r="P922" s="228">
        <f>C922+F922+G922+N922</f>
        <v>100</v>
      </c>
      <c r="Q922" s="252">
        <f>O922+P922</f>
        <v>200</v>
      </c>
      <c r="S922" s="231" t="str">
        <f>TEXT(A922,"dddd")</f>
        <v>Sunday</v>
      </c>
    </row>
    <row r="923" spans="1:19" x14ac:dyDescent="0.25">
      <c r="A923" s="226">
        <v>46944</v>
      </c>
      <c r="B923" s="227">
        <f>O922</f>
        <v>100</v>
      </c>
      <c r="C923" s="228">
        <f>P922</f>
        <v>100</v>
      </c>
      <c r="D923" s="228">
        <f>IF(OR(DAY(A923+2)=1,DAY(A923+2)=15),-SUM('Main Budget'!$H$26:$H$31),0)</f>
        <v>0</v>
      </c>
      <c r="E923" s="228">
        <f>IF(DAY(A923+2)=22,-SUM('Main Budget'!$F$26:$F$31),0)</f>
        <v>0</v>
      </c>
      <c r="F923" s="228">
        <f>IF(D923&gt;0,-'Main Budget'!$H$25+0.15,0)</f>
        <v>0</v>
      </c>
      <c r="G923" s="228">
        <f>IF(E923&gt;0,-'Main Budget'!$F$25+0.81,0)</f>
        <v>0</v>
      </c>
      <c r="H923" s="227">
        <f>IF(DAY(A923)='Main Budget'!$J$26,'Main Budget'!$E$26,0)</f>
        <v>0</v>
      </c>
      <c r="I923" s="227">
        <f>IF(DAY(A923)='Main Budget'!$J$28,'Main Budget'!$E$28,0)</f>
        <v>0</v>
      </c>
      <c r="J923" s="227">
        <f>IF(DAY(A923)='Main Budget'!$J$29,'Main Budget'!$E$29,0)</f>
        <v>0</v>
      </c>
      <c r="K923" s="20">
        <f>IF(DAY(A923)='Main Budget'!$J$30,'Main Budget'!$E$30,0)</f>
        <v>0</v>
      </c>
      <c r="L923" s="20">
        <f>IF(DAY(A923)='Main Budget'!$J$31,'Main Budget'!$E$31,0)</f>
        <v>0</v>
      </c>
      <c r="M923" s="20">
        <f>IF(DAY(A923)='Main Budget'!$J$27,'Main Budget'!$E$27,0)</f>
        <v>0</v>
      </c>
      <c r="O923" s="228">
        <f>B923+(SUM(H923:M923)+(SUM(D923:E923)))</f>
        <v>100</v>
      </c>
      <c r="P923" s="228">
        <f>C923+F923+G923+N923</f>
        <v>100</v>
      </c>
      <c r="Q923" s="252">
        <f>O923+P923</f>
        <v>200</v>
      </c>
      <c r="S923" s="231" t="str">
        <f>TEXT(A923,"dddd")</f>
        <v>Monday</v>
      </c>
    </row>
    <row r="924" spans="1:19" x14ac:dyDescent="0.25">
      <c r="A924" s="226">
        <v>46945</v>
      </c>
      <c r="B924" s="227">
        <f>O923</f>
        <v>100</v>
      </c>
      <c r="C924" s="228">
        <f>P923</f>
        <v>100</v>
      </c>
      <c r="D924" s="228">
        <f>IF(OR(DAY(A924+2)=1,DAY(A924+2)=15),-SUM('Main Budget'!$H$26:$H$31),0)</f>
        <v>0</v>
      </c>
      <c r="E924" s="228">
        <f>IF(DAY(A924+2)=22,-SUM('Main Budget'!$F$26:$F$31),0)</f>
        <v>0</v>
      </c>
      <c r="F924" s="228">
        <f>IF(D924&gt;0,-'Main Budget'!$H$25+0.15,0)</f>
        <v>0</v>
      </c>
      <c r="G924" s="228">
        <f>IF(E924&gt;0,-'Main Budget'!$F$25+0.81,0)</f>
        <v>0</v>
      </c>
      <c r="H924" s="227">
        <f>IF(DAY(A924)='Main Budget'!$J$26,'Main Budget'!$E$26,0)</f>
        <v>0</v>
      </c>
      <c r="I924" s="227">
        <f>IF(DAY(A924)='Main Budget'!$J$28,'Main Budget'!$E$28,0)</f>
        <v>0</v>
      </c>
      <c r="J924" s="227">
        <f>IF(DAY(A924)='Main Budget'!$J$29,'Main Budget'!$E$29,0)</f>
        <v>0</v>
      </c>
      <c r="K924" s="20">
        <f>IF(DAY(A924)='Main Budget'!$J$30,'Main Budget'!$E$30,0)</f>
        <v>0</v>
      </c>
      <c r="L924" s="20">
        <f>IF(DAY(A924)='Main Budget'!$J$31,'Main Budget'!$E$31,0)</f>
        <v>0</v>
      </c>
      <c r="M924" s="20">
        <f>IF(DAY(A924)='Main Budget'!$J$27,'Main Budget'!$E$27,0)</f>
        <v>0</v>
      </c>
      <c r="O924" s="228">
        <f>B924+(SUM(H924:M924)+(SUM(D924:E924)))</f>
        <v>100</v>
      </c>
      <c r="P924" s="228">
        <f>C924+F924+G924+N924</f>
        <v>100</v>
      </c>
      <c r="Q924" s="252">
        <f>O924+P924</f>
        <v>200</v>
      </c>
      <c r="S924" s="231" t="str">
        <f>TEXT(A924,"dddd")</f>
        <v>Tuesday</v>
      </c>
    </row>
    <row r="925" spans="1:19" x14ac:dyDescent="0.25">
      <c r="A925" s="226">
        <v>46946</v>
      </c>
      <c r="B925" s="227">
        <f>O924</f>
        <v>100</v>
      </c>
      <c r="C925" s="228">
        <f>P924</f>
        <v>100</v>
      </c>
      <c r="D925" s="228">
        <f>IF(OR(DAY(A925+2)=1,DAY(A925+2)=15),-SUM('Main Budget'!$H$26:$H$31),0)</f>
        <v>0</v>
      </c>
      <c r="E925" s="228">
        <f>IF(DAY(A925+2)=22,-SUM('Main Budget'!$F$26:$F$31),0)</f>
        <v>0</v>
      </c>
      <c r="F925" s="228">
        <f>IF(D925&gt;0,-'Main Budget'!$H$25+0.15,0)</f>
        <v>0</v>
      </c>
      <c r="G925" s="228">
        <f>IF(E925&gt;0,-'Main Budget'!$F$25+0.81,0)</f>
        <v>0</v>
      </c>
      <c r="H925" s="227">
        <f>IF(DAY(A925)='Main Budget'!$J$26,'Main Budget'!$E$26,0)</f>
        <v>0</v>
      </c>
      <c r="I925" s="227">
        <f>IF(DAY(A925)='Main Budget'!$J$28,'Main Budget'!$E$28,0)</f>
        <v>0</v>
      </c>
      <c r="J925" s="227">
        <f>IF(DAY(A925)='Main Budget'!$J$29,'Main Budget'!$E$29,0)</f>
        <v>0</v>
      </c>
      <c r="K925" s="20">
        <f>IF(DAY(A925)='Main Budget'!$J$30,'Main Budget'!$E$30,0)</f>
        <v>0</v>
      </c>
      <c r="L925" s="20">
        <f>IF(DAY(A925)='Main Budget'!$J$31,'Main Budget'!$E$31,0)</f>
        <v>0</v>
      </c>
      <c r="M925" s="20">
        <f>IF(DAY(A925)='Main Budget'!$J$27,'Main Budget'!$E$27,0)</f>
        <v>0</v>
      </c>
      <c r="O925" s="228">
        <f>B925+(SUM(H925:M925)+(SUM(D925:E925)))</f>
        <v>100</v>
      </c>
      <c r="P925" s="228">
        <f>C925+F925+G925+N925</f>
        <v>100</v>
      </c>
      <c r="Q925" s="252">
        <f>O925+P925</f>
        <v>200</v>
      </c>
      <c r="S925" s="231" t="str">
        <f>TEXT(A925,"dddd")</f>
        <v>Wednesday</v>
      </c>
    </row>
    <row r="926" spans="1:19" x14ac:dyDescent="0.25">
      <c r="A926" s="226">
        <v>46947</v>
      </c>
      <c r="B926" s="227">
        <f>O925</f>
        <v>100</v>
      </c>
      <c r="C926" s="228">
        <f>P925</f>
        <v>100</v>
      </c>
      <c r="D926" s="228">
        <f>IF(OR(DAY(A926+2)=1,DAY(A926+2)=15),-SUM('Main Budget'!$H$26:$H$31),0)</f>
        <v>0</v>
      </c>
      <c r="E926" s="228">
        <f>IF(DAY(A926+2)=22,-SUM('Main Budget'!$F$26:$F$31),0)</f>
        <v>0</v>
      </c>
      <c r="F926" s="228">
        <f>IF(D926&gt;0,-'Main Budget'!$H$25+0.15,0)</f>
        <v>0</v>
      </c>
      <c r="G926" s="228">
        <f>IF(E926&gt;0,-'Main Budget'!$F$25+0.81,0)</f>
        <v>0</v>
      </c>
      <c r="H926" s="227">
        <f>IF(DAY(A926)='Main Budget'!$J$26,'Main Budget'!$E$26,0)</f>
        <v>0</v>
      </c>
      <c r="I926" s="227">
        <f>IF(DAY(A926)='Main Budget'!$J$28,'Main Budget'!$E$28,0)</f>
        <v>0</v>
      </c>
      <c r="J926" s="227">
        <f>IF(DAY(A926)='Main Budget'!$J$29,'Main Budget'!$E$29,0)</f>
        <v>0</v>
      </c>
      <c r="K926" s="20">
        <f>IF(DAY(A926)='Main Budget'!$J$30,'Main Budget'!$E$30,0)</f>
        <v>0</v>
      </c>
      <c r="L926" s="20">
        <f>IF(DAY(A926)='Main Budget'!$J$31,'Main Budget'!$E$31,0)</f>
        <v>0</v>
      </c>
      <c r="M926" s="20">
        <f>IF(DAY(A926)='Main Budget'!$J$27,'Main Budget'!$E$27,0)</f>
        <v>0</v>
      </c>
      <c r="O926" s="228">
        <f>B926+(SUM(H926:M926)+(SUM(D926:E926)))</f>
        <v>100</v>
      </c>
      <c r="P926" s="228">
        <f>C926+F926+G926+N926</f>
        <v>100</v>
      </c>
      <c r="Q926" s="252">
        <f>O926+P926</f>
        <v>200</v>
      </c>
      <c r="S926" s="231" t="str">
        <f>TEXT(A926,"dddd")</f>
        <v>Thursday</v>
      </c>
    </row>
    <row r="927" spans="1:19" x14ac:dyDescent="0.25">
      <c r="A927" s="226">
        <v>46948</v>
      </c>
      <c r="B927" s="227">
        <f>O926</f>
        <v>100</v>
      </c>
      <c r="C927" s="228">
        <f>P926</f>
        <v>100</v>
      </c>
      <c r="D927" s="228">
        <f>IF(OR(DAY(A927+2)=1,DAY(A927+2)=15),-SUM('Main Budget'!$H$26:$H$31),0)</f>
        <v>0</v>
      </c>
      <c r="E927" s="228">
        <f>IF(DAY(A927+2)=22,-SUM('Main Budget'!$F$26:$F$31),0)</f>
        <v>0</v>
      </c>
      <c r="F927" s="228">
        <f>IF(D927&gt;0,-'Main Budget'!$H$25+0.15,0)</f>
        <v>0</v>
      </c>
      <c r="G927" s="228">
        <f>IF(E927&gt;0,-'Main Budget'!$F$25+0.81,0)</f>
        <v>0</v>
      </c>
      <c r="H927" s="227">
        <f>IF(DAY(A927)='Main Budget'!$J$26,'Main Budget'!$E$26,0)</f>
        <v>0</v>
      </c>
      <c r="I927" s="227">
        <f>IF(DAY(A927)='Main Budget'!$J$28,'Main Budget'!$E$28,0)</f>
        <v>0</v>
      </c>
      <c r="J927" s="227">
        <f>IF(DAY(A927)='Main Budget'!$J$29,'Main Budget'!$E$29,0)</f>
        <v>0</v>
      </c>
      <c r="K927" s="20">
        <f>IF(DAY(A927)='Main Budget'!$J$30,'Main Budget'!$E$30,0)</f>
        <v>0</v>
      </c>
      <c r="L927" s="20">
        <f>IF(DAY(A927)='Main Budget'!$J$31,'Main Budget'!$E$31,0)</f>
        <v>0</v>
      </c>
      <c r="M927" s="20">
        <f>IF(DAY(A927)='Main Budget'!$J$27,'Main Budget'!$E$27,0)</f>
        <v>0</v>
      </c>
      <c r="O927" s="228">
        <f>B927+(SUM(H927:M927)+(SUM(D927:E927)))</f>
        <v>100</v>
      </c>
      <c r="P927" s="228">
        <f>C927+F927+G927+N927</f>
        <v>100</v>
      </c>
      <c r="Q927" s="252">
        <f>O927+P927</f>
        <v>200</v>
      </c>
      <c r="S927" s="231" t="str">
        <f>TEXT(A927,"dddd")</f>
        <v>Friday</v>
      </c>
    </row>
    <row r="928" spans="1:19" x14ac:dyDescent="0.25">
      <c r="A928" s="226">
        <v>46949</v>
      </c>
      <c r="B928" s="227">
        <f>O927</f>
        <v>100</v>
      </c>
      <c r="C928" s="228">
        <f>P927</f>
        <v>100</v>
      </c>
      <c r="D928" s="228">
        <f>IF(OR(DAY(A928+2)=1,DAY(A928+2)=15),-SUM('Main Budget'!$H$26:$H$31),0)</f>
        <v>0</v>
      </c>
      <c r="E928" s="228">
        <f>IF(DAY(A928+2)=22,-SUM('Main Budget'!$F$26:$F$31),0)</f>
        <v>0</v>
      </c>
      <c r="F928" s="228">
        <f>IF(D928&gt;0,-'Main Budget'!$H$25+0.15,0)</f>
        <v>0</v>
      </c>
      <c r="G928" s="228">
        <f>IF(E928&gt;0,-'Main Budget'!$F$25+0.81,0)</f>
        <v>0</v>
      </c>
      <c r="H928" s="227">
        <f>IF(DAY(A928)='Main Budget'!$J$26,'Main Budget'!$E$26,0)</f>
        <v>0</v>
      </c>
      <c r="I928" s="227">
        <f>IF(DAY(A928)='Main Budget'!$J$28,'Main Budget'!$E$28,0)</f>
        <v>0</v>
      </c>
      <c r="J928" s="227">
        <f>IF(DAY(A928)='Main Budget'!$J$29,'Main Budget'!$E$29,0)</f>
        <v>0</v>
      </c>
      <c r="K928" s="20">
        <f>IF(DAY(A928)='Main Budget'!$J$30,'Main Budget'!$E$30,0)</f>
        <v>0</v>
      </c>
      <c r="L928" s="20">
        <f>IF(DAY(A928)='Main Budget'!$J$31,'Main Budget'!$E$31,0)</f>
        <v>0</v>
      </c>
      <c r="M928" s="20">
        <f>IF(DAY(A928)='Main Budget'!$J$27,'Main Budget'!$E$27,0)</f>
        <v>0</v>
      </c>
      <c r="O928" s="228">
        <f>B928+(SUM(H928:M928)+(SUM(D928:E928)))</f>
        <v>100</v>
      </c>
      <c r="P928" s="228">
        <f>C928+F928+G928+N928</f>
        <v>100</v>
      </c>
      <c r="Q928" s="252">
        <f>O928+P928</f>
        <v>200</v>
      </c>
      <c r="S928" s="231" t="str">
        <f>TEXT(A928,"dddd")</f>
        <v>Saturday</v>
      </c>
    </row>
    <row r="929" spans="1:19" x14ac:dyDescent="0.25">
      <c r="A929" s="226">
        <v>46950</v>
      </c>
      <c r="B929" s="227">
        <f>O928</f>
        <v>100</v>
      </c>
      <c r="C929" s="228">
        <f>P928</f>
        <v>100</v>
      </c>
      <c r="D929" s="228">
        <f>IF(OR(DAY(A929+2)=1,DAY(A929+2)=15),-SUM('Main Budget'!$H$26:$H$31),0)</f>
        <v>0</v>
      </c>
      <c r="E929" s="228">
        <f>IF(DAY(A929+2)=22,-SUM('Main Budget'!$F$26:$F$31),0)</f>
        <v>0</v>
      </c>
      <c r="F929" s="228">
        <f>IF(D929&gt;0,-'Main Budget'!$H$25+0.15,0)</f>
        <v>0</v>
      </c>
      <c r="G929" s="228">
        <f>IF(E929&gt;0,-'Main Budget'!$F$25+0.81,0)</f>
        <v>0</v>
      </c>
      <c r="H929" s="227">
        <f>IF(DAY(A929)='Main Budget'!$J$26,'Main Budget'!$E$26,0)</f>
        <v>0</v>
      </c>
      <c r="I929" s="227">
        <f>IF(DAY(A929)='Main Budget'!$J$28,'Main Budget'!$E$28,0)</f>
        <v>0</v>
      </c>
      <c r="J929" s="227">
        <f>IF(DAY(A929)='Main Budget'!$J$29,'Main Budget'!$E$29,0)</f>
        <v>0</v>
      </c>
      <c r="K929" s="20">
        <f>IF(DAY(A929)='Main Budget'!$J$30,'Main Budget'!$E$30,0)</f>
        <v>0</v>
      </c>
      <c r="L929" s="20">
        <f>IF(DAY(A929)='Main Budget'!$J$31,'Main Budget'!$E$31,0)</f>
        <v>0</v>
      </c>
      <c r="M929" s="20">
        <f>IF(DAY(A929)='Main Budget'!$J$27,'Main Budget'!$E$27,0)</f>
        <v>0</v>
      </c>
      <c r="O929" s="228">
        <f>B929+(SUM(H929:M929)+(SUM(D929:E929)))</f>
        <v>100</v>
      </c>
      <c r="P929" s="228">
        <f>C929+F929+G929+N929</f>
        <v>100</v>
      </c>
      <c r="Q929" s="252">
        <f>O929+P929</f>
        <v>200</v>
      </c>
      <c r="S929" s="231" t="str">
        <f>TEXT(A929,"dddd")</f>
        <v>Sunday</v>
      </c>
    </row>
    <row r="930" spans="1:19" x14ac:dyDescent="0.25">
      <c r="A930" s="226">
        <v>46951</v>
      </c>
      <c r="B930" s="227">
        <f>O929</f>
        <v>100</v>
      </c>
      <c r="C930" s="228">
        <f>P929</f>
        <v>100</v>
      </c>
      <c r="D930" s="228">
        <f>IF(OR(DAY(A930+2)=1,DAY(A930+2)=15),-SUM('Main Budget'!$H$26:$H$31),0)</f>
        <v>0</v>
      </c>
      <c r="E930" s="228">
        <f>IF(DAY(A930+2)=22,-SUM('Main Budget'!$F$26:$F$31),0)</f>
        <v>0</v>
      </c>
      <c r="F930" s="228">
        <f>IF(D930&gt;0,-'Main Budget'!$H$25+0.15,0)</f>
        <v>0</v>
      </c>
      <c r="G930" s="228">
        <f>IF(E930&gt;0,-'Main Budget'!$F$25+0.81,0)</f>
        <v>0</v>
      </c>
      <c r="H930" s="227">
        <f>IF(DAY(A930)='Main Budget'!$J$26,'Main Budget'!$E$26,0)</f>
        <v>0</v>
      </c>
      <c r="I930" s="227">
        <f>IF(DAY(A930)='Main Budget'!$J$28,'Main Budget'!$E$28,0)</f>
        <v>0</v>
      </c>
      <c r="J930" s="227">
        <f>IF(DAY(A930)='Main Budget'!$J$29,'Main Budget'!$E$29,0)</f>
        <v>0</v>
      </c>
      <c r="K930" s="20">
        <f>IF(DAY(A930)='Main Budget'!$J$30,'Main Budget'!$E$30,0)</f>
        <v>0</v>
      </c>
      <c r="L930" s="20">
        <f>IF(DAY(A930)='Main Budget'!$J$31,'Main Budget'!$E$31,0)</f>
        <v>0</v>
      </c>
      <c r="M930" s="20">
        <f>IF(DAY(A930)='Main Budget'!$J$27,'Main Budget'!$E$27,0)</f>
        <v>0</v>
      </c>
      <c r="O930" s="228">
        <f>B930+(SUM(H930:M930)+(SUM(D930:E930)))</f>
        <v>100</v>
      </c>
      <c r="P930" s="228">
        <f>C930+F930+G930+N930</f>
        <v>100</v>
      </c>
      <c r="Q930" s="252">
        <f>O930+P930</f>
        <v>200</v>
      </c>
      <c r="S930" s="231" t="str">
        <f>TEXT(A930,"dddd")</f>
        <v>Monday</v>
      </c>
    </row>
    <row r="931" spans="1:19" x14ac:dyDescent="0.25">
      <c r="A931" s="226">
        <v>46952</v>
      </c>
      <c r="B931" s="227">
        <f>O930</f>
        <v>100</v>
      </c>
      <c r="C931" s="228">
        <f>P930</f>
        <v>100</v>
      </c>
      <c r="D931" s="228">
        <f>IF(OR(DAY(A931+2)=1,DAY(A931+2)=15),-SUM('Main Budget'!$H$26:$H$31),0)</f>
        <v>0</v>
      </c>
      <c r="E931" s="228">
        <f>IF(DAY(A931+2)=22,-SUM('Main Budget'!$F$26:$F$31),0)</f>
        <v>0</v>
      </c>
      <c r="F931" s="228">
        <f>IF(D931&gt;0,-'Main Budget'!$H$25+0.15,0)</f>
        <v>0</v>
      </c>
      <c r="G931" s="228">
        <f>IF(E931&gt;0,-'Main Budget'!$F$25+0.81,0)</f>
        <v>0</v>
      </c>
      <c r="H931" s="227">
        <f>IF(DAY(A931)='Main Budget'!$J$26,'Main Budget'!$E$26,0)</f>
        <v>0</v>
      </c>
      <c r="I931" s="227">
        <f>IF(DAY(A931)='Main Budget'!$J$28,'Main Budget'!$E$28,0)</f>
        <v>0</v>
      </c>
      <c r="J931" s="227">
        <f>IF(DAY(A931)='Main Budget'!$J$29,'Main Budget'!$E$29,0)</f>
        <v>0</v>
      </c>
      <c r="K931" s="20">
        <f>IF(DAY(A931)='Main Budget'!$J$30,'Main Budget'!$E$30,0)</f>
        <v>0</v>
      </c>
      <c r="L931" s="20">
        <f>IF(DAY(A931)='Main Budget'!$J$31,'Main Budget'!$E$31,0)</f>
        <v>0</v>
      </c>
      <c r="M931" s="20">
        <f>IF(DAY(A931)='Main Budget'!$J$27,'Main Budget'!$E$27,0)</f>
        <v>0</v>
      </c>
      <c r="O931" s="228">
        <f>B931+(SUM(H931:M931)+(SUM(D931:E931)))</f>
        <v>100</v>
      </c>
      <c r="P931" s="228">
        <f>C931+F931+G931+N931</f>
        <v>100</v>
      </c>
      <c r="Q931" s="252">
        <f>O931+P931</f>
        <v>200</v>
      </c>
      <c r="S931" s="231" t="str">
        <f>TEXT(A931,"dddd")</f>
        <v>Tuesday</v>
      </c>
    </row>
    <row r="932" spans="1:19" x14ac:dyDescent="0.25">
      <c r="A932" s="226">
        <v>46953</v>
      </c>
      <c r="B932" s="227">
        <f>O931</f>
        <v>100</v>
      </c>
      <c r="C932" s="228">
        <f>P931</f>
        <v>100</v>
      </c>
      <c r="D932" s="228">
        <f>IF(OR(DAY(A932+2)=1,DAY(A932+2)=15),-SUM('Main Budget'!$H$26:$H$31),0)</f>
        <v>0</v>
      </c>
      <c r="E932" s="228">
        <f>IF(DAY(A932+2)=22,-SUM('Main Budget'!$F$26:$F$31),0)</f>
        <v>0</v>
      </c>
      <c r="F932" s="228">
        <f>IF(D932&gt;0,-'Main Budget'!$H$25+0.15,0)</f>
        <v>0</v>
      </c>
      <c r="G932" s="228">
        <f>IF(E932&gt;0,-'Main Budget'!$F$25+0.81,0)</f>
        <v>0</v>
      </c>
      <c r="H932" s="227">
        <f>IF(DAY(A932)='Main Budget'!$J$26,'Main Budget'!$E$26,0)</f>
        <v>0</v>
      </c>
      <c r="I932" s="227">
        <f>IF(DAY(A932)='Main Budget'!$J$28,'Main Budget'!$E$28,0)</f>
        <v>0</v>
      </c>
      <c r="J932" s="227">
        <f>IF(DAY(A932)='Main Budget'!$J$29,'Main Budget'!$E$29,0)</f>
        <v>0</v>
      </c>
      <c r="K932" s="20">
        <f>IF(DAY(A932)='Main Budget'!$J$30,'Main Budget'!$E$30,0)</f>
        <v>0</v>
      </c>
      <c r="L932" s="20">
        <f>IF(DAY(A932)='Main Budget'!$J$31,'Main Budget'!$E$31,0)</f>
        <v>0</v>
      </c>
      <c r="M932" s="20">
        <f>IF(DAY(A932)='Main Budget'!$J$27,'Main Budget'!$E$27,0)</f>
        <v>0</v>
      </c>
      <c r="O932" s="228">
        <f>B932+(SUM(H932:M932)+(SUM(D932:E932)))</f>
        <v>100</v>
      </c>
      <c r="P932" s="228">
        <f>C932+F932+G932+N932</f>
        <v>100</v>
      </c>
      <c r="Q932" s="252">
        <f>O932+P932</f>
        <v>200</v>
      </c>
      <c r="S932" s="231" t="str">
        <f>TEXT(A932,"dddd")</f>
        <v>Wednesday</v>
      </c>
    </row>
    <row r="933" spans="1:19" x14ac:dyDescent="0.25">
      <c r="A933" s="226">
        <v>46954</v>
      </c>
      <c r="B933" s="227">
        <f>O932</f>
        <v>100</v>
      </c>
      <c r="C933" s="228">
        <f>P932</f>
        <v>100</v>
      </c>
      <c r="D933" s="228">
        <f>IF(OR(DAY(A933+2)=1,DAY(A933+2)=15),-SUM('Main Budget'!$H$26:$H$31),0)</f>
        <v>0</v>
      </c>
      <c r="E933" s="228">
        <f>IF(DAY(A933+2)=22,-SUM('Main Budget'!$F$26:$F$31),0)</f>
        <v>0</v>
      </c>
      <c r="F933" s="228">
        <f>IF(D933&gt;0,-'Main Budget'!$H$25+0.15,0)</f>
        <v>0</v>
      </c>
      <c r="G933" s="228">
        <f>IF(E933&gt;0,-'Main Budget'!$F$25+0.81,0)</f>
        <v>0</v>
      </c>
      <c r="H933" s="227">
        <f>IF(DAY(A933)='Main Budget'!$J$26,'Main Budget'!$E$26,0)</f>
        <v>0</v>
      </c>
      <c r="I933" s="227">
        <f>IF(DAY(A933)='Main Budget'!$J$28,'Main Budget'!$E$28,0)</f>
        <v>0</v>
      </c>
      <c r="J933" s="227">
        <f>IF(DAY(A933)='Main Budget'!$J$29,'Main Budget'!$E$29,0)</f>
        <v>0</v>
      </c>
      <c r="K933" s="20">
        <f>IF(DAY(A933)='Main Budget'!$J$30,'Main Budget'!$E$30,0)</f>
        <v>0</v>
      </c>
      <c r="L933" s="20">
        <f>IF(DAY(A933)='Main Budget'!$J$31,'Main Budget'!$E$31,0)</f>
        <v>0</v>
      </c>
      <c r="M933" s="20">
        <f>IF(DAY(A933)='Main Budget'!$J$27,'Main Budget'!$E$27,0)</f>
        <v>0</v>
      </c>
      <c r="O933" s="228">
        <f>B933+(SUM(H933:M933)+(SUM(D933:E933)))</f>
        <v>100</v>
      </c>
      <c r="P933" s="228">
        <f>C933+F933+G933+N933</f>
        <v>100</v>
      </c>
      <c r="Q933" s="252">
        <f>O933+P933</f>
        <v>200</v>
      </c>
      <c r="S933" s="231" t="str">
        <f>TEXT(A933,"dddd")</f>
        <v>Thursday</v>
      </c>
    </row>
    <row r="934" spans="1:19" x14ac:dyDescent="0.25">
      <c r="A934" s="226">
        <v>46955</v>
      </c>
      <c r="B934" s="227">
        <f>O933</f>
        <v>100</v>
      </c>
      <c r="C934" s="228">
        <f>P933</f>
        <v>100</v>
      </c>
      <c r="D934" s="228">
        <f>IF(OR(DAY(A934+2)=1,DAY(A934+2)=15),-SUM('Main Budget'!$H$26:$H$31),0)</f>
        <v>0</v>
      </c>
      <c r="E934" s="228">
        <f>IF(DAY(A934+2)=22,-SUM('Main Budget'!$F$26:$F$31),0)</f>
        <v>0</v>
      </c>
      <c r="F934" s="228">
        <f>IF(D934&gt;0,-'Main Budget'!$H$25+0.15,0)</f>
        <v>0</v>
      </c>
      <c r="G934" s="228">
        <f>IF(E934&gt;0,-'Main Budget'!$F$25+0.81,0)</f>
        <v>0</v>
      </c>
      <c r="H934" s="227">
        <f>IF(DAY(A934)='Main Budget'!$J$26,'Main Budget'!$E$26,0)</f>
        <v>0</v>
      </c>
      <c r="I934" s="227">
        <f>IF(DAY(A934)='Main Budget'!$J$28,'Main Budget'!$E$28,0)</f>
        <v>0</v>
      </c>
      <c r="J934" s="227">
        <f>IF(DAY(A934)='Main Budget'!$J$29,'Main Budget'!$E$29,0)</f>
        <v>0</v>
      </c>
      <c r="K934" s="20">
        <f>IF(DAY(A934)='Main Budget'!$J$30,'Main Budget'!$E$30,0)</f>
        <v>0</v>
      </c>
      <c r="L934" s="20">
        <f>IF(DAY(A934)='Main Budget'!$J$31,'Main Budget'!$E$31,0)</f>
        <v>0</v>
      </c>
      <c r="M934" s="20">
        <f>IF(DAY(A934)='Main Budget'!$J$27,'Main Budget'!$E$27,0)</f>
        <v>0</v>
      </c>
      <c r="O934" s="228">
        <f>B934+(SUM(H934:M934)+(SUM(D934:E934)))</f>
        <v>100</v>
      </c>
      <c r="P934" s="228">
        <f>C934+F934+G934+N934</f>
        <v>100</v>
      </c>
      <c r="Q934" s="252">
        <f>O934+P934</f>
        <v>200</v>
      </c>
      <c r="S934" s="231" t="str">
        <f>TEXT(A934,"dddd")</f>
        <v>Friday</v>
      </c>
    </row>
    <row r="935" spans="1:19" x14ac:dyDescent="0.25">
      <c r="A935" s="226">
        <v>46956</v>
      </c>
      <c r="B935" s="227">
        <f>O934</f>
        <v>100</v>
      </c>
      <c r="C935" s="228">
        <f>P934</f>
        <v>100</v>
      </c>
      <c r="D935" s="228">
        <f>IF(OR(DAY(A935+2)=1,DAY(A935+2)=15),-SUM('Main Budget'!$H$26:$H$31),0)</f>
        <v>0</v>
      </c>
      <c r="E935" s="228">
        <f>IF(DAY(A935+2)=22,-SUM('Main Budget'!$F$26:$F$31),0)</f>
        <v>0</v>
      </c>
      <c r="F935" s="228">
        <f>IF(D935&gt;0,-'Main Budget'!$H$25+0.15,0)</f>
        <v>0</v>
      </c>
      <c r="G935" s="228">
        <f>IF(E935&gt;0,-'Main Budget'!$F$25+0.81,0)</f>
        <v>0</v>
      </c>
      <c r="H935" s="227">
        <f>IF(DAY(A935)='Main Budget'!$J$26,'Main Budget'!$E$26,0)</f>
        <v>0</v>
      </c>
      <c r="I935" s="227">
        <f>IF(DAY(A935)='Main Budget'!$J$28,'Main Budget'!$E$28,0)</f>
        <v>0</v>
      </c>
      <c r="J935" s="227">
        <f>IF(DAY(A935)='Main Budget'!$J$29,'Main Budget'!$E$29,0)</f>
        <v>0</v>
      </c>
      <c r="K935" s="20">
        <f>IF(DAY(A935)='Main Budget'!$J$30,'Main Budget'!$E$30,0)</f>
        <v>0</v>
      </c>
      <c r="L935" s="20">
        <f>IF(DAY(A935)='Main Budget'!$J$31,'Main Budget'!$E$31,0)</f>
        <v>0</v>
      </c>
      <c r="M935" s="20">
        <f>IF(DAY(A935)='Main Budget'!$J$27,'Main Budget'!$E$27,0)</f>
        <v>0</v>
      </c>
      <c r="O935" s="228">
        <f>B935+(SUM(H935:M935)+(SUM(D935:E935)))</f>
        <v>100</v>
      </c>
      <c r="P935" s="228">
        <f>C935+F935+G935+N935</f>
        <v>100</v>
      </c>
      <c r="Q935" s="252">
        <f>O935+P935</f>
        <v>200</v>
      </c>
      <c r="S935" s="231" t="str">
        <f>TEXT(A935,"dddd")</f>
        <v>Saturday</v>
      </c>
    </row>
    <row r="936" spans="1:19" x14ac:dyDescent="0.25">
      <c r="A936" s="226">
        <v>46957</v>
      </c>
      <c r="B936" s="227">
        <f>O935</f>
        <v>100</v>
      </c>
      <c r="C936" s="228">
        <f>P935</f>
        <v>100</v>
      </c>
      <c r="D936" s="228">
        <f>IF(OR(DAY(A936+2)=1,DAY(A936+2)=15),-SUM('Main Budget'!$H$26:$H$31),0)</f>
        <v>0</v>
      </c>
      <c r="E936" s="228">
        <f>IF(DAY(A936+2)=22,-SUM('Main Budget'!$F$26:$F$31),0)</f>
        <v>0</v>
      </c>
      <c r="F936" s="228">
        <f>IF(D936&gt;0,-'Main Budget'!$H$25+0.15,0)</f>
        <v>0</v>
      </c>
      <c r="G936" s="228">
        <f>IF(E936&gt;0,-'Main Budget'!$F$25+0.81,0)</f>
        <v>0</v>
      </c>
      <c r="H936" s="227">
        <f>IF(DAY(A936)='Main Budget'!$J$26,'Main Budget'!$E$26,0)</f>
        <v>0</v>
      </c>
      <c r="I936" s="227">
        <f>IF(DAY(A936)='Main Budget'!$J$28,'Main Budget'!$E$28,0)</f>
        <v>0</v>
      </c>
      <c r="J936" s="227">
        <f>IF(DAY(A936)='Main Budget'!$J$29,'Main Budget'!$E$29,0)</f>
        <v>0</v>
      </c>
      <c r="K936" s="20">
        <f>IF(DAY(A936)='Main Budget'!$J$30,'Main Budget'!$E$30,0)</f>
        <v>0</v>
      </c>
      <c r="L936" s="20">
        <f>IF(DAY(A936)='Main Budget'!$J$31,'Main Budget'!$E$31,0)</f>
        <v>0</v>
      </c>
      <c r="M936" s="20">
        <f>IF(DAY(A936)='Main Budget'!$J$27,'Main Budget'!$E$27,0)</f>
        <v>0</v>
      </c>
      <c r="O936" s="228">
        <f>B936+(SUM(H936:M936)+(SUM(D936:E936)))</f>
        <v>100</v>
      </c>
      <c r="P936" s="228">
        <f>C936+F936+G936+N936</f>
        <v>100</v>
      </c>
      <c r="Q936" s="252">
        <f>O936+P936</f>
        <v>200</v>
      </c>
      <c r="S936" s="231" t="str">
        <f>TEXT(A936,"dddd")</f>
        <v>Sunday</v>
      </c>
    </row>
    <row r="937" spans="1:19" x14ac:dyDescent="0.25">
      <c r="A937" s="226">
        <v>46958</v>
      </c>
      <c r="B937" s="227">
        <f>O936</f>
        <v>100</v>
      </c>
      <c r="C937" s="228">
        <f>P936</f>
        <v>100</v>
      </c>
      <c r="D937" s="228">
        <f>IF(OR(DAY(A937+2)=1,DAY(A937+2)=15),-SUM('Main Budget'!$H$26:$H$31),0)</f>
        <v>0</v>
      </c>
      <c r="E937" s="228">
        <f>IF(DAY(A937+2)=22,-SUM('Main Budget'!$F$26:$F$31),0)</f>
        <v>0</v>
      </c>
      <c r="F937" s="228">
        <f>IF(D937&gt;0,-'Main Budget'!$H$25+0.15,0)</f>
        <v>0</v>
      </c>
      <c r="G937" s="228">
        <f>IF(E937&gt;0,-'Main Budget'!$F$25+0.81,0)</f>
        <v>0</v>
      </c>
      <c r="H937" s="227">
        <f>IF(DAY(A937)='Main Budget'!$J$26,'Main Budget'!$E$26,0)</f>
        <v>0</v>
      </c>
      <c r="I937" s="227">
        <f>IF(DAY(A937)='Main Budget'!$J$28,'Main Budget'!$E$28,0)</f>
        <v>0</v>
      </c>
      <c r="J937" s="227">
        <f>IF(DAY(A937)='Main Budget'!$J$29,'Main Budget'!$E$29,0)</f>
        <v>0</v>
      </c>
      <c r="K937" s="20">
        <f>IF(DAY(A937)='Main Budget'!$J$30,'Main Budget'!$E$30,0)</f>
        <v>0</v>
      </c>
      <c r="L937" s="20">
        <f>IF(DAY(A937)='Main Budget'!$J$31,'Main Budget'!$E$31,0)</f>
        <v>0</v>
      </c>
      <c r="M937" s="20">
        <f>IF(DAY(A937)='Main Budget'!$J$27,'Main Budget'!$E$27,0)</f>
        <v>0</v>
      </c>
      <c r="O937" s="228">
        <f>B937+(SUM(H937:M937)+(SUM(D937:E937)))</f>
        <v>100</v>
      </c>
      <c r="P937" s="228">
        <f>C937+F937+G937+N937</f>
        <v>100</v>
      </c>
      <c r="Q937" s="252">
        <f>O937+P937</f>
        <v>200</v>
      </c>
      <c r="S937" s="231" t="str">
        <f>TEXT(A937,"dddd")</f>
        <v>Monday</v>
      </c>
    </row>
    <row r="938" spans="1:19" x14ac:dyDescent="0.25">
      <c r="A938" s="226">
        <v>46959</v>
      </c>
      <c r="B938" s="227">
        <f>O937</f>
        <v>100</v>
      </c>
      <c r="C938" s="228">
        <f>P937</f>
        <v>100</v>
      </c>
      <c r="D938" s="228">
        <f>IF(OR(DAY(A938+2)=1,DAY(A938+2)=15),-SUM('Main Budget'!$H$26:$H$31),0)</f>
        <v>0</v>
      </c>
      <c r="E938" s="228">
        <f>IF(DAY(A938+2)=22,-SUM('Main Budget'!$F$26:$F$31),0)</f>
        <v>0</v>
      </c>
      <c r="F938" s="228">
        <f>IF(D938&gt;0,-'Main Budget'!$H$25+0.15,0)</f>
        <v>0</v>
      </c>
      <c r="G938" s="228">
        <f>IF(E938&gt;0,-'Main Budget'!$F$25+0.81,0)</f>
        <v>0</v>
      </c>
      <c r="H938" s="227">
        <f>IF(DAY(A938)='Main Budget'!$J$26,'Main Budget'!$E$26,0)</f>
        <v>0</v>
      </c>
      <c r="I938" s="227">
        <f>IF(DAY(A938)='Main Budget'!$J$28,'Main Budget'!$E$28,0)</f>
        <v>0</v>
      </c>
      <c r="J938" s="227">
        <f>IF(DAY(A938)='Main Budget'!$J$29,'Main Budget'!$E$29,0)</f>
        <v>0</v>
      </c>
      <c r="K938" s="20">
        <f>IF(DAY(A938)='Main Budget'!$J$30,'Main Budget'!$E$30,0)</f>
        <v>0</v>
      </c>
      <c r="L938" s="20">
        <f>IF(DAY(A938)='Main Budget'!$J$31,'Main Budget'!$E$31,0)</f>
        <v>0</v>
      </c>
      <c r="M938" s="20">
        <f>IF(DAY(A938)='Main Budget'!$J$27,'Main Budget'!$E$27,0)</f>
        <v>0</v>
      </c>
      <c r="O938" s="228">
        <f>B938+(SUM(H938:M938)+(SUM(D938:E938)))</f>
        <v>100</v>
      </c>
      <c r="P938" s="228">
        <f>C938+F938+G938+N938</f>
        <v>100</v>
      </c>
      <c r="Q938" s="252">
        <f>O938+P938</f>
        <v>200</v>
      </c>
      <c r="S938" s="231" t="str">
        <f>TEXT(A938,"dddd")</f>
        <v>Tuesday</v>
      </c>
    </row>
    <row r="939" spans="1:19" x14ac:dyDescent="0.25">
      <c r="A939" s="226">
        <v>46960</v>
      </c>
      <c r="B939" s="227">
        <f>O938</f>
        <v>100</v>
      </c>
      <c r="C939" s="228">
        <f>P938</f>
        <v>100</v>
      </c>
      <c r="D939" s="228">
        <f>IF(OR(DAY(A939+2)=1,DAY(A939+2)=15),-SUM('Main Budget'!$H$26:$H$31),0)</f>
        <v>0</v>
      </c>
      <c r="E939" s="228">
        <f>IF(DAY(A939+2)=22,-SUM('Main Budget'!$F$26:$F$31),0)</f>
        <v>0</v>
      </c>
      <c r="F939" s="228">
        <f>IF(D939&gt;0,-'Main Budget'!$H$25+0.15,0)</f>
        <v>0</v>
      </c>
      <c r="G939" s="228">
        <f>IF(E939&gt;0,-'Main Budget'!$F$25+0.81,0)</f>
        <v>0</v>
      </c>
      <c r="H939" s="227">
        <f>IF(DAY(A939)='Main Budget'!$J$26,'Main Budget'!$E$26,0)</f>
        <v>0</v>
      </c>
      <c r="I939" s="227">
        <f>IF(DAY(A939)='Main Budget'!$J$28,'Main Budget'!$E$28,0)</f>
        <v>0</v>
      </c>
      <c r="J939" s="227">
        <f>IF(DAY(A939)='Main Budget'!$J$29,'Main Budget'!$E$29,0)</f>
        <v>0</v>
      </c>
      <c r="K939" s="20">
        <f>IF(DAY(A939)='Main Budget'!$J$30,'Main Budget'!$E$30,0)</f>
        <v>0</v>
      </c>
      <c r="L939" s="20">
        <f>IF(DAY(A939)='Main Budget'!$J$31,'Main Budget'!$E$31,0)</f>
        <v>0</v>
      </c>
      <c r="M939" s="20">
        <f>IF(DAY(A939)='Main Budget'!$J$27,'Main Budget'!$E$27,0)</f>
        <v>0</v>
      </c>
      <c r="O939" s="228">
        <f>B939+(SUM(H939:M939)+(SUM(D939:E939)))</f>
        <v>100</v>
      </c>
      <c r="P939" s="228">
        <f>C939+F939+G939+N939</f>
        <v>100</v>
      </c>
      <c r="Q939" s="252">
        <f>O939+P939</f>
        <v>200</v>
      </c>
      <c r="S939" s="231" t="str">
        <f>TEXT(A939,"dddd")</f>
        <v>Wednesday</v>
      </c>
    </row>
    <row r="940" spans="1:19" x14ac:dyDescent="0.25">
      <c r="A940" s="226">
        <v>46961</v>
      </c>
      <c r="B940" s="227">
        <f>O939</f>
        <v>100</v>
      </c>
      <c r="C940" s="228">
        <f>P939</f>
        <v>100</v>
      </c>
      <c r="D940" s="228">
        <f>IF(OR(DAY(A940+2)=1,DAY(A940+2)=15),-SUM('Main Budget'!$H$26:$H$31),0)</f>
        <v>0</v>
      </c>
      <c r="E940" s="228">
        <f>IF(DAY(A940+2)=22,-SUM('Main Budget'!$F$26:$F$31),0)</f>
        <v>0</v>
      </c>
      <c r="F940" s="228">
        <f>IF(D940&gt;0,-'Main Budget'!$H$25+0.15,0)</f>
        <v>0</v>
      </c>
      <c r="G940" s="228">
        <f>IF(E940&gt;0,-'Main Budget'!$F$25+0.81,0)</f>
        <v>0</v>
      </c>
      <c r="H940" s="227">
        <f>IF(DAY(A940)='Main Budget'!$J$26,'Main Budget'!$E$26,0)</f>
        <v>0</v>
      </c>
      <c r="I940" s="227">
        <f>IF(DAY(A940)='Main Budget'!$J$28,'Main Budget'!$E$28,0)</f>
        <v>0</v>
      </c>
      <c r="J940" s="227">
        <f>IF(DAY(A940)='Main Budget'!$J$29,'Main Budget'!$E$29,0)</f>
        <v>0</v>
      </c>
      <c r="K940" s="20">
        <f>IF(DAY(A940)='Main Budget'!$J$30,'Main Budget'!$E$30,0)</f>
        <v>0</v>
      </c>
      <c r="L940" s="20">
        <f>IF(DAY(A940)='Main Budget'!$J$31,'Main Budget'!$E$31,0)</f>
        <v>0</v>
      </c>
      <c r="M940" s="20">
        <f>IF(DAY(A940)='Main Budget'!$J$27,'Main Budget'!$E$27,0)</f>
        <v>0</v>
      </c>
      <c r="O940" s="228">
        <f>B940+(SUM(H940:M940)+(SUM(D940:E940)))</f>
        <v>100</v>
      </c>
      <c r="P940" s="228">
        <f>C940+F940+G940+N940</f>
        <v>100</v>
      </c>
      <c r="Q940" s="252">
        <f>O940+P940</f>
        <v>200</v>
      </c>
      <c r="S940" s="231" t="str">
        <f>TEXT(A940,"dddd")</f>
        <v>Thursday</v>
      </c>
    </row>
    <row r="941" spans="1:19" x14ac:dyDescent="0.25">
      <c r="A941" s="226">
        <v>46962</v>
      </c>
      <c r="B941" s="227">
        <f>O940</f>
        <v>100</v>
      </c>
      <c r="C941" s="228">
        <f>P940</f>
        <v>100</v>
      </c>
      <c r="D941" s="228">
        <f>IF(OR(DAY(A941+2)=1,DAY(A941+2)=15),-SUM('Main Budget'!$H$26:$H$31),0)</f>
        <v>0</v>
      </c>
      <c r="E941" s="228">
        <f>IF(DAY(A941+2)=22,-SUM('Main Budget'!$F$26:$F$31),0)</f>
        <v>0</v>
      </c>
      <c r="F941" s="228">
        <f>IF(D941&gt;0,-'Main Budget'!$H$25+0.15,0)</f>
        <v>0</v>
      </c>
      <c r="G941" s="228">
        <f>IF(E941&gt;0,-'Main Budget'!$F$25+0.81,0)</f>
        <v>0</v>
      </c>
      <c r="H941" s="227">
        <f>IF(DAY(A941)='Main Budget'!$J$26,'Main Budget'!$E$26,0)</f>
        <v>0</v>
      </c>
      <c r="I941" s="227">
        <f>IF(DAY(A941)='Main Budget'!$J$28,'Main Budget'!$E$28,0)</f>
        <v>0</v>
      </c>
      <c r="J941" s="227">
        <f>IF(DAY(A941)='Main Budget'!$J$29,'Main Budget'!$E$29,0)</f>
        <v>0</v>
      </c>
      <c r="K941" s="20">
        <f>IF(DAY(A941)='Main Budget'!$J$30,'Main Budget'!$E$30,0)</f>
        <v>0</v>
      </c>
      <c r="L941" s="20">
        <f>IF(DAY(A941)='Main Budget'!$J$31,'Main Budget'!$E$31,0)</f>
        <v>0</v>
      </c>
      <c r="M941" s="20">
        <f>IF(DAY(A941)='Main Budget'!$J$27,'Main Budget'!$E$27,0)</f>
        <v>0</v>
      </c>
      <c r="O941" s="228">
        <f>B941+(SUM(H941:M941)+(SUM(D941:E941)))</f>
        <v>100</v>
      </c>
      <c r="P941" s="228">
        <f>C941+F941+G941+N941</f>
        <v>100</v>
      </c>
      <c r="Q941" s="252">
        <f>O941+P941</f>
        <v>200</v>
      </c>
      <c r="S941" s="231" t="str">
        <f>TEXT(A941,"dddd")</f>
        <v>Friday</v>
      </c>
    </row>
    <row r="942" spans="1:19" x14ac:dyDescent="0.25">
      <c r="A942" s="226">
        <v>46963</v>
      </c>
      <c r="B942" s="227">
        <f>O941</f>
        <v>100</v>
      </c>
      <c r="C942" s="228">
        <f>P941</f>
        <v>100</v>
      </c>
      <c r="D942" s="228">
        <f>IF(OR(DAY(A942+2)=1,DAY(A942+2)=15),-SUM('Main Budget'!$H$26:$H$31),0)</f>
        <v>0</v>
      </c>
      <c r="E942" s="228">
        <f>IF(DAY(A942+2)=22,-SUM('Main Budget'!$F$26:$F$31),0)</f>
        <v>0</v>
      </c>
      <c r="F942" s="228">
        <f>IF(D942&gt;0,-'Main Budget'!$H$25+0.15,0)</f>
        <v>0</v>
      </c>
      <c r="G942" s="228">
        <f>IF(E942&gt;0,-'Main Budget'!$F$25+0.81,0)</f>
        <v>0</v>
      </c>
      <c r="H942" s="227">
        <f>IF(DAY(A942)='Main Budget'!$J$26,'Main Budget'!$E$26,0)</f>
        <v>0</v>
      </c>
      <c r="I942" s="227">
        <f>IF(DAY(A942)='Main Budget'!$J$28,'Main Budget'!$E$28,0)</f>
        <v>0</v>
      </c>
      <c r="J942" s="227">
        <f>IF(DAY(A942)='Main Budget'!$J$29,'Main Budget'!$E$29,0)</f>
        <v>0</v>
      </c>
      <c r="K942" s="20">
        <f>IF(DAY(A942)='Main Budget'!$J$30,'Main Budget'!$E$30,0)</f>
        <v>0</v>
      </c>
      <c r="L942" s="20">
        <f>IF(DAY(A942)='Main Budget'!$J$31,'Main Budget'!$E$31,0)</f>
        <v>0</v>
      </c>
      <c r="M942" s="20">
        <f>IF(DAY(A942)='Main Budget'!$J$27,'Main Budget'!$E$27,0)</f>
        <v>0</v>
      </c>
      <c r="O942" s="228">
        <f>B942+(SUM(H942:M942)+(SUM(D942:E942)))</f>
        <v>100</v>
      </c>
      <c r="P942" s="228">
        <f>C942+F942+G942+N942</f>
        <v>100</v>
      </c>
      <c r="Q942" s="252">
        <f>O942+P942</f>
        <v>200</v>
      </c>
      <c r="S942" s="231" t="str">
        <f>TEXT(A942,"dddd")</f>
        <v>Saturday</v>
      </c>
    </row>
    <row r="943" spans="1:19" x14ac:dyDescent="0.25">
      <c r="A943" s="226">
        <v>46964</v>
      </c>
      <c r="B943" s="227">
        <f>O942</f>
        <v>100</v>
      </c>
      <c r="C943" s="228">
        <f>P942</f>
        <v>100</v>
      </c>
      <c r="D943" s="228">
        <f>IF(OR(DAY(A943+2)=1,DAY(A943+2)=15),-SUM('Main Budget'!$H$26:$H$31),0)</f>
        <v>0</v>
      </c>
      <c r="E943" s="228">
        <f>IF(DAY(A943+2)=22,-SUM('Main Budget'!$F$26:$F$31),0)</f>
        <v>0</v>
      </c>
      <c r="F943" s="228">
        <f>IF(D943&gt;0,-'Main Budget'!$H$25+0.15,0)</f>
        <v>0</v>
      </c>
      <c r="G943" s="228">
        <f>IF(E943&gt;0,-'Main Budget'!$F$25+0.81,0)</f>
        <v>0</v>
      </c>
      <c r="H943" s="227">
        <f>IF(DAY(A943)='Main Budget'!$J$26,'Main Budget'!$E$26,0)</f>
        <v>0</v>
      </c>
      <c r="I943" s="227">
        <f>IF(DAY(A943)='Main Budget'!$J$28,'Main Budget'!$E$28,0)</f>
        <v>0</v>
      </c>
      <c r="J943" s="227">
        <f>IF(DAY(A943)='Main Budget'!$J$29,'Main Budget'!$E$29,0)</f>
        <v>0</v>
      </c>
      <c r="K943" s="20">
        <f>IF(DAY(A943)='Main Budget'!$J$30,'Main Budget'!$E$30,0)</f>
        <v>0</v>
      </c>
      <c r="L943" s="20">
        <f>IF(DAY(A943)='Main Budget'!$J$31,'Main Budget'!$E$31,0)</f>
        <v>0</v>
      </c>
      <c r="M943" s="20">
        <f>IF(DAY(A943)='Main Budget'!$J$27,'Main Budget'!$E$27,0)</f>
        <v>0</v>
      </c>
      <c r="O943" s="228">
        <f>B943+(SUM(H943:M943)+(SUM(D943:E943)))</f>
        <v>100</v>
      </c>
      <c r="P943" s="228">
        <f>C943+F943+G943+N943</f>
        <v>100</v>
      </c>
      <c r="Q943" s="252">
        <f>O943+P943</f>
        <v>200</v>
      </c>
      <c r="S943" s="231" t="str">
        <f>TEXT(A943,"dddd")</f>
        <v>Sunday</v>
      </c>
    </row>
    <row r="944" spans="1:19" x14ac:dyDescent="0.25">
      <c r="A944" s="226">
        <v>46965</v>
      </c>
      <c r="B944" s="227">
        <f>O943</f>
        <v>100</v>
      </c>
      <c r="C944" s="228">
        <f>P943</f>
        <v>100</v>
      </c>
      <c r="D944" s="228">
        <f>IF(OR(DAY(A944+2)=1,DAY(A944+2)=15),-SUM('Main Budget'!$H$26:$H$31),0)</f>
        <v>0</v>
      </c>
      <c r="E944" s="228">
        <f>IF(DAY(A944+2)=22,-SUM('Main Budget'!$F$26:$F$31),0)</f>
        <v>0</v>
      </c>
      <c r="F944" s="228">
        <f>IF(D944&gt;0,-'Main Budget'!$H$25+0.15,0)</f>
        <v>0</v>
      </c>
      <c r="G944" s="228">
        <f>IF(E944&gt;0,-'Main Budget'!$F$25+0.81,0)</f>
        <v>0</v>
      </c>
      <c r="H944" s="227">
        <f>IF(DAY(A944)='Main Budget'!$J$26,'Main Budget'!$E$26,0)</f>
        <v>0</v>
      </c>
      <c r="I944" s="227">
        <f>IF(DAY(A944)='Main Budget'!$J$28,'Main Budget'!$E$28,0)</f>
        <v>0</v>
      </c>
      <c r="J944" s="227">
        <f>IF(DAY(A944)='Main Budget'!$J$29,'Main Budget'!$E$29,0)</f>
        <v>0</v>
      </c>
      <c r="K944" s="20">
        <f>IF(DAY(A944)='Main Budget'!$J$30,'Main Budget'!$E$30,0)</f>
        <v>0</v>
      </c>
      <c r="L944" s="20">
        <f>IF(DAY(A944)='Main Budget'!$J$31,'Main Budget'!$E$31,0)</f>
        <v>0</v>
      </c>
      <c r="M944" s="20">
        <f>IF(DAY(A944)='Main Budget'!$J$27,'Main Budget'!$E$27,0)</f>
        <v>0</v>
      </c>
      <c r="O944" s="228">
        <f>B944+(SUM(H944:M944)+(SUM(D944:E944)))</f>
        <v>100</v>
      </c>
      <c r="P944" s="228">
        <f>C944+F944+G944+N944</f>
        <v>100</v>
      </c>
      <c r="Q944" s="252">
        <f>O944+P944</f>
        <v>200</v>
      </c>
      <c r="S944" s="231" t="str">
        <f>TEXT(A944,"dddd")</f>
        <v>Monday</v>
      </c>
    </row>
    <row r="945" spans="1:19" x14ac:dyDescent="0.25">
      <c r="A945" s="226">
        <v>46966</v>
      </c>
      <c r="B945" s="227">
        <f>O944</f>
        <v>100</v>
      </c>
      <c r="C945" s="228">
        <f>P944</f>
        <v>100</v>
      </c>
      <c r="D945" s="228">
        <f>IF(OR(DAY(A945+2)=1,DAY(A945+2)=15),-SUM('Main Budget'!$H$26:$H$31),0)</f>
        <v>0</v>
      </c>
      <c r="E945" s="228">
        <f>IF(DAY(A945+2)=22,-SUM('Main Budget'!$F$26:$F$31),0)</f>
        <v>0</v>
      </c>
      <c r="F945" s="228">
        <f>IF(D945&gt;0,-'Main Budget'!$H$25+0.15,0)</f>
        <v>0</v>
      </c>
      <c r="G945" s="228">
        <f>IF(E945&gt;0,-'Main Budget'!$F$25+0.81,0)</f>
        <v>0</v>
      </c>
      <c r="H945" s="227">
        <f>IF(DAY(A945)='Main Budget'!$J$26,'Main Budget'!$E$26,0)</f>
        <v>0</v>
      </c>
      <c r="I945" s="227">
        <f>IF(DAY(A945)='Main Budget'!$J$28,'Main Budget'!$E$28,0)</f>
        <v>0</v>
      </c>
      <c r="J945" s="227">
        <f>IF(DAY(A945)='Main Budget'!$J$29,'Main Budget'!$E$29,0)</f>
        <v>0</v>
      </c>
      <c r="K945" s="20">
        <f>IF(DAY(A945)='Main Budget'!$J$30,'Main Budget'!$E$30,0)</f>
        <v>0</v>
      </c>
      <c r="L945" s="20">
        <f>IF(DAY(A945)='Main Budget'!$J$31,'Main Budget'!$E$31,0)</f>
        <v>0</v>
      </c>
      <c r="M945" s="20">
        <f>IF(DAY(A945)='Main Budget'!$J$27,'Main Budget'!$E$27,0)</f>
        <v>0</v>
      </c>
      <c r="O945" s="228">
        <f>B945+(SUM(H945:M945)+(SUM(D945:E945)))</f>
        <v>100</v>
      </c>
      <c r="P945" s="228">
        <f>C945+F945+G945+N945</f>
        <v>100</v>
      </c>
      <c r="Q945" s="252">
        <f>O945+P945</f>
        <v>200</v>
      </c>
      <c r="S945" s="231" t="str">
        <f>TEXT(A945,"dddd")</f>
        <v>Tuesday</v>
      </c>
    </row>
    <row r="946" spans="1:19" x14ac:dyDescent="0.25">
      <c r="A946" s="226">
        <v>46967</v>
      </c>
      <c r="B946" s="227">
        <f>O945</f>
        <v>100</v>
      </c>
      <c r="C946" s="228">
        <f>P945</f>
        <v>100</v>
      </c>
      <c r="D946" s="228">
        <f>IF(OR(DAY(A946+2)=1,DAY(A946+2)=15),-SUM('Main Budget'!$H$26:$H$31),0)</f>
        <v>0</v>
      </c>
      <c r="E946" s="228">
        <f>IF(DAY(A946+2)=22,-SUM('Main Budget'!$F$26:$F$31),0)</f>
        <v>0</v>
      </c>
      <c r="F946" s="228">
        <f>IF(D946&gt;0,-'Main Budget'!$H$25+0.15,0)</f>
        <v>0</v>
      </c>
      <c r="G946" s="228">
        <f>IF(E946&gt;0,-'Main Budget'!$F$25+0.81,0)</f>
        <v>0</v>
      </c>
      <c r="H946" s="227">
        <f>IF(DAY(A946)='Main Budget'!$J$26,'Main Budget'!$E$26,0)</f>
        <v>0</v>
      </c>
      <c r="I946" s="227">
        <f>IF(DAY(A946)='Main Budget'!$J$28,'Main Budget'!$E$28,0)</f>
        <v>0</v>
      </c>
      <c r="J946" s="227">
        <f>IF(DAY(A946)='Main Budget'!$J$29,'Main Budget'!$E$29,0)</f>
        <v>0</v>
      </c>
      <c r="K946" s="20">
        <f>IF(DAY(A946)='Main Budget'!$J$30,'Main Budget'!$E$30,0)</f>
        <v>0</v>
      </c>
      <c r="L946" s="20">
        <f>IF(DAY(A946)='Main Budget'!$J$31,'Main Budget'!$E$31,0)</f>
        <v>0</v>
      </c>
      <c r="M946" s="20">
        <f>IF(DAY(A946)='Main Budget'!$J$27,'Main Budget'!$E$27,0)</f>
        <v>0</v>
      </c>
      <c r="O946" s="228">
        <f>B946+(SUM(H946:M946)+(SUM(D946:E946)))</f>
        <v>100</v>
      </c>
      <c r="P946" s="228">
        <f>C946+F946+G946+N946</f>
        <v>100</v>
      </c>
      <c r="Q946" s="252">
        <f>O946+P946</f>
        <v>200</v>
      </c>
      <c r="S946" s="231" t="str">
        <f>TEXT(A946,"dddd")</f>
        <v>Wednesday</v>
      </c>
    </row>
    <row r="947" spans="1:19" x14ac:dyDescent="0.25">
      <c r="A947" s="226">
        <v>46968</v>
      </c>
      <c r="B947" s="227">
        <f>O946</f>
        <v>100</v>
      </c>
      <c r="C947" s="228">
        <f>P946</f>
        <v>100</v>
      </c>
      <c r="D947" s="228">
        <f>IF(OR(DAY(A947+2)=1,DAY(A947+2)=15),-SUM('Main Budget'!$H$26:$H$31),0)</f>
        <v>0</v>
      </c>
      <c r="E947" s="228">
        <f>IF(DAY(A947+2)=22,-SUM('Main Budget'!$F$26:$F$31),0)</f>
        <v>0</v>
      </c>
      <c r="F947" s="228">
        <f>IF(D947&gt;0,-'Main Budget'!$H$25+0.15,0)</f>
        <v>0</v>
      </c>
      <c r="G947" s="228">
        <f>IF(E947&gt;0,-'Main Budget'!$F$25+0.81,0)</f>
        <v>0</v>
      </c>
      <c r="H947" s="227">
        <f>IF(DAY(A947)='Main Budget'!$J$26,'Main Budget'!$E$26,0)</f>
        <v>0</v>
      </c>
      <c r="I947" s="227">
        <f>IF(DAY(A947)='Main Budget'!$J$28,'Main Budget'!$E$28,0)</f>
        <v>0</v>
      </c>
      <c r="J947" s="227">
        <f>IF(DAY(A947)='Main Budget'!$J$29,'Main Budget'!$E$29,0)</f>
        <v>0</v>
      </c>
      <c r="K947" s="20">
        <f>IF(DAY(A947)='Main Budget'!$J$30,'Main Budget'!$E$30,0)</f>
        <v>0</v>
      </c>
      <c r="L947" s="20">
        <f>IF(DAY(A947)='Main Budget'!$J$31,'Main Budget'!$E$31,0)</f>
        <v>0</v>
      </c>
      <c r="M947" s="20">
        <f>IF(DAY(A947)='Main Budget'!$J$27,'Main Budget'!$E$27,0)</f>
        <v>0</v>
      </c>
      <c r="O947" s="228">
        <f>B947+(SUM(H947:M947)+(SUM(D947:E947)))</f>
        <v>100</v>
      </c>
      <c r="P947" s="228">
        <f>C947+F947+G947+N947</f>
        <v>100</v>
      </c>
      <c r="Q947" s="252">
        <f>O947+P947</f>
        <v>200</v>
      </c>
      <c r="S947" s="231" t="str">
        <f>TEXT(A947,"dddd")</f>
        <v>Thursday</v>
      </c>
    </row>
    <row r="948" spans="1:19" x14ac:dyDescent="0.25">
      <c r="A948" s="226">
        <v>46969</v>
      </c>
      <c r="B948" s="227">
        <f>O947</f>
        <v>100</v>
      </c>
      <c r="C948" s="228">
        <f>P947</f>
        <v>100</v>
      </c>
      <c r="D948" s="228">
        <f>IF(OR(DAY(A948+2)=1,DAY(A948+2)=15),-SUM('Main Budget'!$H$26:$H$31),0)</f>
        <v>0</v>
      </c>
      <c r="E948" s="228">
        <f>IF(DAY(A948+2)=22,-SUM('Main Budget'!$F$26:$F$31),0)</f>
        <v>0</v>
      </c>
      <c r="F948" s="228">
        <f>IF(D948&gt;0,-'Main Budget'!$H$25+0.15,0)</f>
        <v>0</v>
      </c>
      <c r="G948" s="228">
        <f>IF(E948&gt;0,-'Main Budget'!$F$25+0.81,0)</f>
        <v>0</v>
      </c>
      <c r="H948" s="227">
        <f>IF(DAY(A948)='Main Budget'!$J$26,'Main Budget'!$E$26,0)</f>
        <v>0</v>
      </c>
      <c r="I948" s="227">
        <f>IF(DAY(A948)='Main Budget'!$J$28,'Main Budget'!$E$28,0)</f>
        <v>0</v>
      </c>
      <c r="J948" s="227">
        <f>IF(DAY(A948)='Main Budget'!$J$29,'Main Budget'!$E$29,0)</f>
        <v>0</v>
      </c>
      <c r="K948" s="20">
        <f>IF(DAY(A948)='Main Budget'!$J$30,'Main Budget'!$E$30,0)</f>
        <v>0</v>
      </c>
      <c r="L948" s="20">
        <f>IF(DAY(A948)='Main Budget'!$J$31,'Main Budget'!$E$31,0)</f>
        <v>0</v>
      </c>
      <c r="M948" s="20">
        <f>IF(DAY(A948)='Main Budget'!$J$27,'Main Budget'!$E$27,0)</f>
        <v>0</v>
      </c>
      <c r="O948" s="228">
        <f>B948+(SUM(H948:M948)+(SUM(D948:E948)))</f>
        <v>100</v>
      </c>
      <c r="P948" s="228">
        <f>C948+F948+G948+N948</f>
        <v>100</v>
      </c>
      <c r="Q948" s="252">
        <f>O948+P948</f>
        <v>200</v>
      </c>
      <c r="S948" s="231" t="str">
        <f>TEXT(A948,"dddd")</f>
        <v>Friday</v>
      </c>
    </row>
    <row r="949" spans="1:19" x14ac:dyDescent="0.25">
      <c r="A949" s="226">
        <v>46970</v>
      </c>
      <c r="B949" s="227">
        <f>O948</f>
        <v>100</v>
      </c>
      <c r="C949" s="228">
        <f>P948</f>
        <v>100</v>
      </c>
      <c r="D949" s="228">
        <f>IF(OR(DAY(A949+2)=1,DAY(A949+2)=15),-SUM('Main Budget'!$H$26:$H$31),0)</f>
        <v>0</v>
      </c>
      <c r="E949" s="228">
        <f>IF(DAY(A949+2)=22,-SUM('Main Budget'!$F$26:$F$31),0)</f>
        <v>0</v>
      </c>
      <c r="F949" s="228">
        <f>IF(D949&gt;0,-'Main Budget'!$H$25+0.15,0)</f>
        <v>0</v>
      </c>
      <c r="G949" s="228">
        <f>IF(E949&gt;0,-'Main Budget'!$F$25+0.81,0)</f>
        <v>0</v>
      </c>
      <c r="H949" s="227">
        <f>IF(DAY(A949)='Main Budget'!$J$26,'Main Budget'!$E$26,0)</f>
        <v>0</v>
      </c>
      <c r="I949" s="227">
        <f>IF(DAY(A949)='Main Budget'!$J$28,'Main Budget'!$E$28,0)</f>
        <v>0</v>
      </c>
      <c r="J949" s="227">
        <f>IF(DAY(A949)='Main Budget'!$J$29,'Main Budget'!$E$29,0)</f>
        <v>0</v>
      </c>
      <c r="K949" s="20">
        <f>IF(DAY(A949)='Main Budget'!$J$30,'Main Budget'!$E$30,0)</f>
        <v>0</v>
      </c>
      <c r="L949" s="20">
        <f>IF(DAY(A949)='Main Budget'!$J$31,'Main Budget'!$E$31,0)</f>
        <v>0</v>
      </c>
      <c r="M949" s="20">
        <f>IF(DAY(A949)='Main Budget'!$J$27,'Main Budget'!$E$27,0)</f>
        <v>0</v>
      </c>
      <c r="O949" s="228">
        <f>B949+(SUM(H949:M949)+(SUM(D949:E949)))</f>
        <v>100</v>
      </c>
      <c r="P949" s="228">
        <f>C949+F949+G949+N949</f>
        <v>100</v>
      </c>
      <c r="Q949" s="252">
        <f>O949+P949</f>
        <v>200</v>
      </c>
      <c r="S949" s="231" t="str">
        <f>TEXT(A949,"dddd")</f>
        <v>Saturday</v>
      </c>
    </row>
    <row r="950" spans="1:19" x14ac:dyDescent="0.25">
      <c r="A950" s="226">
        <v>46971</v>
      </c>
      <c r="B950" s="227">
        <f>O949</f>
        <v>100</v>
      </c>
      <c r="C950" s="228">
        <f>P949</f>
        <v>100</v>
      </c>
      <c r="D950" s="228">
        <f>IF(OR(DAY(A950+2)=1,DAY(A950+2)=15),-SUM('Main Budget'!$H$26:$H$31),0)</f>
        <v>0</v>
      </c>
      <c r="E950" s="228">
        <f>IF(DAY(A950+2)=22,-SUM('Main Budget'!$F$26:$F$31),0)</f>
        <v>0</v>
      </c>
      <c r="F950" s="228">
        <f>IF(D950&gt;0,-'Main Budget'!$H$25+0.15,0)</f>
        <v>0</v>
      </c>
      <c r="G950" s="228">
        <f>IF(E950&gt;0,-'Main Budget'!$F$25+0.81,0)</f>
        <v>0</v>
      </c>
      <c r="H950" s="227">
        <f>IF(DAY(A950)='Main Budget'!$J$26,'Main Budget'!$E$26,0)</f>
        <v>0</v>
      </c>
      <c r="I950" s="227">
        <f>IF(DAY(A950)='Main Budget'!$J$28,'Main Budget'!$E$28,0)</f>
        <v>0</v>
      </c>
      <c r="J950" s="227">
        <f>IF(DAY(A950)='Main Budget'!$J$29,'Main Budget'!$E$29,0)</f>
        <v>0</v>
      </c>
      <c r="K950" s="20">
        <f>IF(DAY(A950)='Main Budget'!$J$30,'Main Budget'!$E$30,0)</f>
        <v>0</v>
      </c>
      <c r="L950" s="20">
        <f>IF(DAY(A950)='Main Budget'!$J$31,'Main Budget'!$E$31,0)</f>
        <v>0</v>
      </c>
      <c r="M950" s="20">
        <f>IF(DAY(A950)='Main Budget'!$J$27,'Main Budget'!$E$27,0)</f>
        <v>0</v>
      </c>
      <c r="O950" s="228">
        <f>B950+(SUM(H950:M950)+(SUM(D950:E950)))</f>
        <v>100</v>
      </c>
      <c r="P950" s="228">
        <f>C950+F950+G950+N950</f>
        <v>100</v>
      </c>
      <c r="Q950" s="252">
        <f>O950+P950</f>
        <v>200</v>
      </c>
      <c r="S950" s="231" t="str">
        <f>TEXT(A950,"dddd")</f>
        <v>Sunday</v>
      </c>
    </row>
    <row r="951" spans="1:19" x14ac:dyDescent="0.25">
      <c r="A951" s="226">
        <v>46972</v>
      </c>
      <c r="B951" s="227">
        <f>O950</f>
        <v>100</v>
      </c>
      <c r="C951" s="228">
        <f>P950</f>
        <v>100</v>
      </c>
      <c r="D951" s="228">
        <f>IF(OR(DAY(A951+2)=1,DAY(A951+2)=15),-SUM('Main Budget'!$H$26:$H$31),0)</f>
        <v>0</v>
      </c>
      <c r="E951" s="228">
        <f>IF(DAY(A951+2)=22,-SUM('Main Budget'!$F$26:$F$31),0)</f>
        <v>0</v>
      </c>
      <c r="F951" s="228">
        <f>IF(D951&gt;0,-'Main Budget'!$H$25+0.15,0)</f>
        <v>0</v>
      </c>
      <c r="G951" s="228">
        <f>IF(E951&gt;0,-'Main Budget'!$F$25+0.81,0)</f>
        <v>0</v>
      </c>
      <c r="H951" s="227">
        <f>IF(DAY(A951)='Main Budget'!$J$26,'Main Budget'!$E$26,0)</f>
        <v>0</v>
      </c>
      <c r="I951" s="227">
        <f>IF(DAY(A951)='Main Budget'!$J$28,'Main Budget'!$E$28,0)</f>
        <v>0</v>
      </c>
      <c r="J951" s="227">
        <f>IF(DAY(A951)='Main Budget'!$J$29,'Main Budget'!$E$29,0)</f>
        <v>0</v>
      </c>
      <c r="K951" s="20">
        <f>IF(DAY(A951)='Main Budget'!$J$30,'Main Budget'!$E$30,0)</f>
        <v>0</v>
      </c>
      <c r="L951" s="20">
        <f>IF(DAY(A951)='Main Budget'!$J$31,'Main Budget'!$E$31,0)</f>
        <v>0</v>
      </c>
      <c r="M951" s="20">
        <f>IF(DAY(A951)='Main Budget'!$J$27,'Main Budget'!$E$27,0)</f>
        <v>0</v>
      </c>
      <c r="O951" s="228">
        <f>B951+(SUM(H951:M951)+(SUM(D951:E951)))</f>
        <v>100</v>
      </c>
      <c r="P951" s="228">
        <f>C951+F951+G951+N951</f>
        <v>100</v>
      </c>
      <c r="Q951" s="252">
        <f>O951+P951</f>
        <v>200</v>
      </c>
      <c r="S951" s="231" t="str">
        <f>TEXT(A951,"dddd")</f>
        <v>Monday</v>
      </c>
    </row>
    <row r="952" spans="1:19" x14ac:dyDescent="0.25">
      <c r="A952" s="226">
        <v>46973</v>
      </c>
      <c r="B952" s="227">
        <f>O951</f>
        <v>100</v>
      </c>
      <c r="C952" s="228">
        <f>P951</f>
        <v>100</v>
      </c>
      <c r="D952" s="228">
        <f>IF(OR(DAY(A952+2)=1,DAY(A952+2)=15),-SUM('Main Budget'!$H$26:$H$31),0)</f>
        <v>0</v>
      </c>
      <c r="E952" s="228">
        <f>IF(DAY(A952+2)=22,-SUM('Main Budget'!$F$26:$F$31),0)</f>
        <v>0</v>
      </c>
      <c r="F952" s="228">
        <f>IF(D952&gt;0,-'Main Budget'!$H$25+0.15,0)</f>
        <v>0</v>
      </c>
      <c r="G952" s="228">
        <f>IF(E952&gt;0,-'Main Budget'!$F$25+0.81,0)</f>
        <v>0</v>
      </c>
      <c r="H952" s="227">
        <f>IF(DAY(A952)='Main Budget'!$J$26,'Main Budget'!$E$26,0)</f>
        <v>0</v>
      </c>
      <c r="I952" s="227">
        <f>IF(DAY(A952)='Main Budget'!$J$28,'Main Budget'!$E$28,0)</f>
        <v>0</v>
      </c>
      <c r="J952" s="227">
        <f>IF(DAY(A952)='Main Budget'!$J$29,'Main Budget'!$E$29,0)</f>
        <v>0</v>
      </c>
      <c r="K952" s="20">
        <f>IF(DAY(A952)='Main Budget'!$J$30,'Main Budget'!$E$30,0)</f>
        <v>0</v>
      </c>
      <c r="L952" s="20">
        <f>IF(DAY(A952)='Main Budget'!$J$31,'Main Budget'!$E$31,0)</f>
        <v>0</v>
      </c>
      <c r="M952" s="20">
        <f>IF(DAY(A952)='Main Budget'!$J$27,'Main Budget'!$E$27,0)</f>
        <v>0</v>
      </c>
      <c r="O952" s="228">
        <f>B952+(SUM(H952:M952)+(SUM(D952:E952)))</f>
        <v>100</v>
      </c>
      <c r="P952" s="228">
        <f>C952+F952+G952+N952</f>
        <v>100</v>
      </c>
      <c r="Q952" s="252">
        <f>O952+P952</f>
        <v>200</v>
      </c>
      <c r="S952" s="231" t="str">
        <f>TEXT(A952,"dddd")</f>
        <v>Tuesday</v>
      </c>
    </row>
    <row r="953" spans="1:19" x14ac:dyDescent="0.25">
      <c r="A953" s="226">
        <v>46974</v>
      </c>
      <c r="B953" s="227">
        <f>O952</f>
        <v>100</v>
      </c>
      <c r="C953" s="228">
        <f>P952</f>
        <v>100</v>
      </c>
      <c r="D953" s="228">
        <f>IF(OR(DAY(A953+2)=1,DAY(A953+2)=15),-SUM('Main Budget'!$H$26:$H$31),0)</f>
        <v>0</v>
      </c>
      <c r="E953" s="228">
        <f>IF(DAY(A953+2)=22,-SUM('Main Budget'!$F$26:$F$31),0)</f>
        <v>0</v>
      </c>
      <c r="F953" s="228">
        <f>IF(D953&gt;0,-'Main Budget'!$H$25+0.15,0)</f>
        <v>0</v>
      </c>
      <c r="G953" s="228">
        <f>IF(E953&gt;0,-'Main Budget'!$F$25+0.81,0)</f>
        <v>0</v>
      </c>
      <c r="H953" s="227">
        <f>IF(DAY(A953)='Main Budget'!$J$26,'Main Budget'!$E$26,0)</f>
        <v>0</v>
      </c>
      <c r="I953" s="227">
        <f>IF(DAY(A953)='Main Budget'!$J$28,'Main Budget'!$E$28,0)</f>
        <v>0</v>
      </c>
      <c r="J953" s="227">
        <f>IF(DAY(A953)='Main Budget'!$J$29,'Main Budget'!$E$29,0)</f>
        <v>0</v>
      </c>
      <c r="K953" s="20">
        <f>IF(DAY(A953)='Main Budget'!$J$30,'Main Budget'!$E$30,0)</f>
        <v>0</v>
      </c>
      <c r="L953" s="20">
        <f>IF(DAY(A953)='Main Budget'!$J$31,'Main Budget'!$E$31,0)</f>
        <v>0</v>
      </c>
      <c r="M953" s="20">
        <f>IF(DAY(A953)='Main Budget'!$J$27,'Main Budget'!$E$27,0)</f>
        <v>0</v>
      </c>
      <c r="O953" s="228">
        <f>B953+(SUM(H953:M953)+(SUM(D953:E953)))</f>
        <v>100</v>
      </c>
      <c r="P953" s="228">
        <f>C953+F953+G953+N953</f>
        <v>100</v>
      </c>
      <c r="Q953" s="252">
        <f>O953+P953</f>
        <v>200</v>
      </c>
      <c r="S953" s="231" t="str">
        <f>TEXT(A953,"dddd")</f>
        <v>Wednesday</v>
      </c>
    </row>
    <row r="954" spans="1:19" x14ac:dyDescent="0.25">
      <c r="A954" s="226">
        <v>46975</v>
      </c>
      <c r="B954" s="227">
        <f>O953</f>
        <v>100</v>
      </c>
      <c r="C954" s="228">
        <f>P953</f>
        <v>100</v>
      </c>
      <c r="D954" s="228">
        <f>IF(OR(DAY(A954+2)=1,DAY(A954+2)=15),-SUM('Main Budget'!$H$26:$H$31),0)</f>
        <v>0</v>
      </c>
      <c r="E954" s="228">
        <f>IF(DAY(A954+2)=22,-SUM('Main Budget'!$F$26:$F$31),0)</f>
        <v>0</v>
      </c>
      <c r="F954" s="228">
        <f>IF(D954&gt;0,-'Main Budget'!$H$25+0.15,0)</f>
        <v>0</v>
      </c>
      <c r="G954" s="228">
        <f>IF(E954&gt;0,-'Main Budget'!$F$25+0.81,0)</f>
        <v>0</v>
      </c>
      <c r="H954" s="227">
        <f>IF(DAY(A954)='Main Budget'!$J$26,'Main Budget'!$E$26,0)</f>
        <v>0</v>
      </c>
      <c r="I954" s="227">
        <f>IF(DAY(A954)='Main Budget'!$J$28,'Main Budget'!$E$28,0)</f>
        <v>0</v>
      </c>
      <c r="J954" s="227">
        <f>IF(DAY(A954)='Main Budget'!$J$29,'Main Budget'!$E$29,0)</f>
        <v>0</v>
      </c>
      <c r="K954" s="20">
        <f>IF(DAY(A954)='Main Budget'!$J$30,'Main Budget'!$E$30,0)</f>
        <v>0</v>
      </c>
      <c r="L954" s="20">
        <f>IF(DAY(A954)='Main Budget'!$J$31,'Main Budget'!$E$31,0)</f>
        <v>0</v>
      </c>
      <c r="M954" s="20">
        <f>IF(DAY(A954)='Main Budget'!$J$27,'Main Budget'!$E$27,0)</f>
        <v>0</v>
      </c>
      <c r="O954" s="228">
        <f>B954+(SUM(H954:M954)+(SUM(D954:E954)))</f>
        <v>100</v>
      </c>
      <c r="P954" s="228">
        <f>C954+F954+G954+N954</f>
        <v>100</v>
      </c>
      <c r="Q954" s="252">
        <f>O954+P954</f>
        <v>200</v>
      </c>
      <c r="S954" s="231" t="str">
        <f>TEXT(A954,"dddd")</f>
        <v>Thursday</v>
      </c>
    </row>
    <row r="955" spans="1:19" x14ac:dyDescent="0.25">
      <c r="A955" s="226">
        <v>46976</v>
      </c>
      <c r="B955" s="227">
        <f>O954</f>
        <v>100</v>
      </c>
      <c r="C955" s="228">
        <f>P954</f>
        <v>100</v>
      </c>
      <c r="D955" s="228">
        <f>IF(OR(DAY(A955+2)=1,DAY(A955+2)=15),-SUM('Main Budget'!$H$26:$H$31),0)</f>
        <v>0</v>
      </c>
      <c r="E955" s="228">
        <f>IF(DAY(A955+2)=22,-SUM('Main Budget'!$F$26:$F$31),0)</f>
        <v>0</v>
      </c>
      <c r="F955" s="228">
        <f>IF(D955&gt;0,-'Main Budget'!$H$25+0.15,0)</f>
        <v>0</v>
      </c>
      <c r="G955" s="228">
        <f>IF(E955&gt;0,-'Main Budget'!$F$25+0.81,0)</f>
        <v>0</v>
      </c>
      <c r="H955" s="227">
        <f>IF(DAY(A955)='Main Budget'!$J$26,'Main Budget'!$E$26,0)</f>
        <v>0</v>
      </c>
      <c r="I955" s="227">
        <f>IF(DAY(A955)='Main Budget'!$J$28,'Main Budget'!$E$28,0)</f>
        <v>0</v>
      </c>
      <c r="J955" s="227">
        <f>IF(DAY(A955)='Main Budget'!$J$29,'Main Budget'!$E$29,0)</f>
        <v>0</v>
      </c>
      <c r="K955" s="20">
        <f>IF(DAY(A955)='Main Budget'!$J$30,'Main Budget'!$E$30,0)</f>
        <v>0</v>
      </c>
      <c r="L955" s="20">
        <f>IF(DAY(A955)='Main Budget'!$J$31,'Main Budget'!$E$31,0)</f>
        <v>0</v>
      </c>
      <c r="M955" s="20">
        <f>IF(DAY(A955)='Main Budget'!$J$27,'Main Budget'!$E$27,0)</f>
        <v>0</v>
      </c>
      <c r="O955" s="228">
        <f>B955+(SUM(H955:M955)+(SUM(D955:E955)))</f>
        <v>100</v>
      </c>
      <c r="P955" s="228">
        <f>C955+F955+G955+N955</f>
        <v>100</v>
      </c>
      <c r="Q955" s="252">
        <f>O955+P955</f>
        <v>200</v>
      </c>
      <c r="S955" s="231" t="str">
        <f>TEXT(A955,"dddd")</f>
        <v>Friday</v>
      </c>
    </row>
    <row r="956" spans="1:19" x14ac:dyDescent="0.25">
      <c r="A956" s="226">
        <v>46977</v>
      </c>
      <c r="B956" s="227">
        <f>O955</f>
        <v>100</v>
      </c>
      <c r="C956" s="228">
        <f>P955</f>
        <v>100</v>
      </c>
      <c r="D956" s="228">
        <f>IF(OR(DAY(A956+2)=1,DAY(A956+2)=15),-SUM('Main Budget'!$H$26:$H$31),0)</f>
        <v>0</v>
      </c>
      <c r="E956" s="228">
        <f>IF(DAY(A956+2)=22,-SUM('Main Budget'!$F$26:$F$31),0)</f>
        <v>0</v>
      </c>
      <c r="F956" s="228">
        <f>IF(D956&gt;0,-'Main Budget'!$H$25+0.15,0)</f>
        <v>0</v>
      </c>
      <c r="G956" s="228">
        <f>IF(E956&gt;0,-'Main Budget'!$F$25+0.81,0)</f>
        <v>0</v>
      </c>
      <c r="H956" s="227">
        <f>IF(DAY(A956)='Main Budget'!$J$26,'Main Budget'!$E$26,0)</f>
        <v>0</v>
      </c>
      <c r="I956" s="227">
        <f>IF(DAY(A956)='Main Budget'!$J$28,'Main Budget'!$E$28,0)</f>
        <v>0</v>
      </c>
      <c r="J956" s="227">
        <f>IF(DAY(A956)='Main Budget'!$J$29,'Main Budget'!$E$29,0)</f>
        <v>0</v>
      </c>
      <c r="K956" s="20">
        <f>IF(DAY(A956)='Main Budget'!$J$30,'Main Budget'!$E$30,0)</f>
        <v>0</v>
      </c>
      <c r="L956" s="20">
        <f>IF(DAY(A956)='Main Budget'!$J$31,'Main Budget'!$E$31,0)</f>
        <v>0</v>
      </c>
      <c r="M956" s="20">
        <f>IF(DAY(A956)='Main Budget'!$J$27,'Main Budget'!$E$27,0)</f>
        <v>0</v>
      </c>
      <c r="O956" s="228">
        <f>B956+(SUM(H956:M956)+(SUM(D956:E956)))</f>
        <v>100</v>
      </c>
      <c r="P956" s="228">
        <f>C956+F956+G956+N956</f>
        <v>100</v>
      </c>
      <c r="Q956" s="252">
        <f>O956+P956</f>
        <v>200</v>
      </c>
      <c r="S956" s="231" t="str">
        <f>TEXT(A956,"dddd")</f>
        <v>Saturday</v>
      </c>
    </row>
    <row r="957" spans="1:19" x14ac:dyDescent="0.25">
      <c r="A957" s="226">
        <v>46978</v>
      </c>
      <c r="B957" s="227">
        <f>O956</f>
        <v>100</v>
      </c>
      <c r="C957" s="228">
        <f>P956</f>
        <v>100</v>
      </c>
      <c r="D957" s="228">
        <f>IF(OR(DAY(A957+2)=1,DAY(A957+2)=15),-SUM('Main Budget'!$H$26:$H$31),0)</f>
        <v>0</v>
      </c>
      <c r="E957" s="228">
        <f>IF(DAY(A957+2)=22,-SUM('Main Budget'!$F$26:$F$31),0)</f>
        <v>0</v>
      </c>
      <c r="F957" s="228">
        <f>IF(D957&gt;0,-'Main Budget'!$H$25+0.15,0)</f>
        <v>0</v>
      </c>
      <c r="G957" s="228">
        <f>IF(E957&gt;0,-'Main Budget'!$F$25+0.81,0)</f>
        <v>0</v>
      </c>
      <c r="H957" s="227">
        <f>IF(DAY(A957)='Main Budget'!$J$26,'Main Budget'!$E$26,0)</f>
        <v>0</v>
      </c>
      <c r="I957" s="227">
        <f>IF(DAY(A957)='Main Budget'!$J$28,'Main Budget'!$E$28,0)</f>
        <v>0</v>
      </c>
      <c r="J957" s="227">
        <f>IF(DAY(A957)='Main Budget'!$J$29,'Main Budget'!$E$29,0)</f>
        <v>0</v>
      </c>
      <c r="K957" s="20">
        <f>IF(DAY(A957)='Main Budget'!$J$30,'Main Budget'!$E$30,0)</f>
        <v>0</v>
      </c>
      <c r="L957" s="20">
        <f>IF(DAY(A957)='Main Budget'!$J$31,'Main Budget'!$E$31,0)</f>
        <v>0</v>
      </c>
      <c r="M957" s="20">
        <f>IF(DAY(A957)='Main Budget'!$J$27,'Main Budget'!$E$27,0)</f>
        <v>0</v>
      </c>
      <c r="O957" s="228">
        <f>B957+(SUM(H957:M957)+(SUM(D957:E957)))</f>
        <v>100</v>
      </c>
      <c r="P957" s="228">
        <f>C957+F957+G957+N957</f>
        <v>100</v>
      </c>
      <c r="Q957" s="252">
        <f>O957+P957</f>
        <v>200</v>
      </c>
      <c r="S957" s="231" t="str">
        <f>TEXT(A957,"dddd")</f>
        <v>Sunday</v>
      </c>
    </row>
    <row r="958" spans="1:19" x14ac:dyDescent="0.25">
      <c r="A958" s="226">
        <v>46979</v>
      </c>
      <c r="B958" s="227">
        <f>O957</f>
        <v>100</v>
      </c>
      <c r="C958" s="228">
        <f>P957</f>
        <v>100</v>
      </c>
      <c r="D958" s="228">
        <f>IF(OR(DAY(A958+2)=1,DAY(A958+2)=15),-SUM('Main Budget'!$H$26:$H$31),0)</f>
        <v>0</v>
      </c>
      <c r="E958" s="228">
        <f>IF(DAY(A958+2)=22,-SUM('Main Budget'!$F$26:$F$31),0)</f>
        <v>0</v>
      </c>
      <c r="F958" s="228">
        <f>IF(D958&gt;0,-'Main Budget'!$H$25+0.15,0)</f>
        <v>0</v>
      </c>
      <c r="G958" s="228">
        <f>IF(E958&gt;0,-'Main Budget'!$F$25+0.81,0)</f>
        <v>0</v>
      </c>
      <c r="H958" s="227">
        <f>IF(DAY(A958)='Main Budget'!$J$26,'Main Budget'!$E$26,0)</f>
        <v>0</v>
      </c>
      <c r="I958" s="227">
        <f>IF(DAY(A958)='Main Budget'!$J$28,'Main Budget'!$E$28,0)</f>
        <v>0</v>
      </c>
      <c r="J958" s="227">
        <f>IF(DAY(A958)='Main Budget'!$J$29,'Main Budget'!$E$29,0)</f>
        <v>0</v>
      </c>
      <c r="K958" s="20">
        <f>IF(DAY(A958)='Main Budget'!$J$30,'Main Budget'!$E$30,0)</f>
        <v>0</v>
      </c>
      <c r="L958" s="20">
        <f>IF(DAY(A958)='Main Budget'!$J$31,'Main Budget'!$E$31,0)</f>
        <v>0</v>
      </c>
      <c r="M958" s="20">
        <f>IF(DAY(A958)='Main Budget'!$J$27,'Main Budget'!$E$27,0)</f>
        <v>0</v>
      </c>
      <c r="O958" s="228">
        <f>B958+(SUM(H958:M958)+(SUM(D958:E958)))</f>
        <v>100</v>
      </c>
      <c r="P958" s="228">
        <f>C958+F958+G958+N958</f>
        <v>100</v>
      </c>
      <c r="Q958" s="252">
        <f>O958+P958</f>
        <v>200</v>
      </c>
      <c r="S958" s="231" t="str">
        <f>TEXT(A958,"dddd")</f>
        <v>Monday</v>
      </c>
    </row>
    <row r="959" spans="1:19" x14ac:dyDescent="0.25">
      <c r="A959" s="226">
        <v>46980</v>
      </c>
      <c r="B959" s="227">
        <f>O958</f>
        <v>100</v>
      </c>
      <c r="C959" s="228">
        <f>P958</f>
        <v>100</v>
      </c>
      <c r="D959" s="228">
        <f>IF(OR(DAY(A959+2)=1,DAY(A959+2)=15),-SUM('Main Budget'!$H$26:$H$31),0)</f>
        <v>0</v>
      </c>
      <c r="E959" s="228">
        <f>IF(DAY(A959+2)=22,-SUM('Main Budget'!$F$26:$F$31),0)</f>
        <v>0</v>
      </c>
      <c r="F959" s="228">
        <f>IF(D959&gt;0,-'Main Budget'!$H$25+0.15,0)</f>
        <v>0</v>
      </c>
      <c r="G959" s="228">
        <f>IF(E959&gt;0,-'Main Budget'!$F$25+0.81,0)</f>
        <v>0</v>
      </c>
      <c r="H959" s="227">
        <f>IF(DAY(A959)='Main Budget'!$J$26,'Main Budget'!$E$26,0)</f>
        <v>0</v>
      </c>
      <c r="I959" s="227">
        <f>IF(DAY(A959)='Main Budget'!$J$28,'Main Budget'!$E$28,0)</f>
        <v>0</v>
      </c>
      <c r="J959" s="227">
        <f>IF(DAY(A959)='Main Budget'!$J$29,'Main Budget'!$E$29,0)</f>
        <v>0</v>
      </c>
      <c r="K959" s="20">
        <f>IF(DAY(A959)='Main Budget'!$J$30,'Main Budget'!$E$30,0)</f>
        <v>0</v>
      </c>
      <c r="L959" s="20">
        <f>IF(DAY(A959)='Main Budget'!$J$31,'Main Budget'!$E$31,0)</f>
        <v>0</v>
      </c>
      <c r="M959" s="20">
        <f>IF(DAY(A959)='Main Budget'!$J$27,'Main Budget'!$E$27,0)</f>
        <v>0</v>
      </c>
      <c r="O959" s="228">
        <f>B959+(SUM(H959:M959)+(SUM(D959:E959)))</f>
        <v>100</v>
      </c>
      <c r="P959" s="228">
        <f>C959+F959+G959+N959</f>
        <v>100</v>
      </c>
      <c r="Q959" s="252">
        <f>O959+P959</f>
        <v>200</v>
      </c>
      <c r="S959" s="231" t="str">
        <f>TEXT(A959,"dddd")</f>
        <v>Tuesday</v>
      </c>
    </row>
    <row r="960" spans="1:19" x14ac:dyDescent="0.25">
      <c r="A960" s="226">
        <v>46981</v>
      </c>
      <c r="B960" s="227">
        <f>O959</f>
        <v>100</v>
      </c>
      <c r="C960" s="228">
        <f>P959</f>
        <v>100</v>
      </c>
      <c r="D960" s="228">
        <f>IF(OR(DAY(A960+2)=1,DAY(A960+2)=15),-SUM('Main Budget'!$H$26:$H$31),0)</f>
        <v>0</v>
      </c>
      <c r="E960" s="228">
        <f>IF(DAY(A960+2)=22,-SUM('Main Budget'!$F$26:$F$31),0)</f>
        <v>0</v>
      </c>
      <c r="F960" s="228">
        <f>IF(D960&gt;0,-'Main Budget'!$H$25+0.15,0)</f>
        <v>0</v>
      </c>
      <c r="G960" s="228">
        <f>IF(E960&gt;0,-'Main Budget'!$F$25+0.81,0)</f>
        <v>0</v>
      </c>
      <c r="H960" s="227">
        <f>IF(DAY(A960)='Main Budget'!$J$26,'Main Budget'!$E$26,0)</f>
        <v>0</v>
      </c>
      <c r="I960" s="227">
        <f>IF(DAY(A960)='Main Budget'!$J$28,'Main Budget'!$E$28,0)</f>
        <v>0</v>
      </c>
      <c r="J960" s="227">
        <f>IF(DAY(A960)='Main Budget'!$J$29,'Main Budget'!$E$29,0)</f>
        <v>0</v>
      </c>
      <c r="K960" s="20">
        <f>IF(DAY(A960)='Main Budget'!$J$30,'Main Budget'!$E$30,0)</f>
        <v>0</v>
      </c>
      <c r="L960" s="20">
        <f>IF(DAY(A960)='Main Budget'!$J$31,'Main Budget'!$E$31,0)</f>
        <v>0</v>
      </c>
      <c r="M960" s="20">
        <f>IF(DAY(A960)='Main Budget'!$J$27,'Main Budget'!$E$27,0)</f>
        <v>0</v>
      </c>
      <c r="O960" s="228">
        <f>B960+(SUM(H960:M960)+(SUM(D960:E960)))</f>
        <v>100</v>
      </c>
      <c r="P960" s="228">
        <f>C960+F960+G960+N960</f>
        <v>100</v>
      </c>
      <c r="Q960" s="252">
        <f>O960+P960</f>
        <v>200</v>
      </c>
      <c r="S960" s="231" t="str">
        <f>TEXT(A960,"dddd")</f>
        <v>Wednesday</v>
      </c>
    </row>
    <row r="961" spans="1:19" x14ac:dyDescent="0.25">
      <c r="A961" s="226">
        <v>46982</v>
      </c>
      <c r="B961" s="227">
        <f>O960</f>
        <v>100</v>
      </c>
      <c r="C961" s="228">
        <f>P960</f>
        <v>100</v>
      </c>
      <c r="D961" s="228">
        <f>IF(OR(DAY(A961+2)=1,DAY(A961+2)=15),-SUM('Main Budget'!$H$26:$H$31),0)</f>
        <v>0</v>
      </c>
      <c r="E961" s="228">
        <f>IF(DAY(A961+2)=22,-SUM('Main Budget'!$F$26:$F$31),0)</f>
        <v>0</v>
      </c>
      <c r="F961" s="228">
        <f>IF(D961&gt;0,-'Main Budget'!$H$25+0.15,0)</f>
        <v>0</v>
      </c>
      <c r="G961" s="228">
        <f>IF(E961&gt;0,-'Main Budget'!$F$25+0.81,0)</f>
        <v>0</v>
      </c>
      <c r="H961" s="227">
        <f>IF(DAY(A961)='Main Budget'!$J$26,'Main Budget'!$E$26,0)</f>
        <v>0</v>
      </c>
      <c r="I961" s="227">
        <f>IF(DAY(A961)='Main Budget'!$J$28,'Main Budget'!$E$28,0)</f>
        <v>0</v>
      </c>
      <c r="J961" s="227">
        <f>IF(DAY(A961)='Main Budget'!$J$29,'Main Budget'!$E$29,0)</f>
        <v>0</v>
      </c>
      <c r="K961" s="20">
        <f>IF(DAY(A961)='Main Budget'!$J$30,'Main Budget'!$E$30,0)</f>
        <v>0</v>
      </c>
      <c r="L961" s="20">
        <f>IF(DAY(A961)='Main Budget'!$J$31,'Main Budget'!$E$31,0)</f>
        <v>0</v>
      </c>
      <c r="M961" s="20">
        <f>IF(DAY(A961)='Main Budget'!$J$27,'Main Budget'!$E$27,0)</f>
        <v>0</v>
      </c>
      <c r="O961" s="228">
        <f>B961+(SUM(H961:M961)+(SUM(D961:E961)))</f>
        <v>100</v>
      </c>
      <c r="P961" s="228">
        <f>C961+F961+G961+N961</f>
        <v>100</v>
      </c>
      <c r="Q961" s="252">
        <f>O961+P961</f>
        <v>200</v>
      </c>
      <c r="S961" s="231" t="str">
        <f>TEXT(A961,"dddd")</f>
        <v>Thursday</v>
      </c>
    </row>
    <row r="962" spans="1:19" x14ac:dyDescent="0.25">
      <c r="A962" s="226">
        <v>46983</v>
      </c>
      <c r="B962" s="227">
        <f>O961</f>
        <v>100</v>
      </c>
      <c r="C962" s="228">
        <f>P961</f>
        <v>100</v>
      </c>
      <c r="D962" s="228">
        <f>IF(OR(DAY(A962+2)=1,DAY(A962+2)=15),-SUM('Main Budget'!$H$26:$H$31),0)</f>
        <v>0</v>
      </c>
      <c r="E962" s="228">
        <f>IF(DAY(A962+2)=22,-SUM('Main Budget'!$F$26:$F$31),0)</f>
        <v>0</v>
      </c>
      <c r="F962" s="228">
        <f>IF(D962&gt;0,-'Main Budget'!$H$25+0.15,0)</f>
        <v>0</v>
      </c>
      <c r="G962" s="228">
        <f>IF(E962&gt;0,-'Main Budget'!$F$25+0.81,0)</f>
        <v>0</v>
      </c>
      <c r="H962" s="227">
        <f>IF(DAY(A962)='Main Budget'!$J$26,'Main Budget'!$E$26,0)</f>
        <v>0</v>
      </c>
      <c r="I962" s="227">
        <f>IF(DAY(A962)='Main Budget'!$J$28,'Main Budget'!$E$28,0)</f>
        <v>0</v>
      </c>
      <c r="J962" s="227">
        <f>IF(DAY(A962)='Main Budget'!$J$29,'Main Budget'!$E$29,0)</f>
        <v>0</v>
      </c>
      <c r="K962" s="20">
        <f>IF(DAY(A962)='Main Budget'!$J$30,'Main Budget'!$E$30,0)</f>
        <v>0</v>
      </c>
      <c r="L962" s="20">
        <f>IF(DAY(A962)='Main Budget'!$J$31,'Main Budget'!$E$31,0)</f>
        <v>0</v>
      </c>
      <c r="M962" s="20">
        <f>IF(DAY(A962)='Main Budget'!$J$27,'Main Budget'!$E$27,0)</f>
        <v>0</v>
      </c>
      <c r="O962" s="228">
        <f>B962+(SUM(H962:M962)+(SUM(D962:E962)))</f>
        <v>100</v>
      </c>
      <c r="P962" s="228">
        <f>C962+F962+G962+N962</f>
        <v>100</v>
      </c>
      <c r="Q962" s="252">
        <f>O962+P962</f>
        <v>200</v>
      </c>
      <c r="S962" s="231" t="str">
        <f>TEXT(A962,"dddd")</f>
        <v>Friday</v>
      </c>
    </row>
    <row r="963" spans="1:19" x14ac:dyDescent="0.25">
      <c r="A963" s="226">
        <v>46984</v>
      </c>
      <c r="B963" s="227">
        <f>O962</f>
        <v>100</v>
      </c>
      <c r="C963" s="228">
        <f>P962</f>
        <v>100</v>
      </c>
      <c r="D963" s="228">
        <f>IF(OR(DAY(A963+2)=1,DAY(A963+2)=15),-SUM('Main Budget'!$H$26:$H$31),0)</f>
        <v>0</v>
      </c>
      <c r="E963" s="228">
        <f>IF(DAY(A963+2)=22,-SUM('Main Budget'!$F$26:$F$31),0)</f>
        <v>0</v>
      </c>
      <c r="F963" s="228">
        <f>IF(D963&gt;0,-'Main Budget'!$H$25+0.15,0)</f>
        <v>0</v>
      </c>
      <c r="G963" s="228">
        <f>IF(E963&gt;0,-'Main Budget'!$F$25+0.81,0)</f>
        <v>0</v>
      </c>
      <c r="H963" s="227">
        <f>IF(DAY(A963)='Main Budget'!$J$26,'Main Budget'!$E$26,0)</f>
        <v>0</v>
      </c>
      <c r="I963" s="227">
        <f>IF(DAY(A963)='Main Budget'!$J$28,'Main Budget'!$E$28,0)</f>
        <v>0</v>
      </c>
      <c r="J963" s="227">
        <f>IF(DAY(A963)='Main Budget'!$J$29,'Main Budget'!$E$29,0)</f>
        <v>0</v>
      </c>
      <c r="K963" s="20">
        <f>IF(DAY(A963)='Main Budget'!$J$30,'Main Budget'!$E$30,0)</f>
        <v>0</v>
      </c>
      <c r="L963" s="20">
        <f>IF(DAY(A963)='Main Budget'!$J$31,'Main Budget'!$E$31,0)</f>
        <v>0</v>
      </c>
      <c r="M963" s="20">
        <f>IF(DAY(A963)='Main Budget'!$J$27,'Main Budget'!$E$27,0)</f>
        <v>0</v>
      </c>
      <c r="O963" s="228">
        <f>B963+(SUM(H963:M963)+(SUM(D963:E963)))</f>
        <v>100</v>
      </c>
      <c r="P963" s="228">
        <f>C963+F963+G963+N963</f>
        <v>100</v>
      </c>
      <c r="Q963" s="252">
        <f>O963+P963</f>
        <v>200</v>
      </c>
      <c r="S963" s="231" t="str">
        <f>TEXT(A963,"dddd")</f>
        <v>Saturday</v>
      </c>
    </row>
    <row r="964" spans="1:19" x14ac:dyDescent="0.25">
      <c r="A964" s="226">
        <v>46985</v>
      </c>
      <c r="B964" s="227">
        <f>O963</f>
        <v>100</v>
      </c>
      <c r="C964" s="228">
        <f>P963</f>
        <v>100</v>
      </c>
      <c r="D964" s="228">
        <f>IF(OR(DAY(A964+2)=1,DAY(A964+2)=15),-SUM('Main Budget'!$H$26:$H$31),0)</f>
        <v>0</v>
      </c>
      <c r="E964" s="228">
        <f>IF(DAY(A964+2)=22,-SUM('Main Budget'!$F$26:$F$31),0)</f>
        <v>0</v>
      </c>
      <c r="F964" s="228">
        <f>IF(D964&gt;0,-'Main Budget'!$H$25+0.15,0)</f>
        <v>0</v>
      </c>
      <c r="G964" s="228">
        <f>IF(E964&gt;0,-'Main Budget'!$F$25+0.81,0)</f>
        <v>0</v>
      </c>
      <c r="H964" s="227">
        <f>IF(DAY(A964)='Main Budget'!$J$26,'Main Budget'!$E$26,0)</f>
        <v>0</v>
      </c>
      <c r="I964" s="227">
        <f>IF(DAY(A964)='Main Budget'!$J$28,'Main Budget'!$E$28,0)</f>
        <v>0</v>
      </c>
      <c r="J964" s="227">
        <f>IF(DAY(A964)='Main Budget'!$J$29,'Main Budget'!$E$29,0)</f>
        <v>0</v>
      </c>
      <c r="K964" s="20">
        <f>IF(DAY(A964)='Main Budget'!$J$30,'Main Budget'!$E$30,0)</f>
        <v>0</v>
      </c>
      <c r="L964" s="20">
        <f>IF(DAY(A964)='Main Budget'!$J$31,'Main Budget'!$E$31,0)</f>
        <v>0</v>
      </c>
      <c r="M964" s="20">
        <f>IF(DAY(A964)='Main Budget'!$J$27,'Main Budget'!$E$27,0)</f>
        <v>0</v>
      </c>
      <c r="O964" s="228">
        <f>B964+(SUM(H964:M964)+(SUM(D964:E964)))</f>
        <v>100</v>
      </c>
      <c r="P964" s="228">
        <f>C964+F964+G964+N964</f>
        <v>100</v>
      </c>
      <c r="Q964" s="252">
        <f>O964+P964</f>
        <v>200</v>
      </c>
      <c r="S964" s="231" t="str">
        <f>TEXT(A964,"dddd")</f>
        <v>Sunday</v>
      </c>
    </row>
    <row r="965" spans="1:19" x14ac:dyDescent="0.25">
      <c r="A965" s="226">
        <v>46986</v>
      </c>
      <c r="B965" s="227">
        <f>O964</f>
        <v>100</v>
      </c>
      <c r="C965" s="228">
        <f>P964</f>
        <v>100</v>
      </c>
      <c r="D965" s="228">
        <f>IF(OR(DAY(A965+2)=1,DAY(A965+2)=15),-SUM('Main Budget'!$H$26:$H$31),0)</f>
        <v>0</v>
      </c>
      <c r="E965" s="228">
        <f>IF(DAY(A965+2)=22,-SUM('Main Budget'!$F$26:$F$31),0)</f>
        <v>0</v>
      </c>
      <c r="F965" s="228">
        <f>IF(D965&gt;0,-'Main Budget'!$H$25+0.15,0)</f>
        <v>0</v>
      </c>
      <c r="G965" s="228">
        <f>IF(E965&gt;0,-'Main Budget'!$F$25+0.81,0)</f>
        <v>0</v>
      </c>
      <c r="H965" s="227">
        <f>IF(DAY(A965)='Main Budget'!$J$26,'Main Budget'!$E$26,0)</f>
        <v>0</v>
      </c>
      <c r="I965" s="227">
        <f>IF(DAY(A965)='Main Budget'!$J$28,'Main Budget'!$E$28,0)</f>
        <v>0</v>
      </c>
      <c r="J965" s="227">
        <f>IF(DAY(A965)='Main Budget'!$J$29,'Main Budget'!$E$29,0)</f>
        <v>0</v>
      </c>
      <c r="K965" s="20">
        <f>IF(DAY(A965)='Main Budget'!$J$30,'Main Budget'!$E$30,0)</f>
        <v>0</v>
      </c>
      <c r="L965" s="20">
        <f>IF(DAY(A965)='Main Budget'!$J$31,'Main Budget'!$E$31,0)</f>
        <v>0</v>
      </c>
      <c r="M965" s="20">
        <f>IF(DAY(A965)='Main Budget'!$J$27,'Main Budget'!$E$27,0)</f>
        <v>0</v>
      </c>
      <c r="O965" s="228">
        <f>B965+(SUM(H965:M965)+(SUM(D965:E965)))</f>
        <v>100</v>
      </c>
      <c r="P965" s="228">
        <f>C965+F965+G965+N965</f>
        <v>100</v>
      </c>
      <c r="Q965" s="252">
        <f>O965+P965</f>
        <v>200</v>
      </c>
      <c r="S965" s="231" t="str">
        <f>TEXT(A965,"dddd")</f>
        <v>Monday</v>
      </c>
    </row>
    <row r="966" spans="1:19" x14ac:dyDescent="0.25">
      <c r="A966" s="226">
        <v>46987</v>
      </c>
      <c r="B966" s="227">
        <f>O965</f>
        <v>100</v>
      </c>
      <c r="C966" s="228">
        <f>P965</f>
        <v>100</v>
      </c>
      <c r="D966" s="228">
        <f>IF(OR(DAY(A966+2)=1,DAY(A966+2)=15),-SUM('Main Budget'!$H$26:$H$31),0)</f>
        <v>0</v>
      </c>
      <c r="E966" s="228">
        <f>IF(DAY(A966+2)=22,-SUM('Main Budget'!$F$26:$F$31),0)</f>
        <v>0</v>
      </c>
      <c r="F966" s="228">
        <f>IF(D966&gt;0,-'Main Budget'!$H$25+0.15,0)</f>
        <v>0</v>
      </c>
      <c r="G966" s="228">
        <f>IF(E966&gt;0,-'Main Budget'!$F$25+0.81,0)</f>
        <v>0</v>
      </c>
      <c r="H966" s="227">
        <f>IF(DAY(A966)='Main Budget'!$J$26,'Main Budget'!$E$26,0)</f>
        <v>0</v>
      </c>
      <c r="I966" s="227">
        <f>IF(DAY(A966)='Main Budget'!$J$28,'Main Budget'!$E$28,0)</f>
        <v>0</v>
      </c>
      <c r="J966" s="227">
        <f>IF(DAY(A966)='Main Budget'!$J$29,'Main Budget'!$E$29,0)</f>
        <v>0</v>
      </c>
      <c r="K966" s="20">
        <f>IF(DAY(A966)='Main Budget'!$J$30,'Main Budget'!$E$30,0)</f>
        <v>0</v>
      </c>
      <c r="L966" s="20">
        <f>IF(DAY(A966)='Main Budget'!$J$31,'Main Budget'!$E$31,0)</f>
        <v>0</v>
      </c>
      <c r="M966" s="20">
        <f>IF(DAY(A966)='Main Budget'!$J$27,'Main Budget'!$E$27,0)</f>
        <v>0</v>
      </c>
      <c r="O966" s="228">
        <f>B966+(SUM(H966:M966)+(SUM(D966:E966)))</f>
        <v>100</v>
      </c>
      <c r="P966" s="228">
        <f>C966+F966+G966+N966</f>
        <v>100</v>
      </c>
      <c r="Q966" s="252">
        <f>O966+P966</f>
        <v>200</v>
      </c>
      <c r="S966" s="231" t="str">
        <f>TEXT(A966,"dddd")</f>
        <v>Tuesday</v>
      </c>
    </row>
    <row r="967" spans="1:19" x14ac:dyDescent="0.25">
      <c r="A967" s="226">
        <v>46988</v>
      </c>
      <c r="B967" s="227">
        <f>O966</f>
        <v>100</v>
      </c>
      <c r="C967" s="228">
        <f>P966</f>
        <v>100</v>
      </c>
      <c r="D967" s="228">
        <f>IF(OR(DAY(A967+2)=1,DAY(A967+2)=15),-SUM('Main Budget'!$H$26:$H$31),0)</f>
        <v>0</v>
      </c>
      <c r="E967" s="228">
        <f>IF(DAY(A967+2)=22,-SUM('Main Budget'!$F$26:$F$31),0)</f>
        <v>0</v>
      </c>
      <c r="F967" s="228">
        <f>IF(D967&gt;0,-'Main Budget'!$H$25+0.15,0)</f>
        <v>0</v>
      </c>
      <c r="G967" s="228">
        <f>IF(E967&gt;0,-'Main Budget'!$F$25+0.81,0)</f>
        <v>0</v>
      </c>
      <c r="H967" s="227">
        <f>IF(DAY(A967)='Main Budget'!$J$26,'Main Budget'!$E$26,0)</f>
        <v>0</v>
      </c>
      <c r="I967" s="227">
        <f>IF(DAY(A967)='Main Budget'!$J$28,'Main Budget'!$E$28,0)</f>
        <v>0</v>
      </c>
      <c r="J967" s="227">
        <f>IF(DAY(A967)='Main Budget'!$J$29,'Main Budget'!$E$29,0)</f>
        <v>0</v>
      </c>
      <c r="K967" s="20">
        <f>IF(DAY(A967)='Main Budget'!$J$30,'Main Budget'!$E$30,0)</f>
        <v>0</v>
      </c>
      <c r="L967" s="20">
        <f>IF(DAY(A967)='Main Budget'!$J$31,'Main Budget'!$E$31,0)</f>
        <v>0</v>
      </c>
      <c r="M967" s="20">
        <f>IF(DAY(A967)='Main Budget'!$J$27,'Main Budget'!$E$27,0)</f>
        <v>0</v>
      </c>
      <c r="O967" s="228">
        <f>B967+(SUM(H967:M967)+(SUM(D967:E967)))</f>
        <v>100</v>
      </c>
      <c r="P967" s="228">
        <f>C967+F967+G967+N967</f>
        <v>100</v>
      </c>
      <c r="Q967" s="252">
        <f>O967+P967</f>
        <v>200</v>
      </c>
      <c r="S967" s="231" t="str">
        <f>TEXT(A967,"dddd")</f>
        <v>Wednesday</v>
      </c>
    </row>
    <row r="968" spans="1:19" x14ac:dyDescent="0.25">
      <c r="A968" s="226">
        <v>46989</v>
      </c>
      <c r="B968" s="227">
        <f>O967</f>
        <v>100</v>
      </c>
      <c r="C968" s="228">
        <f>P967</f>
        <v>100</v>
      </c>
      <c r="D968" s="228">
        <f>IF(OR(DAY(A968+2)=1,DAY(A968+2)=15),-SUM('Main Budget'!$H$26:$H$31),0)</f>
        <v>0</v>
      </c>
      <c r="E968" s="228">
        <f>IF(DAY(A968+2)=22,-SUM('Main Budget'!$F$26:$F$31),0)</f>
        <v>0</v>
      </c>
      <c r="F968" s="228">
        <f>IF(D968&gt;0,-'Main Budget'!$H$25+0.15,0)</f>
        <v>0</v>
      </c>
      <c r="G968" s="228">
        <f>IF(E968&gt;0,-'Main Budget'!$F$25+0.81,0)</f>
        <v>0</v>
      </c>
      <c r="H968" s="227">
        <f>IF(DAY(A968)='Main Budget'!$J$26,'Main Budget'!$E$26,0)</f>
        <v>0</v>
      </c>
      <c r="I968" s="227">
        <f>IF(DAY(A968)='Main Budget'!$J$28,'Main Budget'!$E$28,0)</f>
        <v>0</v>
      </c>
      <c r="J968" s="227">
        <f>IF(DAY(A968)='Main Budget'!$J$29,'Main Budget'!$E$29,0)</f>
        <v>0</v>
      </c>
      <c r="K968" s="20">
        <f>IF(DAY(A968)='Main Budget'!$J$30,'Main Budget'!$E$30,0)</f>
        <v>0</v>
      </c>
      <c r="L968" s="20">
        <f>IF(DAY(A968)='Main Budget'!$J$31,'Main Budget'!$E$31,0)</f>
        <v>0</v>
      </c>
      <c r="M968" s="20">
        <f>IF(DAY(A968)='Main Budget'!$J$27,'Main Budget'!$E$27,0)</f>
        <v>0</v>
      </c>
      <c r="O968" s="228">
        <f>B968+(SUM(H968:M968)+(SUM(D968:E968)))</f>
        <v>100</v>
      </c>
      <c r="P968" s="228">
        <f>C968+F968+G968+N968</f>
        <v>100</v>
      </c>
      <c r="Q968" s="252">
        <f>O968+P968</f>
        <v>200</v>
      </c>
      <c r="S968" s="231" t="str">
        <f>TEXT(A968,"dddd")</f>
        <v>Thursday</v>
      </c>
    </row>
    <row r="969" spans="1:19" x14ac:dyDescent="0.25">
      <c r="A969" s="226">
        <v>46990</v>
      </c>
      <c r="B969" s="227">
        <f>O968</f>
        <v>100</v>
      </c>
      <c r="C969" s="228">
        <f>P968</f>
        <v>100</v>
      </c>
      <c r="D969" s="228">
        <f>IF(OR(DAY(A969+2)=1,DAY(A969+2)=15),-SUM('Main Budget'!$H$26:$H$31),0)</f>
        <v>0</v>
      </c>
      <c r="E969" s="228">
        <f>IF(DAY(A969+2)=22,-SUM('Main Budget'!$F$26:$F$31),0)</f>
        <v>0</v>
      </c>
      <c r="F969" s="228">
        <f>IF(D969&gt;0,-'Main Budget'!$H$25+0.15,0)</f>
        <v>0</v>
      </c>
      <c r="G969" s="228">
        <f>IF(E969&gt;0,-'Main Budget'!$F$25+0.81,0)</f>
        <v>0</v>
      </c>
      <c r="H969" s="227">
        <f>IF(DAY(A969)='Main Budget'!$J$26,'Main Budget'!$E$26,0)</f>
        <v>0</v>
      </c>
      <c r="I969" s="227">
        <f>IF(DAY(A969)='Main Budget'!$J$28,'Main Budget'!$E$28,0)</f>
        <v>0</v>
      </c>
      <c r="J969" s="227">
        <f>IF(DAY(A969)='Main Budget'!$J$29,'Main Budget'!$E$29,0)</f>
        <v>0</v>
      </c>
      <c r="K969" s="20">
        <f>IF(DAY(A969)='Main Budget'!$J$30,'Main Budget'!$E$30,0)</f>
        <v>0</v>
      </c>
      <c r="L969" s="20">
        <f>IF(DAY(A969)='Main Budget'!$J$31,'Main Budget'!$E$31,0)</f>
        <v>0</v>
      </c>
      <c r="M969" s="20">
        <f>IF(DAY(A969)='Main Budget'!$J$27,'Main Budget'!$E$27,0)</f>
        <v>0</v>
      </c>
      <c r="O969" s="228">
        <f>B969+(SUM(H969:M969)+(SUM(D969:E969)))</f>
        <v>100</v>
      </c>
      <c r="P969" s="228">
        <f>C969+F969+G969+N969</f>
        <v>100</v>
      </c>
      <c r="Q969" s="252">
        <f>O969+P969</f>
        <v>200</v>
      </c>
      <c r="S969" s="231" t="str">
        <f>TEXT(A969,"dddd")</f>
        <v>Friday</v>
      </c>
    </row>
    <row r="970" spans="1:19" x14ac:dyDescent="0.25">
      <c r="A970" s="226">
        <v>46991</v>
      </c>
      <c r="B970" s="227">
        <f>O969</f>
        <v>100</v>
      </c>
      <c r="C970" s="228">
        <f>P969</f>
        <v>100</v>
      </c>
      <c r="D970" s="228">
        <f>IF(OR(DAY(A970+2)=1,DAY(A970+2)=15),-SUM('Main Budget'!$H$26:$H$31),0)</f>
        <v>0</v>
      </c>
      <c r="E970" s="228">
        <f>IF(DAY(A970+2)=22,-SUM('Main Budget'!$F$26:$F$31),0)</f>
        <v>0</v>
      </c>
      <c r="F970" s="228">
        <f>IF(D970&gt;0,-'Main Budget'!$H$25+0.15,0)</f>
        <v>0</v>
      </c>
      <c r="G970" s="228">
        <f>IF(E970&gt;0,-'Main Budget'!$F$25+0.81,0)</f>
        <v>0</v>
      </c>
      <c r="H970" s="227">
        <f>IF(DAY(A970)='Main Budget'!$J$26,'Main Budget'!$E$26,0)</f>
        <v>0</v>
      </c>
      <c r="I970" s="227">
        <f>IF(DAY(A970)='Main Budget'!$J$28,'Main Budget'!$E$28,0)</f>
        <v>0</v>
      </c>
      <c r="J970" s="227">
        <f>IF(DAY(A970)='Main Budget'!$J$29,'Main Budget'!$E$29,0)</f>
        <v>0</v>
      </c>
      <c r="K970" s="20">
        <f>IF(DAY(A970)='Main Budget'!$J$30,'Main Budget'!$E$30,0)</f>
        <v>0</v>
      </c>
      <c r="L970" s="20">
        <f>IF(DAY(A970)='Main Budget'!$J$31,'Main Budget'!$E$31,0)</f>
        <v>0</v>
      </c>
      <c r="M970" s="20">
        <f>IF(DAY(A970)='Main Budget'!$J$27,'Main Budget'!$E$27,0)</f>
        <v>0</v>
      </c>
      <c r="O970" s="228">
        <f>B970+(SUM(H970:M970)+(SUM(D970:E970)))</f>
        <v>100</v>
      </c>
      <c r="P970" s="228">
        <f>C970+F970+G970+N970</f>
        <v>100</v>
      </c>
      <c r="Q970" s="252">
        <f>O970+P970</f>
        <v>200</v>
      </c>
      <c r="S970" s="231" t="str">
        <f>TEXT(A970,"dddd")</f>
        <v>Saturday</v>
      </c>
    </row>
    <row r="971" spans="1:19" x14ac:dyDescent="0.25">
      <c r="A971" s="226">
        <v>46992</v>
      </c>
      <c r="B971" s="227">
        <f>O970</f>
        <v>100</v>
      </c>
      <c r="C971" s="228">
        <f>P970</f>
        <v>100</v>
      </c>
      <c r="D971" s="228">
        <f>IF(OR(DAY(A971+2)=1,DAY(A971+2)=15),-SUM('Main Budget'!$H$26:$H$31),0)</f>
        <v>0</v>
      </c>
      <c r="E971" s="228">
        <f>IF(DAY(A971+2)=22,-SUM('Main Budget'!$F$26:$F$31),0)</f>
        <v>0</v>
      </c>
      <c r="F971" s="228">
        <f>IF(D971&gt;0,-'Main Budget'!$H$25+0.15,0)</f>
        <v>0</v>
      </c>
      <c r="G971" s="228">
        <f>IF(E971&gt;0,-'Main Budget'!$F$25+0.81,0)</f>
        <v>0</v>
      </c>
      <c r="H971" s="227">
        <f>IF(DAY(A971)='Main Budget'!$J$26,'Main Budget'!$E$26,0)</f>
        <v>0</v>
      </c>
      <c r="I971" s="227">
        <f>IF(DAY(A971)='Main Budget'!$J$28,'Main Budget'!$E$28,0)</f>
        <v>0</v>
      </c>
      <c r="J971" s="227">
        <f>IF(DAY(A971)='Main Budget'!$J$29,'Main Budget'!$E$29,0)</f>
        <v>0</v>
      </c>
      <c r="K971" s="20">
        <f>IF(DAY(A971)='Main Budget'!$J$30,'Main Budget'!$E$30,0)</f>
        <v>0</v>
      </c>
      <c r="L971" s="20">
        <f>IF(DAY(A971)='Main Budget'!$J$31,'Main Budget'!$E$31,0)</f>
        <v>0</v>
      </c>
      <c r="M971" s="20">
        <f>IF(DAY(A971)='Main Budget'!$J$27,'Main Budget'!$E$27,0)</f>
        <v>0</v>
      </c>
      <c r="O971" s="228">
        <f>B971+(SUM(H971:M971)+(SUM(D971:E971)))</f>
        <v>100</v>
      </c>
      <c r="P971" s="228">
        <f>C971+F971+G971+N971</f>
        <v>100</v>
      </c>
      <c r="Q971" s="252">
        <f>O971+P971</f>
        <v>200</v>
      </c>
      <c r="S971" s="231" t="str">
        <f>TEXT(A971,"dddd")</f>
        <v>Sunday</v>
      </c>
    </row>
    <row r="972" spans="1:19" x14ac:dyDescent="0.25">
      <c r="A972" s="226">
        <v>46993</v>
      </c>
      <c r="B972" s="227">
        <f>O971</f>
        <v>100</v>
      </c>
      <c r="C972" s="228">
        <f>P971</f>
        <v>100</v>
      </c>
      <c r="D972" s="228">
        <f>IF(OR(DAY(A972+2)=1,DAY(A972+2)=15),-SUM('Main Budget'!$H$26:$H$31),0)</f>
        <v>0</v>
      </c>
      <c r="E972" s="228">
        <f>IF(DAY(A972+2)=22,-SUM('Main Budget'!$F$26:$F$31),0)</f>
        <v>0</v>
      </c>
      <c r="F972" s="228">
        <f>IF(D972&gt;0,-'Main Budget'!$H$25+0.15,0)</f>
        <v>0</v>
      </c>
      <c r="G972" s="228">
        <f>IF(E972&gt;0,-'Main Budget'!$F$25+0.81,0)</f>
        <v>0</v>
      </c>
      <c r="H972" s="227">
        <f>IF(DAY(A972)='Main Budget'!$J$26,'Main Budget'!$E$26,0)</f>
        <v>0</v>
      </c>
      <c r="I972" s="227">
        <f>IF(DAY(A972)='Main Budget'!$J$28,'Main Budget'!$E$28,0)</f>
        <v>0</v>
      </c>
      <c r="J972" s="227">
        <f>IF(DAY(A972)='Main Budget'!$J$29,'Main Budget'!$E$29,0)</f>
        <v>0</v>
      </c>
      <c r="K972" s="20">
        <f>IF(DAY(A972)='Main Budget'!$J$30,'Main Budget'!$E$30,0)</f>
        <v>0</v>
      </c>
      <c r="L972" s="20">
        <f>IF(DAY(A972)='Main Budget'!$J$31,'Main Budget'!$E$31,0)</f>
        <v>0</v>
      </c>
      <c r="M972" s="20">
        <f>IF(DAY(A972)='Main Budget'!$J$27,'Main Budget'!$E$27,0)</f>
        <v>0</v>
      </c>
      <c r="O972" s="228">
        <f>B972+(SUM(H972:M972)+(SUM(D972:E972)))</f>
        <v>100</v>
      </c>
      <c r="P972" s="228">
        <f>C972+F972+G972+N972</f>
        <v>100</v>
      </c>
      <c r="Q972" s="252">
        <f>O972+P972</f>
        <v>200</v>
      </c>
      <c r="S972" s="231" t="str">
        <f>TEXT(A972,"dddd")</f>
        <v>Monday</v>
      </c>
    </row>
    <row r="973" spans="1:19" x14ac:dyDescent="0.25">
      <c r="A973" s="226">
        <v>46994</v>
      </c>
      <c r="B973" s="227">
        <f>O972</f>
        <v>100</v>
      </c>
      <c r="C973" s="228">
        <f>P972</f>
        <v>100</v>
      </c>
      <c r="D973" s="228">
        <f>IF(OR(DAY(A973+2)=1,DAY(A973+2)=15),-SUM('Main Budget'!$H$26:$H$31),0)</f>
        <v>0</v>
      </c>
      <c r="E973" s="228">
        <f>IF(DAY(A973+2)=22,-SUM('Main Budget'!$F$26:$F$31),0)</f>
        <v>0</v>
      </c>
      <c r="F973" s="228">
        <f>IF(D973&gt;0,-'Main Budget'!$H$25+0.15,0)</f>
        <v>0</v>
      </c>
      <c r="G973" s="228">
        <f>IF(E973&gt;0,-'Main Budget'!$F$25+0.81,0)</f>
        <v>0</v>
      </c>
      <c r="H973" s="227">
        <f>IF(DAY(A973)='Main Budget'!$J$26,'Main Budget'!$E$26,0)</f>
        <v>0</v>
      </c>
      <c r="I973" s="227">
        <f>IF(DAY(A973)='Main Budget'!$J$28,'Main Budget'!$E$28,0)</f>
        <v>0</v>
      </c>
      <c r="J973" s="227">
        <f>IF(DAY(A973)='Main Budget'!$J$29,'Main Budget'!$E$29,0)</f>
        <v>0</v>
      </c>
      <c r="K973" s="20">
        <f>IF(DAY(A973)='Main Budget'!$J$30,'Main Budget'!$E$30,0)</f>
        <v>0</v>
      </c>
      <c r="L973" s="20">
        <f>IF(DAY(A973)='Main Budget'!$J$31,'Main Budget'!$E$31,0)</f>
        <v>0</v>
      </c>
      <c r="M973" s="20">
        <f>IF(DAY(A973)='Main Budget'!$J$27,'Main Budget'!$E$27,0)</f>
        <v>0</v>
      </c>
      <c r="O973" s="228">
        <f>B973+(SUM(H973:M973)+(SUM(D973:E973)))</f>
        <v>100</v>
      </c>
      <c r="P973" s="228">
        <f>C973+F973+G973+N973</f>
        <v>100</v>
      </c>
      <c r="Q973" s="252">
        <f>O973+P973</f>
        <v>200</v>
      </c>
      <c r="S973" s="231" t="str">
        <f>TEXT(A973,"dddd")</f>
        <v>Tuesday</v>
      </c>
    </row>
    <row r="974" spans="1:19" x14ac:dyDescent="0.25">
      <c r="A974" s="226">
        <v>46995</v>
      </c>
      <c r="B974" s="227">
        <f>O973</f>
        <v>100</v>
      </c>
      <c r="C974" s="228">
        <f>P973</f>
        <v>100</v>
      </c>
      <c r="D974" s="228">
        <f>IF(OR(DAY(A974+2)=1,DAY(A974+2)=15),-SUM('Main Budget'!$H$26:$H$31),0)</f>
        <v>0</v>
      </c>
      <c r="E974" s="228">
        <f>IF(DAY(A974+2)=22,-SUM('Main Budget'!$F$26:$F$31),0)</f>
        <v>0</v>
      </c>
      <c r="F974" s="228">
        <f>IF(D974&gt;0,-'Main Budget'!$H$25+0.15,0)</f>
        <v>0</v>
      </c>
      <c r="G974" s="228">
        <f>IF(E974&gt;0,-'Main Budget'!$F$25+0.81,0)</f>
        <v>0</v>
      </c>
      <c r="H974" s="227">
        <f>IF(DAY(A974)='Main Budget'!$J$26,'Main Budget'!$E$26,0)</f>
        <v>0</v>
      </c>
      <c r="I974" s="227">
        <f>IF(DAY(A974)='Main Budget'!$J$28,'Main Budget'!$E$28,0)</f>
        <v>0</v>
      </c>
      <c r="J974" s="227">
        <f>IF(DAY(A974)='Main Budget'!$J$29,'Main Budget'!$E$29,0)</f>
        <v>0</v>
      </c>
      <c r="K974" s="20">
        <f>IF(DAY(A974)='Main Budget'!$J$30,'Main Budget'!$E$30,0)</f>
        <v>0</v>
      </c>
      <c r="L974" s="20">
        <f>IF(DAY(A974)='Main Budget'!$J$31,'Main Budget'!$E$31,0)</f>
        <v>0</v>
      </c>
      <c r="M974" s="20">
        <f>IF(DAY(A974)='Main Budget'!$J$27,'Main Budget'!$E$27,0)</f>
        <v>0</v>
      </c>
      <c r="O974" s="228">
        <f>B974+(SUM(H974:M974)+(SUM(D974:E974)))</f>
        <v>100</v>
      </c>
      <c r="P974" s="228">
        <f>C974+F974+G974+N974</f>
        <v>100</v>
      </c>
      <c r="Q974" s="252">
        <f>O974+P974</f>
        <v>200</v>
      </c>
      <c r="S974" s="231" t="str">
        <f>TEXT(A974,"dddd")</f>
        <v>Wednesday</v>
      </c>
    </row>
    <row r="975" spans="1:19" x14ac:dyDescent="0.25">
      <c r="A975" s="226">
        <v>46996</v>
      </c>
      <c r="B975" s="227">
        <f>O974</f>
        <v>100</v>
      </c>
      <c r="C975" s="228">
        <f>P974</f>
        <v>100</v>
      </c>
      <c r="D975" s="228">
        <f>IF(OR(DAY(A975+2)=1,DAY(A975+2)=15),-SUM('Main Budget'!$H$26:$H$31),0)</f>
        <v>0</v>
      </c>
      <c r="E975" s="228">
        <f>IF(DAY(A975+2)=22,-SUM('Main Budget'!$F$26:$F$31),0)</f>
        <v>0</v>
      </c>
      <c r="F975" s="228">
        <f>IF(D975&gt;0,-'Main Budget'!$H$25+0.15,0)</f>
        <v>0</v>
      </c>
      <c r="G975" s="228">
        <f>IF(E975&gt;0,-'Main Budget'!$F$25+0.81,0)</f>
        <v>0</v>
      </c>
      <c r="H975" s="227">
        <f>IF(DAY(A975)='Main Budget'!$J$26,'Main Budget'!$E$26,0)</f>
        <v>0</v>
      </c>
      <c r="I975" s="227">
        <f>IF(DAY(A975)='Main Budget'!$J$28,'Main Budget'!$E$28,0)</f>
        <v>0</v>
      </c>
      <c r="J975" s="227">
        <f>IF(DAY(A975)='Main Budget'!$J$29,'Main Budget'!$E$29,0)</f>
        <v>0</v>
      </c>
      <c r="K975" s="20">
        <f>IF(DAY(A975)='Main Budget'!$J$30,'Main Budget'!$E$30,0)</f>
        <v>0</v>
      </c>
      <c r="L975" s="20">
        <f>IF(DAY(A975)='Main Budget'!$J$31,'Main Budget'!$E$31,0)</f>
        <v>0</v>
      </c>
      <c r="M975" s="20">
        <f>IF(DAY(A975)='Main Budget'!$J$27,'Main Budget'!$E$27,0)</f>
        <v>0</v>
      </c>
      <c r="O975" s="228">
        <f>B975+(SUM(H975:M975)+(SUM(D975:E975)))</f>
        <v>100</v>
      </c>
      <c r="P975" s="228">
        <f>C975+F975+G975+N975</f>
        <v>100</v>
      </c>
      <c r="Q975" s="252">
        <f>O975+P975</f>
        <v>200</v>
      </c>
      <c r="S975" s="231" t="str">
        <f>TEXT(A975,"dddd")</f>
        <v>Thursday</v>
      </c>
    </row>
    <row r="976" spans="1:19" x14ac:dyDescent="0.25">
      <c r="A976" s="226">
        <v>46997</v>
      </c>
      <c r="B976" s="227">
        <f>O975</f>
        <v>100</v>
      </c>
      <c r="C976" s="228">
        <f>P975</f>
        <v>100</v>
      </c>
      <c r="D976" s="228">
        <f>IF(OR(DAY(A976+2)=1,DAY(A976+2)=15),-SUM('Main Budget'!$H$26:$H$31),0)</f>
        <v>0</v>
      </c>
      <c r="E976" s="228">
        <f>IF(DAY(A976+2)=22,-SUM('Main Budget'!$F$26:$F$31),0)</f>
        <v>0</v>
      </c>
      <c r="F976" s="228">
        <f>IF(D976&gt;0,-'Main Budget'!$H$25+0.15,0)</f>
        <v>0</v>
      </c>
      <c r="G976" s="228">
        <f>IF(E976&gt;0,-'Main Budget'!$F$25+0.81,0)</f>
        <v>0</v>
      </c>
      <c r="H976" s="227">
        <f>IF(DAY(A976)='Main Budget'!$J$26,'Main Budget'!$E$26,0)</f>
        <v>0</v>
      </c>
      <c r="I976" s="227">
        <f>IF(DAY(A976)='Main Budget'!$J$28,'Main Budget'!$E$28,0)</f>
        <v>0</v>
      </c>
      <c r="J976" s="227">
        <f>IF(DAY(A976)='Main Budget'!$J$29,'Main Budget'!$E$29,0)</f>
        <v>0</v>
      </c>
      <c r="K976" s="20">
        <f>IF(DAY(A976)='Main Budget'!$J$30,'Main Budget'!$E$30,0)</f>
        <v>0</v>
      </c>
      <c r="L976" s="20">
        <f>IF(DAY(A976)='Main Budget'!$J$31,'Main Budget'!$E$31,0)</f>
        <v>0</v>
      </c>
      <c r="M976" s="20">
        <f>IF(DAY(A976)='Main Budget'!$J$27,'Main Budget'!$E$27,0)</f>
        <v>0</v>
      </c>
      <c r="O976" s="228">
        <f>B976+(SUM(H976:M976)+(SUM(D976:E976)))</f>
        <v>100</v>
      </c>
      <c r="P976" s="228">
        <f>C976+F976+G976+N976</f>
        <v>100</v>
      </c>
      <c r="Q976" s="252">
        <f>O976+P976</f>
        <v>200</v>
      </c>
      <c r="S976" s="231" t="str">
        <f>TEXT(A976,"dddd")</f>
        <v>Friday</v>
      </c>
    </row>
    <row r="977" spans="1:19" x14ac:dyDescent="0.25">
      <c r="A977" s="226">
        <v>46998</v>
      </c>
      <c r="B977" s="227">
        <f>O976</f>
        <v>100</v>
      </c>
      <c r="C977" s="228">
        <f>P976</f>
        <v>100</v>
      </c>
      <c r="D977" s="228">
        <f>IF(OR(DAY(A977+2)=1,DAY(A977+2)=15),-SUM('Main Budget'!$H$26:$H$31),0)</f>
        <v>0</v>
      </c>
      <c r="E977" s="228">
        <f>IF(DAY(A977+2)=22,-SUM('Main Budget'!$F$26:$F$31),0)</f>
        <v>0</v>
      </c>
      <c r="F977" s="228">
        <f>IF(D977&gt;0,-'Main Budget'!$H$25+0.15,0)</f>
        <v>0</v>
      </c>
      <c r="G977" s="228">
        <f>IF(E977&gt;0,-'Main Budget'!$F$25+0.81,0)</f>
        <v>0</v>
      </c>
      <c r="H977" s="227">
        <f>IF(DAY(A977)='Main Budget'!$J$26,'Main Budget'!$E$26,0)</f>
        <v>0</v>
      </c>
      <c r="I977" s="227">
        <f>IF(DAY(A977)='Main Budget'!$J$28,'Main Budget'!$E$28,0)</f>
        <v>0</v>
      </c>
      <c r="J977" s="227">
        <f>IF(DAY(A977)='Main Budget'!$J$29,'Main Budget'!$E$29,0)</f>
        <v>0</v>
      </c>
      <c r="K977" s="20">
        <f>IF(DAY(A977)='Main Budget'!$J$30,'Main Budget'!$E$30,0)</f>
        <v>0</v>
      </c>
      <c r="L977" s="20">
        <f>IF(DAY(A977)='Main Budget'!$J$31,'Main Budget'!$E$31,0)</f>
        <v>0</v>
      </c>
      <c r="M977" s="20">
        <f>IF(DAY(A977)='Main Budget'!$J$27,'Main Budget'!$E$27,0)</f>
        <v>0</v>
      </c>
      <c r="O977" s="228">
        <f>B977+(SUM(H977:M977)+(SUM(D977:E977)))</f>
        <v>100</v>
      </c>
      <c r="P977" s="228">
        <f>C977+F977+G977+N977</f>
        <v>100</v>
      </c>
      <c r="Q977" s="252">
        <f>O977+P977</f>
        <v>200</v>
      </c>
      <c r="S977" s="231" t="str">
        <f>TEXT(A977,"dddd")</f>
        <v>Saturday</v>
      </c>
    </row>
    <row r="978" spans="1:19" x14ac:dyDescent="0.25">
      <c r="A978" s="226">
        <v>46999</v>
      </c>
      <c r="B978" s="227">
        <f>O977</f>
        <v>100</v>
      </c>
      <c r="C978" s="228">
        <f>P977</f>
        <v>100</v>
      </c>
      <c r="D978" s="228">
        <f>IF(OR(DAY(A978+2)=1,DAY(A978+2)=15),-SUM('Main Budget'!$H$26:$H$31),0)</f>
        <v>0</v>
      </c>
      <c r="E978" s="228">
        <f>IF(DAY(A978+2)=22,-SUM('Main Budget'!$F$26:$F$31),0)</f>
        <v>0</v>
      </c>
      <c r="F978" s="228">
        <f>IF(D978&gt;0,-'Main Budget'!$H$25+0.15,0)</f>
        <v>0</v>
      </c>
      <c r="G978" s="228">
        <f>IF(E978&gt;0,-'Main Budget'!$F$25+0.81,0)</f>
        <v>0</v>
      </c>
      <c r="H978" s="227">
        <f>IF(DAY(A978)='Main Budget'!$J$26,'Main Budget'!$E$26,0)</f>
        <v>0</v>
      </c>
      <c r="I978" s="227">
        <f>IF(DAY(A978)='Main Budget'!$J$28,'Main Budget'!$E$28,0)</f>
        <v>0</v>
      </c>
      <c r="J978" s="227">
        <f>IF(DAY(A978)='Main Budget'!$J$29,'Main Budget'!$E$29,0)</f>
        <v>0</v>
      </c>
      <c r="K978" s="20">
        <f>IF(DAY(A978)='Main Budget'!$J$30,'Main Budget'!$E$30,0)</f>
        <v>0</v>
      </c>
      <c r="L978" s="20">
        <f>IF(DAY(A978)='Main Budget'!$J$31,'Main Budget'!$E$31,0)</f>
        <v>0</v>
      </c>
      <c r="M978" s="20">
        <f>IF(DAY(A978)='Main Budget'!$J$27,'Main Budget'!$E$27,0)</f>
        <v>0</v>
      </c>
      <c r="O978" s="228">
        <f>B978+(SUM(H978:M978)+(SUM(D978:E978)))</f>
        <v>100</v>
      </c>
      <c r="P978" s="228">
        <f>C978+F978+G978+N978</f>
        <v>100</v>
      </c>
      <c r="Q978" s="252">
        <f>O978+P978</f>
        <v>200</v>
      </c>
      <c r="S978" s="231" t="str">
        <f>TEXT(A978,"dddd")</f>
        <v>Sunday</v>
      </c>
    </row>
    <row r="979" spans="1:19" x14ac:dyDescent="0.25">
      <c r="A979" s="226">
        <v>47000</v>
      </c>
      <c r="B979" s="227">
        <f>O978</f>
        <v>100</v>
      </c>
      <c r="C979" s="228">
        <f>P978</f>
        <v>100</v>
      </c>
      <c r="D979" s="228">
        <f>IF(OR(DAY(A979+2)=1,DAY(A979+2)=15),-SUM('Main Budget'!$H$26:$H$31),0)</f>
        <v>0</v>
      </c>
      <c r="E979" s="228">
        <f>IF(DAY(A979+2)=22,-SUM('Main Budget'!$F$26:$F$31),0)</f>
        <v>0</v>
      </c>
      <c r="F979" s="228">
        <f>IF(D979&gt;0,-'Main Budget'!$H$25+0.15,0)</f>
        <v>0</v>
      </c>
      <c r="G979" s="228">
        <f>IF(E979&gt;0,-'Main Budget'!$F$25+0.81,0)</f>
        <v>0</v>
      </c>
      <c r="H979" s="227">
        <f>IF(DAY(A979)='Main Budget'!$J$26,'Main Budget'!$E$26,0)</f>
        <v>0</v>
      </c>
      <c r="I979" s="227">
        <f>IF(DAY(A979)='Main Budget'!$J$28,'Main Budget'!$E$28,0)</f>
        <v>0</v>
      </c>
      <c r="J979" s="227">
        <f>IF(DAY(A979)='Main Budget'!$J$29,'Main Budget'!$E$29,0)</f>
        <v>0</v>
      </c>
      <c r="K979" s="20">
        <f>IF(DAY(A979)='Main Budget'!$J$30,'Main Budget'!$E$30,0)</f>
        <v>0</v>
      </c>
      <c r="L979" s="20">
        <f>IF(DAY(A979)='Main Budget'!$J$31,'Main Budget'!$E$31,0)</f>
        <v>0</v>
      </c>
      <c r="M979" s="20">
        <f>IF(DAY(A979)='Main Budget'!$J$27,'Main Budget'!$E$27,0)</f>
        <v>0</v>
      </c>
      <c r="O979" s="228">
        <f>B979+(SUM(H979:M979)+(SUM(D979:E979)))</f>
        <v>100</v>
      </c>
      <c r="P979" s="228">
        <f>C979+F979+G979+N979</f>
        <v>100</v>
      </c>
      <c r="Q979" s="252">
        <f>O979+P979</f>
        <v>200</v>
      </c>
      <c r="S979" s="231" t="str">
        <f>TEXT(A979,"dddd")</f>
        <v>Monday</v>
      </c>
    </row>
    <row r="980" spans="1:19" x14ac:dyDescent="0.25">
      <c r="A980" s="226">
        <v>47001</v>
      </c>
      <c r="B980" s="227">
        <f>O979</f>
        <v>100</v>
      </c>
      <c r="C980" s="228">
        <f>P979</f>
        <v>100</v>
      </c>
      <c r="D980" s="228">
        <f>IF(OR(DAY(A980+2)=1,DAY(A980+2)=15),-SUM('Main Budget'!$H$26:$H$31),0)</f>
        <v>0</v>
      </c>
      <c r="E980" s="228">
        <f>IF(DAY(A980+2)=22,-SUM('Main Budget'!$F$26:$F$31),0)</f>
        <v>0</v>
      </c>
      <c r="F980" s="228">
        <f>IF(D980&gt;0,-'Main Budget'!$H$25+0.15,0)</f>
        <v>0</v>
      </c>
      <c r="G980" s="228">
        <f>IF(E980&gt;0,-'Main Budget'!$F$25+0.81,0)</f>
        <v>0</v>
      </c>
      <c r="H980" s="227">
        <f>IF(DAY(A980)='Main Budget'!$J$26,'Main Budget'!$E$26,0)</f>
        <v>0</v>
      </c>
      <c r="I980" s="227">
        <f>IF(DAY(A980)='Main Budget'!$J$28,'Main Budget'!$E$28,0)</f>
        <v>0</v>
      </c>
      <c r="J980" s="227">
        <f>IF(DAY(A980)='Main Budget'!$J$29,'Main Budget'!$E$29,0)</f>
        <v>0</v>
      </c>
      <c r="K980" s="20">
        <f>IF(DAY(A980)='Main Budget'!$J$30,'Main Budget'!$E$30,0)</f>
        <v>0</v>
      </c>
      <c r="L980" s="20">
        <f>IF(DAY(A980)='Main Budget'!$J$31,'Main Budget'!$E$31,0)</f>
        <v>0</v>
      </c>
      <c r="M980" s="20">
        <f>IF(DAY(A980)='Main Budget'!$J$27,'Main Budget'!$E$27,0)</f>
        <v>0</v>
      </c>
      <c r="O980" s="228">
        <f>B980+(SUM(H980:M980)+(SUM(D980:E980)))</f>
        <v>100</v>
      </c>
      <c r="P980" s="228">
        <f>C980+F980+G980+N980</f>
        <v>100</v>
      </c>
      <c r="Q980" s="252">
        <f>O980+P980</f>
        <v>200</v>
      </c>
      <c r="S980" s="231" t="str">
        <f>TEXT(A980,"dddd")</f>
        <v>Tuesday</v>
      </c>
    </row>
    <row r="981" spans="1:19" x14ac:dyDescent="0.25">
      <c r="A981" s="226">
        <v>47002</v>
      </c>
      <c r="B981" s="227">
        <f>O980</f>
        <v>100</v>
      </c>
      <c r="C981" s="228">
        <f>P980</f>
        <v>100</v>
      </c>
      <c r="D981" s="228">
        <f>IF(OR(DAY(A981+2)=1,DAY(A981+2)=15),-SUM('Main Budget'!$H$26:$H$31),0)</f>
        <v>0</v>
      </c>
      <c r="E981" s="228">
        <f>IF(DAY(A981+2)=22,-SUM('Main Budget'!$F$26:$F$31),0)</f>
        <v>0</v>
      </c>
      <c r="F981" s="228">
        <f>IF(D981&gt;0,-'Main Budget'!$H$25+0.15,0)</f>
        <v>0</v>
      </c>
      <c r="G981" s="228">
        <f>IF(E981&gt;0,-'Main Budget'!$F$25+0.81,0)</f>
        <v>0</v>
      </c>
      <c r="H981" s="227">
        <f>IF(DAY(A981)='Main Budget'!$J$26,'Main Budget'!$E$26,0)</f>
        <v>0</v>
      </c>
      <c r="I981" s="227">
        <f>IF(DAY(A981)='Main Budget'!$J$28,'Main Budget'!$E$28,0)</f>
        <v>0</v>
      </c>
      <c r="J981" s="227">
        <f>IF(DAY(A981)='Main Budget'!$J$29,'Main Budget'!$E$29,0)</f>
        <v>0</v>
      </c>
      <c r="K981" s="20">
        <f>IF(DAY(A981)='Main Budget'!$J$30,'Main Budget'!$E$30,0)</f>
        <v>0</v>
      </c>
      <c r="L981" s="20">
        <f>IF(DAY(A981)='Main Budget'!$J$31,'Main Budget'!$E$31,0)</f>
        <v>0</v>
      </c>
      <c r="M981" s="20">
        <f>IF(DAY(A981)='Main Budget'!$J$27,'Main Budget'!$E$27,0)</f>
        <v>0</v>
      </c>
      <c r="O981" s="228">
        <f>B981+(SUM(H981:M981)+(SUM(D981:E981)))</f>
        <v>100</v>
      </c>
      <c r="P981" s="228">
        <f>C981+F981+G981+N981</f>
        <v>100</v>
      </c>
      <c r="Q981" s="252">
        <f>O981+P981</f>
        <v>200</v>
      </c>
      <c r="S981" s="231" t="str">
        <f>TEXT(A981,"dddd")</f>
        <v>Wednesday</v>
      </c>
    </row>
    <row r="982" spans="1:19" x14ac:dyDescent="0.25">
      <c r="A982" s="226">
        <v>47003</v>
      </c>
      <c r="B982" s="227">
        <f>O981</f>
        <v>100</v>
      </c>
      <c r="C982" s="228">
        <f>P981</f>
        <v>100</v>
      </c>
      <c r="D982" s="228">
        <f>IF(OR(DAY(A982+2)=1,DAY(A982+2)=15),-SUM('Main Budget'!$H$26:$H$31),0)</f>
        <v>0</v>
      </c>
      <c r="E982" s="228">
        <f>IF(DAY(A982+2)=22,-SUM('Main Budget'!$F$26:$F$31),0)</f>
        <v>0</v>
      </c>
      <c r="F982" s="228">
        <f>IF(D982&gt;0,-'Main Budget'!$H$25+0.15,0)</f>
        <v>0</v>
      </c>
      <c r="G982" s="228">
        <f>IF(E982&gt;0,-'Main Budget'!$F$25+0.81,0)</f>
        <v>0</v>
      </c>
      <c r="H982" s="227">
        <f>IF(DAY(A982)='Main Budget'!$J$26,'Main Budget'!$E$26,0)</f>
        <v>0</v>
      </c>
      <c r="I982" s="227">
        <f>IF(DAY(A982)='Main Budget'!$J$28,'Main Budget'!$E$28,0)</f>
        <v>0</v>
      </c>
      <c r="J982" s="227">
        <f>IF(DAY(A982)='Main Budget'!$J$29,'Main Budget'!$E$29,0)</f>
        <v>0</v>
      </c>
      <c r="K982" s="20">
        <f>IF(DAY(A982)='Main Budget'!$J$30,'Main Budget'!$E$30,0)</f>
        <v>0</v>
      </c>
      <c r="L982" s="20">
        <f>IF(DAY(A982)='Main Budget'!$J$31,'Main Budget'!$E$31,0)</f>
        <v>0</v>
      </c>
      <c r="M982" s="20">
        <f>IF(DAY(A982)='Main Budget'!$J$27,'Main Budget'!$E$27,0)</f>
        <v>0</v>
      </c>
      <c r="O982" s="228">
        <f>B982+(SUM(H982:M982)+(SUM(D982:E982)))</f>
        <v>100</v>
      </c>
      <c r="P982" s="228">
        <f>C982+F982+G982+N982</f>
        <v>100</v>
      </c>
      <c r="Q982" s="252">
        <f>O982+P982</f>
        <v>200</v>
      </c>
      <c r="S982" s="231" t="str">
        <f>TEXT(A982,"dddd")</f>
        <v>Thursday</v>
      </c>
    </row>
    <row r="983" spans="1:19" x14ac:dyDescent="0.25">
      <c r="A983" s="226">
        <v>47004</v>
      </c>
      <c r="B983" s="227">
        <f>O982</f>
        <v>100</v>
      </c>
      <c r="C983" s="228">
        <f>P982</f>
        <v>100</v>
      </c>
      <c r="D983" s="228">
        <f>IF(OR(DAY(A983+2)=1,DAY(A983+2)=15),-SUM('Main Budget'!$H$26:$H$31),0)</f>
        <v>0</v>
      </c>
      <c r="E983" s="228">
        <f>IF(DAY(A983+2)=22,-SUM('Main Budget'!$F$26:$F$31),0)</f>
        <v>0</v>
      </c>
      <c r="F983" s="228">
        <f>IF(D983&gt;0,-'Main Budget'!$H$25+0.15,0)</f>
        <v>0</v>
      </c>
      <c r="G983" s="228">
        <f>IF(E983&gt;0,-'Main Budget'!$F$25+0.81,0)</f>
        <v>0</v>
      </c>
      <c r="H983" s="227">
        <f>IF(DAY(A983)='Main Budget'!$J$26,'Main Budget'!$E$26,0)</f>
        <v>0</v>
      </c>
      <c r="I983" s="227">
        <f>IF(DAY(A983)='Main Budget'!$J$28,'Main Budget'!$E$28,0)</f>
        <v>0</v>
      </c>
      <c r="J983" s="227">
        <f>IF(DAY(A983)='Main Budget'!$J$29,'Main Budget'!$E$29,0)</f>
        <v>0</v>
      </c>
      <c r="K983" s="20">
        <f>IF(DAY(A983)='Main Budget'!$J$30,'Main Budget'!$E$30,0)</f>
        <v>0</v>
      </c>
      <c r="L983" s="20">
        <f>IF(DAY(A983)='Main Budget'!$J$31,'Main Budget'!$E$31,0)</f>
        <v>0</v>
      </c>
      <c r="M983" s="20">
        <f>IF(DAY(A983)='Main Budget'!$J$27,'Main Budget'!$E$27,0)</f>
        <v>0</v>
      </c>
      <c r="O983" s="228">
        <f>B983+(SUM(H983:M983)+(SUM(D983:E983)))</f>
        <v>100</v>
      </c>
      <c r="P983" s="228">
        <f>C983+F983+G983+N983</f>
        <v>100</v>
      </c>
      <c r="Q983" s="252">
        <f>O983+P983</f>
        <v>200</v>
      </c>
      <c r="S983" s="231" t="str">
        <f>TEXT(A983,"dddd")</f>
        <v>Friday</v>
      </c>
    </row>
    <row r="984" spans="1:19" x14ac:dyDescent="0.25">
      <c r="A984" s="226">
        <v>47005</v>
      </c>
      <c r="B984" s="227">
        <f>O983</f>
        <v>100</v>
      </c>
      <c r="C984" s="228">
        <f>P983</f>
        <v>100</v>
      </c>
      <c r="D984" s="228">
        <f>IF(OR(DAY(A984+2)=1,DAY(A984+2)=15),-SUM('Main Budget'!$H$26:$H$31),0)</f>
        <v>0</v>
      </c>
      <c r="E984" s="228">
        <f>IF(DAY(A984+2)=22,-SUM('Main Budget'!$F$26:$F$31),0)</f>
        <v>0</v>
      </c>
      <c r="F984" s="228">
        <f>IF(D984&gt;0,-'Main Budget'!$H$25+0.15,0)</f>
        <v>0</v>
      </c>
      <c r="G984" s="228">
        <f>IF(E984&gt;0,-'Main Budget'!$F$25+0.81,0)</f>
        <v>0</v>
      </c>
      <c r="H984" s="227">
        <f>IF(DAY(A984)='Main Budget'!$J$26,'Main Budget'!$E$26,0)</f>
        <v>0</v>
      </c>
      <c r="I984" s="227">
        <f>IF(DAY(A984)='Main Budget'!$J$28,'Main Budget'!$E$28,0)</f>
        <v>0</v>
      </c>
      <c r="J984" s="227">
        <f>IF(DAY(A984)='Main Budget'!$J$29,'Main Budget'!$E$29,0)</f>
        <v>0</v>
      </c>
      <c r="K984" s="20">
        <f>IF(DAY(A984)='Main Budget'!$J$30,'Main Budget'!$E$30,0)</f>
        <v>0</v>
      </c>
      <c r="L984" s="20">
        <f>IF(DAY(A984)='Main Budget'!$J$31,'Main Budget'!$E$31,0)</f>
        <v>0</v>
      </c>
      <c r="M984" s="20">
        <f>IF(DAY(A984)='Main Budget'!$J$27,'Main Budget'!$E$27,0)</f>
        <v>0</v>
      </c>
      <c r="O984" s="228">
        <f>B984+(SUM(H984:M984)+(SUM(D984:E984)))</f>
        <v>100</v>
      </c>
      <c r="P984" s="228">
        <f>C984+F984+G984+N984</f>
        <v>100</v>
      </c>
      <c r="Q984" s="252">
        <f>O984+P984</f>
        <v>200</v>
      </c>
      <c r="S984" s="231" t="str">
        <f>TEXT(A984,"dddd")</f>
        <v>Saturday</v>
      </c>
    </row>
    <row r="985" spans="1:19" x14ac:dyDescent="0.25">
      <c r="A985" s="226">
        <v>47006</v>
      </c>
      <c r="B985" s="227">
        <f>O984</f>
        <v>100</v>
      </c>
      <c r="C985" s="228">
        <f>P984</f>
        <v>100</v>
      </c>
      <c r="D985" s="228">
        <f>IF(OR(DAY(A985+2)=1,DAY(A985+2)=15),-SUM('Main Budget'!$H$26:$H$31),0)</f>
        <v>0</v>
      </c>
      <c r="E985" s="228">
        <f>IF(DAY(A985+2)=22,-SUM('Main Budget'!$F$26:$F$31),0)</f>
        <v>0</v>
      </c>
      <c r="F985" s="228">
        <f>IF(D985&gt;0,-'Main Budget'!$H$25+0.15,0)</f>
        <v>0</v>
      </c>
      <c r="G985" s="228">
        <f>IF(E985&gt;0,-'Main Budget'!$F$25+0.81,0)</f>
        <v>0</v>
      </c>
      <c r="H985" s="227">
        <f>IF(DAY(A985)='Main Budget'!$J$26,'Main Budget'!$E$26,0)</f>
        <v>0</v>
      </c>
      <c r="I985" s="227">
        <f>IF(DAY(A985)='Main Budget'!$J$28,'Main Budget'!$E$28,0)</f>
        <v>0</v>
      </c>
      <c r="J985" s="227">
        <f>IF(DAY(A985)='Main Budget'!$J$29,'Main Budget'!$E$29,0)</f>
        <v>0</v>
      </c>
      <c r="K985" s="20">
        <f>IF(DAY(A985)='Main Budget'!$J$30,'Main Budget'!$E$30,0)</f>
        <v>0</v>
      </c>
      <c r="L985" s="20">
        <f>IF(DAY(A985)='Main Budget'!$J$31,'Main Budget'!$E$31,0)</f>
        <v>0</v>
      </c>
      <c r="M985" s="20">
        <f>IF(DAY(A985)='Main Budget'!$J$27,'Main Budget'!$E$27,0)</f>
        <v>0</v>
      </c>
      <c r="O985" s="228">
        <f>B985+(SUM(H985:M985)+(SUM(D985:E985)))</f>
        <v>100</v>
      </c>
      <c r="P985" s="228">
        <f>C985+F985+G985+N985</f>
        <v>100</v>
      </c>
      <c r="Q985" s="252">
        <f>O985+P985</f>
        <v>200</v>
      </c>
      <c r="S985" s="231" t="str">
        <f>TEXT(A985,"dddd")</f>
        <v>Sunday</v>
      </c>
    </row>
    <row r="986" spans="1:19" x14ac:dyDescent="0.25">
      <c r="A986" s="226">
        <v>47007</v>
      </c>
      <c r="B986" s="227">
        <f>O985</f>
        <v>100</v>
      </c>
      <c r="C986" s="228">
        <f>P985</f>
        <v>100</v>
      </c>
      <c r="D986" s="228">
        <f>IF(OR(DAY(A986+2)=1,DAY(A986+2)=15),-SUM('Main Budget'!$H$26:$H$31),0)</f>
        <v>0</v>
      </c>
      <c r="E986" s="228">
        <f>IF(DAY(A986+2)=22,-SUM('Main Budget'!$F$26:$F$31),0)</f>
        <v>0</v>
      </c>
      <c r="F986" s="228">
        <f>IF(D986&gt;0,-'Main Budget'!$H$25+0.15,0)</f>
        <v>0</v>
      </c>
      <c r="G986" s="228">
        <f>IF(E986&gt;0,-'Main Budget'!$F$25+0.81,0)</f>
        <v>0</v>
      </c>
      <c r="H986" s="227">
        <f>IF(DAY(A986)='Main Budget'!$J$26,'Main Budget'!$E$26,0)</f>
        <v>0</v>
      </c>
      <c r="I986" s="227">
        <f>IF(DAY(A986)='Main Budget'!$J$28,'Main Budget'!$E$28,0)</f>
        <v>0</v>
      </c>
      <c r="J986" s="227">
        <f>IF(DAY(A986)='Main Budget'!$J$29,'Main Budget'!$E$29,0)</f>
        <v>0</v>
      </c>
      <c r="K986" s="20">
        <f>IF(DAY(A986)='Main Budget'!$J$30,'Main Budget'!$E$30,0)</f>
        <v>0</v>
      </c>
      <c r="L986" s="20">
        <f>IF(DAY(A986)='Main Budget'!$J$31,'Main Budget'!$E$31,0)</f>
        <v>0</v>
      </c>
      <c r="M986" s="20">
        <f>IF(DAY(A986)='Main Budget'!$J$27,'Main Budget'!$E$27,0)</f>
        <v>0</v>
      </c>
      <c r="O986" s="228">
        <f>B986+(SUM(H986:M986)+(SUM(D986:E986)))</f>
        <v>100</v>
      </c>
      <c r="P986" s="228">
        <f>C986+F986+G986+N986</f>
        <v>100</v>
      </c>
      <c r="Q986" s="252">
        <f>O986+P986</f>
        <v>200</v>
      </c>
      <c r="S986" s="231" t="str">
        <f>TEXT(A986,"dddd")</f>
        <v>Monday</v>
      </c>
    </row>
    <row r="987" spans="1:19" x14ac:dyDescent="0.25">
      <c r="A987" s="226">
        <v>47008</v>
      </c>
      <c r="B987" s="227">
        <f>O986</f>
        <v>100</v>
      </c>
      <c r="C987" s="228">
        <f>P986</f>
        <v>100</v>
      </c>
      <c r="D987" s="228">
        <f>IF(OR(DAY(A987+2)=1,DAY(A987+2)=15),-SUM('Main Budget'!$H$26:$H$31),0)</f>
        <v>0</v>
      </c>
      <c r="E987" s="228">
        <f>IF(DAY(A987+2)=22,-SUM('Main Budget'!$F$26:$F$31),0)</f>
        <v>0</v>
      </c>
      <c r="F987" s="228">
        <f>IF(D987&gt;0,-'Main Budget'!$H$25+0.15,0)</f>
        <v>0</v>
      </c>
      <c r="G987" s="228">
        <f>IF(E987&gt;0,-'Main Budget'!$F$25+0.81,0)</f>
        <v>0</v>
      </c>
      <c r="H987" s="227">
        <f>IF(DAY(A987)='Main Budget'!$J$26,'Main Budget'!$E$26,0)</f>
        <v>0</v>
      </c>
      <c r="I987" s="227">
        <f>IF(DAY(A987)='Main Budget'!$J$28,'Main Budget'!$E$28,0)</f>
        <v>0</v>
      </c>
      <c r="J987" s="227">
        <f>IF(DAY(A987)='Main Budget'!$J$29,'Main Budget'!$E$29,0)</f>
        <v>0</v>
      </c>
      <c r="K987" s="20">
        <f>IF(DAY(A987)='Main Budget'!$J$30,'Main Budget'!$E$30,0)</f>
        <v>0</v>
      </c>
      <c r="L987" s="20">
        <f>IF(DAY(A987)='Main Budget'!$J$31,'Main Budget'!$E$31,0)</f>
        <v>0</v>
      </c>
      <c r="M987" s="20">
        <f>IF(DAY(A987)='Main Budget'!$J$27,'Main Budget'!$E$27,0)</f>
        <v>0</v>
      </c>
      <c r="O987" s="228">
        <f>B987+(SUM(H987:M987)+(SUM(D987:E987)))</f>
        <v>100</v>
      </c>
      <c r="P987" s="228">
        <f>C987+F987+G987+N987</f>
        <v>100</v>
      </c>
      <c r="Q987" s="252">
        <f>O987+P987</f>
        <v>200</v>
      </c>
      <c r="S987" s="231" t="str">
        <f>TEXT(A987,"dddd")</f>
        <v>Tuesday</v>
      </c>
    </row>
    <row r="988" spans="1:19" x14ac:dyDescent="0.25">
      <c r="A988" s="226">
        <v>47009</v>
      </c>
      <c r="B988" s="227">
        <f>O987</f>
        <v>100</v>
      </c>
      <c r="C988" s="228">
        <f>P987</f>
        <v>100</v>
      </c>
      <c r="D988" s="228">
        <f>IF(OR(DAY(A988+2)=1,DAY(A988+2)=15),-SUM('Main Budget'!$H$26:$H$31),0)</f>
        <v>0</v>
      </c>
      <c r="E988" s="228">
        <f>IF(DAY(A988+2)=22,-SUM('Main Budget'!$F$26:$F$31),0)</f>
        <v>0</v>
      </c>
      <c r="F988" s="228">
        <f>IF(D988&gt;0,-'Main Budget'!$H$25+0.15,0)</f>
        <v>0</v>
      </c>
      <c r="G988" s="228">
        <f>IF(E988&gt;0,-'Main Budget'!$F$25+0.81,0)</f>
        <v>0</v>
      </c>
      <c r="H988" s="227">
        <f>IF(DAY(A988)='Main Budget'!$J$26,'Main Budget'!$E$26,0)</f>
        <v>0</v>
      </c>
      <c r="I988" s="227">
        <f>IF(DAY(A988)='Main Budget'!$J$28,'Main Budget'!$E$28,0)</f>
        <v>0</v>
      </c>
      <c r="J988" s="227">
        <f>IF(DAY(A988)='Main Budget'!$J$29,'Main Budget'!$E$29,0)</f>
        <v>0</v>
      </c>
      <c r="K988" s="20">
        <f>IF(DAY(A988)='Main Budget'!$J$30,'Main Budget'!$E$30,0)</f>
        <v>0</v>
      </c>
      <c r="L988" s="20">
        <f>IF(DAY(A988)='Main Budget'!$J$31,'Main Budget'!$E$31,0)</f>
        <v>0</v>
      </c>
      <c r="M988" s="20">
        <f>IF(DAY(A988)='Main Budget'!$J$27,'Main Budget'!$E$27,0)</f>
        <v>0</v>
      </c>
      <c r="O988" s="228">
        <f>B988+(SUM(H988:M988)+(SUM(D988:E988)))</f>
        <v>100</v>
      </c>
      <c r="P988" s="228">
        <f>C988+F988+G988+N988</f>
        <v>100</v>
      </c>
      <c r="Q988" s="252">
        <f>O988+P988</f>
        <v>200</v>
      </c>
      <c r="S988" s="231" t="str">
        <f>TEXT(A988,"dddd")</f>
        <v>Wednesday</v>
      </c>
    </row>
    <row r="989" spans="1:19" x14ac:dyDescent="0.25">
      <c r="A989" s="226">
        <v>47010</v>
      </c>
      <c r="B989" s="227">
        <f>O988</f>
        <v>100</v>
      </c>
      <c r="C989" s="228">
        <f>P988</f>
        <v>100</v>
      </c>
      <c r="D989" s="228">
        <f>IF(OR(DAY(A989+2)=1,DAY(A989+2)=15),-SUM('Main Budget'!$H$26:$H$31),0)</f>
        <v>0</v>
      </c>
      <c r="E989" s="228">
        <f>IF(DAY(A989+2)=22,-SUM('Main Budget'!$F$26:$F$31),0)</f>
        <v>0</v>
      </c>
      <c r="F989" s="228">
        <f>IF(D989&gt;0,-'Main Budget'!$H$25+0.15,0)</f>
        <v>0</v>
      </c>
      <c r="G989" s="228">
        <f>IF(E989&gt;0,-'Main Budget'!$F$25+0.81,0)</f>
        <v>0</v>
      </c>
      <c r="H989" s="227">
        <f>IF(DAY(A989)='Main Budget'!$J$26,'Main Budget'!$E$26,0)</f>
        <v>0</v>
      </c>
      <c r="I989" s="227">
        <f>IF(DAY(A989)='Main Budget'!$J$28,'Main Budget'!$E$28,0)</f>
        <v>0</v>
      </c>
      <c r="J989" s="227">
        <f>IF(DAY(A989)='Main Budget'!$J$29,'Main Budget'!$E$29,0)</f>
        <v>0</v>
      </c>
      <c r="K989" s="20">
        <f>IF(DAY(A989)='Main Budget'!$J$30,'Main Budget'!$E$30,0)</f>
        <v>0</v>
      </c>
      <c r="L989" s="20">
        <f>IF(DAY(A989)='Main Budget'!$J$31,'Main Budget'!$E$31,0)</f>
        <v>0</v>
      </c>
      <c r="M989" s="20">
        <f>IF(DAY(A989)='Main Budget'!$J$27,'Main Budget'!$E$27,0)</f>
        <v>0</v>
      </c>
      <c r="O989" s="228">
        <f>B989+(SUM(H989:M989)+(SUM(D989:E989)))</f>
        <v>100</v>
      </c>
      <c r="P989" s="228">
        <f>C989+F989+G989+N989</f>
        <v>100</v>
      </c>
      <c r="Q989" s="252">
        <f>O989+P989</f>
        <v>200</v>
      </c>
      <c r="S989" s="231" t="str">
        <f>TEXT(A989,"dddd")</f>
        <v>Thursday</v>
      </c>
    </row>
    <row r="990" spans="1:19" x14ac:dyDescent="0.25">
      <c r="A990" s="226">
        <v>47011</v>
      </c>
      <c r="B990" s="227">
        <f>O989</f>
        <v>100</v>
      </c>
      <c r="C990" s="228">
        <f>P989</f>
        <v>100</v>
      </c>
      <c r="D990" s="228">
        <f>IF(OR(DAY(A990+2)=1,DAY(A990+2)=15),-SUM('Main Budget'!$H$26:$H$31),0)</f>
        <v>0</v>
      </c>
      <c r="E990" s="228">
        <f>IF(DAY(A990+2)=22,-SUM('Main Budget'!$F$26:$F$31),0)</f>
        <v>0</v>
      </c>
      <c r="F990" s="228">
        <f>IF(D990&gt;0,-'Main Budget'!$H$25+0.15,0)</f>
        <v>0</v>
      </c>
      <c r="G990" s="228">
        <f>IF(E990&gt;0,-'Main Budget'!$F$25+0.81,0)</f>
        <v>0</v>
      </c>
      <c r="H990" s="227">
        <f>IF(DAY(A990)='Main Budget'!$J$26,'Main Budget'!$E$26,0)</f>
        <v>0</v>
      </c>
      <c r="I990" s="227">
        <f>IF(DAY(A990)='Main Budget'!$J$28,'Main Budget'!$E$28,0)</f>
        <v>0</v>
      </c>
      <c r="J990" s="227">
        <f>IF(DAY(A990)='Main Budget'!$J$29,'Main Budget'!$E$29,0)</f>
        <v>0</v>
      </c>
      <c r="K990" s="20">
        <f>IF(DAY(A990)='Main Budget'!$J$30,'Main Budget'!$E$30,0)</f>
        <v>0</v>
      </c>
      <c r="L990" s="20">
        <f>IF(DAY(A990)='Main Budget'!$J$31,'Main Budget'!$E$31,0)</f>
        <v>0</v>
      </c>
      <c r="M990" s="20">
        <f>IF(DAY(A990)='Main Budget'!$J$27,'Main Budget'!$E$27,0)</f>
        <v>0</v>
      </c>
      <c r="O990" s="228">
        <f>B990+(SUM(H990:M990)+(SUM(D990:E990)))</f>
        <v>100</v>
      </c>
      <c r="P990" s="228">
        <f>C990+F990+G990+N990</f>
        <v>100</v>
      </c>
      <c r="Q990" s="252">
        <f>O990+P990</f>
        <v>200</v>
      </c>
      <c r="S990" s="231" t="str">
        <f>TEXT(A990,"dddd")</f>
        <v>Friday</v>
      </c>
    </row>
    <row r="991" spans="1:19" x14ac:dyDescent="0.25">
      <c r="A991" s="226">
        <v>47012</v>
      </c>
      <c r="B991" s="227">
        <f>O990</f>
        <v>100</v>
      </c>
      <c r="C991" s="228">
        <f>P990</f>
        <v>100</v>
      </c>
      <c r="D991" s="228">
        <f>IF(OR(DAY(A991+2)=1,DAY(A991+2)=15),-SUM('Main Budget'!$H$26:$H$31),0)</f>
        <v>0</v>
      </c>
      <c r="E991" s="228">
        <f>IF(DAY(A991+2)=22,-SUM('Main Budget'!$F$26:$F$31),0)</f>
        <v>0</v>
      </c>
      <c r="F991" s="228">
        <f>IF(D991&gt;0,-'Main Budget'!$H$25+0.15,0)</f>
        <v>0</v>
      </c>
      <c r="G991" s="228">
        <f>IF(E991&gt;0,-'Main Budget'!$F$25+0.81,0)</f>
        <v>0</v>
      </c>
      <c r="H991" s="227">
        <f>IF(DAY(A991)='Main Budget'!$J$26,'Main Budget'!$E$26,0)</f>
        <v>0</v>
      </c>
      <c r="I991" s="227">
        <f>IF(DAY(A991)='Main Budget'!$J$28,'Main Budget'!$E$28,0)</f>
        <v>0</v>
      </c>
      <c r="J991" s="227">
        <f>IF(DAY(A991)='Main Budget'!$J$29,'Main Budget'!$E$29,0)</f>
        <v>0</v>
      </c>
      <c r="K991" s="20">
        <f>IF(DAY(A991)='Main Budget'!$J$30,'Main Budget'!$E$30,0)</f>
        <v>0</v>
      </c>
      <c r="L991" s="20">
        <f>IF(DAY(A991)='Main Budget'!$J$31,'Main Budget'!$E$31,0)</f>
        <v>0</v>
      </c>
      <c r="M991" s="20">
        <f>IF(DAY(A991)='Main Budget'!$J$27,'Main Budget'!$E$27,0)</f>
        <v>0</v>
      </c>
      <c r="O991" s="228">
        <f>B991+(SUM(H991:M991)+(SUM(D991:E991)))</f>
        <v>100</v>
      </c>
      <c r="P991" s="228">
        <f>C991+F991+G991+N991</f>
        <v>100</v>
      </c>
      <c r="Q991" s="252">
        <f>O991+P991</f>
        <v>200</v>
      </c>
      <c r="S991" s="231" t="str">
        <f>TEXT(A991,"dddd")</f>
        <v>Saturday</v>
      </c>
    </row>
    <row r="992" spans="1:19" x14ac:dyDescent="0.25">
      <c r="A992" s="226">
        <v>47013</v>
      </c>
      <c r="B992" s="227">
        <f>O991</f>
        <v>100</v>
      </c>
      <c r="C992" s="228">
        <f>P991</f>
        <v>100</v>
      </c>
      <c r="D992" s="228">
        <f>IF(OR(DAY(A992+2)=1,DAY(A992+2)=15),-SUM('Main Budget'!$H$26:$H$31),0)</f>
        <v>0</v>
      </c>
      <c r="E992" s="228">
        <f>IF(DAY(A992+2)=22,-SUM('Main Budget'!$F$26:$F$31),0)</f>
        <v>0</v>
      </c>
      <c r="F992" s="228">
        <f>IF(D992&gt;0,-'Main Budget'!$H$25+0.15,0)</f>
        <v>0</v>
      </c>
      <c r="G992" s="228">
        <f>IF(E992&gt;0,-'Main Budget'!$F$25+0.81,0)</f>
        <v>0</v>
      </c>
      <c r="H992" s="227">
        <f>IF(DAY(A992)='Main Budget'!$J$26,'Main Budget'!$E$26,0)</f>
        <v>0</v>
      </c>
      <c r="I992" s="227">
        <f>IF(DAY(A992)='Main Budget'!$J$28,'Main Budget'!$E$28,0)</f>
        <v>0</v>
      </c>
      <c r="J992" s="227">
        <f>IF(DAY(A992)='Main Budget'!$J$29,'Main Budget'!$E$29,0)</f>
        <v>0</v>
      </c>
      <c r="K992" s="20">
        <f>IF(DAY(A992)='Main Budget'!$J$30,'Main Budget'!$E$30,0)</f>
        <v>0</v>
      </c>
      <c r="L992" s="20">
        <f>IF(DAY(A992)='Main Budget'!$J$31,'Main Budget'!$E$31,0)</f>
        <v>0</v>
      </c>
      <c r="M992" s="20">
        <f>IF(DAY(A992)='Main Budget'!$J$27,'Main Budget'!$E$27,0)</f>
        <v>0</v>
      </c>
      <c r="O992" s="228">
        <f>B992+(SUM(H992:M992)+(SUM(D992:E992)))</f>
        <v>100</v>
      </c>
      <c r="P992" s="228">
        <f>C992+F992+G992+N992</f>
        <v>100</v>
      </c>
      <c r="Q992" s="252">
        <f>O992+P992</f>
        <v>200</v>
      </c>
      <c r="S992" s="231" t="str">
        <f>TEXT(A992,"dddd")</f>
        <v>Sunday</v>
      </c>
    </row>
    <row r="993" spans="1:19" x14ac:dyDescent="0.25">
      <c r="A993" s="226">
        <v>47014</v>
      </c>
      <c r="B993" s="227">
        <f>O992</f>
        <v>100</v>
      </c>
      <c r="C993" s="228">
        <f>P992</f>
        <v>100</v>
      </c>
      <c r="D993" s="228">
        <f>IF(OR(DAY(A993+2)=1,DAY(A993+2)=15),-SUM('Main Budget'!$H$26:$H$31),0)</f>
        <v>0</v>
      </c>
      <c r="E993" s="228">
        <f>IF(DAY(A993+2)=22,-SUM('Main Budget'!$F$26:$F$31),0)</f>
        <v>0</v>
      </c>
      <c r="F993" s="228">
        <f>IF(D993&gt;0,-'Main Budget'!$H$25+0.15,0)</f>
        <v>0</v>
      </c>
      <c r="G993" s="228">
        <f>IF(E993&gt;0,-'Main Budget'!$F$25+0.81,0)</f>
        <v>0</v>
      </c>
      <c r="H993" s="227">
        <f>IF(DAY(A993)='Main Budget'!$J$26,'Main Budget'!$E$26,0)</f>
        <v>0</v>
      </c>
      <c r="I993" s="227">
        <f>IF(DAY(A993)='Main Budget'!$J$28,'Main Budget'!$E$28,0)</f>
        <v>0</v>
      </c>
      <c r="J993" s="227">
        <f>IF(DAY(A993)='Main Budget'!$J$29,'Main Budget'!$E$29,0)</f>
        <v>0</v>
      </c>
      <c r="K993" s="20">
        <f>IF(DAY(A993)='Main Budget'!$J$30,'Main Budget'!$E$30,0)</f>
        <v>0</v>
      </c>
      <c r="L993" s="20">
        <f>IF(DAY(A993)='Main Budget'!$J$31,'Main Budget'!$E$31,0)</f>
        <v>0</v>
      </c>
      <c r="M993" s="20">
        <f>IF(DAY(A993)='Main Budget'!$J$27,'Main Budget'!$E$27,0)</f>
        <v>0</v>
      </c>
      <c r="O993" s="228">
        <f>B993+(SUM(H993:M993)+(SUM(D993:E993)))</f>
        <v>100</v>
      </c>
      <c r="P993" s="228">
        <f>C993+F993+G993+N993</f>
        <v>100</v>
      </c>
      <c r="Q993" s="252">
        <f>O993+P993</f>
        <v>200</v>
      </c>
      <c r="S993" s="231" t="str">
        <f>TEXT(A993,"dddd")</f>
        <v>Monday</v>
      </c>
    </row>
    <row r="994" spans="1:19" x14ac:dyDescent="0.25">
      <c r="A994" s="226">
        <v>47015</v>
      </c>
      <c r="B994" s="227">
        <f>O993</f>
        <v>100</v>
      </c>
      <c r="C994" s="228">
        <f>P993</f>
        <v>100</v>
      </c>
      <c r="D994" s="228">
        <f>IF(OR(DAY(A994+2)=1,DAY(A994+2)=15),-SUM('Main Budget'!$H$26:$H$31),0)</f>
        <v>0</v>
      </c>
      <c r="E994" s="228">
        <f>IF(DAY(A994+2)=22,-SUM('Main Budget'!$F$26:$F$31),0)</f>
        <v>0</v>
      </c>
      <c r="F994" s="228">
        <f>IF(D994&gt;0,-'Main Budget'!$H$25+0.15,0)</f>
        <v>0</v>
      </c>
      <c r="G994" s="228">
        <f>IF(E994&gt;0,-'Main Budget'!$F$25+0.81,0)</f>
        <v>0</v>
      </c>
      <c r="H994" s="227">
        <f>IF(DAY(A994)='Main Budget'!$J$26,'Main Budget'!$E$26,0)</f>
        <v>0</v>
      </c>
      <c r="I994" s="227">
        <f>IF(DAY(A994)='Main Budget'!$J$28,'Main Budget'!$E$28,0)</f>
        <v>0</v>
      </c>
      <c r="J994" s="227">
        <f>IF(DAY(A994)='Main Budget'!$J$29,'Main Budget'!$E$29,0)</f>
        <v>0</v>
      </c>
      <c r="K994" s="20">
        <f>IF(DAY(A994)='Main Budget'!$J$30,'Main Budget'!$E$30,0)</f>
        <v>0</v>
      </c>
      <c r="L994" s="20">
        <f>IF(DAY(A994)='Main Budget'!$J$31,'Main Budget'!$E$31,0)</f>
        <v>0</v>
      </c>
      <c r="M994" s="20">
        <f>IF(DAY(A994)='Main Budget'!$J$27,'Main Budget'!$E$27,0)</f>
        <v>0</v>
      </c>
      <c r="O994" s="228">
        <f>B994+(SUM(H994:M994)+(SUM(D994:E994)))</f>
        <v>100</v>
      </c>
      <c r="P994" s="228">
        <f>C994+F994+G994+N994</f>
        <v>100</v>
      </c>
      <c r="Q994" s="252">
        <f>O994+P994</f>
        <v>200</v>
      </c>
      <c r="S994" s="231" t="str">
        <f>TEXT(A994,"dddd")</f>
        <v>Tuesday</v>
      </c>
    </row>
    <row r="995" spans="1:19" x14ac:dyDescent="0.25">
      <c r="A995" s="226">
        <v>47016</v>
      </c>
      <c r="B995" s="227">
        <f>O994</f>
        <v>100</v>
      </c>
      <c r="C995" s="228">
        <f>P994</f>
        <v>100</v>
      </c>
      <c r="D995" s="228">
        <f>IF(OR(DAY(A995+2)=1,DAY(A995+2)=15),-SUM('Main Budget'!$H$26:$H$31),0)</f>
        <v>0</v>
      </c>
      <c r="E995" s="228">
        <f>IF(DAY(A995+2)=22,-SUM('Main Budget'!$F$26:$F$31),0)</f>
        <v>0</v>
      </c>
      <c r="F995" s="228">
        <f>IF(D995&gt;0,-'Main Budget'!$H$25+0.15,0)</f>
        <v>0</v>
      </c>
      <c r="G995" s="228">
        <f>IF(E995&gt;0,-'Main Budget'!$F$25+0.81,0)</f>
        <v>0</v>
      </c>
      <c r="H995" s="227">
        <f>IF(DAY(A995)='Main Budget'!$J$26,'Main Budget'!$E$26,0)</f>
        <v>0</v>
      </c>
      <c r="I995" s="227">
        <f>IF(DAY(A995)='Main Budget'!$J$28,'Main Budget'!$E$28,0)</f>
        <v>0</v>
      </c>
      <c r="J995" s="227">
        <f>IF(DAY(A995)='Main Budget'!$J$29,'Main Budget'!$E$29,0)</f>
        <v>0</v>
      </c>
      <c r="K995" s="20">
        <f>IF(DAY(A995)='Main Budget'!$J$30,'Main Budget'!$E$30,0)</f>
        <v>0</v>
      </c>
      <c r="L995" s="20">
        <f>IF(DAY(A995)='Main Budget'!$J$31,'Main Budget'!$E$31,0)</f>
        <v>0</v>
      </c>
      <c r="M995" s="20">
        <f>IF(DAY(A995)='Main Budget'!$J$27,'Main Budget'!$E$27,0)</f>
        <v>0</v>
      </c>
      <c r="O995" s="228">
        <f>B995+(SUM(H995:M995)+(SUM(D995:E995)))</f>
        <v>100</v>
      </c>
      <c r="P995" s="228">
        <f>C995+F995+G995+N995</f>
        <v>100</v>
      </c>
      <c r="Q995" s="252">
        <f>O995+P995</f>
        <v>200</v>
      </c>
      <c r="S995" s="231" t="str">
        <f>TEXT(A995,"dddd")</f>
        <v>Wednesday</v>
      </c>
    </row>
    <row r="996" spans="1:19" x14ac:dyDescent="0.25">
      <c r="A996" s="226">
        <v>47017</v>
      </c>
      <c r="B996" s="227">
        <f>O995</f>
        <v>100</v>
      </c>
      <c r="C996" s="228">
        <f>P995</f>
        <v>100</v>
      </c>
      <c r="D996" s="228">
        <f>IF(OR(DAY(A996+2)=1,DAY(A996+2)=15),-SUM('Main Budget'!$H$26:$H$31),0)</f>
        <v>0</v>
      </c>
      <c r="E996" s="228">
        <f>IF(DAY(A996+2)=22,-SUM('Main Budget'!$F$26:$F$31),0)</f>
        <v>0</v>
      </c>
      <c r="F996" s="228">
        <f>IF(D996&gt;0,-'Main Budget'!$H$25+0.15,0)</f>
        <v>0</v>
      </c>
      <c r="G996" s="228">
        <f>IF(E996&gt;0,-'Main Budget'!$F$25+0.81,0)</f>
        <v>0</v>
      </c>
      <c r="H996" s="227">
        <f>IF(DAY(A996)='Main Budget'!$J$26,'Main Budget'!$E$26,0)</f>
        <v>0</v>
      </c>
      <c r="I996" s="227">
        <f>IF(DAY(A996)='Main Budget'!$J$28,'Main Budget'!$E$28,0)</f>
        <v>0</v>
      </c>
      <c r="J996" s="227">
        <f>IF(DAY(A996)='Main Budget'!$J$29,'Main Budget'!$E$29,0)</f>
        <v>0</v>
      </c>
      <c r="K996" s="20">
        <f>IF(DAY(A996)='Main Budget'!$J$30,'Main Budget'!$E$30,0)</f>
        <v>0</v>
      </c>
      <c r="L996" s="20">
        <f>IF(DAY(A996)='Main Budget'!$J$31,'Main Budget'!$E$31,0)</f>
        <v>0</v>
      </c>
      <c r="M996" s="20">
        <f>IF(DAY(A996)='Main Budget'!$J$27,'Main Budget'!$E$27,0)</f>
        <v>0</v>
      </c>
      <c r="O996" s="228">
        <f>B996+(SUM(H996:M996)+(SUM(D996:E996)))</f>
        <v>100</v>
      </c>
      <c r="P996" s="228">
        <f>C996+F996+G996+N996</f>
        <v>100</v>
      </c>
      <c r="Q996" s="252">
        <f>O996+P996</f>
        <v>200</v>
      </c>
      <c r="S996" s="231" t="str">
        <f>TEXT(A996,"dddd")</f>
        <v>Thursday</v>
      </c>
    </row>
    <row r="997" spans="1:19" x14ac:dyDescent="0.25">
      <c r="A997" s="226">
        <v>47018</v>
      </c>
      <c r="B997" s="227">
        <f>O996</f>
        <v>100</v>
      </c>
      <c r="C997" s="228">
        <f>P996</f>
        <v>100</v>
      </c>
      <c r="D997" s="228">
        <f>IF(OR(DAY(A997+2)=1,DAY(A997+2)=15),-SUM('Main Budget'!$H$26:$H$31),0)</f>
        <v>0</v>
      </c>
      <c r="E997" s="228">
        <f>IF(DAY(A997+2)=22,-SUM('Main Budget'!$F$26:$F$31),0)</f>
        <v>0</v>
      </c>
      <c r="F997" s="228">
        <f>IF(D997&gt;0,-'Main Budget'!$H$25+0.15,0)</f>
        <v>0</v>
      </c>
      <c r="G997" s="228">
        <f>IF(E997&gt;0,-'Main Budget'!$F$25+0.81,0)</f>
        <v>0</v>
      </c>
      <c r="H997" s="227">
        <f>IF(DAY(A997)='Main Budget'!$J$26,'Main Budget'!$E$26,0)</f>
        <v>0</v>
      </c>
      <c r="I997" s="227">
        <f>IF(DAY(A997)='Main Budget'!$J$28,'Main Budget'!$E$28,0)</f>
        <v>0</v>
      </c>
      <c r="J997" s="227">
        <f>IF(DAY(A997)='Main Budget'!$J$29,'Main Budget'!$E$29,0)</f>
        <v>0</v>
      </c>
      <c r="K997" s="20">
        <f>IF(DAY(A997)='Main Budget'!$J$30,'Main Budget'!$E$30,0)</f>
        <v>0</v>
      </c>
      <c r="L997" s="20">
        <f>IF(DAY(A997)='Main Budget'!$J$31,'Main Budget'!$E$31,0)</f>
        <v>0</v>
      </c>
      <c r="M997" s="20">
        <f>IF(DAY(A997)='Main Budget'!$J$27,'Main Budget'!$E$27,0)</f>
        <v>0</v>
      </c>
      <c r="O997" s="228">
        <f>B997+(SUM(H997:M997)+(SUM(D997:E997)))</f>
        <v>100</v>
      </c>
      <c r="P997" s="228">
        <f>C997+F997+G997+N997</f>
        <v>100</v>
      </c>
      <c r="Q997" s="252">
        <f>O997+P997</f>
        <v>200</v>
      </c>
      <c r="S997" s="231" t="str">
        <f>TEXT(A997,"dddd")</f>
        <v>Friday</v>
      </c>
    </row>
    <row r="998" spans="1:19" x14ac:dyDescent="0.25">
      <c r="A998" s="226">
        <v>47019</v>
      </c>
      <c r="B998" s="227">
        <f>O997</f>
        <v>100</v>
      </c>
      <c r="C998" s="228">
        <f>P997</f>
        <v>100</v>
      </c>
      <c r="D998" s="228">
        <f>IF(OR(DAY(A998+2)=1,DAY(A998+2)=15),-SUM('Main Budget'!$H$26:$H$31),0)</f>
        <v>0</v>
      </c>
      <c r="E998" s="228">
        <f>IF(DAY(A998+2)=22,-SUM('Main Budget'!$F$26:$F$31),0)</f>
        <v>0</v>
      </c>
      <c r="F998" s="228">
        <f>IF(D998&gt;0,-'Main Budget'!$H$25+0.15,0)</f>
        <v>0</v>
      </c>
      <c r="G998" s="228">
        <f>IF(E998&gt;0,-'Main Budget'!$F$25+0.81,0)</f>
        <v>0</v>
      </c>
      <c r="H998" s="227">
        <f>IF(DAY(A998)='Main Budget'!$J$26,'Main Budget'!$E$26,0)</f>
        <v>0</v>
      </c>
      <c r="I998" s="227">
        <f>IF(DAY(A998)='Main Budget'!$J$28,'Main Budget'!$E$28,0)</f>
        <v>0</v>
      </c>
      <c r="J998" s="227">
        <f>IF(DAY(A998)='Main Budget'!$J$29,'Main Budget'!$E$29,0)</f>
        <v>0</v>
      </c>
      <c r="K998" s="20">
        <f>IF(DAY(A998)='Main Budget'!$J$30,'Main Budget'!$E$30,0)</f>
        <v>0</v>
      </c>
      <c r="L998" s="20">
        <f>IF(DAY(A998)='Main Budget'!$J$31,'Main Budget'!$E$31,0)</f>
        <v>0</v>
      </c>
      <c r="M998" s="20">
        <f>IF(DAY(A998)='Main Budget'!$J$27,'Main Budget'!$E$27,0)</f>
        <v>0</v>
      </c>
      <c r="O998" s="228">
        <f>B998+(SUM(H998:M998)+(SUM(D998:E998)))</f>
        <v>100</v>
      </c>
      <c r="P998" s="228">
        <f>C998+F998+G998+N998</f>
        <v>100</v>
      </c>
      <c r="Q998" s="252">
        <f>O998+P998</f>
        <v>200</v>
      </c>
      <c r="S998" s="231" t="str">
        <f>TEXT(A998,"dddd")</f>
        <v>Saturday</v>
      </c>
    </row>
    <row r="999" spans="1:19" x14ac:dyDescent="0.25">
      <c r="A999" s="226">
        <v>47020</v>
      </c>
      <c r="B999" s="227">
        <f>O998</f>
        <v>100</v>
      </c>
      <c r="C999" s="228">
        <f>P998</f>
        <v>100</v>
      </c>
      <c r="D999" s="228">
        <f>IF(OR(DAY(A999+2)=1,DAY(A999+2)=15),-SUM('Main Budget'!$H$26:$H$31),0)</f>
        <v>0</v>
      </c>
      <c r="E999" s="228">
        <f>IF(DAY(A999+2)=22,-SUM('Main Budget'!$F$26:$F$31),0)</f>
        <v>0</v>
      </c>
      <c r="F999" s="228">
        <f>IF(D999&gt;0,-'Main Budget'!$H$25+0.15,0)</f>
        <v>0</v>
      </c>
      <c r="G999" s="228">
        <f>IF(E999&gt;0,-'Main Budget'!$F$25+0.81,0)</f>
        <v>0</v>
      </c>
      <c r="H999" s="227">
        <f>IF(DAY(A999)='Main Budget'!$J$26,'Main Budget'!$E$26,0)</f>
        <v>0</v>
      </c>
      <c r="I999" s="227">
        <f>IF(DAY(A999)='Main Budget'!$J$28,'Main Budget'!$E$28,0)</f>
        <v>0</v>
      </c>
      <c r="J999" s="227">
        <f>IF(DAY(A999)='Main Budget'!$J$29,'Main Budget'!$E$29,0)</f>
        <v>0</v>
      </c>
      <c r="K999" s="20">
        <f>IF(DAY(A999)='Main Budget'!$J$30,'Main Budget'!$E$30,0)</f>
        <v>0</v>
      </c>
      <c r="L999" s="20">
        <f>IF(DAY(A999)='Main Budget'!$J$31,'Main Budget'!$E$31,0)</f>
        <v>0</v>
      </c>
      <c r="M999" s="20">
        <f>IF(DAY(A999)='Main Budget'!$J$27,'Main Budget'!$E$27,0)</f>
        <v>0</v>
      </c>
      <c r="O999" s="228">
        <f>B999+(SUM(H999:M999)+(SUM(D999:E999)))</f>
        <v>100</v>
      </c>
      <c r="P999" s="228">
        <f>C999+F999+G999+N999</f>
        <v>100</v>
      </c>
      <c r="Q999" s="252">
        <f>O999+P999</f>
        <v>200</v>
      </c>
      <c r="S999" s="231" t="str">
        <f>TEXT(A999,"dddd")</f>
        <v>Sunday</v>
      </c>
    </row>
    <row r="1000" spans="1:19" x14ac:dyDescent="0.25">
      <c r="A1000" s="226">
        <v>47021</v>
      </c>
      <c r="B1000" s="227">
        <f>O999</f>
        <v>100</v>
      </c>
      <c r="C1000" s="228">
        <f>P999</f>
        <v>100</v>
      </c>
      <c r="D1000" s="228">
        <f>IF(OR(DAY(A1000+2)=1,DAY(A1000+2)=15),-SUM('Main Budget'!$H$26:$H$31),0)</f>
        <v>0</v>
      </c>
      <c r="E1000" s="228">
        <f>IF(DAY(A1000+2)=22,-SUM('Main Budget'!$F$26:$F$31),0)</f>
        <v>0</v>
      </c>
      <c r="F1000" s="228">
        <f>IF(D1000&gt;0,-'Main Budget'!$H$25+0.15,0)</f>
        <v>0</v>
      </c>
      <c r="G1000" s="228">
        <f>IF(E1000&gt;0,-'Main Budget'!$F$25+0.81,0)</f>
        <v>0</v>
      </c>
      <c r="H1000" s="227">
        <f>IF(DAY(A1000)='Main Budget'!$J$26,'Main Budget'!$E$26,0)</f>
        <v>0</v>
      </c>
      <c r="I1000" s="227">
        <f>IF(DAY(A1000)='Main Budget'!$J$28,'Main Budget'!$E$28,0)</f>
        <v>0</v>
      </c>
      <c r="J1000" s="227">
        <f>IF(DAY(A1000)='Main Budget'!$J$29,'Main Budget'!$E$29,0)</f>
        <v>0</v>
      </c>
      <c r="K1000" s="20">
        <f>IF(DAY(A1000)='Main Budget'!$J$30,'Main Budget'!$E$30,0)</f>
        <v>0</v>
      </c>
      <c r="L1000" s="20">
        <f>IF(DAY(A1000)='Main Budget'!$J$31,'Main Budget'!$E$31,0)</f>
        <v>0</v>
      </c>
      <c r="M1000" s="20">
        <f>IF(DAY(A1000)='Main Budget'!$J$27,'Main Budget'!$E$27,0)</f>
        <v>0</v>
      </c>
      <c r="O1000" s="228">
        <f>B1000+(SUM(H1000:M1000)+(SUM(D1000:E1000)))</f>
        <v>100</v>
      </c>
      <c r="P1000" s="228">
        <f>C1000+F1000+G1000+N1000</f>
        <v>100</v>
      </c>
      <c r="Q1000" s="252">
        <f>O1000+P1000</f>
        <v>200</v>
      </c>
      <c r="S1000" s="231" t="str">
        <f>TEXT(A1000,"dddd")</f>
        <v>Monday</v>
      </c>
    </row>
    <row r="1001" spans="1:19" x14ac:dyDescent="0.25">
      <c r="A1001" s="226">
        <v>47022</v>
      </c>
      <c r="B1001" s="227">
        <f>O1000</f>
        <v>100</v>
      </c>
      <c r="C1001" s="228">
        <f>P1000</f>
        <v>100</v>
      </c>
      <c r="D1001" s="228">
        <f>IF(OR(DAY(A1001+2)=1,DAY(A1001+2)=15),-SUM('Main Budget'!$H$26:$H$31),0)</f>
        <v>0</v>
      </c>
      <c r="E1001" s="228">
        <f>IF(DAY(A1001+2)=22,-SUM('Main Budget'!$F$26:$F$31),0)</f>
        <v>0</v>
      </c>
      <c r="F1001" s="228">
        <f>IF(D1001&gt;0,-'Main Budget'!$H$25+0.15,0)</f>
        <v>0</v>
      </c>
      <c r="G1001" s="228">
        <f>IF(E1001&gt;0,-'Main Budget'!$F$25+0.81,0)</f>
        <v>0</v>
      </c>
      <c r="H1001" s="227">
        <f>IF(DAY(A1001)='Main Budget'!$J$26,'Main Budget'!$E$26,0)</f>
        <v>0</v>
      </c>
      <c r="I1001" s="227">
        <f>IF(DAY(A1001)='Main Budget'!$J$28,'Main Budget'!$E$28,0)</f>
        <v>0</v>
      </c>
      <c r="J1001" s="227">
        <f>IF(DAY(A1001)='Main Budget'!$J$29,'Main Budget'!$E$29,0)</f>
        <v>0</v>
      </c>
      <c r="K1001" s="20">
        <f>IF(DAY(A1001)='Main Budget'!$J$30,'Main Budget'!$E$30,0)</f>
        <v>0</v>
      </c>
      <c r="L1001" s="20">
        <f>IF(DAY(A1001)='Main Budget'!$J$31,'Main Budget'!$E$31,0)</f>
        <v>0</v>
      </c>
      <c r="M1001" s="20">
        <f>IF(DAY(A1001)='Main Budget'!$J$27,'Main Budget'!$E$27,0)</f>
        <v>0</v>
      </c>
      <c r="O1001" s="228">
        <f>B1001+(SUM(H1001:M1001)+(SUM(D1001:E1001)))</f>
        <v>100</v>
      </c>
      <c r="P1001" s="228">
        <f>C1001+F1001+G1001+N1001</f>
        <v>100</v>
      </c>
      <c r="Q1001" s="252">
        <f>O1001+P1001</f>
        <v>200</v>
      </c>
      <c r="S1001" s="231" t="str">
        <f>TEXT(A1001,"dddd")</f>
        <v>Tuesday</v>
      </c>
    </row>
    <row r="1002" spans="1:19" x14ac:dyDescent="0.25">
      <c r="A1002" s="226">
        <v>47023</v>
      </c>
      <c r="B1002" s="227">
        <f>O1001</f>
        <v>100</v>
      </c>
      <c r="C1002" s="228">
        <f>P1001</f>
        <v>100</v>
      </c>
      <c r="D1002" s="228">
        <f>IF(OR(DAY(A1002+2)=1,DAY(A1002+2)=15),-SUM('Main Budget'!$H$26:$H$31),0)</f>
        <v>0</v>
      </c>
      <c r="E1002" s="228">
        <f>IF(DAY(A1002+2)=22,-SUM('Main Budget'!$F$26:$F$31),0)</f>
        <v>0</v>
      </c>
      <c r="F1002" s="228">
        <f>IF(D1002&gt;0,-'Main Budget'!$H$25+0.15,0)</f>
        <v>0</v>
      </c>
      <c r="G1002" s="228">
        <f>IF(E1002&gt;0,-'Main Budget'!$F$25+0.81,0)</f>
        <v>0</v>
      </c>
      <c r="H1002" s="227">
        <f>IF(DAY(A1002)='Main Budget'!$J$26,'Main Budget'!$E$26,0)</f>
        <v>0</v>
      </c>
      <c r="I1002" s="227">
        <f>IF(DAY(A1002)='Main Budget'!$J$28,'Main Budget'!$E$28,0)</f>
        <v>0</v>
      </c>
      <c r="J1002" s="227">
        <f>IF(DAY(A1002)='Main Budget'!$J$29,'Main Budget'!$E$29,0)</f>
        <v>0</v>
      </c>
      <c r="K1002" s="20">
        <f>IF(DAY(A1002)='Main Budget'!$J$30,'Main Budget'!$E$30,0)</f>
        <v>0</v>
      </c>
      <c r="L1002" s="20">
        <f>IF(DAY(A1002)='Main Budget'!$J$31,'Main Budget'!$E$31,0)</f>
        <v>0</v>
      </c>
      <c r="M1002" s="20">
        <f>IF(DAY(A1002)='Main Budget'!$J$27,'Main Budget'!$E$27,0)</f>
        <v>0</v>
      </c>
      <c r="O1002" s="228">
        <f>B1002+(SUM(H1002:M1002)+(SUM(D1002:E1002)))</f>
        <v>100</v>
      </c>
      <c r="P1002" s="228">
        <f>C1002+F1002+G1002+N1002</f>
        <v>100</v>
      </c>
      <c r="Q1002" s="252">
        <f>O1002+P1002</f>
        <v>200</v>
      </c>
      <c r="S1002" s="231" t="str">
        <f>TEXT(A1002,"dddd")</f>
        <v>Wednesday</v>
      </c>
    </row>
    <row r="1003" spans="1:19" x14ac:dyDescent="0.25">
      <c r="A1003" s="226">
        <v>47024</v>
      </c>
      <c r="B1003" s="227">
        <f>O1002</f>
        <v>100</v>
      </c>
      <c r="C1003" s="228">
        <f>P1002</f>
        <v>100</v>
      </c>
      <c r="D1003" s="228">
        <f>IF(OR(DAY(A1003+2)=1,DAY(A1003+2)=15),-SUM('Main Budget'!$H$26:$H$31),0)</f>
        <v>0</v>
      </c>
      <c r="E1003" s="228">
        <f>IF(DAY(A1003+2)=22,-SUM('Main Budget'!$F$26:$F$31),0)</f>
        <v>0</v>
      </c>
      <c r="F1003" s="228">
        <f>IF(D1003&gt;0,-'Main Budget'!$H$25+0.15,0)</f>
        <v>0</v>
      </c>
      <c r="G1003" s="228">
        <f>IF(E1003&gt;0,-'Main Budget'!$F$25+0.81,0)</f>
        <v>0</v>
      </c>
      <c r="H1003" s="227">
        <f>IF(DAY(A1003)='Main Budget'!$J$26,'Main Budget'!$E$26,0)</f>
        <v>0</v>
      </c>
      <c r="I1003" s="227">
        <f>IF(DAY(A1003)='Main Budget'!$J$28,'Main Budget'!$E$28,0)</f>
        <v>0</v>
      </c>
      <c r="J1003" s="227">
        <f>IF(DAY(A1003)='Main Budget'!$J$29,'Main Budget'!$E$29,0)</f>
        <v>0</v>
      </c>
      <c r="K1003" s="20">
        <f>IF(DAY(A1003)='Main Budget'!$J$30,'Main Budget'!$E$30,0)</f>
        <v>0</v>
      </c>
      <c r="L1003" s="20">
        <f>IF(DAY(A1003)='Main Budget'!$J$31,'Main Budget'!$E$31,0)</f>
        <v>0</v>
      </c>
      <c r="M1003" s="20">
        <f>IF(DAY(A1003)='Main Budget'!$J$27,'Main Budget'!$E$27,0)</f>
        <v>0</v>
      </c>
      <c r="O1003" s="228">
        <f>B1003+(SUM(H1003:M1003)+(SUM(D1003:E1003)))</f>
        <v>100</v>
      </c>
      <c r="P1003" s="228">
        <f>C1003+F1003+G1003+N1003</f>
        <v>100</v>
      </c>
      <c r="Q1003" s="252">
        <f>O1003+P1003</f>
        <v>200</v>
      </c>
      <c r="S1003" s="231" t="str">
        <f>TEXT(A1003,"dddd")</f>
        <v>Thursday</v>
      </c>
    </row>
    <row r="1004" spans="1:19" x14ac:dyDescent="0.25">
      <c r="A1004" s="226">
        <v>47025</v>
      </c>
      <c r="B1004" s="227">
        <f>O1003</f>
        <v>100</v>
      </c>
      <c r="C1004" s="228">
        <f>P1003</f>
        <v>100</v>
      </c>
      <c r="D1004" s="228">
        <f>IF(OR(DAY(A1004+2)=1,DAY(A1004+2)=15),-SUM('Main Budget'!$H$26:$H$31),0)</f>
        <v>0</v>
      </c>
      <c r="E1004" s="228">
        <f>IF(DAY(A1004+2)=22,-SUM('Main Budget'!$F$26:$F$31),0)</f>
        <v>0</v>
      </c>
      <c r="F1004" s="228">
        <f>IF(D1004&gt;0,-'Main Budget'!$H$25+0.15,0)</f>
        <v>0</v>
      </c>
      <c r="G1004" s="228">
        <f>IF(E1004&gt;0,-'Main Budget'!$F$25+0.81,0)</f>
        <v>0</v>
      </c>
      <c r="H1004" s="227">
        <f>IF(DAY(A1004)='Main Budget'!$J$26,'Main Budget'!$E$26,0)</f>
        <v>0</v>
      </c>
      <c r="I1004" s="227">
        <f>IF(DAY(A1004)='Main Budget'!$J$28,'Main Budget'!$E$28,0)</f>
        <v>0</v>
      </c>
      <c r="J1004" s="227">
        <f>IF(DAY(A1004)='Main Budget'!$J$29,'Main Budget'!$E$29,0)</f>
        <v>0</v>
      </c>
      <c r="K1004" s="20">
        <f>IF(DAY(A1004)='Main Budget'!$J$30,'Main Budget'!$E$30,0)</f>
        <v>0</v>
      </c>
      <c r="L1004" s="20">
        <f>IF(DAY(A1004)='Main Budget'!$J$31,'Main Budget'!$E$31,0)</f>
        <v>0</v>
      </c>
      <c r="M1004" s="20">
        <f>IF(DAY(A1004)='Main Budget'!$J$27,'Main Budget'!$E$27,0)</f>
        <v>0</v>
      </c>
      <c r="O1004" s="228">
        <f>B1004+(SUM(H1004:M1004)+(SUM(D1004:E1004)))</f>
        <v>100</v>
      </c>
      <c r="P1004" s="228">
        <f>C1004+F1004+G1004+N1004</f>
        <v>100</v>
      </c>
      <c r="Q1004" s="252">
        <f>O1004+P1004</f>
        <v>200</v>
      </c>
      <c r="S1004" s="231" t="str">
        <f>TEXT(A1004,"dddd")</f>
        <v>Friday</v>
      </c>
    </row>
    <row r="1005" spans="1:19" x14ac:dyDescent="0.25">
      <c r="A1005" s="226">
        <v>47026</v>
      </c>
      <c r="B1005" s="227">
        <f>O1004</f>
        <v>100</v>
      </c>
      <c r="C1005" s="228">
        <f>P1004</f>
        <v>100</v>
      </c>
      <c r="D1005" s="228">
        <f>IF(OR(DAY(A1005+2)=1,DAY(A1005+2)=15),-SUM('Main Budget'!$H$26:$H$31),0)</f>
        <v>0</v>
      </c>
      <c r="E1005" s="228">
        <f>IF(DAY(A1005+2)=22,-SUM('Main Budget'!$F$26:$F$31),0)</f>
        <v>0</v>
      </c>
      <c r="F1005" s="228">
        <f>IF(D1005&gt;0,-'Main Budget'!$H$25+0.15,0)</f>
        <v>0</v>
      </c>
      <c r="G1005" s="228">
        <f>IF(E1005&gt;0,-'Main Budget'!$F$25+0.81,0)</f>
        <v>0</v>
      </c>
      <c r="H1005" s="227">
        <f>IF(DAY(A1005)='Main Budget'!$J$26,'Main Budget'!$E$26,0)</f>
        <v>0</v>
      </c>
      <c r="I1005" s="227">
        <f>IF(DAY(A1005)='Main Budget'!$J$28,'Main Budget'!$E$28,0)</f>
        <v>0</v>
      </c>
      <c r="J1005" s="227">
        <f>IF(DAY(A1005)='Main Budget'!$J$29,'Main Budget'!$E$29,0)</f>
        <v>0</v>
      </c>
      <c r="K1005" s="20">
        <f>IF(DAY(A1005)='Main Budget'!$J$30,'Main Budget'!$E$30,0)</f>
        <v>0</v>
      </c>
      <c r="L1005" s="20">
        <f>IF(DAY(A1005)='Main Budget'!$J$31,'Main Budget'!$E$31,0)</f>
        <v>0</v>
      </c>
      <c r="M1005" s="20">
        <f>IF(DAY(A1005)='Main Budget'!$J$27,'Main Budget'!$E$27,0)</f>
        <v>0</v>
      </c>
      <c r="O1005" s="228">
        <f>B1005+(SUM(H1005:M1005)+(SUM(D1005:E1005)))</f>
        <v>100</v>
      </c>
      <c r="P1005" s="228">
        <f>C1005+F1005+G1005+N1005</f>
        <v>100</v>
      </c>
      <c r="Q1005" s="252">
        <f>O1005+P1005</f>
        <v>200</v>
      </c>
      <c r="S1005" s="231" t="str">
        <f>TEXT(A1005,"dddd")</f>
        <v>Saturday</v>
      </c>
    </row>
    <row r="1006" spans="1:19" x14ac:dyDescent="0.25">
      <c r="A1006" s="226">
        <v>47027</v>
      </c>
      <c r="B1006" s="227">
        <f>O1005</f>
        <v>100</v>
      </c>
      <c r="C1006" s="228">
        <f>P1005</f>
        <v>100</v>
      </c>
      <c r="D1006" s="228">
        <f>IF(OR(DAY(A1006+2)=1,DAY(A1006+2)=15),-SUM('Main Budget'!$H$26:$H$31),0)</f>
        <v>0</v>
      </c>
      <c r="E1006" s="228">
        <f>IF(DAY(A1006+2)=22,-SUM('Main Budget'!$F$26:$F$31),0)</f>
        <v>0</v>
      </c>
      <c r="F1006" s="228">
        <f>IF(D1006&gt;0,-'Main Budget'!$H$25+0.15,0)</f>
        <v>0</v>
      </c>
      <c r="G1006" s="228">
        <f>IF(E1006&gt;0,-'Main Budget'!$F$25+0.81,0)</f>
        <v>0</v>
      </c>
      <c r="H1006" s="227">
        <f>IF(DAY(A1006)='Main Budget'!$J$26,'Main Budget'!$E$26,0)</f>
        <v>0</v>
      </c>
      <c r="I1006" s="227">
        <f>IF(DAY(A1006)='Main Budget'!$J$28,'Main Budget'!$E$28,0)</f>
        <v>0</v>
      </c>
      <c r="J1006" s="227">
        <f>IF(DAY(A1006)='Main Budget'!$J$29,'Main Budget'!$E$29,0)</f>
        <v>0</v>
      </c>
      <c r="K1006" s="20">
        <f>IF(DAY(A1006)='Main Budget'!$J$30,'Main Budget'!$E$30,0)</f>
        <v>0</v>
      </c>
      <c r="L1006" s="20">
        <f>IF(DAY(A1006)='Main Budget'!$J$31,'Main Budget'!$E$31,0)</f>
        <v>0</v>
      </c>
      <c r="M1006" s="20">
        <f>IF(DAY(A1006)='Main Budget'!$J$27,'Main Budget'!$E$27,0)</f>
        <v>0</v>
      </c>
      <c r="O1006" s="228">
        <f>B1006+(SUM(H1006:M1006)+(SUM(D1006:E1006)))</f>
        <v>100</v>
      </c>
      <c r="P1006" s="228">
        <f>C1006+F1006+G1006+N1006</f>
        <v>100</v>
      </c>
      <c r="Q1006" s="252">
        <f>O1006+P1006</f>
        <v>200</v>
      </c>
      <c r="S1006" s="231" t="str">
        <f>TEXT(A1006,"dddd")</f>
        <v>Sunday</v>
      </c>
    </row>
    <row r="1007" spans="1:19" x14ac:dyDescent="0.25">
      <c r="A1007" s="226">
        <v>47028</v>
      </c>
      <c r="B1007" s="227">
        <f>O1006</f>
        <v>100</v>
      </c>
      <c r="C1007" s="228">
        <f>P1006</f>
        <v>100</v>
      </c>
      <c r="D1007" s="228">
        <f>IF(OR(DAY(A1007+2)=1,DAY(A1007+2)=15),-SUM('Main Budget'!$H$26:$H$31),0)</f>
        <v>0</v>
      </c>
      <c r="E1007" s="228">
        <f>IF(DAY(A1007+2)=22,-SUM('Main Budget'!$F$26:$F$31),0)</f>
        <v>0</v>
      </c>
      <c r="F1007" s="228">
        <f>IF(D1007&gt;0,-'Main Budget'!$H$25+0.15,0)</f>
        <v>0</v>
      </c>
      <c r="G1007" s="228">
        <f>IF(E1007&gt;0,-'Main Budget'!$F$25+0.81,0)</f>
        <v>0</v>
      </c>
      <c r="H1007" s="227">
        <f>IF(DAY(A1007)='Main Budget'!$J$26,'Main Budget'!$E$26,0)</f>
        <v>0</v>
      </c>
      <c r="I1007" s="227">
        <f>IF(DAY(A1007)='Main Budget'!$J$28,'Main Budget'!$E$28,0)</f>
        <v>0</v>
      </c>
      <c r="J1007" s="227">
        <f>IF(DAY(A1007)='Main Budget'!$J$29,'Main Budget'!$E$29,0)</f>
        <v>0</v>
      </c>
      <c r="K1007" s="20">
        <f>IF(DAY(A1007)='Main Budget'!$J$30,'Main Budget'!$E$30,0)</f>
        <v>0</v>
      </c>
      <c r="L1007" s="20">
        <f>IF(DAY(A1007)='Main Budget'!$J$31,'Main Budget'!$E$31,0)</f>
        <v>0</v>
      </c>
      <c r="M1007" s="20">
        <f>IF(DAY(A1007)='Main Budget'!$J$27,'Main Budget'!$E$27,0)</f>
        <v>0</v>
      </c>
      <c r="O1007" s="228">
        <f>B1007+(SUM(H1007:M1007)+(SUM(D1007:E1007)))</f>
        <v>100</v>
      </c>
      <c r="P1007" s="228">
        <f>C1007+F1007+G1007+N1007</f>
        <v>100</v>
      </c>
      <c r="Q1007" s="252">
        <f>O1007+P1007</f>
        <v>200</v>
      </c>
      <c r="S1007" s="231" t="str">
        <f>TEXT(A1007,"dddd")</f>
        <v>Monday</v>
      </c>
    </row>
    <row r="1008" spans="1:19" x14ac:dyDescent="0.25">
      <c r="A1008" s="226">
        <v>47029</v>
      </c>
      <c r="B1008" s="227">
        <f>O1007</f>
        <v>100</v>
      </c>
      <c r="C1008" s="228">
        <f>P1007</f>
        <v>100</v>
      </c>
      <c r="D1008" s="228">
        <f>IF(OR(DAY(A1008+2)=1,DAY(A1008+2)=15),-SUM('Main Budget'!$H$26:$H$31),0)</f>
        <v>0</v>
      </c>
      <c r="E1008" s="228">
        <f>IF(DAY(A1008+2)=22,-SUM('Main Budget'!$F$26:$F$31),0)</f>
        <v>0</v>
      </c>
      <c r="F1008" s="228">
        <f>IF(D1008&gt;0,-'Main Budget'!$H$25+0.15,0)</f>
        <v>0</v>
      </c>
      <c r="G1008" s="228">
        <f>IF(E1008&gt;0,-'Main Budget'!$F$25+0.81,0)</f>
        <v>0</v>
      </c>
      <c r="H1008" s="227">
        <f>IF(DAY(A1008)='Main Budget'!$J$26,'Main Budget'!$E$26,0)</f>
        <v>0</v>
      </c>
      <c r="I1008" s="227">
        <f>IF(DAY(A1008)='Main Budget'!$J$28,'Main Budget'!$E$28,0)</f>
        <v>0</v>
      </c>
      <c r="J1008" s="227">
        <f>IF(DAY(A1008)='Main Budget'!$J$29,'Main Budget'!$E$29,0)</f>
        <v>0</v>
      </c>
      <c r="K1008" s="20">
        <f>IF(DAY(A1008)='Main Budget'!$J$30,'Main Budget'!$E$30,0)</f>
        <v>0</v>
      </c>
      <c r="L1008" s="20">
        <f>IF(DAY(A1008)='Main Budget'!$J$31,'Main Budget'!$E$31,0)</f>
        <v>0</v>
      </c>
      <c r="M1008" s="20">
        <f>IF(DAY(A1008)='Main Budget'!$J$27,'Main Budget'!$E$27,0)</f>
        <v>0</v>
      </c>
      <c r="O1008" s="228">
        <f>B1008+(SUM(H1008:M1008)+(SUM(D1008:E1008)))</f>
        <v>100</v>
      </c>
      <c r="P1008" s="228">
        <f>C1008+F1008+G1008+N1008</f>
        <v>100</v>
      </c>
      <c r="Q1008" s="252">
        <f>O1008+P1008</f>
        <v>200</v>
      </c>
      <c r="S1008" s="231" t="str">
        <f>TEXT(A1008,"dddd")</f>
        <v>Tuesday</v>
      </c>
    </row>
    <row r="1009" spans="1:19" x14ac:dyDescent="0.25">
      <c r="A1009" s="226">
        <v>47030</v>
      </c>
      <c r="B1009" s="227">
        <f>O1008</f>
        <v>100</v>
      </c>
      <c r="C1009" s="228">
        <f>P1008</f>
        <v>100</v>
      </c>
      <c r="D1009" s="228">
        <f>IF(OR(DAY(A1009+2)=1,DAY(A1009+2)=15),-SUM('Main Budget'!$H$26:$H$31),0)</f>
        <v>0</v>
      </c>
      <c r="E1009" s="228">
        <f>IF(DAY(A1009+2)=22,-SUM('Main Budget'!$F$26:$F$31),0)</f>
        <v>0</v>
      </c>
      <c r="F1009" s="228">
        <f>IF(D1009&gt;0,-'Main Budget'!$H$25+0.15,0)</f>
        <v>0</v>
      </c>
      <c r="G1009" s="228">
        <f>IF(E1009&gt;0,-'Main Budget'!$F$25+0.81,0)</f>
        <v>0</v>
      </c>
      <c r="H1009" s="227">
        <f>IF(DAY(A1009)='Main Budget'!$J$26,'Main Budget'!$E$26,0)</f>
        <v>0</v>
      </c>
      <c r="I1009" s="227">
        <f>IF(DAY(A1009)='Main Budget'!$J$28,'Main Budget'!$E$28,0)</f>
        <v>0</v>
      </c>
      <c r="J1009" s="227">
        <f>IF(DAY(A1009)='Main Budget'!$J$29,'Main Budget'!$E$29,0)</f>
        <v>0</v>
      </c>
      <c r="K1009" s="20">
        <f>IF(DAY(A1009)='Main Budget'!$J$30,'Main Budget'!$E$30,0)</f>
        <v>0</v>
      </c>
      <c r="L1009" s="20">
        <f>IF(DAY(A1009)='Main Budget'!$J$31,'Main Budget'!$E$31,0)</f>
        <v>0</v>
      </c>
      <c r="M1009" s="20">
        <f>IF(DAY(A1009)='Main Budget'!$J$27,'Main Budget'!$E$27,0)</f>
        <v>0</v>
      </c>
      <c r="O1009" s="228">
        <f>B1009+(SUM(H1009:M1009)+(SUM(D1009:E1009)))</f>
        <v>100</v>
      </c>
      <c r="P1009" s="228">
        <f>C1009+F1009+G1009+N1009</f>
        <v>100</v>
      </c>
      <c r="Q1009" s="252">
        <f>O1009+P1009</f>
        <v>200</v>
      </c>
      <c r="S1009" s="231" t="str">
        <f>TEXT(A1009,"dddd")</f>
        <v>Wednesday</v>
      </c>
    </row>
    <row r="1010" spans="1:19" x14ac:dyDescent="0.25">
      <c r="A1010" s="226">
        <v>47031</v>
      </c>
      <c r="B1010" s="227">
        <f>O1009</f>
        <v>100</v>
      </c>
      <c r="C1010" s="228">
        <f>P1009</f>
        <v>100</v>
      </c>
      <c r="D1010" s="228">
        <f>IF(OR(DAY(A1010+2)=1,DAY(A1010+2)=15),-SUM('Main Budget'!$H$26:$H$31),0)</f>
        <v>0</v>
      </c>
      <c r="E1010" s="228">
        <f>IF(DAY(A1010+2)=22,-SUM('Main Budget'!$F$26:$F$31),0)</f>
        <v>0</v>
      </c>
      <c r="F1010" s="228">
        <f>IF(D1010&gt;0,-'Main Budget'!$H$25+0.15,0)</f>
        <v>0</v>
      </c>
      <c r="G1010" s="228">
        <f>IF(E1010&gt;0,-'Main Budget'!$F$25+0.81,0)</f>
        <v>0</v>
      </c>
      <c r="H1010" s="227">
        <f>IF(DAY(A1010)='Main Budget'!$J$26,'Main Budget'!$E$26,0)</f>
        <v>0</v>
      </c>
      <c r="I1010" s="227">
        <f>IF(DAY(A1010)='Main Budget'!$J$28,'Main Budget'!$E$28,0)</f>
        <v>0</v>
      </c>
      <c r="J1010" s="227">
        <f>IF(DAY(A1010)='Main Budget'!$J$29,'Main Budget'!$E$29,0)</f>
        <v>0</v>
      </c>
      <c r="K1010" s="20">
        <f>IF(DAY(A1010)='Main Budget'!$J$30,'Main Budget'!$E$30,0)</f>
        <v>0</v>
      </c>
      <c r="L1010" s="20">
        <f>IF(DAY(A1010)='Main Budget'!$J$31,'Main Budget'!$E$31,0)</f>
        <v>0</v>
      </c>
      <c r="M1010" s="20">
        <f>IF(DAY(A1010)='Main Budget'!$J$27,'Main Budget'!$E$27,0)</f>
        <v>0</v>
      </c>
      <c r="O1010" s="228">
        <f>B1010+(SUM(H1010:M1010)+(SUM(D1010:E1010)))</f>
        <v>100</v>
      </c>
      <c r="P1010" s="228">
        <f>C1010+F1010+G1010+N1010</f>
        <v>100</v>
      </c>
      <c r="Q1010" s="252">
        <f>O1010+P1010</f>
        <v>200</v>
      </c>
      <c r="S1010" s="231" t="str">
        <f>TEXT(A1010,"dddd")</f>
        <v>Thursday</v>
      </c>
    </row>
    <row r="1011" spans="1:19" x14ac:dyDescent="0.25">
      <c r="A1011" s="226">
        <v>47032</v>
      </c>
      <c r="B1011" s="227">
        <f>O1010</f>
        <v>100</v>
      </c>
      <c r="C1011" s="228">
        <f>P1010</f>
        <v>100</v>
      </c>
      <c r="D1011" s="228">
        <f>IF(OR(DAY(A1011+2)=1,DAY(A1011+2)=15),-SUM('Main Budget'!$H$26:$H$31),0)</f>
        <v>0</v>
      </c>
      <c r="E1011" s="228">
        <f>IF(DAY(A1011+2)=22,-SUM('Main Budget'!$F$26:$F$31),0)</f>
        <v>0</v>
      </c>
      <c r="F1011" s="228">
        <f>IF(D1011&gt;0,-'Main Budget'!$H$25+0.15,0)</f>
        <v>0</v>
      </c>
      <c r="G1011" s="228">
        <f>IF(E1011&gt;0,-'Main Budget'!$F$25+0.81,0)</f>
        <v>0</v>
      </c>
      <c r="H1011" s="227">
        <f>IF(DAY(A1011)='Main Budget'!$J$26,'Main Budget'!$E$26,0)</f>
        <v>0</v>
      </c>
      <c r="I1011" s="227">
        <f>IF(DAY(A1011)='Main Budget'!$J$28,'Main Budget'!$E$28,0)</f>
        <v>0</v>
      </c>
      <c r="J1011" s="227">
        <f>IF(DAY(A1011)='Main Budget'!$J$29,'Main Budget'!$E$29,0)</f>
        <v>0</v>
      </c>
      <c r="K1011" s="20">
        <f>IF(DAY(A1011)='Main Budget'!$J$30,'Main Budget'!$E$30,0)</f>
        <v>0</v>
      </c>
      <c r="L1011" s="20">
        <f>IF(DAY(A1011)='Main Budget'!$J$31,'Main Budget'!$E$31,0)</f>
        <v>0</v>
      </c>
      <c r="M1011" s="20">
        <f>IF(DAY(A1011)='Main Budget'!$J$27,'Main Budget'!$E$27,0)</f>
        <v>0</v>
      </c>
      <c r="O1011" s="228">
        <f>B1011+(SUM(H1011:M1011)+(SUM(D1011:E1011)))</f>
        <v>100</v>
      </c>
      <c r="P1011" s="228">
        <f>C1011+F1011+G1011+N1011</f>
        <v>100</v>
      </c>
      <c r="Q1011" s="252">
        <f>O1011+P1011</f>
        <v>200</v>
      </c>
      <c r="S1011" s="231" t="str">
        <f>TEXT(A1011,"dddd")</f>
        <v>Friday</v>
      </c>
    </row>
    <row r="1012" spans="1:19" x14ac:dyDescent="0.25">
      <c r="A1012" s="226">
        <v>47033</v>
      </c>
      <c r="B1012" s="227">
        <f>O1011</f>
        <v>100</v>
      </c>
      <c r="C1012" s="228">
        <f>P1011</f>
        <v>100</v>
      </c>
      <c r="D1012" s="228">
        <f>IF(OR(DAY(A1012+2)=1,DAY(A1012+2)=15),-SUM('Main Budget'!$H$26:$H$31),0)</f>
        <v>0</v>
      </c>
      <c r="E1012" s="228">
        <f>IF(DAY(A1012+2)=22,-SUM('Main Budget'!$F$26:$F$31),0)</f>
        <v>0</v>
      </c>
      <c r="F1012" s="228">
        <f>IF(D1012&gt;0,-'Main Budget'!$H$25+0.15,0)</f>
        <v>0</v>
      </c>
      <c r="G1012" s="228">
        <f>IF(E1012&gt;0,-'Main Budget'!$F$25+0.81,0)</f>
        <v>0</v>
      </c>
      <c r="H1012" s="227">
        <f>IF(DAY(A1012)='Main Budget'!$J$26,'Main Budget'!$E$26,0)</f>
        <v>0</v>
      </c>
      <c r="I1012" s="227">
        <f>IF(DAY(A1012)='Main Budget'!$J$28,'Main Budget'!$E$28,0)</f>
        <v>0</v>
      </c>
      <c r="J1012" s="227">
        <f>IF(DAY(A1012)='Main Budget'!$J$29,'Main Budget'!$E$29,0)</f>
        <v>0</v>
      </c>
      <c r="K1012" s="20">
        <f>IF(DAY(A1012)='Main Budget'!$J$30,'Main Budget'!$E$30,0)</f>
        <v>0</v>
      </c>
      <c r="L1012" s="20">
        <f>IF(DAY(A1012)='Main Budget'!$J$31,'Main Budget'!$E$31,0)</f>
        <v>0</v>
      </c>
      <c r="M1012" s="20">
        <f>IF(DAY(A1012)='Main Budget'!$J$27,'Main Budget'!$E$27,0)</f>
        <v>0</v>
      </c>
      <c r="O1012" s="228">
        <f>B1012+(SUM(H1012:M1012)+(SUM(D1012:E1012)))</f>
        <v>100</v>
      </c>
      <c r="P1012" s="228">
        <f>C1012+F1012+G1012+N1012</f>
        <v>100</v>
      </c>
      <c r="Q1012" s="252">
        <f>O1012+P1012</f>
        <v>200</v>
      </c>
      <c r="S1012" s="231" t="str">
        <f>TEXT(A1012,"dddd")</f>
        <v>Saturday</v>
      </c>
    </row>
    <row r="1013" spans="1:19" x14ac:dyDescent="0.25">
      <c r="A1013" s="226">
        <v>47034</v>
      </c>
      <c r="B1013" s="227">
        <f>O1012</f>
        <v>100</v>
      </c>
      <c r="C1013" s="228">
        <f>P1012</f>
        <v>100</v>
      </c>
      <c r="D1013" s="228">
        <f>IF(OR(DAY(A1013+2)=1,DAY(A1013+2)=15),-SUM('Main Budget'!$H$26:$H$31),0)</f>
        <v>0</v>
      </c>
      <c r="E1013" s="228">
        <f>IF(DAY(A1013+2)=22,-SUM('Main Budget'!$F$26:$F$31),0)</f>
        <v>0</v>
      </c>
      <c r="F1013" s="228">
        <f>IF(D1013&gt;0,-'Main Budget'!$H$25+0.15,0)</f>
        <v>0</v>
      </c>
      <c r="G1013" s="228">
        <f>IF(E1013&gt;0,-'Main Budget'!$F$25+0.81,0)</f>
        <v>0</v>
      </c>
      <c r="H1013" s="227">
        <f>IF(DAY(A1013)='Main Budget'!$J$26,'Main Budget'!$E$26,0)</f>
        <v>0</v>
      </c>
      <c r="I1013" s="227">
        <f>IF(DAY(A1013)='Main Budget'!$J$28,'Main Budget'!$E$28,0)</f>
        <v>0</v>
      </c>
      <c r="J1013" s="227">
        <f>IF(DAY(A1013)='Main Budget'!$J$29,'Main Budget'!$E$29,0)</f>
        <v>0</v>
      </c>
      <c r="K1013" s="20">
        <f>IF(DAY(A1013)='Main Budget'!$J$30,'Main Budget'!$E$30,0)</f>
        <v>0</v>
      </c>
      <c r="L1013" s="20">
        <f>IF(DAY(A1013)='Main Budget'!$J$31,'Main Budget'!$E$31,0)</f>
        <v>0</v>
      </c>
      <c r="M1013" s="20">
        <f>IF(DAY(A1013)='Main Budget'!$J$27,'Main Budget'!$E$27,0)</f>
        <v>0</v>
      </c>
      <c r="O1013" s="228">
        <f>B1013+(SUM(H1013:M1013)+(SUM(D1013:E1013)))</f>
        <v>100</v>
      </c>
      <c r="P1013" s="228">
        <f>C1013+F1013+G1013+N1013</f>
        <v>100</v>
      </c>
      <c r="Q1013" s="252">
        <f>O1013+P1013</f>
        <v>200</v>
      </c>
      <c r="S1013" s="231" t="str">
        <f>TEXT(A1013,"dddd")</f>
        <v>Sunday</v>
      </c>
    </row>
    <row r="1014" spans="1:19" x14ac:dyDescent="0.25">
      <c r="A1014" s="226">
        <v>47035</v>
      </c>
      <c r="B1014" s="227">
        <f>O1013</f>
        <v>100</v>
      </c>
      <c r="C1014" s="228">
        <f>P1013</f>
        <v>100</v>
      </c>
      <c r="D1014" s="228">
        <f>IF(OR(DAY(A1014+2)=1,DAY(A1014+2)=15),-SUM('Main Budget'!$H$26:$H$31),0)</f>
        <v>0</v>
      </c>
      <c r="E1014" s="228">
        <f>IF(DAY(A1014+2)=22,-SUM('Main Budget'!$F$26:$F$31),0)</f>
        <v>0</v>
      </c>
      <c r="F1014" s="228">
        <f>IF(D1014&gt;0,-'Main Budget'!$H$25+0.15,0)</f>
        <v>0</v>
      </c>
      <c r="G1014" s="228">
        <f>IF(E1014&gt;0,-'Main Budget'!$F$25+0.81,0)</f>
        <v>0</v>
      </c>
      <c r="H1014" s="227">
        <f>IF(DAY(A1014)='Main Budget'!$J$26,'Main Budget'!$E$26,0)</f>
        <v>0</v>
      </c>
      <c r="I1014" s="227">
        <f>IF(DAY(A1014)='Main Budget'!$J$28,'Main Budget'!$E$28,0)</f>
        <v>0</v>
      </c>
      <c r="J1014" s="227">
        <f>IF(DAY(A1014)='Main Budget'!$J$29,'Main Budget'!$E$29,0)</f>
        <v>0</v>
      </c>
      <c r="K1014" s="20">
        <f>IF(DAY(A1014)='Main Budget'!$J$30,'Main Budget'!$E$30,0)</f>
        <v>0</v>
      </c>
      <c r="L1014" s="20">
        <f>IF(DAY(A1014)='Main Budget'!$J$31,'Main Budget'!$E$31,0)</f>
        <v>0</v>
      </c>
      <c r="M1014" s="20">
        <f>IF(DAY(A1014)='Main Budget'!$J$27,'Main Budget'!$E$27,0)</f>
        <v>0</v>
      </c>
      <c r="O1014" s="228">
        <f>B1014+(SUM(H1014:M1014)+(SUM(D1014:E1014)))</f>
        <v>100</v>
      </c>
      <c r="P1014" s="228">
        <f>C1014+F1014+G1014+N1014</f>
        <v>100</v>
      </c>
      <c r="Q1014" s="252">
        <f>O1014+P1014</f>
        <v>200</v>
      </c>
      <c r="S1014" s="231" t="str">
        <f>TEXT(A1014,"dddd")</f>
        <v>Monday</v>
      </c>
    </row>
    <row r="1015" spans="1:19" x14ac:dyDescent="0.25">
      <c r="A1015" s="226">
        <v>47036</v>
      </c>
      <c r="B1015" s="227">
        <f>O1014</f>
        <v>100</v>
      </c>
      <c r="C1015" s="228">
        <f>P1014</f>
        <v>100</v>
      </c>
      <c r="D1015" s="228">
        <f>IF(OR(DAY(A1015+2)=1,DAY(A1015+2)=15),-SUM('Main Budget'!$H$26:$H$31),0)</f>
        <v>0</v>
      </c>
      <c r="E1015" s="228">
        <f>IF(DAY(A1015+2)=22,-SUM('Main Budget'!$F$26:$F$31),0)</f>
        <v>0</v>
      </c>
      <c r="F1015" s="228">
        <f>IF(D1015&gt;0,-'Main Budget'!$H$25+0.15,0)</f>
        <v>0</v>
      </c>
      <c r="G1015" s="228">
        <f>IF(E1015&gt;0,-'Main Budget'!$F$25+0.81,0)</f>
        <v>0</v>
      </c>
      <c r="H1015" s="227">
        <f>IF(DAY(A1015)='Main Budget'!$J$26,'Main Budget'!$E$26,0)</f>
        <v>0</v>
      </c>
      <c r="I1015" s="227">
        <f>IF(DAY(A1015)='Main Budget'!$J$28,'Main Budget'!$E$28,0)</f>
        <v>0</v>
      </c>
      <c r="J1015" s="227">
        <f>IF(DAY(A1015)='Main Budget'!$J$29,'Main Budget'!$E$29,0)</f>
        <v>0</v>
      </c>
      <c r="K1015" s="20">
        <f>IF(DAY(A1015)='Main Budget'!$J$30,'Main Budget'!$E$30,0)</f>
        <v>0</v>
      </c>
      <c r="L1015" s="20">
        <f>IF(DAY(A1015)='Main Budget'!$J$31,'Main Budget'!$E$31,0)</f>
        <v>0</v>
      </c>
      <c r="M1015" s="20">
        <f>IF(DAY(A1015)='Main Budget'!$J$27,'Main Budget'!$E$27,0)</f>
        <v>0</v>
      </c>
      <c r="O1015" s="228">
        <f>B1015+(SUM(H1015:M1015)+(SUM(D1015:E1015)))</f>
        <v>100</v>
      </c>
      <c r="P1015" s="228">
        <f>C1015+F1015+G1015+N1015</f>
        <v>100</v>
      </c>
      <c r="Q1015" s="252">
        <f>O1015+P1015</f>
        <v>200</v>
      </c>
      <c r="S1015" s="231" t="str">
        <f>TEXT(A1015,"dddd")</f>
        <v>Tuesday</v>
      </c>
    </row>
    <row r="1016" spans="1:19" x14ac:dyDescent="0.25">
      <c r="A1016" s="226">
        <v>47037</v>
      </c>
      <c r="B1016" s="227">
        <f>O1015</f>
        <v>100</v>
      </c>
      <c r="C1016" s="228">
        <f>P1015</f>
        <v>100</v>
      </c>
      <c r="D1016" s="228">
        <f>IF(OR(DAY(A1016+2)=1,DAY(A1016+2)=15),-SUM('Main Budget'!$H$26:$H$31),0)</f>
        <v>0</v>
      </c>
      <c r="E1016" s="228">
        <f>IF(DAY(A1016+2)=22,-SUM('Main Budget'!$F$26:$F$31),0)</f>
        <v>0</v>
      </c>
      <c r="F1016" s="228">
        <f>IF(D1016&gt;0,-'Main Budget'!$H$25+0.15,0)</f>
        <v>0</v>
      </c>
      <c r="G1016" s="228">
        <f>IF(E1016&gt;0,-'Main Budget'!$F$25+0.81,0)</f>
        <v>0</v>
      </c>
      <c r="H1016" s="227">
        <f>IF(DAY(A1016)='Main Budget'!$J$26,'Main Budget'!$E$26,0)</f>
        <v>0</v>
      </c>
      <c r="I1016" s="227">
        <f>IF(DAY(A1016)='Main Budget'!$J$28,'Main Budget'!$E$28,0)</f>
        <v>0</v>
      </c>
      <c r="J1016" s="227">
        <f>IF(DAY(A1016)='Main Budget'!$J$29,'Main Budget'!$E$29,0)</f>
        <v>0</v>
      </c>
      <c r="K1016" s="20">
        <f>IF(DAY(A1016)='Main Budget'!$J$30,'Main Budget'!$E$30,0)</f>
        <v>0</v>
      </c>
      <c r="L1016" s="20">
        <f>IF(DAY(A1016)='Main Budget'!$J$31,'Main Budget'!$E$31,0)</f>
        <v>0</v>
      </c>
      <c r="M1016" s="20">
        <f>IF(DAY(A1016)='Main Budget'!$J$27,'Main Budget'!$E$27,0)</f>
        <v>0</v>
      </c>
      <c r="O1016" s="228">
        <f>B1016+(SUM(H1016:M1016)+(SUM(D1016:E1016)))</f>
        <v>100</v>
      </c>
      <c r="P1016" s="228">
        <f>C1016+F1016+G1016+N1016</f>
        <v>100</v>
      </c>
      <c r="Q1016" s="252">
        <f>O1016+P1016</f>
        <v>200</v>
      </c>
      <c r="S1016" s="231" t="str">
        <f>TEXT(A1016,"dddd")</f>
        <v>Wednesday</v>
      </c>
    </row>
    <row r="1017" spans="1:19" x14ac:dyDescent="0.25">
      <c r="A1017" s="226">
        <v>47038</v>
      </c>
      <c r="B1017" s="227">
        <f>O1016</f>
        <v>100</v>
      </c>
      <c r="C1017" s="228">
        <f>P1016</f>
        <v>100</v>
      </c>
      <c r="D1017" s="228">
        <f>IF(OR(DAY(A1017+2)=1,DAY(A1017+2)=15),-SUM('Main Budget'!$H$26:$H$31),0)</f>
        <v>0</v>
      </c>
      <c r="E1017" s="228">
        <f>IF(DAY(A1017+2)=22,-SUM('Main Budget'!$F$26:$F$31),0)</f>
        <v>0</v>
      </c>
      <c r="F1017" s="228">
        <f>IF(D1017&gt;0,-'Main Budget'!$H$25+0.15,0)</f>
        <v>0</v>
      </c>
      <c r="G1017" s="228">
        <f>IF(E1017&gt;0,-'Main Budget'!$F$25+0.81,0)</f>
        <v>0</v>
      </c>
      <c r="H1017" s="227">
        <f>IF(DAY(A1017)='Main Budget'!$J$26,'Main Budget'!$E$26,0)</f>
        <v>0</v>
      </c>
      <c r="I1017" s="227">
        <f>IF(DAY(A1017)='Main Budget'!$J$28,'Main Budget'!$E$28,0)</f>
        <v>0</v>
      </c>
      <c r="J1017" s="227">
        <f>IF(DAY(A1017)='Main Budget'!$J$29,'Main Budget'!$E$29,0)</f>
        <v>0</v>
      </c>
      <c r="K1017" s="20">
        <f>IF(DAY(A1017)='Main Budget'!$J$30,'Main Budget'!$E$30,0)</f>
        <v>0</v>
      </c>
      <c r="L1017" s="20">
        <f>IF(DAY(A1017)='Main Budget'!$J$31,'Main Budget'!$E$31,0)</f>
        <v>0</v>
      </c>
      <c r="M1017" s="20">
        <f>IF(DAY(A1017)='Main Budget'!$J$27,'Main Budget'!$E$27,0)</f>
        <v>0</v>
      </c>
      <c r="O1017" s="228">
        <f>B1017+(SUM(H1017:M1017)+(SUM(D1017:E1017)))</f>
        <v>100</v>
      </c>
      <c r="P1017" s="228">
        <f>C1017+F1017+G1017+N1017</f>
        <v>100</v>
      </c>
      <c r="Q1017" s="252">
        <f>O1017+P1017</f>
        <v>200</v>
      </c>
      <c r="S1017" s="231" t="str">
        <f>TEXT(A1017,"dddd")</f>
        <v>Thursday</v>
      </c>
    </row>
    <row r="1018" spans="1:19" x14ac:dyDescent="0.25">
      <c r="A1018" s="226">
        <v>47039</v>
      </c>
      <c r="B1018" s="227">
        <f>O1017</f>
        <v>100</v>
      </c>
      <c r="C1018" s="228">
        <f>P1017</f>
        <v>100</v>
      </c>
      <c r="D1018" s="228">
        <f>IF(OR(DAY(A1018+2)=1,DAY(A1018+2)=15),-SUM('Main Budget'!$H$26:$H$31),0)</f>
        <v>0</v>
      </c>
      <c r="E1018" s="228">
        <f>IF(DAY(A1018+2)=22,-SUM('Main Budget'!$F$26:$F$31),0)</f>
        <v>0</v>
      </c>
      <c r="F1018" s="228">
        <f>IF(D1018&gt;0,-'Main Budget'!$H$25+0.15,0)</f>
        <v>0</v>
      </c>
      <c r="G1018" s="228">
        <f>IF(E1018&gt;0,-'Main Budget'!$F$25+0.81,0)</f>
        <v>0</v>
      </c>
      <c r="H1018" s="227">
        <f>IF(DAY(A1018)='Main Budget'!$J$26,'Main Budget'!$E$26,0)</f>
        <v>0</v>
      </c>
      <c r="I1018" s="227">
        <f>IF(DAY(A1018)='Main Budget'!$J$28,'Main Budget'!$E$28,0)</f>
        <v>0</v>
      </c>
      <c r="J1018" s="227">
        <f>IF(DAY(A1018)='Main Budget'!$J$29,'Main Budget'!$E$29,0)</f>
        <v>0</v>
      </c>
      <c r="K1018" s="20">
        <f>IF(DAY(A1018)='Main Budget'!$J$30,'Main Budget'!$E$30,0)</f>
        <v>0</v>
      </c>
      <c r="L1018" s="20">
        <f>IF(DAY(A1018)='Main Budget'!$J$31,'Main Budget'!$E$31,0)</f>
        <v>0</v>
      </c>
      <c r="M1018" s="20">
        <f>IF(DAY(A1018)='Main Budget'!$J$27,'Main Budget'!$E$27,0)</f>
        <v>0</v>
      </c>
      <c r="O1018" s="228">
        <f>B1018+(SUM(H1018:M1018)+(SUM(D1018:E1018)))</f>
        <v>100</v>
      </c>
      <c r="P1018" s="228">
        <f>C1018+F1018+G1018+N1018</f>
        <v>100</v>
      </c>
      <c r="Q1018" s="252">
        <f>O1018+P1018</f>
        <v>200</v>
      </c>
      <c r="S1018" s="231" t="str">
        <f>TEXT(A1018,"dddd")</f>
        <v>Friday</v>
      </c>
    </row>
    <row r="1019" spans="1:19" x14ac:dyDescent="0.25">
      <c r="A1019" s="226">
        <v>47040</v>
      </c>
      <c r="B1019" s="227">
        <f>O1018</f>
        <v>100</v>
      </c>
      <c r="C1019" s="228">
        <f>P1018</f>
        <v>100</v>
      </c>
      <c r="D1019" s="228">
        <f>IF(OR(DAY(A1019+2)=1,DAY(A1019+2)=15),-SUM('Main Budget'!$H$26:$H$31),0)</f>
        <v>0</v>
      </c>
      <c r="E1019" s="228">
        <f>IF(DAY(A1019+2)=22,-SUM('Main Budget'!$F$26:$F$31),0)</f>
        <v>0</v>
      </c>
      <c r="F1019" s="228">
        <f>IF(D1019&gt;0,-'Main Budget'!$H$25+0.15,0)</f>
        <v>0</v>
      </c>
      <c r="G1019" s="228">
        <f>IF(E1019&gt;0,-'Main Budget'!$F$25+0.81,0)</f>
        <v>0</v>
      </c>
      <c r="H1019" s="227">
        <f>IF(DAY(A1019)='Main Budget'!$J$26,'Main Budget'!$E$26,0)</f>
        <v>0</v>
      </c>
      <c r="I1019" s="227">
        <f>IF(DAY(A1019)='Main Budget'!$J$28,'Main Budget'!$E$28,0)</f>
        <v>0</v>
      </c>
      <c r="J1019" s="227">
        <f>IF(DAY(A1019)='Main Budget'!$J$29,'Main Budget'!$E$29,0)</f>
        <v>0</v>
      </c>
      <c r="K1019" s="20">
        <f>IF(DAY(A1019)='Main Budget'!$J$30,'Main Budget'!$E$30,0)</f>
        <v>0</v>
      </c>
      <c r="L1019" s="20">
        <f>IF(DAY(A1019)='Main Budget'!$J$31,'Main Budget'!$E$31,0)</f>
        <v>0</v>
      </c>
      <c r="M1019" s="20">
        <f>IF(DAY(A1019)='Main Budget'!$J$27,'Main Budget'!$E$27,0)</f>
        <v>0</v>
      </c>
      <c r="O1019" s="228">
        <f>B1019+(SUM(H1019:M1019)+(SUM(D1019:E1019)))</f>
        <v>100</v>
      </c>
      <c r="P1019" s="228">
        <f>C1019+F1019+G1019+N1019</f>
        <v>100</v>
      </c>
      <c r="Q1019" s="252">
        <f>O1019+P1019</f>
        <v>200</v>
      </c>
      <c r="S1019" s="231" t="str">
        <f>TEXT(A1019,"dddd")</f>
        <v>Saturday</v>
      </c>
    </row>
    <row r="1020" spans="1:19" x14ac:dyDescent="0.25">
      <c r="A1020" s="226">
        <v>47041</v>
      </c>
      <c r="B1020" s="227">
        <f>O1019</f>
        <v>100</v>
      </c>
      <c r="C1020" s="228">
        <f>P1019</f>
        <v>100</v>
      </c>
      <c r="D1020" s="228">
        <f>IF(OR(DAY(A1020+2)=1,DAY(A1020+2)=15),-SUM('Main Budget'!$H$26:$H$31),0)</f>
        <v>0</v>
      </c>
      <c r="E1020" s="228">
        <f>IF(DAY(A1020+2)=22,-SUM('Main Budget'!$F$26:$F$31),0)</f>
        <v>0</v>
      </c>
      <c r="F1020" s="228">
        <f>IF(D1020&gt;0,-'Main Budget'!$H$25+0.15,0)</f>
        <v>0</v>
      </c>
      <c r="G1020" s="228">
        <f>IF(E1020&gt;0,-'Main Budget'!$F$25+0.81,0)</f>
        <v>0</v>
      </c>
      <c r="H1020" s="227">
        <f>IF(DAY(A1020)='Main Budget'!$J$26,'Main Budget'!$E$26,0)</f>
        <v>0</v>
      </c>
      <c r="I1020" s="227">
        <f>IF(DAY(A1020)='Main Budget'!$J$28,'Main Budget'!$E$28,0)</f>
        <v>0</v>
      </c>
      <c r="J1020" s="227">
        <f>IF(DAY(A1020)='Main Budget'!$J$29,'Main Budget'!$E$29,0)</f>
        <v>0</v>
      </c>
      <c r="K1020" s="20">
        <f>IF(DAY(A1020)='Main Budget'!$J$30,'Main Budget'!$E$30,0)</f>
        <v>0</v>
      </c>
      <c r="L1020" s="20">
        <f>IF(DAY(A1020)='Main Budget'!$J$31,'Main Budget'!$E$31,0)</f>
        <v>0</v>
      </c>
      <c r="M1020" s="20">
        <f>IF(DAY(A1020)='Main Budget'!$J$27,'Main Budget'!$E$27,0)</f>
        <v>0</v>
      </c>
      <c r="O1020" s="228">
        <f>B1020+(SUM(H1020:M1020)+(SUM(D1020:E1020)))</f>
        <v>100</v>
      </c>
      <c r="P1020" s="228">
        <f>C1020+F1020+G1020+N1020</f>
        <v>100</v>
      </c>
      <c r="Q1020" s="252">
        <f>O1020+P1020</f>
        <v>200</v>
      </c>
      <c r="S1020" s="231" t="str">
        <f>TEXT(A1020,"dddd")</f>
        <v>Sunday</v>
      </c>
    </row>
    <row r="1021" spans="1:19" x14ac:dyDescent="0.25">
      <c r="A1021" s="226">
        <v>47042</v>
      </c>
      <c r="B1021" s="227">
        <f>O1020</f>
        <v>100</v>
      </c>
      <c r="C1021" s="228">
        <f>P1020</f>
        <v>100</v>
      </c>
      <c r="D1021" s="228">
        <f>IF(OR(DAY(A1021+2)=1,DAY(A1021+2)=15),-SUM('Main Budget'!$H$26:$H$31),0)</f>
        <v>0</v>
      </c>
      <c r="E1021" s="228">
        <f>IF(DAY(A1021+2)=22,-SUM('Main Budget'!$F$26:$F$31),0)</f>
        <v>0</v>
      </c>
      <c r="F1021" s="228">
        <f>IF(D1021&gt;0,-'Main Budget'!$H$25+0.15,0)</f>
        <v>0</v>
      </c>
      <c r="G1021" s="228">
        <f>IF(E1021&gt;0,-'Main Budget'!$F$25+0.81,0)</f>
        <v>0</v>
      </c>
      <c r="H1021" s="227">
        <f>IF(DAY(A1021)='Main Budget'!$J$26,'Main Budget'!$E$26,0)</f>
        <v>0</v>
      </c>
      <c r="I1021" s="227">
        <f>IF(DAY(A1021)='Main Budget'!$J$28,'Main Budget'!$E$28,0)</f>
        <v>0</v>
      </c>
      <c r="J1021" s="227">
        <f>IF(DAY(A1021)='Main Budget'!$J$29,'Main Budget'!$E$29,0)</f>
        <v>0</v>
      </c>
      <c r="K1021" s="20">
        <f>IF(DAY(A1021)='Main Budget'!$J$30,'Main Budget'!$E$30,0)</f>
        <v>0</v>
      </c>
      <c r="L1021" s="20">
        <f>IF(DAY(A1021)='Main Budget'!$J$31,'Main Budget'!$E$31,0)</f>
        <v>0</v>
      </c>
      <c r="M1021" s="20">
        <f>IF(DAY(A1021)='Main Budget'!$J$27,'Main Budget'!$E$27,0)</f>
        <v>0</v>
      </c>
      <c r="O1021" s="228">
        <f>B1021+(SUM(H1021:M1021)+(SUM(D1021:E1021)))</f>
        <v>100</v>
      </c>
      <c r="P1021" s="228">
        <f>C1021+F1021+G1021+N1021</f>
        <v>100</v>
      </c>
      <c r="Q1021" s="252">
        <f>O1021+P1021</f>
        <v>200</v>
      </c>
      <c r="S1021" s="231" t="str">
        <f>TEXT(A1021,"dddd")</f>
        <v>Monday</v>
      </c>
    </row>
    <row r="1022" spans="1:19" x14ac:dyDescent="0.25">
      <c r="A1022" s="226">
        <v>47043</v>
      </c>
      <c r="B1022" s="227">
        <f>O1021</f>
        <v>100</v>
      </c>
      <c r="C1022" s="228">
        <f>P1021</f>
        <v>100</v>
      </c>
      <c r="D1022" s="228">
        <f>IF(OR(DAY(A1022+2)=1,DAY(A1022+2)=15),-SUM('Main Budget'!$H$26:$H$31),0)</f>
        <v>0</v>
      </c>
      <c r="E1022" s="228">
        <f>IF(DAY(A1022+2)=22,-SUM('Main Budget'!$F$26:$F$31),0)</f>
        <v>0</v>
      </c>
      <c r="F1022" s="228">
        <f>IF(D1022&gt;0,-'Main Budget'!$H$25+0.15,0)</f>
        <v>0</v>
      </c>
      <c r="G1022" s="228">
        <f>IF(E1022&gt;0,-'Main Budget'!$F$25+0.81,0)</f>
        <v>0</v>
      </c>
      <c r="H1022" s="227">
        <f>IF(DAY(A1022)='Main Budget'!$J$26,'Main Budget'!$E$26,0)</f>
        <v>0</v>
      </c>
      <c r="I1022" s="227">
        <f>IF(DAY(A1022)='Main Budget'!$J$28,'Main Budget'!$E$28,0)</f>
        <v>0</v>
      </c>
      <c r="J1022" s="227">
        <f>IF(DAY(A1022)='Main Budget'!$J$29,'Main Budget'!$E$29,0)</f>
        <v>0</v>
      </c>
      <c r="K1022" s="20">
        <f>IF(DAY(A1022)='Main Budget'!$J$30,'Main Budget'!$E$30,0)</f>
        <v>0</v>
      </c>
      <c r="L1022" s="20">
        <f>IF(DAY(A1022)='Main Budget'!$J$31,'Main Budget'!$E$31,0)</f>
        <v>0</v>
      </c>
      <c r="M1022" s="20">
        <f>IF(DAY(A1022)='Main Budget'!$J$27,'Main Budget'!$E$27,0)</f>
        <v>0</v>
      </c>
      <c r="O1022" s="228">
        <f>B1022+(SUM(H1022:M1022)+(SUM(D1022:E1022)))</f>
        <v>100</v>
      </c>
      <c r="P1022" s="228">
        <f>C1022+F1022+G1022+N1022</f>
        <v>100</v>
      </c>
      <c r="Q1022" s="252">
        <f>O1022+P1022</f>
        <v>200</v>
      </c>
      <c r="S1022" s="231" t="str">
        <f>TEXT(A1022,"dddd")</f>
        <v>Tuesday</v>
      </c>
    </row>
    <row r="1023" spans="1:19" x14ac:dyDescent="0.25">
      <c r="A1023" s="226">
        <v>47044</v>
      </c>
      <c r="B1023" s="227">
        <f>O1022</f>
        <v>100</v>
      </c>
      <c r="C1023" s="228">
        <f>P1022</f>
        <v>100</v>
      </c>
      <c r="D1023" s="228">
        <f>IF(OR(DAY(A1023+2)=1,DAY(A1023+2)=15),-SUM('Main Budget'!$H$26:$H$31),0)</f>
        <v>0</v>
      </c>
      <c r="E1023" s="228">
        <f>IF(DAY(A1023+2)=22,-SUM('Main Budget'!$F$26:$F$31),0)</f>
        <v>0</v>
      </c>
      <c r="F1023" s="228">
        <f>IF(D1023&gt;0,-'Main Budget'!$H$25+0.15,0)</f>
        <v>0</v>
      </c>
      <c r="G1023" s="228">
        <f>IF(E1023&gt;0,-'Main Budget'!$F$25+0.81,0)</f>
        <v>0</v>
      </c>
      <c r="H1023" s="227">
        <f>IF(DAY(A1023)='Main Budget'!$J$26,'Main Budget'!$E$26,0)</f>
        <v>0</v>
      </c>
      <c r="I1023" s="227">
        <f>IF(DAY(A1023)='Main Budget'!$J$28,'Main Budget'!$E$28,0)</f>
        <v>0</v>
      </c>
      <c r="J1023" s="227">
        <f>IF(DAY(A1023)='Main Budget'!$J$29,'Main Budget'!$E$29,0)</f>
        <v>0</v>
      </c>
      <c r="K1023" s="20">
        <f>IF(DAY(A1023)='Main Budget'!$J$30,'Main Budget'!$E$30,0)</f>
        <v>0</v>
      </c>
      <c r="L1023" s="20">
        <f>IF(DAY(A1023)='Main Budget'!$J$31,'Main Budget'!$E$31,0)</f>
        <v>0</v>
      </c>
      <c r="M1023" s="20">
        <f>IF(DAY(A1023)='Main Budget'!$J$27,'Main Budget'!$E$27,0)</f>
        <v>0</v>
      </c>
      <c r="O1023" s="228">
        <f>B1023+(SUM(H1023:M1023)+(SUM(D1023:E1023)))</f>
        <v>100</v>
      </c>
      <c r="P1023" s="228">
        <f>C1023+F1023+G1023+N1023</f>
        <v>100</v>
      </c>
      <c r="Q1023" s="252">
        <f>O1023+P1023</f>
        <v>200</v>
      </c>
      <c r="S1023" s="231" t="str">
        <f>TEXT(A1023,"dddd")</f>
        <v>Wednesday</v>
      </c>
    </row>
    <row r="1024" spans="1:19" x14ac:dyDescent="0.25">
      <c r="A1024" s="226">
        <v>47045</v>
      </c>
      <c r="B1024" s="227">
        <f>O1023</f>
        <v>100</v>
      </c>
      <c r="C1024" s="228">
        <f>P1023</f>
        <v>100</v>
      </c>
      <c r="D1024" s="228">
        <f>IF(OR(DAY(A1024+2)=1,DAY(A1024+2)=15),-SUM('Main Budget'!$H$26:$H$31),0)</f>
        <v>0</v>
      </c>
      <c r="E1024" s="228">
        <f>IF(DAY(A1024+2)=22,-SUM('Main Budget'!$F$26:$F$31),0)</f>
        <v>0</v>
      </c>
      <c r="F1024" s="228">
        <f>IF(D1024&gt;0,-'Main Budget'!$H$25+0.15,0)</f>
        <v>0</v>
      </c>
      <c r="G1024" s="228">
        <f>IF(E1024&gt;0,-'Main Budget'!$F$25+0.81,0)</f>
        <v>0</v>
      </c>
      <c r="H1024" s="227">
        <f>IF(DAY(A1024)='Main Budget'!$J$26,'Main Budget'!$E$26,0)</f>
        <v>0</v>
      </c>
      <c r="I1024" s="227">
        <f>IF(DAY(A1024)='Main Budget'!$J$28,'Main Budget'!$E$28,0)</f>
        <v>0</v>
      </c>
      <c r="J1024" s="227">
        <f>IF(DAY(A1024)='Main Budget'!$J$29,'Main Budget'!$E$29,0)</f>
        <v>0</v>
      </c>
      <c r="K1024" s="20">
        <f>IF(DAY(A1024)='Main Budget'!$J$30,'Main Budget'!$E$30,0)</f>
        <v>0</v>
      </c>
      <c r="L1024" s="20">
        <f>IF(DAY(A1024)='Main Budget'!$J$31,'Main Budget'!$E$31,0)</f>
        <v>0</v>
      </c>
      <c r="M1024" s="20">
        <f>IF(DAY(A1024)='Main Budget'!$J$27,'Main Budget'!$E$27,0)</f>
        <v>0</v>
      </c>
      <c r="O1024" s="228">
        <f>B1024+(SUM(H1024:M1024)+(SUM(D1024:E1024)))</f>
        <v>100</v>
      </c>
      <c r="P1024" s="228">
        <f>C1024+F1024+G1024+N1024</f>
        <v>100</v>
      </c>
      <c r="Q1024" s="252">
        <f>O1024+P1024</f>
        <v>200</v>
      </c>
      <c r="S1024" s="231" t="str">
        <f>TEXT(A1024,"dddd")</f>
        <v>Thursday</v>
      </c>
    </row>
    <row r="1025" spans="1:19" x14ac:dyDescent="0.25">
      <c r="A1025" s="226">
        <v>47046</v>
      </c>
      <c r="B1025" s="227">
        <f>O1024</f>
        <v>100</v>
      </c>
      <c r="C1025" s="228">
        <f>P1024</f>
        <v>100</v>
      </c>
      <c r="D1025" s="228">
        <f>IF(OR(DAY(A1025+2)=1,DAY(A1025+2)=15),-SUM('Main Budget'!$H$26:$H$31),0)</f>
        <v>0</v>
      </c>
      <c r="E1025" s="228">
        <f>IF(DAY(A1025+2)=22,-SUM('Main Budget'!$F$26:$F$31),0)</f>
        <v>0</v>
      </c>
      <c r="F1025" s="228">
        <f>IF(D1025&gt;0,-'Main Budget'!$H$25+0.15,0)</f>
        <v>0</v>
      </c>
      <c r="G1025" s="228">
        <f>IF(E1025&gt;0,-'Main Budget'!$F$25+0.81,0)</f>
        <v>0</v>
      </c>
      <c r="H1025" s="227">
        <f>IF(DAY(A1025)='Main Budget'!$J$26,'Main Budget'!$E$26,0)</f>
        <v>0</v>
      </c>
      <c r="I1025" s="227">
        <f>IF(DAY(A1025)='Main Budget'!$J$28,'Main Budget'!$E$28,0)</f>
        <v>0</v>
      </c>
      <c r="J1025" s="227">
        <f>IF(DAY(A1025)='Main Budget'!$J$29,'Main Budget'!$E$29,0)</f>
        <v>0</v>
      </c>
      <c r="K1025" s="20">
        <f>IF(DAY(A1025)='Main Budget'!$J$30,'Main Budget'!$E$30,0)</f>
        <v>0</v>
      </c>
      <c r="L1025" s="20">
        <f>IF(DAY(A1025)='Main Budget'!$J$31,'Main Budget'!$E$31,0)</f>
        <v>0</v>
      </c>
      <c r="M1025" s="20">
        <f>IF(DAY(A1025)='Main Budget'!$J$27,'Main Budget'!$E$27,0)</f>
        <v>0</v>
      </c>
      <c r="O1025" s="228">
        <f>B1025+(SUM(H1025:M1025)+(SUM(D1025:E1025)))</f>
        <v>100</v>
      </c>
      <c r="P1025" s="228">
        <f>C1025+F1025+G1025+N1025</f>
        <v>100</v>
      </c>
      <c r="Q1025" s="252">
        <f>O1025+P1025</f>
        <v>200</v>
      </c>
      <c r="S1025" s="231" t="str">
        <f>TEXT(A1025,"dddd")</f>
        <v>Friday</v>
      </c>
    </row>
    <row r="1026" spans="1:19" x14ac:dyDescent="0.25">
      <c r="A1026" s="226">
        <v>47047</v>
      </c>
      <c r="B1026" s="227">
        <f>O1025</f>
        <v>100</v>
      </c>
      <c r="C1026" s="228">
        <f>P1025</f>
        <v>100</v>
      </c>
      <c r="D1026" s="228">
        <f>IF(OR(DAY(A1026+2)=1,DAY(A1026+2)=15),-SUM('Main Budget'!$H$26:$H$31),0)</f>
        <v>0</v>
      </c>
      <c r="E1026" s="228">
        <f>IF(DAY(A1026+2)=22,-SUM('Main Budget'!$F$26:$F$31),0)</f>
        <v>0</v>
      </c>
      <c r="F1026" s="228">
        <f>IF(D1026&gt;0,-'Main Budget'!$H$25+0.15,0)</f>
        <v>0</v>
      </c>
      <c r="G1026" s="228">
        <f>IF(E1026&gt;0,-'Main Budget'!$F$25+0.81,0)</f>
        <v>0</v>
      </c>
      <c r="H1026" s="227">
        <f>IF(DAY(A1026)='Main Budget'!$J$26,'Main Budget'!$E$26,0)</f>
        <v>0</v>
      </c>
      <c r="I1026" s="227">
        <f>IF(DAY(A1026)='Main Budget'!$J$28,'Main Budget'!$E$28,0)</f>
        <v>0</v>
      </c>
      <c r="J1026" s="227">
        <f>IF(DAY(A1026)='Main Budget'!$J$29,'Main Budget'!$E$29,0)</f>
        <v>0</v>
      </c>
      <c r="K1026" s="20">
        <f>IF(DAY(A1026)='Main Budget'!$J$30,'Main Budget'!$E$30,0)</f>
        <v>0</v>
      </c>
      <c r="L1026" s="20">
        <f>IF(DAY(A1026)='Main Budget'!$J$31,'Main Budget'!$E$31,0)</f>
        <v>0</v>
      </c>
      <c r="M1026" s="20">
        <f>IF(DAY(A1026)='Main Budget'!$J$27,'Main Budget'!$E$27,0)</f>
        <v>0</v>
      </c>
      <c r="O1026" s="228">
        <f>B1026+(SUM(H1026:M1026)+(SUM(D1026:E1026)))</f>
        <v>100</v>
      </c>
      <c r="P1026" s="228">
        <f>C1026+F1026+G1026+N1026</f>
        <v>100</v>
      </c>
      <c r="Q1026" s="252">
        <f>O1026+P1026</f>
        <v>200</v>
      </c>
      <c r="S1026" s="231" t="str">
        <f>TEXT(A1026,"dddd")</f>
        <v>Saturday</v>
      </c>
    </row>
    <row r="1027" spans="1:19" x14ac:dyDescent="0.25">
      <c r="A1027" s="226">
        <v>47048</v>
      </c>
      <c r="B1027" s="227">
        <f>O1026</f>
        <v>100</v>
      </c>
      <c r="C1027" s="228">
        <f>P1026</f>
        <v>100</v>
      </c>
      <c r="D1027" s="228">
        <f>IF(OR(DAY(A1027+2)=1,DAY(A1027+2)=15),-SUM('Main Budget'!$H$26:$H$31),0)</f>
        <v>0</v>
      </c>
      <c r="E1027" s="228">
        <f>IF(DAY(A1027+2)=22,-SUM('Main Budget'!$F$26:$F$31),0)</f>
        <v>0</v>
      </c>
      <c r="F1027" s="228">
        <f>IF(D1027&gt;0,-'Main Budget'!$H$25+0.15,0)</f>
        <v>0</v>
      </c>
      <c r="G1027" s="228">
        <f>IF(E1027&gt;0,-'Main Budget'!$F$25+0.81,0)</f>
        <v>0</v>
      </c>
      <c r="H1027" s="227">
        <f>IF(DAY(A1027)='Main Budget'!$J$26,'Main Budget'!$E$26,0)</f>
        <v>0</v>
      </c>
      <c r="I1027" s="227">
        <f>IF(DAY(A1027)='Main Budget'!$J$28,'Main Budget'!$E$28,0)</f>
        <v>0</v>
      </c>
      <c r="J1027" s="227">
        <f>IF(DAY(A1027)='Main Budget'!$J$29,'Main Budget'!$E$29,0)</f>
        <v>0</v>
      </c>
      <c r="K1027" s="20">
        <f>IF(DAY(A1027)='Main Budget'!$J$30,'Main Budget'!$E$30,0)</f>
        <v>0</v>
      </c>
      <c r="L1027" s="20">
        <f>IF(DAY(A1027)='Main Budget'!$J$31,'Main Budget'!$E$31,0)</f>
        <v>0</v>
      </c>
      <c r="M1027" s="20">
        <f>IF(DAY(A1027)='Main Budget'!$J$27,'Main Budget'!$E$27,0)</f>
        <v>0</v>
      </c>
      <c r="O1027" s="228">
        <f>B1027+(SUM(H1027:M1027)+(SUM(D1027:E1027)))</f>
        <v>100</v>
      </c>
      <c r="P1027" s="228">
        <f>C1027+F1027+G1027+N1027</f>
        <v>100</v>
      </c>
      <c r="Q1027" s="252">
        <f>O1027+P1027</f>
        <v>200</v>
      </c>
      <c r="S1027" s="231" t="str">
        <f>TEXT(A1027,"dddd")</f>
        <v>Sunday</v>
      </c>
    </row>
    <row r="1028" spans="1:19" x14ac:dyDescent="0.25">
      <c r="A1028" s="226">
        <v>47049</v>
      </c>
      <c r="B1028" s="227">
        <f>O1027</f>
        <v>100</v>
      </c>
      <c r="C1028" s="228">
        <f>P1027</f>
        <v>100</v>
      </c>
      <c r="D1028" s="228">
        <f>IF(OR(DAY(A1028+2)=1,DAY(A1028+2)=15),-SUM('Main Budget'!$H$26:$H$31),0)</f>
        <v>0</v>
      </c>
      <c r="E1028" s="228">
        <f>IF(DAY(A1028+2)=22,-SUM('Main Budget'!$F$26:$F$31),0)</f>
        <v>0</v>
      </c>
      <c r="F1028" s="228">
        <f>IF(D1028&gt;0,-'Main Budget'!$H$25+0.15,0)</f>
        <v>0</v>
      </c>
      <c r="G1028" s="228">
        <f>IF(E1028&gt;0,-'Main Budget'!$F$25+0.81,0)</f>
        <v>0</v>
      </c>
      <c r="H1028" s="227">
        <f>IF(DAY(A1028)='Main Budget'!$J$26,'Main Budget'!$E$26,0)</f>
        <v>0</v>
      </c>
      <c r="I1028" s="227">
        <f>IF(DAY(A1028)='Main Budget'!$J$28,'Main Budget'!$E$28,0)</f>
        <v>0</v>
      </c>
      <c r="J1028" s="227">
        <f>IF(DAY(A1028)='Main Budget'!$J$29,'Main Budget'!$E$29,0)</f>
        <v>0</v>
      </c>
      <c r="K1028" s="20">
        <f>IF(DAY(A1028)='Main Budget'!$J$30,'Main Budget'!$E$30,0)</f>
        <v>0</v>
      </c>
      <c r="L1028" s="20">
        <f>IF(DAY(A1028)='Main Budget'!$J$31,'Main Budget'!$E$31,0)</f>
        <v>0</v>
      </c>
      <c r="M1028" s="20">
        <f>IF(DAY(A1028)='Main Budget'!$J$27,'Main Budget'!$E$27,0)</f>
        <v>0</v>
      </c>
      <c r="O1028" s="228">
        <f>B1028+(SUM(H1028:M1028)+(SUM(D1028:E1028)))</f>
        <v>100</v>
      </c>
      <c r="P1028" s="228">
        <f>C1028+F1028+G1028+N1028</f>
        <v>100</v>
      </c>
      <c r="Q1028" s="252">
        <f>O1028+P1028</f>
        <v>200</v>
      </c>
      <c r="S1028" s="231" t="str">
        <f>TEXT(A1028,"dddd")</f>
        <v>Monday</v>
      </c>
    </row>
    <row r="1029" spans="1:19" x14ac:dyDescent="0.25">
      <c r="A1029" s="226">
        <v>47050</v>
      </c>
      <c r="B1029" s="227">
        <f>O1028</f>
        <v>100</v>
      </c>
      <c r="C1029" s="228">
        <f>P1028</f>
        <v>100</v>
      </c>
      <c r="D1029" s="228">
        <f>IF(OR(DAY(A1029+2)=1,DAY(A1029+2)=15),-SUM('Main Budget'!$H$26:$H$31),0)</f>
        <v>0</v>
      </c>
      <c r="E1029" s="228">
        <f>IF(DAY(A1029+2)=22,-SUM('Main Budget'!$F$26:$F$31),0)</f>
        <v>0</v>
      </c>
      <c r="F1029" s="228">
        <f>IF(D1029&gt;0,-'Main Budget'!$H$25+0.15,0)</f>
        <v>0</v>
      </c>
      <c r="G1029" s="228">
        <f>IF(E1029&gt;0,-'Main Budget'!$F$25+0.81,0)</f>
        <v>0</v>
      </c>
      <c r="H1029" s="227">
        <f>IF(DAY(A1029)='Main Budget'!$J$26,'Main Budget'!$E$26,0)</f>
        <v>0</v>
      </c>
      <c r="I1029" s="227">
        <f>IF(DAY(A1029)='Main Budget'!$J$28,'Main Budget'!$E$28,0)</f>
        <v>0</v>
      </c>
      <c r="J1029" s="227">
        <f>IF(DAY(A1029)='Main Budget'!$J$29,'Main Budget'!$E$29,0)</f>
        <v>0</v>
      </c>
      <c r="K1029" s="20">
        <f>IF(DAY(A1029)='Main Budget'!$J$30,'Main Budget'!$E$30,0)</f>
        <v>0</v>
      </c>
      <c r="L1029" s="20">
        <f>IF(DAY(A1029)='Main Budget'!$J$31,'Main Budget'!$E$31,0)</f>
        <v>0</v>
      </c>
      <c r="M1029" s="20">
        <f>IF(DAY(A1029)='Main Budget'!$J$27,'Main Budget'!$E$27,0)</f>
        <v>0</v>
      </c>
      <c r="O1029" s="228">
        <f>B1029+(SUM(H1029:M1029)+(SUM(D1029:E1029)))</f>
        <v>100</v>
      </c>
      <c r="P1029" s="228">
        <f>C1029+F1029+G1029+N1029</f>
        <v>100</v>
      </c>
      <c r="Q1029" s="252">
        <f>O1029+P1029</f>
        <v>200</v>
      </c>
      <c r="S1029" s="231" t="str">
        <f>TEXT(A1029,"dddd")</f>
        <v>Tuesday</v>
      </c>
    </row>
    <row r="1030" spans="1:19" x14ac:dyDescent="0.25">
      <c r="A1030" s="226">
        <v>47051</v>
      </c>
      <c r="B1030" s="227">
        <f>O1029</f>
        <v>100</v>
      </c>
      <c r="C1030" s="228">
        <f>P1029</f>
        <v>100</v>
      </c>
      <c r="D1030" s="228">
        <f>IF(OR(DAY(A1030+2)=1,DAY(A1030+2)=15),-SUM('Main Budget'!$H$26:$H$31),0)</f>
        <v>0</v>
      </c>
      <c r="E1030" s="228">
        <f>IF(DAY(A1030+2)=22,-SUM('Main Budget'!$F$26:$F$31),0)</f>
        <v>0</v>
      </c>
      <c r="F1030" s="228">
        <f>IF(D1030&gt;0,-'Main Budget'!$H$25+0.15,0)</f>
        <v>0</v>
      </c>
      <c r="G1030" s="228">
        <f>IF(E1030&gt;0,-'Main Budget'!$F$25+0.81,0)</f>
        <v>0</v>
      </c>
      <c r="H1030" s="227">
        <f>IF(DAY(A1030)='Main Budget'!$J$26,'Main Budget'!$E$26,0)</f>
        <v>0</v>
      </c>
      <c r="I1030" s="227">
        <f>IF(DAY(A1030)='Main Budget'!$J$28,'Main Budget'!$E$28,0)</f>
        <v>0</v>
      </c>
      <c r="J1030" s="227">
        <f>IF(DAY(A1030)='Main Budget'!$J$29,'Main Budget'!$E$29,0)</f>
        <v>0</v>
      </c>
      <c r="K1030" s="20">
        <f>IF(DAY(A1030)='Main Budget'!$J$30,'Main Budget'!$E$30,0)</f>
        <v>0</v>
      </c>
      <c r="L1030" s="20">
        <f>IF(DAY(A1030)='Main Budget'!$J$31,'Main Budget'!$E$31,0)</f>
        <v>0</v>
      </c>
      <c r="M1030" s="20">
        <f>IF(DAY(A1030)='Main Budget'!$J$27,'Main Budget'!$E$27,0)</f>
        <v>0</v>
      </c>
      <c r="O1030" s="228">
        <f>B1030+(SUM(H1030:M1030)+(SUM(D1030:E1030)))</f>
        <v>100</v>
      </c>
      <c r="P1030" s="228">
        <f>C1030+F1030+G1030+N1030</f>
        <v>100</v>
      </c>
      <c r="Q1030" s="252">
        <f>O1030+P1030</f>
        <v>200</v>
      </c>
      <c r="S1030" s="231" t="str">
        <f>TEXT(A1030,"dddd")</f>
        <v>Wednesday</v>
      </c>
    </row>
    <row r="1031" spans="1:19" x14ac:dyDescent="0.25">
      <c r="A1031" s="226">
        <v>47052</v>
      </c>
      <c r="B1031" s="227">
        <f>O1030</f>
        <v>100</v>
      </c>
      <c r="C1031" s="228">
        <f>P1030</f>
        <v>100</v>
      </c>
      <c r="D1031" s="228">
        <f>IF(OR(DAY(A1031+2)=1,DAY(A1031+2)=15),-SUM('Main Budget'!$H$26:$H$31),0)</f>
        <v>0</v>
      </c>
      <c r="E1031" s="228">
        <f>IF(DAY(A1031+2)=22,-SUM('Main Budget'!$F$26:$F$31),0)</f>
        <v>0</v>
      </c>
      <c r="F1031" s="228">
        <f>IF(D1031&gt;0,-'Main Budget'!$H$25+0.15,0)</f>
        <v>0</v>
      </c>
      <c r="G1031" s="228">
        <f>IF(E1031&gt;0,-'Main Budget'!$F$25+0.81,0)</f>
        <v>0</v>
      </c>
      <c r="H1031" s="227">
        <f>IF(DAY(A1031)='Main Budget'!$J$26,'Main Budget'!$E$26,0)</f>
        <v>0</v>
      </c>
      <c r="I1031" s="227">
        <f>IF(DAY(A1031)='Main Budget'!$J$28,'Main Budget'!$E$28,0)</f>
        <v>0</v>
      </c>
      <c r="J1031" s="227">
        <f>IF(DAY(A1031)='Main Budget'!$J$29,'Main Budget'!$E$29,0)</f>
        <v>0</v>
      </c>
      <c r="K1031" s="20">
        <f>IF(DAY(A1031)='Main Budget'!$J$30,'Main Budget'!$E$30,0)</f>
        <v>0</v>
      </c>
      <c r="L1031" s="20">
        <f>IF(DAY(A1031)='Main Budget'!$J$31,'Main Budget'!$E$31,0)</f>
        <v>0</v>
      </c>
      <c r="M1031" s="20">
        <f>IF(DAY(A1031)='Main Budget'!$J$27,'Main Budget'!$E$27,0)</f>
        <v>0</v>
      </c>
      <c r="O1031" s="228">
        <f>B1031+(SUM(H1031:M1031)+(SUM(D1031:E1031)))</f>
        <v>100</v>
      </c>
      <c r="P1031" s="228">
        <f>C1031+F1031+G1031+N1031</f>
        <v>100</v>
      </c>
      <c r="Q1031" s="252">
        <f>O1031+P1031</f>
        <v>200</v>
      </c>
      <c r="S1031" s="231" t="str">
        <f>TEXT(A1031,"dddd")</f>
        <v>Thursday</v>
      </c>
    </row>
    <row r="1032" spans="1:19" x14ac:dyDescent="0.25">
      <c r="A1032" s="226">
        <v>47053</v>
      </c>
      <c r="B1032" s="227">
        <f>O1031</f>
        <v>100</v>
      </c>
      <c r="C1032" s="228">
        <f>P1031</f>
        <v>100</v>
      </c>
      <c r="D1032" s="228">
        <f>IF(OR(DAY(A1032+2)=1,DAY(A1032+2)=15),-SUM('Main Budget'!$H$26:$H$31),0)</f>
        <v>0</v>
      </c>
      <c r="E1032" s="228">
        <f>IF(DAY(A1032+2)=22,-SUM('Main Budget'!$F$26:$F$31),0)</f>
        <v>0</v>
      </c>
      <c r="F1032" s="228">
        <f>IF(D1032&gt;0,-'Main Budget'!$H$25+0.15,0)</f>
        <v>0</v>
      </c>
      <c r="G1032" s="228">
        <f>IF(E1032&gt;0,-'Main Budget'!$F$25+0.81,0)</f>
        <v>0</v>
      </c>
      <c r="H1032" s="227">
        <f>IF(DAY(A1032)='Main Budget'!$J$26,'Main Budget'!$E$26,0)</f>
        <v>0</v>
      </c>
      <c r="I1032" s="227">
        <f>IF(DAY(A1032)='Main Budget'!$J$28,'Main Budget'!$E$28,0)</f>
        <v>0</v>
      </c>
      <c r="J1032" s="227">
        <f>IF(DAY(A1032)='Main Budget'!$J$29,'Main Budget'!$E$29,0)</f>
        <v>0</v>
      </c>
      <c r="K1032" s="20">
        <f>IF(DAY(A1032)='Main Budget'!$J$30,'Main Budget'!$E$30,0)</f>
        <v>0</v>
      </c>
      <c r="L1032" s="20">
        <f>IF(DAY(A1032)='Main Budget'!$J$31,'Main Budget'!$E$31,0)</f>
        <v>0</v>
      </c>
      <c r="M1032" s="20">
        <f>IF(DAY(A1032)='Main Budget'!$J$27,'Main Budget'!$E$27,0)</f>
        <v>0</v>
      </c>
      <c r="O1032" s="228">
        <f>B1032+(SUM(H1032:M1032)+(SUM(D1032:E1032)))</f>
        <v>100</v>
      </c>
      <c r="P1032" s="228">
        <f>C1032+F1032+G1032+N1032</f>
        <v>100</v>
      </c>
      <c r="Q1032" s="252">
        <f>O1032+P1032</f>
        <v>200</v>
      </c>
      <c r="S1032" s="231" t="str">
        <f>TEXT(A1032,"dddd")</f>
        <v>Friday</v>
      </c>
    </row>
    <row r="1033" spans="1:19" x14ac:dyDescent="0.25">
      <c r="A1033" s="226">
        <v>47054</v>
      </c>
      <c r="B1033" s="227">
        <f>O1032</f>
        <v>100</v>
      </c>
      <c r="C1033" s="228">
        <f>P1032</f>
        <v>100</v>
      </c>
      <c r="D1033" s="228">
        <f>IF(OR(DAY(A1033+2)=1,DAY(A1033+2)=15),-SUM('Main Budget'!$H$26:$H$31),0)</f>
        <v>0</v>
      </c>
      <c r="E1033" s="228">
        <f>IF(DAY(A1033+2)=22,-SUM('Main Budget'!$F$26:$F$31),0)</f>
        <v>0</v>
      </c>
      <c r="F1033" s="228">
        <f>IF(D1033&gt;0,-'Main Budget'!$H$25+0.15,0)</f>
        <v>0</v>
      </c>
      <c r="G1033" s="228">
        <f>IF(E1033&gt;0,-'Main Budget'!$F$25+0.81,0)</f>
        <v>0</v>
      </c>
      <c r="H1033" s="227">
        <f>IF(DAY(A1033)='Main Budget'!$J$26,'Main Budget'!$E$26,0)</f>
        <v>0</v>
      </c>
      <c r="I1033" s="227">
        <f>IF(DAY(A1033)='Main Budget'!$J$28,'Main Budget'!$E$28,0)</f>
        <v>0</v>
      </c>
      <c r="J1033" s="227">
        <f>IF(DAY(A1033)='Main Budget'!$J$29,'Main Budget'!$E$29,0)</f>
        <v>0</v>
      </c>
      <c r="K1033" s="20">
        <f>IF(DAY(A1033)='Main Budget'!$J$30,'Main Budget'!$E$30,0)</f>
        <v>0</v>
      </c>
      <c r="L1033" s="20">
        <f>IF(DAY(A1033)='Main Budget'!$J$31,'Main Budget'!$E$31,0)</f>
        <v>0</v>
      </c>
      <c r="M1033" s="20">
        <f>IF(DAY(A1033)='Main Budget'!$J$27,'Main Budget'!$E$27,0)</f>
        <v>0</v>
      </c>
      <c r="O1033" s="228">
        <f>B1033+(SUM(H1033:M1033)+(SUM(D1033:E1033)))</f>
        <v>100</v>
      </c>
      <c r="P1033" s="228">
        <f>C1033+F1033+G1033+N1033</f>
        <v>100</v>
      </c>
      <c r="Q1033" s="252">
        <f>O1033+P1033</f>
        <v>200</v>
      </c>
      <c r="S1033" s="231" t="str">
        <f>TEXT(A1033,"dddd")</f>
        <v>Saturday</v>
      </c>
    </row>
    <row r="1034" spans="1:19" x14ac:dyDescent="0.25">
      <c r="A1034" s="226">
        <v>47055</v>
      </c>
      <c r="B1034" s="227">
        <f>O1033</f>
        <v>100</v>
      </c>
      <c r="C1034" s="228">
        <f>P1033</f>
        <v>100</v>
      </c>
      <c r="D1034" s="228">
        <f>IF(OR(DAY(A1034+2)=1,DAY(A1034+2)=15),-SUM('Main Budget'!$H$26:$H$31),0)</f>
        <v>0</v>
      </c>
      <c r="E1034" s="228">
        <f>IF(DAY(A1034+2)=22,-SUM('Main Budget'!$F$26:$F$31),0)</f>
        <v>0</v>
      </c>
      <c r="F1034" s="228">
        <f>IF(D1034&gt;0,-'Main Budget'!$H$25+0.15,0)</f>
        <v>0</v>
      </c>
      <c r="G1034" s="228">
        <f>IF(E1034&gt;0,-'Main Budget'!$F$25+0.81,0)</f>
        <v>0</v>
      </c>
      <c r="H1034" s="227">
        <f>IF(DAY(A1034)='Main Budget'!$J$26,'Main Budget'!$E$26,0)</f>
        <v>0</v>
      </c>
      <c r="I1034" s="227">
        <f>IF(DAY(A1034)='Main Budget'!$J$28,'Main Budget'!$E$28,0)</f>
        <v>0</v>
      </c>
      <c r="J1034" s="227">
        <f>IF(DAY(A1034)='Main Budget'!$J$29,'Main Budget'!$E$29,0)</f>
        <v>0</v>
      </c>
      <c r="K1034" s="20">
        <f>IF(DAY(A1034)='Main Budget'!$J$30,'Main Budget'!$E$30,0)</f>
        <v>0</v>
      </c>
      <c r="L1034" s="20">
        <f>IF(DAY(A1034)='Main Budget'!$J$31,'Main Budget'!$E$31,0)</f>
        <v>0</v>
      </c>
      <c r="M1034" s="20">
        <f>IF(DAY(A1034)='Main Budget'!$J$27,'Main Budget'!$E$27,0)</f>
        <v>0</v>
      </c>
      <c r="O1034" s="228">
        <f>B1034+(SUM(H1034:M1034)+(SUM(D1034:E1034)))</f>
        <v>100</v>
      </c>
      <c r="P1034" s="228">
        <f>C1034+F1034+G1034+N1034</f>
        <v>100</v>
      </c>
      <c r="Q1034" s="252">
        <f>O1034+P1034</f>
        <v>200</v>
      </c>
      <c r="S1034" s="231" t="str">
        <f>TEXT(A1034,"dddd")</f>
        <v>Sunday</v>
      </c>
    </row>
    <row r="1035" spans="1:19" x14ac:dyDescent="0.25">
      <c r="A1035" s="226">
        <v>47056</v>
      </c>
      <c r="B1035" s="227">
        <f>O1034</f>
        <v>100</v>
      </c>
      <c r="C1035" s="228">
        <f>P1034</f>
        <v>100</v>
      </c>
      <c r="D1035" s="228">
        <f>IF(OR(DAY(A1035+2)=1,DAY(A1035+2)=15),-SUM('Main Budget'!$H$26:$H$31),0)</f>
        <v>0</v>
      </c>
      <c r="E1035" s="228">
        <f>IF(DAY(A1035+2)=22,-SUM('Main Budget'!$F$26:$F$31),0)</f>
        <v>0</v>
      </c>
      <c r="F1035" s="228">
        <f>IF(D1035&gt;0,-'Main Budget'!$H$25+0.15,0)</f>
        <v>0</v>
      </c>
      <c r="G1035" s="228">
        <f>IF(E1035&gt;0,-'Main Budget'!$F$25+0.81,0)</f>
        <v>0</v>
      </c>
      <c r="H1035" s="227">
        <f>IF(DAY(A1035)='Main Budget'!$J$26,'Main Budget'!$E$26,0)</f>
        <v>0</v>
      </c>
      <c r="I1035" s="227">
        <f>IF(DAY(A1035)='Main Budget'!$J$28,'Main Budget'!$E$28,0)</f>
        <v>0</v>
      </c>
      <c r="J1035" s="227">
        <f>IF(DAY(A1035)='Main Budget'!$J$29,'Main Budget'!$E$29,0)</f>
        <v>0</v>
      </c>
      <c r="K1035" s="20">
        <f>IF(DAY(A1035)='Main Budget'!$J$30,'Main Budget'!$E$30,0)</f>
        <v>0</v>
      </c>
      <c r="L1035" s="20">
        <f>IF(DAY(A1035)='Main Budget'!$J$31,'Main Budget'!$E$31,0)</f>
        <v>0</v>
      </c>
      <c r="M1035" s="20">
        <f>IF(DAY(A1035)='Main Budget'!$J$27,'Main Budget'!$E$27,0)</f>
        <v>0</v>
      </c>
      <c r="O1035" s="228">
        <f>B1035+(SUM(H1035:M1035)+(SUM(D1035:E1035)))</f>
        <v>100</v>
      </c>
      <c r="P1035" s="228">
        <f>C1035+F1035+G1035+N1035</f>
        <v>100</v>
      </c>
      <c r="Q1035" s="252">
        <f>O1035+P1035</f>
        <v>200</v>
      </c>
      <c r="S1035" s="231" t="str">
        <f>TEXT(A1035,"dddd")</f>
        <v>Monday</v>
      </c>
    </row>
    <row r="1036" spans="1:19" x14ac:dyDescent="0.25">
      <c r="A1036" s="226">
        <v>47057</v>
      </c>
      <c r="B1036" s="227">
        <f>O1035</f>
        <v>100</v>
      </c>
      <c r="C1036" s="228">
        <f>P1035</f>
        <v>100</v>
      </c>
      <c r="D1036" s="228">
        <f>IF(OR(DAY(A1036+2)=1,DAY(A1036+2)=15),-SUM('Main Budget'!$H$26:$H$31),0)</f>
        <v>0</v>
      </c>
      <c r="E1036" s="228">
        <f>IF(DAY(A1036+2)=22,-SUM('Main Budget'!$F$26:$F$31),0)</f>
        <v>0</v>
      </c>
      <c r="F1036" s="228">
        <f>IF(D1036&gt;0,-'Main Budget'!$H$25+0.15,0)</f>
        <v>0</v>
      </c>
      <c r="G1036" s="228">
        <f>IF(E1036&gt;0,-'Main Budget'!$F$25+0.81,0)</f>
        <v>0</v>
      </c>
      <c r="H1036" s="227">
        <f>IF(DAY(A1036)='Main Budget'!$J$26,'Main Budget'!$E$26,0)</f>
        <v>0</v>
      </c>
      <c r="I1036" s="227">
        <f>IF(DAY(A1036)='Main Budget'!$J$28,'Main Budget'!$E$28,0)</f>
        <v>0</v>
      </c>
      <c r="J1036" s="227">
        <f>IF(DAY(A1036)='Main Budget'!$J$29,'Main Budget'!$E$29,0)</f>
        <v>0</v>
      </c>
      <c r="K1036" s="20">
        <f>IF(DAY(A1036)='Main Budget'!$J$30,'Main Budget'!$E$30,0)</f>
        <v>0</v>
      </c>
      <c r="L1036" s="20">
        <f>IF(DAY(A1036)='Main Budget'!$J$31,'Main Budget'!$E$31,0)</f>
        <v>0</v>
      </c>
      <c r="M1036" s="20">
        <f>IF(DAY(A1036)='Main Budget'!$J$27,'Main Budget'!$E$27,0)</f>
        <v>0</v>
      </c>
      <c r="O1036" s="228">
        <f>B1036+(SUM(H1036:M1036)+(SUM(D1036:E1036)))</f>
        <v>100</v>
      </c>
      <c r="P1036" s="228">
        <f>C1036+F1036+G1036+N1036</f>
        <v>100</v>
      </c>
      <c r="Q1036" s="252">
        <f>O1036+P1036</f>
        <v>200</v>
      </c>
      <c r="S1036" s="231" t="str">
        <f>TEXT(A1036,"dddd")</f>
        <v>Tuesday</v>
      </c>
    </row>
    <row r="1037" spans="1:19" x14ac:dyDescent="0.25">
      <c r="A1037" s="226">
        <v>47058</v>
      </c>
      <c r="B1037" s="227">
        <f>O1036</f>
        <v>100</v>
      </c>
      <c r="C1037" s="228">
        <f>P1036</f>
        <v>100</v>
      </c>
      <c r="D1037" s="228">
        <f>IF(OR(DAY(A1037+2)=1,DAY(A1037+2)=15),-SUM('Main Budget'!$H$26:$H$31),0)</f>
        <v>0</v>
      </c>
      <c r="E1037" s="228">
        <f>IF(DAY(A1037+2)=22,-SUM('Main Budget'!$F$26:$F$31),0)</f>
        <v>0</v>
      </c>
      <c r="F1037" s="228">
        <f>IF(D1037&gt;0,-'Main Budget'!$H$25+0.15,0)</f>
        <v>0</v>
      </c>
      <c r="G1037" s="228">
        <f>IF(E1037&gt;0,-'Main Budget'!$F$25+0.81,0)</f>
        <v>0</v>
      </c>
      <c r="H1037" s="227">
        <f>IF(DAY(A1037)='Main Budget'!$J$26,'Main Budget'!$E$26,0)</f>
        <v>0</v>
      </c>
      <c r="I1037" s="227">
        <f>IF(DAY(A1037)='Main Budget'!$J$28,'Main Budget'!$E$28,0)</f>
        <v>0</v>
      </c>
      <c r="J1037" s="227">
        <f>IF(DAY(A1037)='Main Budget'!$J$29,'Main Budget'!$E$29,0)</f>
        <v>0</v>
      </c>
      <c r="K1037" s="20">
        <f>IF(DAY(A1037)='Main Budget'!$J$30,'Main Budget'!$E$30,0)</f>
        <v>0</v>
      </c>
      <c r="L1037" s="20">
        <f>IF(DAY(A1037)='Main Budget'!$J$31,'Main Budget'!$E$31,0)</f>
        <v>0</v>
      </c>
      <c r="M1037" s="20">
        <f>IF(DAY(A1037)='Main Budget'!$J$27,'Main Budget'!$E$27,0)</f>
        <v>0</v>
      </c>
      <c r="O1037" s="228">
        <f>B1037+(SUM(H1037:M1037)+(SUM(D1037:E1037)))</f>
        <v>100</v>
      </c>
      <c r="P1037" s="228">
        <f>C1037+F1037+G1037+N1037</f>
        <v>100</v>
      </c>
      <c r="Q1037" s="252">
        <f>O1037+P1037</f>
        <v>200</v>
      </c>
      <c r="S1037" s="231" t="str">
        <f>TEXT(A1037,"dddd")</f>
        <v>Wednesday</v>
      </c>
    </row>
    <row r="1038" spans="1:19" x14ac:dyDescent="0.25">
      <c r="A1038" s="226">
        <v>47059</v>
      </c>
      <c r="B1038" s="227">
        <f>O1037</f>
        <v>100</v>
      </c>
      <c r="C1038" s="228">
        <f>P1037</f>
        <v>100</v>
      </c>
      <c r="D1038" s="228">
        <f>IF(OR(DAY(A1038+2)=1,DAY(A1038+2)=15),-SUM('Main Budget'!$H$26:$H$31),0)</f>
        <v>0</v>
      </c>
      <c r="E1038" s="228">
        <f>IF(DAY(A1038+2)=22,-SUM('Main Budget'!$F$26:$F$31),0)</f>
        <v>0</v>
      </c>
      <c r="F1038" s="228">
        <f>IF(D1038&gt;0,-'Main Budget'!$H$25+0.15,0)</f>
        <v>0</v>
      </c>
      <c r="G1038" s="228">
        <f>IF(E1038&gt;0,-'Main Budget'!$F$25+0.81,0)</f>
        <v>0</v>
      </c>
      <c r="H1038" s="227">
        <f>IF(DAY(A1038)='Main Budget'!$J$26,'Main Budget'!$E$26,0)</f>
        <v>0</v>
      </c>
      <c r="I1038" s="227">
        <f>IF(DAY(A1038)='Main Budget'!$J$28,'Main Budget'!$E$28,0)</f>
        <v>0</v>
      </c>
      <c r="J1038" s="227">
        <f>IF(DAY(A1038)='Main Budget'!$J$29,'Main Budget'!$E$29,0)</f>
        <v>0</v>
      </c>
      <c r="K1038" s="20">
        <f>IF(DAY(A1038)='Main Budget'!$J$30,'Main Budget'!$E$30,0)</f>
        <v>0</v>
      </c>
      <c r="L1038" s="20">
        <f>IF(DAY(A1038)='Main Budget'!$J$31,'Main Budget'!$E$31,0)</f>
        <v>0</v>
      </c>
      <c r="M1038" s="20">
        <f>IF(DAY(A1038)='Main Budget'!$J$27,'Main Budget'!$E$27,0)</f>
        <v>0</v>
      </c>
      <c r="O1038" s="228">
        <f>B1038+(SUM(H1038:M1038)+(SUM(D1038:E1038)))</f>
        <v>100</v>
      </c>
      <c r="P1038" s="228">
        <f>C1038+F1038+G1038+N1038</f>
        <v>100</v>
      </c>
      <c r="Q1038" s="252">
        <f>O1038+P1038</f>
        <v>200</v>
      </c>
      <c r="S1038" s="231" t="str">
        <f>TEXT(A1038,"dddd")</f>
        <v>Thursday</v>
      </c>
    </row>
    <row r="1039" spans="1:19" x14ac:dyDescent="0.25">
      <c r="A1039" s="226">
        <v>47060</v>
      </c>
      <c r="B1039" s="227">
        <f>O1038</f>
        <v>100</v>
      </c>
      <c r="C1039" s="228">
        <f>P1038</f>
        <v>100</v>
      </c>
      <c r="D1039" s="228">
        <f>IF(OR(DAY(A1039+2)=1,DAY(A1039+2)=15),-SUM('Main Budget'!$H$26:$H$31),0)</f>
        <v>0</v>
      </c>
      <c r="E1039" s="228">
        <f>IF(DAY(A1039+2)=22,-SUM('Main Budget'!$F$26:$F$31),0)</f>
        <v>0</v>
      </c>
      <c r="F1039" s="228">
        <f>IF(D1039&gt;0,-'Main Budget'!$H$25+0.15,0)</f>
        <v>0</v>
      </c>
      <c r="G1039" s="228">
        <f>IF(E1039&gt;0,-'Main Budget'!$F$25+0.81,0)</f>
        <v>0</v>
      </c>
      <c r="H1039" s="227">
        <f>IF(DAY(A1039)='Main Budget'!$J$26,'Main Budget'!$E$26,0)</f>
        <v>0</v>
      </c>
      <c r="I1039" s="227">
        <f>IF(DAY(A1039)='Main Budget'!$J$28,'Main Budget'!$E$28,0)</f>
        <v>0</v>
      </c>
      <c r="J1039" s="227">
        <f>IF(DAY(A1039)='Main Budget'!$J$29,'Main Budget'!$E$29,0)</f>
        <v>0</v>
      </c>
      <c r="K1039" s="20">
        <f>IF(DAY(A1039)='Main Budget'!$J$30,'Main Budget'!$E$30,0)</f>
        <v>0</v>
      </c>
      <c r="L1039" s="20">
        <f>IF(DAY(A1039)='Main Budget'!$J$31,'Main Budget'!$E$31,0)</f>
        <v>0</v>
      </c>
      <c r="M1039" s="20">
        <f>IF(DAY(A1039)='Main Budget'!$J$27,'Main Budget'!$E$27,0)</f>
        <v>0</v>
      </c>
      <c r="O1039" s="228">
        <f>B1039+(SUM(H1039:M1039)+(SUM(D1039:E1039)))</f>
        <v>100</v>
      </c>
      <c r="P1039" s="228">
        <f>C1039+F1039+G1039+N1039</f>
        <v>100</v>
      </c>
      <c r="Q1039" s="252">
        <f>O1039+P1039</f>
        <v>200</v>
      </c>
      <c r="S1039" s="231" t="str">
        <f>TEXT(A1039,"dddd")</f>
        <v>Friday</v>
      </c>
    </row>
    <row r="1040" spans="1:19" x14ac:dyDescent="0.25">
      <c r="A1040" s="226">
        <v>47061</v>
      </c>
      <c r="B1040" s="227">
        <f>O1039</f>
        <v>100</v>
      </c>
      <c r="C1040" s="228">
        <f>P1039</f>
        <v>100</v>
      </c>
      <c r="D1040" s="228">
        <f>IF(OR(DAY(A1040+2)=1,DAY(A1040+2)=15),-SUM('Main Budget'!$H$26:$H$31),0)</f>
        <v>0</v>
      </c>
      <c r="E1040" s="228">
        <f>IF(DAY(A1040+2)=22,-SUM('Main Budget'!$F$26:$F$31),0)</f>
        <v>0</v>
      </c>
      <c r="F1040" s="228">
        <f>IF(D1040&gt;0,-'Main Budget'!$H$25+0.15,0)</f>
        <v>0</v>
      </c>
      <c r="G1040" s="228">
        <f>IF(E1040&gt;0,-'Main Budget'!$F$25+0.81,0)</f>
        <v>0</v>
      </c>
      <c r="H1040" s="227">
        <f>IF(DAY(A1040)='Main Budget'!$J$26,'Main Budget'!$E$26,0)</f>
        <v>0</v>
      </c>
      <c r="I1040" s="227">
        <f>IF(DAY(A1040)='Main Budget'!$J$28,'Main Budget'!$E$28,0)</f>
        <v>0</v>
      </c>
      <c r="J1040" s="227">
        <f>IF(DAY(A1040)='Main Budget'!$J$29,'Main Budget'!$E$29,0)</f>
        <v>0</v>
      </c>
      <c r="K1040" s="20">
        <f>IF(DAY(A1040)='Main Budget'!$J$30,'Main Budget'!$E$30,0)</f>
        <v>0</v>
      </c>
      <c r="L1040" s="20">
        <f>IF(DAY(A1040)='Main Budget'!$J$31,'Main Budget'!$E$31,0)</f>
        <v>0</v>
      </c>
      <c r="M1040" s="20">
        <f>IF(DAY(A1040)='Main Budget'!$J$27,'Main Budget'!$E$27,0)</f>
        <v>0</v>
      </c>
      <c r="O1040" s="228">
        <f>B1040+(SUM(H1040:M1040)+(SUM(D1040:E1040)))</f>
        <v>100</v>
      </c>
      <c r="P1040" s="228">
        <f>C1040+F1040+G1040+N1040</f>
        <v>100</v>
      </c>
      <c r="Q1040" s="252">
        <f>O1040+P1040</f>
        <v>200</v>
      </c>
      <c r="S1040" s="231" t="str">
        <f>TEXT(A1040,"dddd")</f>
        <v>Saturday</v>
      </c>
    </row>
    <row r="1041" spans="1:19" x14ac:dyDescent="0.25">
      <c r="A1041" s="226">
        <v>47062</v>
      </c>
      <c r="B1041" s="227">
        <f>O1040</f>
        <v>100</v>
      </c>
      <c r="C1041" s="228">
        <f>P1040</f>
        <v>100</v>
      </c>
      <c r="D1041" s="228">
        <f>IF(OR(DAY(A1041+2)=1,DAY(A1041+2)=15),-SUM('Main Budget'!$H$26:$H$31),0)</f>
        <v>0</v>
      </c>
      <c r="E1041" s="228">
        <f>IF(DAY(A1041+2)=22,-SUM('Main Budget'!$F$26:$F$31),0)</f>
        <v>0</v>
      </c>
      <c r="F1041" s="228">
        <f>IF(D1041&gt;0,-'Main Budget'!$H$25+0.15,0)</f>
        <v>0</v>
      </c>
      <c r="G1041" s="228">
        <f>IF(E1041&gt;0,-'Main Budget'!$F$25+0.81,0)</f>
        <v>0</v>
      </c>
      <c r="H1041" s="227">
        <f>IF(DAY(A1041)='Main Budget'!$J$26,'Main Budget'!$E$26,0)</f>
        <v>0</v>
      </c>
      <c r="I1041" s="227">
        <f>IF(DAY(A1041)='Main Budget'!$J$28,'Main Budget'!$E$28,0)</f>
        <v>0</v>
      </c>
      <c r="J1041" s="227">
        <f>IF(DAY(A1041)='Main Budget'!$J$29,'Main Budget'!$E$29,0)</f>
        <v>0</v>
      </c>
      <c r="K1041" s="20">
        <f>IF(DAY(A1041)='Main Budget'!$J$30,'Main Budget'!$E$30,0)</f>
        <v>0</v>
      </c>
      <c r="L1041" s="20">
        <f>IF(DAY(A1041)='Main Budget'!$J$31,'Main Budget'!$E$31,0)</f>
        <v>0</v>
      </c>
      <c r="M1041" s="20">
        <f>IF(DAY(A1041)='Main Budget'!$J$27,'Main Budget'!$E$27,0)</f>
        <v>0</v>
      </c>
      <c r="O1041" s="228">
        <f>B1041+(SUM(H1041:M1041)+(SUM(D1041:E1041)))</f>
        <v>100</v>
      </c>
      <c r="P1041" s="228">
        <f>C1041+F1041+G1041+N1041</f>
        <v>100</v>
      </c>
      <c r="Q1041" s="252">
        <f>O1041+P1041</f>
        <v>200</v>
      </c>
      <c r="S1041" s="231" t="str">
        <f>TEXT(A1041,"dddd")</f>
        <v>Sunday</v>
      </c>
    </row>
    <row r="1042" spans="1:19" x14ac:dyDescent="0.25">
      <c r="A1042" s="226">
        <v>47063</v>
      </c>
      <c r="B1042" s="227">
        <f>O1041</f>
        <v>100</v>
      </c>
      <c r="C1042" s="228">
        <f>P1041</f>
        <v>100</v>
      </c>
      <c r="D1042" s="228">
        <f>IF(OR(DAY(A1042+2)=1,DAY(A1042+2)=15),-SUM('Main Budget'!$H$26:$H$31),0)</f>
        <v>0</v>
      </c>
      <c r="E1042" s="228">
        <f>IF(DAY(A1042+2)=22,-SUM('Main Budget'!$F$26:$F$31),0)</f>
        <v>0</v>
      </c>
      <c r="F1042" s="228">
        <f>IF(D1042&gt;0,-'Main Budget'!$H$25+0.15,0)</f>
        <v>0</v>
      </c>
      <c r="G1042" s="228">
        <f>IF(E1042&gt;0,-'Main Budget'!$F$25+0.81,0)</f>
        <v>0</v>
      </c>
      <c r="H1042" s="227">
        <f>IF(DAY(A1042)='Main Budget'!$J$26,'Main Budget'!$E$26,0)</f>
        <v>0</v>
      </c>
      <c r="I1042" s="227">
        <f>IF(DAY(A1042)='Main Budget'!$J$28,'Main Budget'!$E$28,0)</f>
        <v>0</v>
      </c>
      <c r="J1042" s="227">
        <f>IF(DAY(A1042)='Main Budget'!$J$29,'Main Budget'!$E$29,0)</f>
        <v>0</v>
      </c>
      <c r="K1042" s="20">
        <f>IF(DAY(A1042)='Main Budget'!$J$30,'Main Budget'!$E$30,0)</f>
        <v>0</v>
      </c>
      <c r="L1042" s="20">
        <f>IF(DAY(A1042)='Main Budget'!$J$31,'Main Budget'!$E$31,0)</f>
        <v>0</v>
      </c>
      <c r="M1042" s="20">
        <f>IF(DAY(A1042)='Main Budget'!$J$27,'Main Budget'!$E$27,0)</f>
        <v>0</v>
      </c>
      <c r="O1042" s="228">
        <f>B1042+(SUM(H1042:M1042)+(SUM(D1042:E1042)))</f>
        <v>100</v>
      </c>
      <c r="P1042" s="228">
        <f>C1042+F1042+G1042+N1042</f>
        <v>100</v>
      </c>
      <c r="Q1042" s="252">
        <f>O1042+P1042</f>
        <v>200</v>
      </c>
      <c r="S1042" s="231" t="str">
        <f>TEXT(A1042,"dddd")</f>
        <v>Monday</v>
      </c>
    </row>
    <row r="1043" spans="1:19" x14ac:dyDescent="0.25">
      <c r="A1043" s="226">
        <v>47064</v>
      </c>
      <c r="B1043" s="227">
        <f>O1042</f>
        <v>100</v>
      </c>
      <c r="C1043" s="228">
        <f>P1042</f>
        <v>100</v>
      </c>
      <c r="D1043" s="228">
        <f>IF(OR(DAY(A1043+2)=1,DAY(A1043+2)=15),-SUM('Main Budget'!$H$26:$H$31),0)</f>
        <v>0</v>
      </c>
      <c r="E1043" s="228">
        <f>IF(DAY(A1043+2)=22,-SUM('Main Budget'!$F$26:$F$31),0)</f>
        <v>0</v>
      </c>
      <c r="F1043" s="228">
        <f>IF(D1043&gt;0,-'Main Budget'!$H$25+0.15,0)</f>
        <v>0</v>
      </c>
      <c r="G1043" s="228">
        <f>IF(E1043&gt;0,-'Main Budget'!$F$25+0.81,0)</f>
        <v>0</v>
      </c>
      <c r="H1043" s="227">
        <f>IF(DAY(A1043)='Main Budget'!$J$26,'Main Budget'!$E$26,0)</f>
        <v>0</v>
      </c>
      <c r="I1043" s="227">
        <f>IF(DAY(A1043)='Main Budget'!$J$28,'Main Budget'!$E$28,0)</f>
        <v>0</v>
      </c>
      <c r="J1043" s="227">
        <f>IF(DAY(A1043)='Main Budget'!$J$29,'Main Budget'!$E$29,0)</f>
        <v>0</v>
      </c>
      <c r="K1043" s="20">
        <f>IF(DAY(A1043)='Main Budget'!$J$30,'Main Budget'!$E$30,0)</f>
        <v>0</v>
      </c>
      <c r="L1043" s="20">
        <f>IF(DAY(A1043)='Main Budget'!$J$31,'Main Budget'!$E$31,0)</f>
        <v>0</v>
      </c>
      <c r="M1043" s="20">
        <f>IF(DAY(A1043)='Main Budget'!$J$27,'Main Budget'!$E$27,0)</f>
        <v>0</v>
      </c>
      <c r="O1043" s="228">
        <f>B1043+(SUM(H1043:M1043)+(SUM(D1043:E1043)))</f>
        <v>100</v>
      </c>
      <c r="P1043" s="228">
        <f>C1043+F1043+G1043+N1043</f>
        <v>100</v>
      </c>
      <c r="Q1043" s="252">
        <f>O1043+P1043</f>
        <v>200</v>
      </c>
      <c r="S1043" s="231" t="str">
        <f>TEXT(A1043,"dddd")</f>
        <v>Tuesday</v>
      </c>
    </row>
    <row r="1044" spans="1:19" x14ac:dyDescent="0.25">
      <c r="A1044" s="226">
        <v>47065</v>
      </c>
      <c r="B1044" s="227">
        <f>O1043</f>
        <v>100</v>
      </c>
      <c r="C1044" s="228">
        <f>P1043</f>
        <v>100</v>
      </c>
      <c r="D1044" s="228">
        <f>IF(OR(DAY(A1044+2)=1,DAY(A1044+2)=15),-SUM('Main Budget'!$H$26:$H$31),0)</f>
        <v>0</v>
      </c>
      <c r="E1044" s="228">
        <f>IF(DAY(A1044+2)=22,-SUM('Main Budget'!$F$26:$F$31),0)</f>
        <v>0</v>
      </c>
      <c r="F1044" s="228">
        <f>IF(D1044&gt;0,-'Main Budget'!$H$25+0.15,0)</f>
        <v>0</v>
      </c>
      <c r="G1044" s="228">
        <f>IF(E1044&gt;0,-'Main Budget'!$F$25+0.81,0)</f>
        <v>0</v>
      </c>
      <c r="H1044" s="227">
        <f>IF(DAY(A1044)='Main Budget'!$J$26,'Main Budget'!$E$26,0)</f>
        <v>0</v>
      </c>
      <c r="I1044" s="227">
        <f>IF(DAY(A1044)='Main Budget'!$J$28,'Main Budget'!$E$28,0)</f>
        <v>0</v>
      </c>
      <c r="J1044" s="227">
        <f>IF(DAY(A1044)='Main Budget'!$J$29,'Main Budget'!$E$29,0)</f>
        <v>0</v>
      </c>
      <c r="K1044" s="20">
        <f>IF(DAY(A1044)='Main Budget'!$J$30,'Main Budget'!$E$30,0)</f>
        <v>0</v>
      </c>
      <c r="L1044" s="20">
        <f>IF(DAY(A1044)='Main Budget'!$J$31,'Main Budget'!$E$31,0)</f>
        <v>0</v>
      </c>
      <c r="M1044" s="20">
        <f>IF(DAY(A1044)='Main Budget'!$J$27,'Main Budget'!$E$27,0)</f>
        <v>0</v>
      </c>
      <c r="O1044" s="228">
        <f>B1044+(SUM(H1044:M1044)+(SUM(D1044:E1044)))</f>
        <v>100</v>
      </c>
      <c r="P1044" s="228">
        <f>C1044+F1044+G1044+N1044</f>
        <v>100</v>
      </c>
      <c r="Q1044" s="252">
        <f>O1044+P1044</f>
        <v>200</v>
      </c>
      <c r="S1044" s="231" t="str">
        <f>TEXT(A1044,"dddd")</f>
        <v>Wednesday</v>
      </c>
    </row>
    <row r="1045" spans="1:19" x14ac:dyDescent="0.25">
      <c r="A1045" s="226">
        <v>47066</v>
      </c>
      <c r="B1045" s="227">
        <f>O1044</f>
        <v>100</v>
      </c>
      <c r="C1045" s="228">
        <f>P1044</f>
        <v>100</v>
      </c>
      <c r="D1045" s="228">
        <f>IF(OR(DAY(A1045+2)=1,DAY(A1045+2)=15),-SUM('Main Budget'!$H$26:$H$31),0)</f>
        <v>0</v>
      </c>
      <c r="E1045" s="228">
        <f>IF(DAY(A1045+2)=22,-SUM('Main Budget'!$F$26:$F$31),0)</f>
        <v>0</v>
      </c>
      <c r="F1045" s="228">
        <f>IF(D1045&gt;0,-'Main Budget'!$H$25+0.15,0)</f>
        <v>0</v>
      </c>
      <c r="G1045" s="228">
        <f>IF(E1045&gt;0,-'Main Budget'!$F$25+0.81,0)</f>
        <v>0</v>
      </c>
      <c r="H1045" s="227">
        <f>IF(DAY(A1045)='Main Budget'!$J$26,'Main Budget'!$E$26,0)</f>
        <v>0</v>
      </c>
      <c r="I1045" s="227">
        <f>IF(DAY(A1045)='Main Budget'!$J$28,'Main Budget'!$E$28,0)</f>
        <v>0</v>
      </c>
      <c r="J1045" s="227">
        <f>IF(DAY(A1045)='Main Budget'!$J$29,'Main Budget'!$E$29,0)</f>
        <v>0</v>
      </c>
      <c r="K1045" s="20">
        <f>IF(DAY(A1045)='Main Budget'!$J$30,'Main Budget'!$E$30,0)</f>
        <v>0</v>
      </c>
      <c r="L1045" s="20">
        <f>IF(DAY(A1045)='Main Budget'!$J$31,'Main Budget'!$E$31,0)</f>
        <v>0</v>
      </c>
      <c r="M1045" s="20">
        <f>IF(DAY(A1045)='Main Budget'!$J$27,'Main Budget'!$E$27,0)</f>
        <v>0</v>
      </c>
      <c r="O1045" s="228">
        <f>B1045+(SUM(H1045:M1045)+(SUM(D1045:E1045)))</f>
        <v>100</v>
      </c>
      <c r="P1045" s="228">
        <f>C1045+F1045+G1045+N1045</f>
        <v>100</v>
      </c>
      <c r="Q1045" s="252">
        <f>O1045+P1045</f>
        <v>200</v>
      </c>
      <c r="S1045" s="231" t="str">
        <f>TEXT(A1045,"dddd")</f>
        <v>Thursday</v>
      </c>
    </row>
    <row r="1046" spans="1:19" x14ac:dyDescent="0.25">
      <c r="A1046" s="226">
        <v>47067</v>
      </c>
      <c r="B1046" s="227">
        <f>O1045</f>
        <v>100</v>
      </c>
      <c r="C1046" s="228">
        <f>P1045</f>
        <v>100</v>
      </c>
      <c r="D1046" s="228">
        <f>IF(OR(DAY(A1046+2)=1,DAY(A1046+2)=15),-SUM('Main Budget'!$H$26:$H$31),0)</f>
        <v>0</v>
      </c>
      <c r="E1046" s="228">
        <f>IF(DAY(A1046+2)=22,-SUM('Main Budget'!$F$26:$F$31),0)</f>
        <v>0</v>
      </c>
      <c r="F1046" s="228">
        <f>IF(D1046&gt;0,-'Main Budget'!$H$25+0.15,0)</f>
        <v>0</v>
      </c>
      <c r="G1046" s="228">
        <f>IF(E1046&gt;0,-'Main Budget'!$F$25+0.81,0)</f>
        <v>0</v>
      </c>
      <c r="H1046" s="227">
        <f>IF(DAY(A1046)='Main Budget'!$J$26,'Main Budget'!$E$26,0)</f>
        <v>0</v>
      </c>
      <c r="I1046" s="227">
        <f>IF(DAY(A1046)='Main Budget'!$J$28,'Main Budget'!$E$28,0)</f>
        <v>0</v>
      </c>
      <c r="J1046" s="227">
        <f>IF(DAY(A1046)='Main Budget'!$J$29,'Main Budget'!$E$29,0)</f>
        <v>0</v>
      </c>
      <c r="K1046" s="20">
        <f>IF(DAY(A1046)='Main Budget'!$J$30,'Main Budget'!$E$30,0)</f>
        <v>0</v>
      </c>
      <c r="L1046" s="20">
        <f>IF(DAY(A1046)='Main Budget'!$J$31,'Main Budget'!$E$31,0)</f>
        <v>0</v>
      </c>
      <c r="M1046" s="20">
        <f>IF(DAY(A1046)='Main Budget'!$J$27,'Main Budget'!$E$27,0)</f>
        <v>0</v>
      </c>
      <c r="O1046" s="228">
        <f>B1046+(SUM(H1046:M1046)+(SUM(D1046:E1046)))</f>
        <v>100</v>
      </c>
      <c r="P1046" s="228">
        <f>C1046+F1046+G1046+N1046</f>
        <v>100</v>
      </c>
      <c r="Q1046" s="252">
        <f>O1046+P1046</f>
        <v>200</v>
      </c>
      <c r="S1046" s="231" t="str">
        <f>TEXT(A1046,"dddd")</f>
        <v>Friday</v>
      </c>
    </row>
    <row r="1047" spans="1:19" x14ac:dyDescent="0.25">
      <c r="A1047" s="226">
        <v>47068</v>
      </c>
      <c r="B1047" s="227">
        <f>O1046</f>
        <v>100</v>
      </c>
      <c r="C1047" s="228">
        <f>P1046</f>
        <v>100</v>
      </c>
      <c r="D1047" s="228">
        <f>IF(OR(DAY(A1047+2)=1,DAY(A1047+2)=15),-SUM('Main Budget'!$H$26:$H$31),0)</f>
        <v>0</v>
      </c>
      <c r="E1047" s="228">
        <f>IF(DAY(A1047+2)=22,-SUM('Main Budget'!$F$26:$F$31),0)</f>
        <v>0</v>
      </c>
      <c r="F1047" s="228">
        <f>IF(D1047&gt;0,-'Main Budget'!$H$25+0.15,0)</f>
        <v>0</v>
      </c>
      <c r="G1047" s="228">
        <f>IF(E1047&gt;0,-'Main Budget'!$F$25+0.81,0)</f>
        <v>0</v>
      </c>
      <c r="H1047" s="227">
        <f>IF(DAY(A1047)='Main Budget'!$J$26,'Main Budget'!$E$26,0)</f>
        <v>0</v>
      </c>
      <c r="I1047" s="227">
        <f>IF(DAY(A1047)='Main Budget'!$J$28,'Main Budget'!$E$28,0)</f>
        <v>0</v>
      </c>
      <c r="J1047" s="227">
        <f>IF(DAY(A1047)='Main Budget'!$J$29,'Main Budget'!$E$29,0)</f>
        <v>0</v>
      </c>
      <c r="K1047" s="20">
        <f>IF(DAY(A1047)='Main Budget'!$J$30,'Main Budget'!$E$30,0)</f>
        <v>0</v>
      </c>
      <c r="L1047" s="20">
        <f>IF(DAY(A1047)='Main Budget'!$J$31,'Main Budget'!$E$31,0)</f>
        <v>0</v>
      </c>
      <c r="M1047" s="20">
        <f>IF(DAY(A1047)='Main Budget'!$J$27,'Main Budget'!$E$27,0)</f>
        <v>0</v>
      </c>
      <c r="O1047" s="228">
        <f>B1047+(SUM(H1047:M1047)+(SUM(D1047:E1047)))</f>
        <v>100</v>
      </c>
      <c r="P1047" s="228">
        <f>C1047+F1047+G1047+N1047</f>
        <v>100</v>
      </c>
      <c r="Q1047" s="252">
        <f>O1047+P1047</f>
        <v>200</v>
      </c>
      <c r="S1047" s="231" t="str">
        <f>TEXT(A1047,"dddd")</f>
        <v>Saturday</v>
      </c>
    </row>
    <row r="1048" spans="1:19" x14ac:dyDescent="0.25">
      <c r="A1048" s="226">
        <v>47069</v>
      </c>
      <c r="B1048" s="227">
        <f>O1047</f>
        <v>100</v>
      </c>
      <c r="C1048" s="228">
        <f>P1047</f>
        <v>100</v>
      </c>
      <c r="D1048" s="228">
        <f>IF(OR(DAY(A1048+2)=1,DAY(A1048+2)=15),-SUM('Main Budget'!$H$26:$H$31),0)</f>
        <v>0</v>
      </c>
      <c r="E1048" s="228">
        <f>IF(DAY(A1048+2)=22,-SUM('Main Budget'!$F$26:$F$31),0)</f>
        <v>0</v>
      </c>
      <c r="F1048" s="228">
        <f>IF(D1048&gt;0,-'Main Budget'!$H$25+0.15,0)</f>
        <v>0</v>
      </c>
      <c r="G1048" s="228">
        <f>IF(E1048&gt;0,-'Main Budget'!$F$25+0.81,0)</f>
        <v>0</v>
      </c>
      <c r="H1048" s="227">
        <f>IF(DAY(A1048)='Main Budget'!$J$26,'Main Budget'!$E$26,0)</f>
        <v>0</v>
      </c>
      <c r="I1048" s="227">
        <f>IF(DAY(A1048)='Main Budget'!$J$28,'Main Budget'!$E$28,0)</f>
        <v>0</v>
      </c>
      <c r="J1048" s="227">
        <f>IF(DAY(A1048)='Main Budget'!$J$29,'Main Budget'!$E$29,0)</f>
        <v>0</v>
      </c>
      <c r="K1048" s="20">
        <f>IF(DAY(A1048)='Main Budget'!$J$30,'Main Budget'!$E$30,0)</f>
        <v>0</v>
      </c>
      <c r="L1048" s="20">
        <f>IF(DAY(A1048)='Main Budget'!$J$31,'Main Budget'!$E$31,0)</f>
        <v>0</v>
      </c>
      <c r="M1048" s="20">
        <f>IF(DAY(A1048)='Main Budget'!$J$27,'Main Budget'!$E$27,0)</f>
        <v>0</v>
      </c>
      <c r="O1048" s="228">
        <f>B1048+(SUM(H1048:M1048)+(SUM(D1048:E1048)))</f>
        <v>100</v>
      </c>
      <c r="P1048" s="228">
        <f>C1048+F1048+G1048+N1048</f>
        <v>100</v>
      </c>
      <c r="Q1048" s="252">
        <f>O1048+P1048</f>
        <v>200</v>
      </c>
      <c r="S1048" s="231" t="str">
        <f>TEXT(A1048,"dddd")</f>
        <v>Sunday</v>
      </c>
    </row>
    <row r="1049" spans="1:19" x14ac:dyDescent="0.25">
      <c r="A1049" s="226">
        <v>47070</v>
      </c>
      <c r="B1049" s="227">
        <f>O1048</f>
        <v>100</v>
      </c>
      <c r="C1049" s="228">
        <f>P1048</f>
        <v>100</v>
      </c>
      <c r="D1049" s="228">
        <f>IF(OR(DAY(A1049+2)=1,DAY(A1049+2)=15),-SUM('Main Budget'!$H$26:$H$31),0)</f>
        <v>0</v>
      </c>
      <c r="E1049" s="228">
        <f>IF(DAY(A1049+2)=22,-SUM('Main Budget'!$F$26:$F$31),0)</f>
        <v>0</v>
      </c>
      <c r="F1049" s="228">
        <f>IF(D1049&gt;0,-'Main Budget'!$H$25+0.15,0)</f>
        <v>0</v>
      </c>
      <c r="G1049" s="228">
        <f>IF(E1049&gt;0,-'Main Budget'!$F$25+0.81,0)</f>
        <v>0</v>
      </c>
      <c r="H1049" s="227">
        <f>IF(DAY(A1049)='Main Budget'!$J$26,'Main Budget'!$E$26,0)</f>
        <v>0</v>
      </c>
      <c r="I1049" s="227">
        <f>IF(DAY(A1049)='Main Budget'!$J$28,'Main Budget'!$E$28,0)</f>
        <v>0</v>
      </c>
      <c r="J1049" s="227">
        <f>IF(DAY(A1049)='Main Budget'!$J$29,'Main Budget'!$E$29,0)</f>
        <v>0</v>
      </c>
      <c r="K1049" s="20">
        <f>IF(DAY(A1049)='Main Budget'!$J$30,'Main Budget'!$E$30,0)</f>
        <v>0</v>
      </c>
      <c r="L1049" s="20">
        <f>IF(DAY(A1049)='Main Budget'!$J$31,'Main Budget'!$E$31,0)</f>
        <v>0</v>
      </c>
      <c r="M1049" s="20">
        <f>IF(DAY(A1049)='Main Budget'!$J$27,'Main Budget'!$E$27,0)</f>
        <v>0</v>
      </c>
      <c r="O1049" s="228">
        <f>B1049+(SUM(H1049:M1049)+(SUM(D1049:E1049)))</f>
        <v>100</v>
      </c>
      <c r="P1049" s="228">
        <f>C1049+F1049+G1049+N1049</f>
        <v>100</v>
      </c>
      <c r="Q1049" s="252">
        <f>O1049+P1049</f>
        <v>200</v>
      </c>
      <c r="S1049" s="231" t="str">
        <f>TEXT(A1049,"dddd")</f>
        <v>Monday</v>
      </c>
    </row>
    <row r="1050" spans="1:19" x14ac:dyDescent="0.25">
      <c r="A1050" s="226">
        <v>47071</v>
      </c>
      <c r="B1050" s="227">
        <f>O1049</f>
        <v>100</v>
      </c>
      <c r="C1050" s="228">
        <f>P1049</f>
        <v>100</v>
      </c>
      <c r="D1050" s="228">
        <f>IF(OR(DAY(A1050+2)=1,DAY(A1050+2)=15),-SUM('Main Budget'!$H$26:$H$31),0)</f>
        <v>0</v>
      </c>
      <c r="E1050" s="228">
        <f>IF(DAY(A1050+2)=22,-SUM('Main Budget'!$F$26:$F$31),0)</f>
        <v>0</v>
      </c>
      <c r="F1050" s="228">
        <f>IF(D1050&gt;0,-'Main Budget'!$H$25+0.15,0)</f>
        <v>0</v>
      </c>
      <c r="G1050" s="228">
        <f>IF(E1050&gt;0,-'Main Budget'!$F$25+0.81,0)</f>
        <v>0</v>
      </c>
      <c r="H1050" s="227">
        <f>IF(DAY(A1050)='Main Budget'!$J$26,'Main Budget'!$E$26,0)</f>
        <v>0</v>
      </c>
      <c r="I1050" s="227">
        <f>IF(DAY(A1050)='Main Budget'!$J$28,'Main Budget'!$E$28,0)</f>
        <v>0</v>
      </c>
      <c r="J1050" s="227">
        <f>IF(DAY(A1050)='Main Budget'!$J$29,'Main Budget'!$E$29,0)</f>
        <v>0</v>
      </c>
      <c r="K1050" s="20">
        <f>IF(DAY(A1050)='Main Budget'!$J$30,'Main Budget'!$E$30,0)</f>
        <v>0</v>
      </c>
      <c r="L1050" s="20">
        <f>IF(DAY(A1050)='Main Budget'!$J$31,'Main Budget'!$E$31,0)</f>
        <v>0</v>
      </c>
      <c r="M1050" s="20">
        <f>IF(DAY(A1050)='Main Budget'!$J$27,'Main Budget'!$E$27,0)</f>
        <v>0</v>
      </c>
      <c r="O1050" s="228">
        <f>B1050+(SUM(H1050:M1050)+(SUM(D1050:E1050)))</f>
        <v>100</v>
      </c>
      <c r="P1050" s="228">
        <f>C1050+F1050+G1050+N1050</f>
        <v>100</v>
      </c>
      <c r="Q1050" s="252">
        <f>O1050+P1050</f>
        <v>200</v>
      </c>
      <c r="S1050" s="231" t="str">
        <f>TEXT(A1050,"dddd")</f>
        <v>Tuesday</v>
      </c>
    </row>
    <row r="1051" spans="1:19" x14ac:dyDescent="0.25">
      <c r="A1051" s="226">
        <v>47072</v>
      </c>
      <c r="B1051" s="227">
        <f>O1050</f>
        <v>100</v>
      </c>
      <c r="C1051" s="228">
        <f>P1050</f>
        <v>100</v>
      </c>
      <c r="D1051" s="228">
        <f>IF(OR(DAY(A1051+2)=1,DAY(A1051+2)=15),-SUM('Main Budget'!$H$26:$H$31),0)</f>
        <v>0</v>
      </c>
      <c r="E1051" s="228">
        <f>IF(DAY(A1051+2)=22,-SUM('Main Budget'!$F$26:$F$31),0)</f>
        <v>0</v>
      </c>
      <c r="F1051" s="228">
        <f>IF(D1051&gt;0,-'Main Budget'!$H$25+0.15,0)</f>
        <v>0</v>
      </c>
      <c r="G1051" s="228">
        <f>IF(E1051&gt;0,-'Main Budget'!$F$25+0.81,0)</f>
        <v>0</v>
      </c>
      <c r="H1051" s="227">
        <f>IF(DAY(A1051)='Main Budget'!$J$26,'Main Budget'!$E$26,0)</f>
        <v>0</v>
      </c>
      <c r="I1051" s="227">
        <f>IF(DAY(A1051)='Main Budget'!$J$28,'Main Budget'!$E$28,0)</f>
        <v>0</v>
      </c>
      <c r="J1051" s="227">
        <f>IF(DAY(A1051)='Main Budget'!$J$29,'Main Budget'!$E$29,0)</f>
        <v>0</v>
      </c>
      <c r="K1051" s="20">
        <f>IF(DAY(A1051)='Main Budget'!$J$30,'Main Budget'!$E$30,0)</f>
        <v>0</v>
      </c>
      <c r="L1051" s="20">
        <f>IF(DAY(A1051)='Main Budget'!$J$31,'Main Budget'!$E$31,0)</f>
        <v>0</v>
      </c>
      <c r="M1051" s="20">
        <f>IF(DAY(A1051)='Main Budget'!$J$27,'Main Budget'!$E$27,0)</f>
        <v>0</v>
      </c>
      <c r="O1051" s="228">
        <f>B1051+(SUM(H1051:M1051)+(SUM(D1051:E1051)))</f>
        <v>100</v>
      </c>
      <c r="P1051" s="228">
        <f>C1051+F1051+G1051+N1051</f>
        <v>100</v>
      </c>
      <c r="Q1051" s="252">
        <f>O1051+P1051</f>
        <v>200</v>
      </c>
      <c r="S1051" s="231" t="str">
        <f>TEXT(A1051,"dddd")</f>
        <v>Wednesday</v>
      </c>
    </row>
    <row r="1052" spans="1:19" x14ac:dyDescent="0.25">
      <c r="A1052" s="226">
        <v>47073</v>
      </c>
      <c r="B1052" s="227">
        <f>O1051</f>
        <v>100</v>
      </c>
      <c r="C1052" s="228">
        <f>P1051</f>
        <v>100</v>
      </c>
      <c r="D1052" s="228">
        <f>IF(OR(DAY(A1052+2)=1,DAY(A1052+2)=15),-SUM('Main Budget'!$H$26:$H$31),0)</f>
        <v>0</v>
      </c>
      <c r="E1052" s="228">
        <f>IF(DAY(A1052+2)=22,-SUM('Main Budget'!$F$26:$F$31),0)</f>
        <v>0</v>
      </c>
      <c r="F1052" s="228">
        <f>IF(D1052&gt;0,-'Main Budget'!$H$25+0.15,0)</f>
        <v>0</v>
      </c>
      <c r="G1052" s="228">
        <f>IF(E1052&gt;0,-'Main Budget'!$F$25+0.81,0)</f>
        <v>0</v>
      </c>
      <c r="H1052" s="227">
        <f>IF(DAY(A1052)='Main Budget'!$J$26,'Main Budget'!$E$26,0)</f>
        <v>0</v>
      </c>
      <c r="I1052" s="227">
        <f>IF(DAY(A1052)='Main Budget'!$J$28,'Main Budget'!$E$28,0)</f>
        <v>0</v>
      </c>
      <c r="J1052" s="227">
        <f>IF(DAY(A1052)='Main Budget'!$J$29,'Main Budget'!$E$29,0)</f>
        <v>0</v>
      </c>
      <c r="K1052" s="20">
        <f>IF(DAY(A1052)='Main Budget'!$J$30,'Main Budget'!$E$30,0)</f>
        <v>0</v>
      </c>
      <c r="L1052" s="20">
        <f>IF(DAY(A1052)='Main Budget'!$J$31,'Main Budget'!$E$31,0)</f>
        <v>0</v>
      </c>
      <c r="M1052" s="20">
        <f>IF(DAY(A1052)='Main Budget'!$J$27,'Main Budget'!$E$27,0)</f>
        <v>0</v>
      </c>
      <c r="O1052" s="228">
        <f>B1052+(SUM(H1052:M1052)+(SUM(D1052:E1052)))</f>
        <v>100</v>
      </c>
      <c r="P1052" s="228">
        <f>C1052+F1052+G1052+N1052</f>
        <v>100</v>
      </c>
      <c r="Q1052" s="252">
        <f>O1052+P1052</f>
        <v>200</v>
      </c>
      <c r="S1052" s="231" t="str">
        <f>TEXT(A1052,"dddd")</f>
        <v>Thursday</v>
      </c>
    </row>
    <row r="1053" spans="1:19" x14ac:dyDescent="0.25">
      <c r="A1053" s="226">
        <v>47074</v>
      </c>
      <c r="B1053" s="227">
        <f>O1052</f>
        <v>100</v>
      </c>
      <c r="C1053" s="228">
        <f>P1052</f>
        <v>100</v>
      </c>
      <c r="D1053" s="228">
        <f>IF(OR(DAY(A1053+2)=1,DAY(A1053+2)=15),-SUM('Main Budget'!$H$26:$H$31),0)</f>
        <v>0</v>
      </c>
      <c r="E1053" s="228">
        <f>IF(DAY(A1053+2)=22,-SUM('Main Budget'!$F$26:$F$31),0)</f>
        <v>0</v>
      </c>
      <c r="F1053" s="228">
        <f>IF(D1053&gt;0,-'Main Budget'!$H$25+0.15,0)</f>
        <v>0</v>
      </c>
      <c r="G1053" s="228">
        <f>IF(E1053&gt;0,-'Main Budget'!$F$25+0.81,0)</f>
        <v>0</v>
      </c>
      <c r="H1053" s="227">
        <f>IF(DAY(A1053)='Main Budget'!$J$26,'Main Budget'!$E$26,0)</f>
        <v>0</v>
      </c>
      <c r="I1053" s="227">
        <f>IF(DAY(A1053)='Main Budget'!$J$28,'Main Budget'!$E$28,0)</f>
        <v>0</v>
      </c>
      <c r="J1053" s="227">
        <f>IF(DAY(A1053)='Main Budget'!$J$29,'Main Budget'!$E$29,0)</f>
        <v>0</v>
      </c>
      <c r="K1053" s="20">
        <f>IF(DAY(A1053)='Main Budget'!$J$30,'Main Budget'!$E$30,0)</f>
        <v>0</v>
      </c>
      <c r="L1053" s="20">
        <f>IF(DAY(A1053)='Main Budget'!$J$31,'Main Budget'!$E$31,0)</f>
        <v>0</v>
      </c>
      <c r="M1053" s="20">
        <f>IF(DAY(A1053)='Main Budget'!$J$27,'Main Budget'!$E$27,0)</f>
        <v>0</v>
      </c>
      <c r="O1053" s="228">
        <f>B1053+(SUM(H1053:M1053)+(SUM(D1053:E1053)))</f>
        <v>100</v>
      </c>
      <c r="P1053" s="228">
        <f>C1053+F1053+G1053+N1053</f>
        <v>100</v>
      </c>
      <c r="Q1053" s="252">
        <f>O1053+P1053</f>
        <v>200</v>
      </c>
      <c r="S1053" s="231" t="str">
        <f>TEXT(A1053,"dddd")</f>
        <v>Friday</v>
      </c>
    </row>
    <row r="1054" spans="1:19" x14ac:dyDescent="0.25">
      <c r="A1054" s="226">
        <v>47075</v>
      </c>
      <c r="B1054" s="227">
        <f>O1053</f>
        <v>100</v>
      </c>
      <c r="C1054" s="228">
        <f>P1053</f>
        <v>100</v>
      </c>
      <c r="D1054" s="228">
        <f>IF(OR(DAY(A1054+2)=1,DAY(A1054+2)=15),-SUM('Main Budget'!$H$26:$H$31),0)</f>
        <v>0</v>
      </c>
      <c r="E1054" s="228">
        <f>IF(DAY(A1054+2)=22,-SUM('Main Budget'!$F$26:$F$31),0)</f>
        <v>0</v>
      </c>
      <c r="F1054" s="228">
        <f>IF(D1054&gt;0,-'Main Budget'!$H$25+0.15,0)</f>
        <v>0</v>
      </c>
      <c r="G1054" s="228">
        <f>IF(E1054&gt;0,-'Main Budget'!$F$25+0.81,0)</f>
        <v>0</v>
      </c>
      <c r="H1054" s="227">
        <f>IF(DAY(A1054)='Main Budget'!$J$26,'Main Budget'!$E$26,0)</f>
        <v>0</v>
      </c>
      <c r="I1054" s="227">
        <f>IF(DAY(A1054)='Main Budget'!$J$28,'Main Budget'!$E$28,0)</f>
        <v>0</v>
      </c>
      <c r="J1054" s="227">
        <f>IF(DAY(A1054)='Main Budget'!$J$29,'Main Budget'!$E$29,0)</f>
        <v>0</v>
      </c>
      <c r="K1054" s="20">
        <f>IF(DAY(A1054)='Main Budget'!$J$30,'Main Budget'!$E$30,0)</f>
        <v>0</v>
      </c>
      <c r="L1054" s="20">
        <f>IF(DAY(A1054)='Main Budget'!$J$31,'Main Budget'!$E$31,0)</f>
        <v>0</v>
      </c>
      <c r="M1054" s="20">
        <f>IF(DAY(A1054)='Main Budget'!$J$27,'Main Budget'!$E$27,0)</f>
        <v>0</v>
      </c>
      <c r="O1054" s="228">
        <f>B1054+(SUM(H1054:M1054)+(SUM(D1054:E1054)))</f>
        <v>100</v>
      </c>
      <c r="P1054" s="228">
        <f>C1054+F1054+G1054+N1054</f>
        <v>100</v>
      </c>
      <c r="Q1054" s="252">
        <f>O1054+P1054</f>
        <v>200</v>
      </c>
      <c r="S1054" s="231" t="str">
        <f>TEXT(A1054,"dddd")</f>
        <v>Saturday</v>
      </c>
    </row>
    <row r="1055" spans="1:19" x14ac:dyDescent="0.25">
      <c r="A1055" s="226">
        <v>47076</v>
      </c>
      <c r="B1055" s="227">
        <f>O1054</f>
        <v>100</v>
      </c>
      <c r="C1055" s="228">
        <f>P1054</f>
        <v>100</v>
      </c>
      <c r="D1055" s="228">
        <f>IF(OR(DAY(A1055+2)=1,DAY(A1055+2)=15),-SUM('Main Budget'!$H$26:$H$31),0)</f>
        <v>0</v>
      </c>
      <c r="E1055" s="228">
        <f>IF(DAY(A1055+2)=22,-SUM('Main Budget'!$F$26:$F$31),0)</f>
        <v>0</v>
      </c>
      <c r="F1055" s="228">
        <f>IF(D1055&gt;0,-'Main Budget'!$H$25+0.15,0)</f>
        <v>0</v>
      </c>
      <c r="G1055" s="228">
        <f>IF(E1055&gt;0,-'Main Budget'!$F$25+0.81,0)</f>
        <v>0</v>
      </c>
      <c r="H1055" s="227">
        <f>IF(DAY(A1055)='Main Budget'!$J$26,'Main Budget'!$E$26,0)</f>
        <v>0</v>
      </c>
      <c r="I1055" s="227">
        <f>IF(DAY(A1055)='Main Budget'!$J$28,'Main Budget'!$E$28,0)</f>
        <v>0</v>
      </c>
      <c r="J1055" s="227">
        <f>IF(DAY(A1055)='Main Budget'!$J$29,'Main Budget'!$E$29,0)</f>
        <v>0</v>
      </c>
      <c r="K1055" s="20">
        <f>IF(DAY(A1055)='Main Budget'!$J$30,'Main Budget'!$E$30,0)</f>
        <v>0</v>
      </c>
      <c r="L1055" s="20">
        <f>IF(DAY(A1055)='Main Budget'!$J$31,'Main Budget'!$E$31,0)</f>
        <v>0</v>
      </c>
      <c r="M1055" s="20">
        <f>IF(DAY(A1055)='Main Budget'!$J$27,'Main Budget'!$E$27,0)</f>
        <v>0</v>
      </c>
      <c r="O1055" s="228">
        <f>B1055+(SUM(H1055:M1055)+(SUM(D1055:E1055)))</f>
        <v>100</v>
      </c>
      <c r="P1055" s="228">
        <f>C1055+F1055+G1055+N1055</f>
        <v>100</v>
      </c>
      <c r="Q1055" s="252">
        <f>O1055+P1055</f>
        <v>200</v>
      </c>
      <c r="S1055" s="231" t="str">
        <f>TEXT(A1055,"dddd")</f>
        <v>Sunday</v>
      </c>
    </row>
    <row r="1056" spans="1:19" x14ac:dyDescent="0.25">
      <c r="A1056" s="226">
        <v>47077</v>
      </c>
      <c r="B1056" s="227">
        <f>O1055</f>
        <v>100</v>
      </c>
      <c r="C1056" s="228">
        <f>P1055</f>
        <v>100</v>
      </c>
      <c r="D1056" s="228">
        <f>IF(OR(DAY(A1056+2)=1,DAY(A1056+2)=15),-SUM('Main Budget'!$H$26:$H$31),0)</f>
        <v>0</v>
      </c>
      <c r="E1056" s="228">
        <f>IF(DAY(A1056+2)=22,-SUM('Main Budget'!$F$26:$F$31),0)</f>
        <v>0</v>
      </c>
      <c r="F1056" s="228">
        <f>IF(D1056&gt;0,-'Main Budget'!$H$25+0.15,0)</f>
        <v>0</v>
      </c>
      <c r="G1056" s="228">
        <f>IF(E1056&gt;0,-'Main Budget'!$F$25+0.81,0)</f>
        <v>0</v>
      </c>
      <c r="H1056" s="227">
        <f>IF(DAY(A1056)='Main Budget'!$J$26,'Main Budget'!$E$26,0)</f>
        <v>0</v>
      </c>
      <c r="I1056" s="227">
        <f>IF(DAY(A1056)='Main Budget'!$J$28,'Main Budget'!$E$28,0)</f>
        <v>0</v>
      </c>
      <c r="J1056" s="227">
        <f>IF(DAY(A1056)='Main Budget'!$J$29,'Main Budget'!$E$29,0)</f>
        <v>0</v>
      </c>
      <c r="K1056" s="20">
        <f>IF(DAY(A1056)='Main Budget'!$J$30,'Main Budget'!$E$30,0)</f>
        <v>0</v>
      </c>
      <c r="L1056" s="20">
        <f>IF(DAY(A1056)='Main Budget'!$J$31,'Main Budget'!$E$31,0)</f>
        <v>0</v>
      </c>
      <c r="M1056" s="20">
        <f>IF(DAY(A1056)='Main Budget'!$J$27,'Main Budget'!$E$27,0)</f>
        <v>0</v>
      </c>
      <c r="O1056" s="228">
        <f>B1056+(SUM(H1056:M1056)+(SUM(D1056:E1056)))</f>
        <v>100</v>
      </c>
      <c r="P1056" s="228">
        <f>C1056+F1056+G1056+N1056</f>
        <v>100</v>
      </c>
      <c r="Q1056" s="252">
        <f>O1056+P1056</f>
        <v>200</v>
      </c>
      <c r="S1056" s="231" t="str">
        <f>TEXT(A1056,"dddd")</f>
        <v>Monday</v>
      </c>
    </row>
    <row r="1057" spans="1:19" x14ac:dyDescent="0.25">
      <c r="A1057" s="226">
        <v>47078</v>
      </c>
      <c r="B1057" s="227">
        <f>O1056</f>
        <v>100</v>
      </c>
      <c r="C1057" s="228">
        <f>P1056</f>
        <v>100</v>
      </c>
      <c r="D1057" s="228">
        <f>IF(OR(DAY(A1057+2)=1,DAY(A1057+2)=15),-SUM('Main Budget'!$H$26:$H$31),0)</f>
        <v>0</v>
      </c>
      <c r="E1057" s="228">
        <f>IF(DAY(A1057+2)=22,-SUM('Main Budget'!$F$26:$F$31),0)</f>
        <v>0</v>
      </c>
      <c r="F1057" s="228">
        <f>IF(D1057&gt;0,-'Main Budget'!$H$25+0.15,0)</f>
        <v>0</v>
      </c>
      <c r="G1057" s="228">
        <f>IF(E1057&gt;0,-'Main Budget'!$F$25+0.81,0)</f>
        <v>0</v>
      </c>
      <c r="H1057" s="227">
        <f>IF(DAY(A1057)='Main Budget'!$J$26,'Main Budget'!$E$26,0)</f>
        <v>0</v>
      </c>
      <c r="I1057" s="227">
        <f>IF(DAY(A1057)='Main Budget'!$J$28,'Main Budget'!$E$28,0)</f>
        <v>0</v>
      </c>
      <c r="J1057" s="227">
        <f>IF(DAY(A1057)='Main Budget'!$J$29,'Main Budget'!$E$29,0)</f>
        <v>0</v>
      </c>
      <c r="K1057" s="20">
        <f>IF(DAY(A1057)='Main Budget'!$J$30,'Main Budget'!$E$30,0)</f>
        <v>0</v>
      </c>
      <c r="L1057" s="20">
        <f>IF(DAY(A1057)='Main Budget'!$J$31,'Main Budget'!$E$31,0)</f>
        <v>0</v>
      </c>
      <c r="M1057" s="20">
        <f>IF(DAY(A1057)='Main Budget'!$J$27,'Main Budget'!$E$27,0)</f>
        <v>0</v>
      </c>
      <c r="O1057" s="228">
        <f>B1057+(SUM(H1057:M1057)+(SUM(D1057:E1057)))</f>
        <v>100</v>
      </c>
      <c r="P1057" s="228">
        <f>C1057+F1057+G1057+N1057</f>
        <v>100</v>
      </c>
      <c r="Q1057" s="252">
        <f>O1057+P1057</f>
        <v>200</v>
      </c>
      <c r="S1057" s="231" t="str">
        <f>TEXT(A1057,"dddd")</f>
        <v>Tuesday</v>
      </c>
    </row>
    <row r="1058" spans="1:19" x14ac:dyDescent="0.25">
      <c r="A1058" s="226">
        <v>47079</v>
      </c>
      <c r="B1058" s="227">
        <f>O1057</f>
        <v>100</v>
      </c>
      <c r="C1058" s="228">
        <f>P1057</f>
        <v>100</v>
      </c>
      <c r="D1058" s="228">
        <f>IF(OR(DAY(A1058+2)=1,DAY(A1058+2)=15),-SUM('Main Budget'!$H$26:$H$31),0)</f>
        <v>0</v>
      </c>
      <c r="E1058" s="228">
        <f>IF(DAY(A1058+2)=22,-SUM('Main Budget'!$F$26:$F$31),0)</f>
        <v>0</v>
      </c>
      <c r="F1058" s="228">
        <f>IF(D1058&gt;0,-'Main Budget'!$H$25+0.15,0)</f>
        <v>0</v>
      </c>
      <c r="G1058" s="228">
        <f>IF(E1058&gt;0,-'Main Budget'!$F$25+0.81,0)</f>
        <v>0</v>
      </c>
      <c r="H1058" s="227">
        <f>IF(DAY(A1058)='Main Budget'!$J$26,'Main Budget'!$E$26,0)</f>
        <v>0</v>
      </c>
      <c r="I1058" s="227">
        <f>IF(DAY(A1058)='Main Budget'!$J$28,'Main Budget'!$E$28,0)</f>
        <v>0</v>
      </c>
      <c r="J1058" s="227">
        <f>IF(DAY(A1058)='Main Budget'!$J$29,'Main Budget'!$E$29,0)</f>
        <v>0</v>
      </c>
      <c r="K1058" s="20">
        <f>IF(DAY(A1058)='Main Budget'!$J$30,'Main Budget'!$E$30,0)</f>
        <v>0</v>
      </c>
      <c r="L1058" s="20">
        <f>IF(DAY(A1058)='Main Budget'!$J$31,'Main Budget'!$E$31,0)</f>
        <v>0</v>
      </c>
      <c r="M1058" s="20">
        <f>IF(DAY(A1058)='Main Budget'!$J$27,'Main Budget'!$E$27,0)</f>
        <v>0</v>
      </c>
      <c r="O1058" s="228">
        <f>B1058+(SUM(H1058:M1058)+(SUM(D1058:E1058)))</f>
        <v>100</v>
      </c>
      <c r="P1058" s="228">
        <f>C1058+F1058+G1058+N1058</f>
        <v>100</v>
      </c>
      <c r="Q1058" s="252">
        <f>O1058+P1058</f>
        <v>200</v>
      </c>
      <c r="S1058" s="231" t="str">
        <f>TEXT(A1058,"dddd")</f>
        <v>Wednesday</v>
      </c>
    </row>
    <row r="1059" spans="1:19" x14ac:dyDescent="0.25">
      <c r="A1059" s="226">
        <v>47080</v>
      </c>
      <c r="B1059" s="227">
        <f>O1058</f>
        <v>100</v>
      </c>
      <c r="C1059" s="228">
        <f>P1058</f>
        <v>100</v>
      </c>
      <c r="D1059" s="228">
        <f>IF(OR(DAY(A1059+2)=1,DAY(A1059+2)=15),-SUM('Main Budget'!$H$26:$H$31),0)</f>
        <v>0</v>
      </c>
      <c r="E1059" s="228">
        <f>IF(DAY(A1059+2)=22,-SUM('Main Budget'!$F$26:$F$31),0)</f>
        <v>0</v>
      </c>
      <c r="F1059" s="228">
        <f>IF(D1059&gt;0,-'Main Budget'!$H$25+0.15,0)</f>
        <v>0</v>
      </c>
      <c r="G1059" s="228">
        <f>IF(E1059&gt;0,-'Main Budget'!$F$25+0.81,0)</f>
        <v>0</v>
      </c>
      <c r="H1059" s="227">
        <f>IF(DAY(A1059)='Main Budget'!$J$26,'Main Budget'!$E$26,0)</f>
        <v>0</v>
      </c>
      <c r="I1059" s="227">
        <f>IF(DAY(A1059)='Main Budget'!$J$28,'Main Budget'!$E$28,0)</f>
        <v>0</v>
      </c>
      <c r="J1059" s="227">
        <f>IF(DAY(A1059)='Main Budget'!$J$29,'Main Budget'!$E$29,0)</f>
        <v>0</v>
      </c>
      <c r="K1059" s="20">
        <f>IF(DAY(A1059)='Main Budget'!$J$30,'Main Budget'!$E$30,0)</f>
        <v>0</v>
      </c>
      <c r="L1059" s="20">
        <f>IF(DAY(A1059)='Main Budget'!$J$31,'Main Budget'!$E$31,0)</f>
        <v>0</v>
      </c>
      <c r="M1059" s="20">
        <f>IF(DAY(A1059)='Main Budget'!$J$27,'Main Budget'!$E$27,0)</f>
        <v>0</v>
      </c>
      <c r="O1059" s="228">
        <f>B1059+(SUM(H1059:M1059)+(SUM(D1059:E1059)))</f>
        <v>100</v>
      </c>
      <c r="P1059" s="228">
        <f>C1059+F1059+G1059+N1059</f>
        <v>100</v>
      </c>
      <c r="Q1059" s="252">
        <f>O1059+P1059</f>
        <v>200</v>
      </c>
      <c r="S1059" s="231" t="str">
        <f>TEXT(A1059,"dddd")</f>
        <v>Thursday</v>
      </c>
    </row>
    <row r="1060" spans="1:19" x14ac:dyDescent="0.25">
      <c r="A1060" s="226">
        <v>47081</v>
      </c>
      <c r="B1060" s="227">
        <f>O1059</f>
        <v>100</v>
      </c>
      <c r="C1060" s="228">
        <f>P1059</f>
        <v>100</v>
      </c>
      <c r="D1060" s="228">
        <f>IF(OR(DAY(A1060+2)=1,DAY(A1060+2)=15),-SUM('Main Budget'!$H$26:$H$31),0)</f>
        <v>0</v>
      </c>
      <c r="E1060" s="228">
        <f>IF(DAY(A1060+2)=22,-SUM('Main Budget'!$F$26:$F$31),0)</f>
        <v>0</v>
      </c>
      <c r="F1060" s="228">
        <f>IF(D1060&gt;0,-'Main Budget'!$H$25+0.15,0)</f>
        <v>0</v>
      </c>
      <c r="G1060" s="228">
        <f>IF(E1060&gt;0,-'Main Budget'!$F$25+0.81,0)</f>
        <v>0</v>
      </c>
      <c r="H1060" s="227">
        <f>IF(DAY(A1060)='Main Budget'!$J$26,'Main Budget'!$E$26,0)</f>
        <v>0</v>
      </c>
      <c r="I1060" s="227">
        <f>IF(DAY(A1060)='Main Budget'!$J$28,'Main Budget'!$E$28,0)</f>
        <v>0</v>
      </c>
      <c r="J1060" s="227">
        <f>IF(DAY(A1060)='Main Budget'!$J$29,'Main Budget'!$E$29,0)</f>
        <v>0</v>
      </c>
      <c r="K1060" s="20">
        <f>IF(DAY(A1060)='Main Budget'!$J$30,'Main Budget'!$E$30,0)</f>
        <v>0</v>
      </c>
      <c r="L1060" s="20">
        <f>IF(DAY(A1060)='Main Budget'!$J$31,'Main Budget'!$E$31,0)</f>
        <v>0</v>
      </c>
      <c r="M1060" s="20">
        <f>IF(DAY(A1060)='Main Budget'!$J$27,'Main Budget'!$E$27,0)</f>
        <v>0</v>
      </c>
      <c r="O1060" s="228">
        <f>B1060+(SUM(H1060:M1060)+(SUM(D1060:E1060)))</f>
        <v>100</v>
      </c>
      <c r="P1060" s="228">
        <f>C1060+F1060+G1060+N1060</f>
        <v>100</v>
      </c>
      <c r="Q1060" s="252">
        <f>O1060+P1060</f>
        <v>200</v>
      </c>
      <c r="S1060" s="231" t="str">
        <f>TEXT(A1060,"dddd")</f>
        <v>Friday</v>
      </c>
    </row>
    <row r="1061" spans="1:19" x14ac:dyDescent="0.25">
      <c r="A1061" s="226">
        <v>47082</v>
      </c>
      <c r="B1061" s="227">
        <f>O1060</f>
        <v>100</v>
      </c>
      <c r="C1061" s="228">
        <f>P1060</f>
        <v>100</v>
      </c>
      <c r="D1061" s="228">
        <f>IF(OR(DAY(A1061+2)=1,DAY(A1061+2)=15),-SUM('Main Budget'!$H$26:$H$31),0)</f>
        <v>0</v>
      </c>
      <c r="E1061" s="228">
        <f>IF(DAY(A1061+2)=22,-SUM('Main Budget'!$F$26:$F$31),0)</f>
        <v>0</v>
      </c>
      <c r="F1061" s="228">
        <f>IF(D1061&gt;0,-'Main Budget'!$H$25+0.15,0)</f>
        <v>0</v>
      </c>
      <c r="G1061" s="228">
        <f>IF(E1061&gt;0,-'Main Budget'!$F$25+0.81,0)</f>
        <v>0</v>
      </c>
      <c r="H1061" s="227">
        <f>IF(DAY(A1061)='Main Budget'!$J$26,'Main Budget'!$E$26,0)</f>
        <v>0</v>
      </c>
      <c r="I1061" s="227">
        <f>IF(DAY(A1061)='Main Budget'!$J$28,'Main Budget'!$E$28,0)</f>
        <v>0</v>
      </c>
      <c r="J1061" s="227">
        <f>IF(DAY(A1061)='Main Budget'!$J$29,'Main Budget'!$E$29,0)</f>
        <v>0</v>
      </c>
      <c r="K1061" s="20">
        <f>IF(DAY(A1061)='Main Budget'!$J$30,'Main Budget'!$E$30,0)</f>
        <v>0</v>
      </c>
      <c r="L1061" s="20">
        <f>IF(DAY(A1061)='Main Budget'!$J$31,'Main Budget'!$E$31,0)</f>
        <v>0</v>
      </c>
      <c r="M1061" s="20">
        <f>IF(DAY(A1061)='Main Budget'!$J$27,'Main Budget'!$E$27,0)</f>
        <v>0</v>
      </c>
      <c r="O1061" s="228">
        <f>B1061+(SUM(H1061:M1061)+(SUM(D1061:E1061)))</f>
        <v>100</v>
      </c>
      <c r="P1061" s="228">
        <f>C1061+F1061+G1061+N1061</f>
        <v>100</v>
      </c>
      <c r="Q1061" s="252">
        <f>O1061+P1061</f>
        <v>200</v>
      </c>
      <c r="S1061" s="231" t="str">
        <f>TEXT(A1061,"dddd")</f>
        <v>Saturday</v>
      </c>
    </row>
    <row r="1062" spans="1:19" x14ac:dyDescent="0.25">
      <c r="A1062" s="226">
        <v>47083</v>
      </c>
      <c r="B1062" s="227">
        <f>O1061</f>
        <v>100</v>
      </c>
      <c r="C1062" s="228">
        <f>P1061</f>
        <v>100</v>
      </c>
      <c r="D1062" s="228">
        <f>IF(OR(DAY(A1062+2)=1,DAY(A1062+2)=15),-SUM('Main Budget'!$H$26:$H$31),0)</f>
        <v>0</v>
      </c>
      <c r="E1062" s="228">
        <f>IF(DAY(A1062+2)=22,-SUM('Main Budget'!$F$26:$F$31),0)</f>
        <v>0</v>
      </c>
      <c r="F1062" s="228">
        <f>IF(D1062&gt;0,-'Main Budget'!$H$25+0.15,0)</f>
        <v>0</v>
      </c>
      <c r="G1062" s="228">
        <f>IF(E1062&gt;0,-'Main Budget'!$F$25+0.81,0)</f>
        <v>0</v>
      </c>
      <c r="H1062" s="227">
        <f>IF(DAY(A1062)='Main Budget'!$J$26,'Main Budget'!$E$26,0)</f>
        <v>0</v>
      </c>
      <c r="I1062" s="227">
        <f>IF(DAY(A1062)='Main Budget'!$J$28,'Main Budget'!$E$28,0)</f>
        <v>0</v>
      </c>
      <c r="J1062" s="227">
        <f>IF(DAY(A1062)='Main Budget'!$J$29,'Main Budget'!$E$29,0)</f>
        <v>0</v>
      </c>
      <c r="K1062" s="20">
        <f>IF(DAY(A1062)='Main Budget'!$J$30,'Main Budget'!$E$30,0)</f>
        <v>0</v>
      </c>
      <c r="L1062" s="20">
        <f>IF(DAY(A1062)='Main Budget'!$J$31,'Main Budget'!$E$31,0)</f>
        <v>0</v>
      </c>
      <c r="M1062" s="20">
        <f>IF(DAY(A1062)='Main Budget'!$J$27,'Main Budget'!$E$27,0)</f>
        <v>0</v>
      </c>
      <c r="O1062" s="228">
        <f>B1062+(SUM(H1062:M1062)+(SUM(D1062:E1062)))</f>
        <v>100</v>
      </c>
      <c r="P1062" s="228">
        <f>C1062+F1062+G1062+N1062</f>
        <v>100</v>
      </c>
      <c r="Q1062" s="252">
        <f>O1062+P1062</f>
        <v>200</v>
      </c>
      <c r="S1062" s="231" t="str">
        <f>TEXT(A1062,"dddd")</f>
        <v>Sunday</v>
      </c>
    </row>
    <row r="1063" spans="1:19" x14ac:dyDescent="0.25">
      <c r="A1063" s="226">
        <v>47084</v>
      </c>
      <c r="B1063" s="227">
        <f>O1062</f>
        <v>100</v>
      </c>
      <c r="C1063" s="228">
        <f>P1062</f>
        <v>100</v>
      </c>
      <c r="D1063" s="228">
        <f>IF(OR(DAY(A1063+2)=1,DAY(A1063+2)=15),-SUM('Main Budget'!$H$26:$H$31),0)</f>
        <v>0</v>
      </c>
      <c r="E1063" s="228">
        <f>IF(DAY(A1063+2)=22,-SUM('Main Budget'!$F$26:$F$31),0)</f>
        <v>0</v>
      </c>
      <c r="F1063" s="228">
        <f>IF(D1063&gt;0,-'Main Budget'!$H$25+0.15,0)</f>
        <v>0</v>
      </c>
      <c r="G1063" s="228">
        <f>IF(E1063&gt;0,-'Main Budget'!$F$25+0.81,0)</f>
        <v>0</v>
      </c>
      <c r="H1063" s="227">
        <f>IF(DAY(A1063)='Main Budget'!$J$26,'Main Budget'!$E$26,0)</f>
        <v>0</v>
      </c>
      <c r="I1063" s="227">
        <f>IF(DAY(A1063)='Main Budget'!$J$28,'Main Budget'!$E$28,0)</f>
        <v>0</v>
      </c>
      <c r="J1063" s="227">
        <f>IF(DAY(A1063)='Main Budget'!$J$29,'Main Budget'!$E$29,0)</f>
        <v>0</v>
      </c>
      <c r="K1063" s="20">
        <f>IF(DAY(A1063)='Main Budget'!$J$30,'Main Budget'!$E$30,0)</f>
        <v>0</v>
      </c>
      <c r="L1063" s="20">
        <f>IF(DAY(A1063)='Main Budget'!$J$31,'Main Budget'!$E$31,0)</f>
        <v>0</v>
      </c>
      <c r="M1063" s="20">
        <f>IF(DAY(A1063)='Main Budget'!$J$27,'Main Budget'!$E$27,0)</f>
        <v>0</v>
      </c>
      <c r="O1063" s="228">
        <f>B1063+(SUM(H1063:M1063)+(SUM(D1063:E1063)))</f>
        <v>100</v>
      </c>
      <c r="P1063" s="228">
        <f>C1063+F1063+G1063+N1063</f>
        <v>100</v>
      </c>
      <c r="Q1063" s="252">
        <f>O1063+P1063</f>
        <v>200</v>
      </c>
      <c r="S1063" s="231" t="str">
        <f>TEXT(A1063,"dddd")</f>
        <v>Monday</v>
      </c>
    </row>
    <row r="1064" spans="1:19" x14ac:dyDescent="0.25">
      <c r="A1064" s="226">
        <v>47085</v>
      </c>
      <c r="B1064" s="227">
        <f>O1063</f>
        <v>100</v>
      </c>
      <c r="C1064" s="228">
        <f>P1063</f>
        <v>100</v>
      </c>
      <c r="D1064" s="228">
        <f>IF(OR(DAY(A1064+2)=1,DAY(A1064+2)=15),-SUM('Main Budget'!$H$26:$H$31),0)</f>
        <v>0</v>
      </c>
      <c r="E1064" s="228">
        <f>IF(DAY(A1064+2)=22,-SUM('Main Budget'!$F$26:$F$31),0)</f>
        <v>0</v>
      </c>
      <c r="F1064" s="228">
        <f>IF(D1064&gt;0,-'Main Budget'!$H$25+0.15,0)</f>
        <v>0</v>
      </c>
      <c r="G1064" s="228">
        <f>IF(E1064&gt;0,-'Main Budget'!$F$25+0.81,0)</f>
        <v>0</v>
      </c>
      <c r="H1064" s="227">
        <f>IF(DAY(A1064)='Main Budget'!$J$26,'Main Budget'!$E$26,0)</f>
        <v>0</v>
      </c>
      <c r="I1064" s="227">
        <f>IF(DAY(A1064)='Main Budget'!$J$28,'Main Budget'!$E$28,0)</f>
        <v>0</v>
      </c>
      <c r="J1064" s="227">
        <f>IF(DAY(A1064)='Main Budget'!$J$29,'Main Budget'!$E$29,0)</f>
        <v>0</v>
      </c>
      <c r="K1064" s="20">
        <f>IF(DAY(A1064)='Main Budget'!$J$30,'Main Budget'!$E$30,0)</f>
        <v>0</v>
      </c>
      <c r="L1064" s="20">
        <f>IF(DAY(A1064)='Main Budget'!$J$31,'Main Budget'!$E$31,0)</f>
        <v>0</v>
      </c>
      <c r="M1064" s="20">
        <f>IF(DAY(A1064)='Main Budget'!$J$27,'Main Budget'!$E$27,0)</f>
        <v>0</v>
      </c>
      <c r="O1064" s="228">
        <f>B1064+(SUM(H1064:M1064)+(SUM(D1064:E1064)))</f>
        <v>100</v>
      </c>
      <c r="P1064" s="228">
        <f>C1064+F1064+G1064+N1064</f>
        <v>100</v>
      </c>
      <c r="Q1064" s="252">
        <f>O1064+P1064</f>
        <v>200</v>
      </c>
      <c r="S1064" s="231" t="str">
        <f>TEXT(A1064,"dddd")</f>
        <v>Tuesday</v>
      </c>
    </row>
    <row r="1065" spans="1:19" x14ac:dyDescent="0.25">
      <c r="A1065" s="226">
        <v>47086</v>
      </c>
      <c r="B1065" s="227">
        <f>O1064</f>
        <v>100</v>
      </c>
      <c r="C1065" s="228">
        <f>P1064</f>
        <v>100</v>
      </c>
      <c r="D1065" s="228">
        <f>IF(OR(DAY(A1065+2)=1,DAY(A1065+2)=15),-SUM('Main Budget'!$H$26:$H$31),0)</f>
        <v>0</v>
      </c>
      <c r="E1065" s="228">
        <f>IF(DAY(A1065+2)=22,-SUM('Main Budget'!$F$26:$F$31),0)</f>
        <v>0</v>
      </c>
      <c r="F1065" s="228">
        <f>IF(D1065&gt;0,-'Main Budget'!$H$25+0.15,0)</f>
        <v>0</v>
      </c>
      <c r="G1065" s="228">
        <f>IF(E1065&gt;0,-'Main Budget'!$F$25+0.81,0)</f>
        <v>0</v>
      </c>
      <c r="H1065" s="227">
        <f>IF(DAY(A1065)='Main Budget'!$J$26,'Main Budget'!$E$26,0)</f>
        <v>0</v>
      </c>
      <c r="I1065" s="227">
        <f>IF(DAY(A1065)='Main Budget'!$J$28,'Main Budget'!$E$28,0)</f>
        <v>0</v>
      </c>
      <c r="J1065" s="227">
        <f>IF(DAY(A1065)='Main Budget'!$J$29,'Main Budget'!$E$29,0)</f>
        <v>0</v>
      </c>
      <c r="K1065" s="20">
        <f>IF(DAY(A1065)='Main Budget'!$J$30,'Main Budget'!$E$30,0)</f>
        <v>0</v>
      </c>
      <c r="L1065" s="20">
        <f>IF(DAY(A1065)='Main Budget'!$J$31,'Main Budget'!$E$31,0)</f>
        <v>0</v>
      </c>
      <c r="M1065" s="20">
        <f>IF(DAY(A1065)='Main Budget'!$J$27,'Main Budget'!$E$27,0)</f>
        <v>0</v>
      </c>
      <c r="O1065" s="228">
        <f>B1065+(SUM(H1065:M1065)+(SUM(D1065:E1065)))</f>
        <v>100</v>
      </c>
      <c r="P1065" s="228">
        <f>C1065+F1065+G1065+N1065</f>
        <v>100</v>
      </c>
      <c r="Q1065" s="252">
        <f>O1065+P1065</f>
        <v>200</v>
      </c>
      <c r="S1065" s="231" t="str">
        <f>TEXT(A1065,"dddd")</f>
        <v>Wednesday</v>
      </c>
    </row>
    <row r="1066" spans="1:19" x14ac:dyDescent="0.25">
      <c r="A1066" s="226">
        <v>47087</v>
      </c>
      <c r="B1066" s="227">
        <f>O1065</f>
        <v>100</v>
      </c>
      <c r="C1066" s="228">
        <f>P1065</f>
        <v>100</v>
      </c>
      <c r="D1066" s="228">
        <f>IF(OR(DAY(A1066+2)=1,DAY(A1066+2)=15),-SUM('Main Budget'!$H$26:$H$31),0)</f>
        <v>0</v>
      </c>
      <c r="E1066" s="228">
        <f>IF(DAY(A1066+2)=22,-SUM('Main Budget'!$F$26:$F$31),0)</f>
        <v>0</v>
      </c>
      <c r="F1066" s="228">
        <f>IF(D1066&gt;0,-'Main Budget'!$H$25+0.15,0)</f>
        <v>0</v>
      </c>
      <c r="G1066" s="228">
        <f>IF(E1066&gt;0,-'Main Budget'!$F$25+0.81,0)</f>
        <v>0</v>
      </c>
      <c r="H1066" s="227">
        <f>IF(DAY(A1066)='Main Budget'!$J$26,'Main Budget'!$E$26,0)</f>
        <v>0</v>
      </c>
      <c r="I1066" s="227">
        <f>IF(DAY(A1066)='Main Budget'!$J$28,'Main Budget'!$E$28,0)</f>
        <v>0</v>
      </c>
      <c r="J1066" s="227">
        <f>IF(DAY(A1066)='Main Budget'!$J$29,'Main Budget'!$E$29,0)</f>
        <v>0</v>
      </c>
      <c r="K1066" s="20">
        <f>IF(DAY(A1066)='Main Budget'!$J$30,'Main Budget'!$E$30,0)</f>
        <v>0</v>
      </c>
      <c r="L1066" s="20">
        <f>IF(DAY(A1066)='Main Budget'!$J$31,'Main Budget'!$E$31,0)</f>
        <v>0</v>
      </c>
      <c r="M1066" s="20">
        <f>IF(DAY(A1066)='Main Budget'!$J$27,'Main Budget'!$E$27,0)</f>
        <v>0</v>
      </c>
      <c r="O1066" s="228">
        <f>B1066+(SUM(H1066:M1066)+(SUM(D1066:E1066)))</f>
        <v>100</v>
      </c>
      <c r="P1066" s="228">
        <f>C1066+F1066+G1066+N1066</f>
        <v>100</v>
      </c>
      <c r="Q1066" s="252">
        <f>O1066+P1066</f>
        <v>200</v>
      </c>
      <c r="S1066" s="231" t="str">
        <f>TEXT(A1066,"dddd")</f>
        <v>Thursday</v>
      </c>
    </row>
    <row r="1067" spans="1:19" x14ac:dyDescent="0.25">
      <c r="A1067" s="226">
        <v>47088</v>
      </c>
      <c r="B1067" s="227">
        <f>O1066</f>
        <v>100</v>
      </c>
      <c r="C1067" s="228">
        <f>P1066</f>
        <v>100</v>
      </c>
      <c r="D1067" s="228">
        <f>IF(OR(DAY(A1067+2)=1,DAY(A1067+2)=15),-SUM('Main Budget'!$H$26:$H$31),0)</f>
        <v>0</v>
      </c>
      <c r="E1067" s="228">
        <f>IF(DAY(A1067+2)=22,-SUM('Main Budget'!$F$26:$F$31),0)</f>
        <v>0</v>
      </c>
      <c r="F1067" s="228">
        <f>IF(D1067&gt;0,-'Main Budget'!$H$25+0.15,0)</f>
        <v>0</v>
      </c>
      <c r="G1067" s="228">
        <f>IF(E1067&gt;0,-'Main Budget'!$F$25+0.81,0)</f>
        <v>0</v>
      </c>
      <c r="H1067" s="227">
        <f>IF(DAY(A1067)='Main Budget'!$J$26,'Main Budget'!$E$26,0)</f>
        <v>0</v>
      </c>
      <c r="I1067" s="227">
        <f>IF(DAY(A1067)='Main Budget'!$J$28,'Main Budget'!$E$28,0)</f>
        <v>0</v>
      </c>
      <c r="J1067" s="227">
        <f>IF(DAY(A1067)='Main Budget'!$J$29,'Main Budget'!$E$29,0)</f>
        <v>0</v>
      </c>
      <c r="K1067" s="20">
        <f>IF(DAY(A1067)='Main Budget'!$J$30,'Main Budget'!$E$30,0)</f>
        <v>0</v>
      </c>
      <c r="L1067" s="20">
        <f>IF(DAY(A1067)='Main Budget'!$J$31,'Main Budget'!$E$31,0)</f>
        <v>0</v>
      </c>
      <c r="M1067" s="20">
        <f>IF(DAY(A1067)='Main Budget'!$J$27,'Main Budget'!$E$27,0)</f>
        <v>0</v>
      </c>
      <c r="O1067" s="228">
        <f>B1067+(SUM(H1067:M1067)+(SUM(D1067:E1067)))</f>
        <v>100</v>
      </c>
      <c r="P1067" s="228">
        <f>C1067+F1067+G1067+N1067</f>
        <v>100</v>
      </c>
      <c r="Q1067" s="252">
        <f>O1067+P1067</f>
        <v>200</v>
      </c>
      <c r="S1067" s="231" t="str">
        <f>TEXT(A1067,"dddd")</f>
        <v>Friday</v>
      </c>
    </row>
    <row r="1068" spans="1:19" x14ac:dyDescent="0.25">
      <c r="A1068" s="226">
        <v>47089</v>
      </c>
      <c r="B1068" s="227">
        <f>O1067</f>
        <v>100</v>
      </c>
      <c r="C1068" s="228">
        <f>P1067</f>
        <v>100</v>
      </c>
      <c r="D1068" s="228">
        <f>IF(OR(DAY(A1068+2)=1,DAY(A1068+2)=15),-SUM('Main Budget'!$H$26:$H$31),0)</f>
        <v>0</v>
      </c>
      <c r="E1068" s="228">
        <f>IF(DAY(A1068+2)=22,-SUM('Main Budget'!$F$26:$F$31),0)</f>
        <v>0</v>
      </c>
      <c r="F1068" s="228">
        <f>IF(D1068&gt;0,-'Main Budget'!$H$25+0.15,0)</f>
        <v>0</v>
      </c>
      <c r="G1068" s="228">
        <f>IF(E1068&gt;0,-'Main Budget'!$F$25+0.81,0)</f>
        <v>0</v>
      </c>
      <c r="H1068" s="227">
        <f>IF(DAY(A1068)='Main Budget'!$J$26,'Main Budget'!$E$26,0)</f>
        <v>0</v>
      </c>
      <c r="I1068" s="227">
        <f>IF(DAY(A1068)='Main Budget'!$J$28,'Main Budget'!$E$28,0)</f>
        <v>0</v>
      </c>
      <c r="J1068" s="227">
        <f>IF(DAY(A1068)='Main Budget'!$J$29,'Main Budget'!$E$29,0)</f>
        <v>0</v>
      </c>
      <c r="K1068" s="20">
        <f>IF(DAY(A1068)='Main Budget'!$J$30,'Main Budget'!$E$30,0)</f>
        <v>0</v>
      </c>
      <c r="L1068" s="20">
        <f>IF(DAY(A1068)='Main Budget'!$J$31,'Main Budget'!$E$31,0)</f>
        <v>0</v>
      </c>
      <c r="M1068" s="20">
        <f>IF(DAY(A1068)='Main Budget'!$J$27,'Main Budget'!$E$27,0)</f>
        <v>0</v>
      </c>
      <c r="O1068" s="228">
        <f>B1068+(SUM(H1068:M1068)+(SUM(D1068:E1068)))</f>
        <v>100</v>
      </c>
      <c r="P1068" s="228">
        <f>C1068+F1068+G1068+N1068</f>
        <v>100</v>
      </c>
      <c r="Q1068" s="252">
        <f>O1068+P1068</f>
        <v>200</v>
      </c>
      <c r="S1068" s="231" t="str">
        <f>TEXT(A1068,"dddd")</f>
        <v>Saturday</v>
      </c>
    </row>
    <row r="1069" spans="1:19" x14ac:dyDescent="0.25">
      <c r="A1069" s="226">
        <v>47090</v>
      </c>
      <c r="B1069" s="227">
        <f>O1068</f>
        <v>100</v>
      </c>
      <c r="C1069" s="228">
        <f>P1068</f>
        <v>100</v>
      </c>
      <c r="D1069" s="228">
        <f>IF(OR(DAY(A1069+2)=1,DAY(A1069+2)=15),-SUM('Main Budget'!$H$26:$H$31),0)</f>
        <v>0</v>
      </c>
      <c r="E1069" s="228">
        <f>IF(DAY(A1069+2)=22,-SUM('Main Budget'!$F$26:$F$31),0)</f>
        <v>0</v>
      </c>
      <c r="F1069" s="228">
        <f>IF(D1069&gt;0,-'Main Budget'!$H$25+0.15,0)</f>
        <v>0</v>
      </c>
      <c r="G1069" s="228">
        <f>IF(E1069&gt;0,-'Main Budget'!$F$25+0.81,0)</f>
        <v>0</v>
      </c>
      <c r="H1069" s="227">
        <f>IF(DAY(A1069)='Main Budget'!$J$26,'Main Budget'!$E$26,0)</f>
        <v>0</v>
      </c>
      <c r="I1069" s="227">
        <f>IF(DAY(A1069)='Main Budget'!$J$28,'Main Budget'!$E$28,0)</f>
        <v>0</v>
      </c>
      <c r="J1069" s="227">
        <f>IF(DAY(A1069)='Main Budget'!$J$29,'Main Budget'!$E$29,0)</f>
        <v>0</v>
      </c>
      <c r="K1069" s="20">
        <f>IF(DAY(A1069)='Main Budget'!$J$30,'Main Budget'!$E$30,0)</f>
        <v>0</v>
      </c>
      <c r="L1069" s="20">
        <f>IF(DAY(A1069)='Main Budget'!$J$31,'Main Budget'!$E$31,0)</f>
        <v>0</v>
      </c>
      <c r="M1069" s="20">
        <f>IF(DAY(A1069)='Main Budget'!$J$27,'Main Budget'!$E$27,0)</f>
        <v>0</v>
      </c>
      <c r="O1069" s="228">
        <f>B1069+(SUM(H1069:M1069)+(SUM(D1069:E1069)))</f>
        <v>100</v>
      </c>
      <c r="P1069" s="228">
        <f>C1069+F1069+G1069+N1069</f>
        <v>100</v>
      </c>
      <c r="Q1069" s="252">
        <f>O1069+P1069</f>
        <v>200</v>
      </c>
      <c r="S1069" s="231" t="str">
        <f>TEXT(A1069,"dddd")</f>
        <v>Sunday</v>
      </c>
    </row>
    <row r="1070" spans="1:19" x14ac:dyDescent="0.25">
      <c r="A1070" s="226">
        <v>47091</v>
      </c>
      <c r="B1070" s="227">
        <f>O1069</f>
        <v>100</v>
      </c>
      <c r="C1070" s="228">
        <f>P1069</f>
        <v>100</v>
      </c>
      <c r="D1070" s="228">
        <f>IF(OR(DAY(A1070+2)=1,DAY(A1070+2)=15),-SUM('Main Budget'!$H$26:$H$31),0)</f>
        <v>0</v>
      </c>
      <c r="E1070" s="228">
        <f>IF(DAY(A1070+2)=22,-SUM('Main Budget'!$F$26:$F$31),0)</f>
        <v>0</v>
      </c>
      <c r="F1070" s="228">
        <f>IF(D1070&gt;0,-'Main Budget'!$H$25+0.15,0)</f>
        <v>0</v>
      </c>
      <c r="G1070" s="228">
        <f>IF(E1070&gt;0,-'Main Budget'!$F$25+0.81,0)</f>
        <v>0</v>
      </c>
      <c r="H1070" s="227">
        <f>IF(DAY(A1070)='Main Budget'!$J$26,'Main Budget'!$E$26,0)</f>
        <v>0</v>
      </c>
      <c r="I1070" s="227">
        <f>IF(DAY(A1070)='Main Budget'!$J$28,'Main Budget'!$E$28,0)</f>
        <v>0</v>
      </c>
      <c r="J1070" s="227">
        <f>IF(DAY(A1070)='Main Budget'!$J$29,'Main Budget'!$E$29,0)</f>
        <v>0</v>
      </c>
      <c r="K1070" s="20">
        <f>IF(DAY(A1070)='Main Budget'!$J$30,'Main Budget'!$E$30,0)</f>
        <v>0</v>
      </c>
      <c r="L1070" s="20">
        <f>IF(DAY(A1070)='Main Budget'!$J$31,'Main Budget'!$E$31,0)</f>
        <v>0</v>
      </c>
      <c r="M1070" s="20">
        <f>IF(DAY(A1070)='Main Budget'!$J$27,'Main Budget'!$E$27,0)</f>
        <v>0</v>
      </c>
      <c r="O1070" s="228">
        <f>B1070+(SUM(H1070:M1070)+(SUM(D1070:E1070)))</f>
        <v>100</v>
      </c>
      <c r="P1070" s="228">
        <f>C1070+F1070+G1070+N1070</f>
        <v>100</v>
      </c>
      <c r="Q1070" s="252">
        <f>O1070+P1070</f>
        <v>200</v>
      </c>
      <c r="S1070" s="231" t="str">
        <f>TEXT(A1070,"dddd")</f>
        <v>Monday</v>
      </c>
    </row>
    <row r="1071" spans="1:19" x14ac:dyDescent="0.25">
      <c r="A1071" s="226">
        <v>47092</v>
      </c>
      <c r="B1071" s="227">
        <f>O1070</f>
        <v>100</v>
      </c>
      <c r="C1071" s="228">
        <f>P1070</f>
        <v>100</v>
      </c>
      <c r="D1071" s="228">
        <f>IF(OR(DAY(A1071+2)=1,DAY(A1071+2)=15),-SUM('Main Budget'!$H$26:$H$31),0)</f>
        <v>0</v>
      </c>
      <c r="E1071" s="228">
        <f>IF(DAY(A1071+2)=22,-SUM('Main Budget'!$F$26:$F$31),0)</f>
        <v>0</v>
      </c>
      <c r="F1071" s="228">
        <f>IF(D1071&gt;0,-'Main Budget'!$H$25+0.15,0)</f>
        <v>0</v>
      </c>
      <c r="G1071" s="228">
        <f>IF(E1071&gt;0,-'Main Budget'!$F$25+0.81,0)</f>
        <v>0</v>
      </c>
      <c r="H1071" s="227">
        <f>IF(DAY(A1071)='Main Budget'!$J$26,'Main Budget'!$E$26,0)</f>
        <v>0</v>
      </c>
      <c r="I1071" s="227">
        <f>IF(DAY(A1071)='Main Budget'!$J$28,'Main Budget'!$E$28,0)</f>
        <v>0</v>
      </c>
      <c r="J1071" s="227">
        <f>IF(DAY(A1071)='Main Budget'!$J$29,'Main Budget'!$E$29,0)</f>
        <v>0</v>
      </c>
      <c r="K1071" s="20">
        <f>IF(DAY(A1071)='Main Budget'!$J$30,'Main Budget'!$E$30,0)</f>
        <v>0</v>
      </c>
      <c r="L1071" s="20">
        <f>IF(DAY(A1071)='Main Budget'!$J$31,'Main Budget'!$E$31,0)</f>
        <v>0</v>
      </c>
      <c r="M1071" s="20">
        <f>IF(DAY(A1071)='Main Budget'!$J$27,'Main Budget'!$E$27,0)</f>
        <v>0</v>
      </c>
      <c r="O1071" s="228">
        <f>B1071+(SUM(H1071:M1071)+(SUM(D1071:E1071)))</f>
        <v>100</v>
      </c>
      <c r="P1071" s="228">
        <f>C1071+F1071+G1071+N1071</f>
        <v>100</v>
      </c>
      <c r="Q1071" s="252">
        <f>O1071+P1071</f>
        <v>200</v>
      </c>
      <c r="S1071" s="231" t="str">
        <f>TEXT(A1071,"dddd")</f>
        <v>Tuesday</v>
      </c>
    </row>
    <row r="1072" spans="1:19" x14ac:dyDescent="0.25">
      <c r="A1072" s="226">
        <v>47093</v>
      </c>
      <c r="B1072" s="227">
        <f>O1071</f>
        <v>100</v>
      </c>
      <c r="C1072" s="228">
        <f>P1071</f>
        <v>100</v>
      </c>
      <c r="D1072" s="228">
        <f>IF(OR(DAY(A1072+2)=1,DAY(A1072+2)=15),-SUM('Main Budget'!$H$26:$H$31),0)</f>
        <v>0</v>
      </c>
      <c r="E1072" s="228">
        <f>IF(DAY(A1072+2)=22,-SUM('Main Budget'!$F$26:$F$31),0)</f>
        <v>0</v>
      </c>
      <c r="F1072" s="228">
        <f>IF(D1072&gt;0,-'Main Budget'!$H$25+0.15,0)</f>
        <v>0</v>
      </c>
      <c r="G1072" s="228">
        <f>IF(E1072&gt;0,-'Main Budget'!$F$25+0.81,0)</f>
        <v>0</v>
      </c>
      <c r="H1072" s="227">
        <f>IF(DAY(A1072)='Main Budget'!$J$26,'Main Budget'!$E$26,0)</f>
        <v>0</v>
      </c>
      <c r="I1072" s="227">
        <f>IF(DAY(A1072)='Main Budget'!$J$28,'Main Budget'!$E$28,0)</f>
        <v>0</v>
      </c>
      <c r="J1072" s="227">
        <f>IF(DAY(A1072)='Main Budget'!$J$29,'Main Budget'!$E$29,0)</f>
        <v>0</v>
      </c>
      <c r="K1072" s="20">
        <f>IF(DAY(A1072)='Main Budget'!$J$30,'Main Budget'!$E$30,0)</f>
        <v>0</v>
      </c>
      <c r="L1072" s="20">
        <f>IF(DAY(A1072)='Main Budget'!$J$31,'Main Budget'!$E$31,0)</f>
        <v>0</v>
      </c>
      <c r="M1072" s="20">
        <f>IF(DAY(A1072)='Main Budget'!$J$27,'Main Budget'!$E$27,0)</f>
        <v>0</v>
      </c>
      <c r="O1072" s="228">
        <f>B1072+(SUM(H1072:M1072)+(SUM(D1072:E1072)))</f>
        <v>100</v>
      </c>
      <c r="P1072" s="228">
        <f>C1072+F1072+G1072+N1072</f>
        <v>100</v>
      </c>
      <c r="Q1072" s="252">
        <f>O1072+P1072</f>
        <v>200</v>
      </c>
      <c r="S1072" s="231" t="str">
        <f>TEXT(A1072,"dddd")</f>
        <v>Wednesday</v>
      </c>
    </row>
    <row r="1073" spans="1:19" x14ac:dyDescent="0.25">
      <c r="A1073" s="226">
        <v>47094</v>
      </c>
      <c r="B1073" s="227">
        <f>O1072</f>
        <v>100</v>
      </c>
      <c r="C1073" s="228">
        <f>P1072</f>
        <v>100</v>
      </c>
      <c r="D1073" s="228">
        <f>IF(OR(DAY(A1073+2)=1,DAY(A1073+2)=15),-SUM('Main Budget'!$H$26:$H$31),0)</f>
        <v>0</v>
      </c>
      <c r="E1073" s="228">
        <f>IF(DAY(A1073+2)=22,-SUM('Main Budget'!$F$26:$F$31),0)</f>
        <v>0</v>
      </c>
      <c r="F1073" s="228">
        <f>IF(D1073&gt;0,-'Main Budget'!$H$25+0.15,0)</f>
        <v>0</v>
      </c>
      <c r="G1073" s="228">
        <f>IF(E1073&gt;0,-'Main Budget'!$F$25+0.81,0)</f>
        <v>0</v>
      </c>
      <c r="H1073" s="227">
        <f>IF(DAY(A1073)='Main Budget'!$J$26,'Main Budget'!$E$26,0)</f>
        <v>0</v>
      </c>
      <c r="I1073" s="227">
        <f>IF(DAY(A1073)='Main Budget'!$J$28,'Main Budget'!$E$28,0)</f>
        <v>0</v>
      </c>
      <c r="J1073" s="227">
        <f>IF(DAY(A1073)='Main Budget'!$J$29,'Main Budget'!$E$29,0)</f>
        <v>0</v>
      </c>
      <c r="K1073" s="20">
        <f>IF(DAY(A1073)='Main Budget'!$J$30,'Main Budget'!$E$30,0)</f>
        <v>0</v>
      </c>
      <c r="L1073" s="20">
        <f>IF(DAY(A1073)='Main Budget'!$J$31,'Main Budget'!$E$31,0)</f>
        <v>0</v>
      </c>
      <c r="M1073" s="20">
        <f>IF(DAY(A1073)='Main Budget'!$J$27,'Main Budget'!$E$27,0)</f>
        <v>0</v>
      </c>
      <c r="O1073" s="228">
        <f>B1073+(SUM(H1073:M1073)+(SUM(D1073:E1073)))</f>
        <v>100</v>
      </c>
      <c r="P1073" s="228">
        <f>C1073+F1073+G1073+N1073</f>
        <v>100</v>
      </c>
      <c r="Q1073" s="252">
        <f>O1073+P1073</f>
        <v>200</v>
      </c>
      <c r="S1073" s="231" t="str">
        <f>TEXT(A1073,"dddd")</f>
        <v>Thursday</v>
      </c>
    </row>
    <row r="1074" spans="1:19" x14ac:dyDescent="0.25">
      <c r="A1074" s="226">
        <v>47095</v>
      </c>
      <c r="B1074" s="227">
        <f>O1073</f>
        <v>100</v>
      </c>
      <c r="C1074" s="228">
        <f>P1073</f>
        <v>100</v>
      </c>
      <c r="D1074" s="228">
        <f>IF(OR(DAY(A1074+2)=1,DAY(A1074+2)=15),-SUM('Main Budget'!$H$26:$H$31),0)</f>
        <v>0</v>
      </c>
      <c r="E1074" s="228">
        <f>IF(DAY(A1074+2)=22,-SUM('Main Budget'!$F$26:$F$31),0)</f>
        <v>0</v>
      </c>
      <c r="F1074" s="228">
        <f>IF(D1074&gt;0,-'Main Budget'!$H$25+0.15,0)</f>
        <v>0</v>
      </c>
      <c r="G1074" s="228">
        <f>IF(E1074&gt;0,-'Main Budget'!$F$25+0.81,0)</f>
        <v>0</v>
      </c>
      <c r="H1074" s="227">
        <f>IF(DAY(A1074)='Main Budget'!$J$26,'Main Budget'!$E$26,0)</f>
        <v>0</v>
      </c>
      <c r="I1074" s="227">
        <f>IF(DAY(A1074)='Main Budget'!$J$28,'Main Budget'!$E$28,0)</f>
        <v>0</v>
      </c>
      <c r="J1074" s="227">
        <f>IF(DAY(A1074)='Main Budget'!$J$29,'Main Budget'!$E$29,0)</f>
        <v>0</v>
      </c>
      <c r="K1074" s="20">
        <f>IF(DAY(A1074)='Main Budget'!$J$30,'Main Budget'!$E$30,0)</f>
        <v>0</v>
      </c>
      <c r="L1074" s="20">
        <f>IF(DAY(A1074)='Main Budget'!$J$31,'Main Budget'!$E$31,0)</f>
        <v>0</v>
      </c>
      <c r="M1074" s="20">
        <f>IF(DAY(A1074)='Main Budget'!$J$27,'Main Budget'!$E$27,0)</f>
        <v>0</v>
      </c>
      <c r="O1074" s="228">
        <f>B1074+(SUM(H1074:M1074)+(SUM(D1074:E1074)))</f>
        <v>100</v>
      </c>
      <c r="P1074" s="228">
        <f>C1074+F1074+G1074+N1074</f>
        <v>100</v>
      </c>
      <c r="Q1074" s="252">
        <f>O1074+P1074</f>
        <v>200</v>
      </c>
      <c r="S1074" s="231" t="str">
        <f>TEXT(A1074,"dddd")</f>
        <v>Friday</v>
      </c>
    </row>
    <row r="1075" spans="1:19" x14ac:dyDescent="0.25">
      <c r="A1075" s="226">
        <v>47096</v>
      </c>
      <c r="B1075" s="227">
        <f>O1074</f>
        <v>100</v>
      </c>
      <c r="C1075" s="228">
        <f>P1074</f>
        <v>100</v>
      </c>
      <c r="D1075" s="228">
        <f>IF(OR(DAY(A1075+2)=1,DAY(A1075+2)=15),-SUM('Main Budget'!$H$26:$H$31),0)</f>
        <v>0</v>
      </c>
      <c r="E1075" s="228">
        <f>IF(DAY(A1075+2)=22,-SUM('Main Budget'!$F$26:$F$31),0)</f>
        <v>0</v>
      </c>
      <c r="F1075" s="228">
        <f>IF(D1075&gt;0,-'Main Budget'!$H$25+0.15,0)</f>
        <v>0</v>
      </c>
      <c r="G1075" s="228">
        <f>IF(E1075&gt;0,-'Main Budget'!$F$25+0.81,0)</f>
        <v>0</v>
      </c>
      <c r="H1075" s="227">
        <f>IF(DAY(A1075)='Main Budget'!$J$26,'Main Budget'!$E$26,0)</f>
        <v>0</v>
      </c>
      <c r="I1075" s="227">
        <f>IF(DAY(A1075)='Main Budget'!$J$28,'Main Budget'!$E$28,0)</f>
        <v>0</v>
      </c>
      <c r="J1075" s="227">
        <f>IF(DAY(A1075)='Main Budget'!$J$29,'Main Budget'!$E$29,0)</f>
        <v>0</v>
      </c>
      <c r="K1075" s="20">
        <f>IF(DAY(A1075)='Main Budget'!$J$30,'Main Budget'!$E$30,0)</f>
        <v>0</v>
      </c>
      <c r="L1075" s="20">
        <f>IF(DAY(A1075)='Main Budget'!$J$31,'Main Budget'!$E$31,0)</f>
        <v>0</v>
      </c>
      <c r="M1075" s="20">
        <f>IF(DAY(A1075)='Main Budget'!$J$27,'Main Budget'!$E$27,0)</f>
        <v>0</v>
      </c>
      <c r="O1075" s="228">
        <f>B1075+(SUM(H1075:M1075)+(SUM(D1075:E1075)))</f>
        <v>100</v>
      </c>
      <c r="P1075" s="228">
        <f>C1075+F1075+G1075+N1075</f>
        <v>100</v>
      </c>
      <c r="Q1075" s="252">
        <f>O1075+P1075</f>
        <v>200</v>
      </c>
      <c r="S1075" s="231" t="str">
        <f>TEXT(A1075,"dddd")</f>
        <v>Saturday</v>
      </c>
    </row>
    <row r="1076" spans="1:19" x14ac:dyDescent="0.25">
      <c r="A1076" s="226">
        <v>47097</v>
      </c>
      <c r="B1076" s="227">
        <f>O1075</f>
        <v>100</v>
      </c>
      <c r="C1076" s="228">
        <f>P1075</f>
        <v>100</v>
      </c>
      <c r="D1076" s="228">
        <f>IF(OR(DAY(A1076+2)=1,DAY(A1076+2)=15),-SUM('Main Budget'!$H$26:$H$31),0)</f>
        <v>0</v>
      </c>
      <c r="E1076" s="228">
        <f>IF(DAY(A1076+2)=22,-SUM('Main Budget'!$F$26:$F$31),0)</f>
        <v>0</v>
      </c>
      <c r="F1076" s="228">
        <f>IF(D1076&gt;0,-'Main Budget'!$H$25+0.15,0)</f>
        <v>0</v>
      </c>
      <c r="G1076" s="228">
        <f>IF(E1076&gt;0,-'Main Budget'!$F$25+0.81,0)</f>
        <v>0</v>
      </c>
      <c r="H1076" s="227">
        <f>IF(DAY(A1076)='Main Budget'!$J$26,'Main Budget'!$E$26,0)</f>
        <v>0</v>
      </c>
      <c r="I1076" s="227">
        <f>IF(DAY(A1076)='Main Budget'!$J$28,'Main Budget'!$E$28,0)</f>
        <v>0</v>
      </c>
      <c r="J1076" s="227">
        <f>IF(DAY(A1076)='Main Budget'!$J$29,'Main Budget'!$E$29,0)</f>
        <v>0</v>
      </c>
      <c r="K1076" s="20">
        <f>IF(DAY(A1076)='Main Budget'!$J$30,'Main Budget'!$E$30,0)</f>
        <v>0</v>
      </c>
      <c r="L1076" s="20">
        <f>IF(DAY(A1076)='Main Budget'!$J$31,'Main Budget'!$E$31,0)</f>
        <v>0</v>
      </c>
      <c r="M1076" s="20">
        <f>IF(DAY(A1076)='Main Budget'!$J$27,'Main Budget'!$E$27,0)</f>
        <v>0</v>
      </c>
      <c r="O1076" s="228">
        <f>B1076+(SUM(H1076:M1076)+(SUM(D1076:E1076)))</f>
        <v>100</v>
      </c>
      <c r="P1076" s="228">
        <f>C1076+F1076+G1076+N1076</f>
        <v>100</v>
      </c>
      <c r="Q1076" s="252">
        <f>O1076+P1076</f>
        <v>200</v>
      </c>
      <c r="S1076" s="231" t="str">
        <f>TEXT(A1076,"dddd")</f>
        <v>Sunday</v>
      </c>
    </row>
    <row r="1077" spans="1:19" x14ac:dyDescent="0.25">
      <c r="A1077" s="226">
        <v>47098</v>
      </c>
      <c r="B1077" s="227">
        <f>O1076</f>
        <v>100</v>
      </c>
      <c r="C1077" s="228">
        <f>P1076</f>
        <v>100</v>
      </c>
      <c r="D1077" s="228">
        <f>IF(OR(DAY(A1077+2)=1,DAY(A1077+2)=15),-SUM('Main Budget'!$H$26:$H$31),0)</f>
        <v>0</v>
      </c>
      <c r="E1077" s="228">
        <f>IF(DAY(A1077+2)=22,-SUM('Main Budget'!$F$26:$F$31),0)</f>
        <v>0</v>
      </c>
      <c r="F1077" s="228">
        <f>IF(D1077&gt;0,-'Main Budget'!$H$25+0.15,0)</f>
        <v>0</v>
      </c>
      <c r="G1077" s="228">
        <f>IF(E1077&gt;0,-'Main Budget'!$F$25+0.81,0)</f>
        <v>0</v>
      </c>
      <c r="H1077" s="227">
        <f>IF(DAY(A1077)='Main Budget'!$J$26,'Main Budget'!$E$26,0)</f>
        <v>0</v>
      </c>
      <c r="I1077" s="227">
        <f>IF(DAY(A1077)='Main Budget'!$J$28,'Main Budget'!$E$28,0)</f>
        <v>0</v>
      </c>
      <c r="J1077" s="227">
        <f>IF(DAY(A1077)='Main Budget'!$J$29,'Main Budget'!$E$29,0)</f>
        <v>0</v>
      </c>
      <c r="K1077" s="20">
        <f>IF(DAY(A1077)='Main Budget'!$J$30,'Main Budget'!$E$30,0)</f>
        <v>0</v>
      </c>
      <c r="L1077" s="20">
        <f>IF(DAY(A1077)='Main Budget'!$J$31,'Main Budget'!$E$31,0)</f>
        <v>0</v>
      </c>
      <c r="M1077" s="20">
        <f>IF(DAY(A1077)='Main Budget'!$J$27,'Main Budget'!$E$27,0)</f>
        <v>0</v>
      </c>
      <c r="O1077" s="228">
        <f>B1077+(SUM(H1077:M1077)+(SUM(D1077:E1077)))</f>
        <v>100</v>
      </c>
      <c r="P1077" s="228">
        <f>C1077+F1077+G1077+N1077</f>
        <v>100</v>
      </c>
      <c r="Q1077" s="252">
        <f>O1077+P1077</f>
        <v>200</v>
      </c>
      <c r="S1077" s="231" t="str">
        <f>TEXT(A1077,"dddd")</f>
        <v>Monday</v>
      </c>
    </row>
    <row r="1078" spans="1:19" x14ac:dyDescent="0.25">
      <c r="A1078" s="226">
        <v>47099</v>
      </c>
      <c r="B1078" s="227">
        <f>O1077</f>
        <v>100</v>
      </c>
      <c r="C1078" s="228">
        <f>P1077</f>
        <v>100</v>
      </c>
      <c r="D1078" s="228">
        <f>IF(OR(DAY(A1078+2)=1,DAY(A1078+2)=15),-SUM('Main Budget'!$H$26:$H$31),0)</f>
        <v>0</v>
      </c>
      <c r="E1078" s="228">
        <f>IF(DAY(A1078+2)=22,-SUM('Main Budget'!$F$26:$F$31),0)</f>
        <v>0</v>
      </c>
      <c r="F1078" s="228">
        <f>IF(D1078&gt;0,-'Main Budget'!$H$25+0.15,0)</f>
        <v>0</v>
      </c>
      <c r="G1078" s="228">
        <f>IF(E1078&gt;0,-'Main Budget'!$F$25+0.81,0)</f>
        <v>0</v>
      </c>
      <c r="H1078" s="227">
        <f>IF(DAY(A1078)='Main Budget'!$J$26,'Main Budget'!$E$26,0)</f>
        <v>0</v>
      </c>
      <c r="I1078" s="227">
        <f>IF(DAY(A1078)='Main Budget'!$J$28,'Main Budget'!$E$28,0)</f>
        <v>0</v>
      </c>
      <c r="J1078" s="227">
        <f>IF(DAY(A1078)='Main Budget'!$J$29,'Main Budget'!$E$29,0)</f>
        <v>0</v>
      </c>
      <c r="K1078" s="20">
        <f>IF(DAY(A1078)='Main Budget'!$J$30,'Main Budget'!$E$30,0)</f>
        <v>0</v>
      </c>
      <c r="L1078" s="20">
        <f>IF(DAY(A1078)='Main Budget'!$J$31,'Main Budget'!$E$31,0)</f>
        <v>0</v>
      </c>
      <c r="M1078" s="20">
        <f>IF(DAY(A1078)='Main Budget'!$J$27,'Main Budget'!$E$27,0)</f>
        <v>0</v>
      </c>
      <c r="O1078" s="228">
        <f>B1078+(SUM(H1078:M1078)+(SUM(D1078:E1078)))</f>
        <v>100</v>
      </c>
      <c r="P1078" s="228">
        <f>C1078+F1078+G1078+N1078</f>
        <v>100</v>
      </c>
      <c r="Q1078" s="252">
        <f>O1078+P1078</f>
        <v>200</v>
      </c>
      <c r="S1078" s="231" t="str">
        <f>TEXT(A1078,"dddd")</f>
        <v>Tuesday</v>
      </c>
    </row>
    <row r="1079" spans="1:19" x14ac:dyDescent="0.25">
      <c r="A1079" s="226">
        <v>47100</v>
      </c>
      <c r="B1079" s="227">
        <f>O1078</f>
        <v>100</v>
      </c>
      <c r="C1079" s="228">
        <f>P1078</f>
        <v>100</v>
      </c>
      <c r="D1079" s="228">
        <f>IF(OR(DAY(A1079+2)=1,DAY(A1079+2)=15),-SUM('Main Budget'!$H$26:$H$31),0)</f>
        <v>0</v>
      </c>
      <c r="E1079" s="228">
        <f>IF(DAY(A1079+2)=22,-SUM('Main Budget'!$F$26:$F$31),0)</f>
        <v>0</v>
      </c>
      <c r="F1079" s="228">
        <f>IF(D1079&gt;0,-'Main Budget'!$H$25+0.15,0)</f>
        <v>0</v>
      </c>
      <c r="G1079" s="228">
        <f>IF(E1079&gt;0,-'Main Budget'!$F$25+0.81,0)</f>
        <v>0</v>
      </c>
      <c r="H1079" s="227">
        <f>IF(DAY(A1079)='Main Budget'!$J$26,'Main Budget'!$E$26,0)</f>
        <v>0</v>
      </c>
      <c r="I1079" s="227">
        <f>IF(DAY(A1079)='Main Budget'!$J$28,'Main Budget'!$E$28,0)</f>
        <v>0</v>
      </c>
      <c r="J1079" s="227">
        <f>IF(DAY(A1079)='Main Budget'!$J$29,'Main Budget'!$E$29,0)</f>
        <v>0</v>
      </c>
      <c r="K1079" s="20">
        <f>IF(DAY(A1079)='Main Budget'!$J$30,'Main Budget'!$E$30,0)</f>
        <v>0</v>
      </c>
      <c r="L1079" s="20">
        <f>IF(DAY(A1079)='Main Budget'!$J$31,'Main Budget'!$E$31,0)</f>
        <v>0</v>
      </c>
      <c r="M1079" s="20">
        <f>IF(DAY(A1079)='Main Budget'!$J$27,'Main Budget'!$E$27,0)</f>
        <v>0</v>
      </c>
      <c r="O1079" s="228">
        <f>B1079+(SUM(H1079:M1079)+(SUM(D1079:E1079)))</f>
        <v>100</v>
      </c>
      <c r="P1079" s="228">
        <f>C1079+F1079+G1079+N1079</f>
        <v>100</v>
      </c>
      <c r="Q1079" s="252">
        <f>O1079+P1079</f>
        <v>200</v>
      </c>
      <c r="S1079" s="231" t="str">
        <f>TEXT(A1079,"dddd")</f>
        <v>Wednesday</v>
      </c>
    </row>
    <row r="1080" spans="1:19" x14ac:dyDescent="0.25">
      <c r="A1080" s="226">
        <v>47101</v>
      </c>
      <c r="B1080" s="227">
        <f>O1079</f>
        <v>100</v>
      </c>
      <c r="C1080" s="228">
        <f>P1079</f>
        <v>100</v>
      </c>
      <c r="D1080" s="228">
        <f>IF(OR(DAY(A1080+2)=1,DAY(A1080+2)=15),-SUM('Main Budget'!$H$26:$H$31),0)</f>
        <v>0</v>
      </c>
      <c r="E1080" s="228">
        <f>IF(DAY(A1080+2)=22,-SUM('Main Budget'!$F$26:$F$31),0)</f>
        <v>0</v>
      </c>
      <c r="F1080" s="228">
        <f>IF(D1080&gt;0,-'Main Budget'!$H$25+0.15,0)</f>
        <v>0</v>
      </c>
      <c r="G1080" s="228">
        <f>IF(E1080&gt;0,-'Main Budget'!$F$25+0.81,0)</f>
        <v>0</v>
      </c>
      <c r="H1080" s="227">
        <f>IF(DAY(A1080)='Main Budget'!$J$26,'Main Budget'!$E$26,0)</f>
        <v>0</v>
      </c>
      <c r="I1080" s="227">
        <f>IF(DAY(A1080)='Main Budget'!$J$28,'Main Budget'!$E$28,0)</f>
        <v>0</v>
      </c>
      <c r="J1080" s="227">
        <f>IF(DAY(A1080)='Main Budget'!$J$29,'Main Budget'!$E$29,0)</f>
        <v>0</v>
      </c>
      <c r="K1080" s="20">
        <f>IF(DAY(A1080)='Main Budget'!$J$30,'Main Budget'!$E$30,0)</f>
        <v>0</v>
      </c>
      <c r="L1080" s="20">
        <f>IF(DAY(A1080)='Main Budget'!$J$31,'Main Budget'!$E$31,0)</f>
        <v>0</v>
      </c>
      <c r="M1080" s="20">
        <f>IF(DAY(A1080)='Main Budget'!$J$27,'Main Budget'!$E$27,0)</f>
        <v>0</v>
      </c>
      <c r="O1080" s="228">
        <f>B1080+(SUM(H1080:M1080)+(SUM(D1080:E1080)))</f>
        <v>100</v>
      </c>
      <c r="P1080" s="228">
        <f>C1080+F1080+G1080+N1080</f>
        <v>100</v>
      </c>
      <c r="Q1080" s="252">
        <f>O1080+P1080</f>
        <v>200</v>
      </c>
      <c r="S1080" s="231" t="str">
        <f>TEXT(A1080,"dddd")</f>
        <v>Thursday</v>
      </c>
    </row>
    <row r="1081" spans="1:19" x14ac:dyDescent="0.25">
      <c r="A1081" s="226">
        <v>47102</v>
      </c>
      <c r="B1081" s="227">
        <f>O1080</f>
        <v>100</v>
      </c>
      <c r="C1081" s="228">
        <f>P1080</f>
        <v>100</v>
      </c>
      <c r="D1081" s="228">
        <f>IF(OR(DAY(A1081+2)=1,DAY(A1081+2)=15),-SUM('Main Budget'!$H$26:$H$31),0)</f>
        <v>0</v>
      </c>
      <c r="E1081" s="228">
        <f>IF(DAY(A1081+2)=22,-SUM('Main Budget'!$F$26:$F$31),0)</f>
        <v>0</v>
      </c>
      <c r="F1081" s="228">
        <f>IF(D1081&gt;0,-'Main Budget'!$H$25+0.15,0)</f>
        <v>0</v>
      </c>
      <c r="G1081" s="228">
        <f>IF(E1081&gt;0,-'Main Budget'!$F$25+0.81,0)</f>
        <v>0</v>
      </c>
      <c r="H1081" s="227">
        <f>IF(DAY(A1081)='Main Budget'!$J$26,'Main Budget'!$E$26,0)</f>
        <v>0</v>
      </c>
      <c r="I1081" s="227">
        <f>IF(DAY(A1081)='Main Budget'!$J$28,'Main Budget'!$E$28,0)</f>
        <v>0</v>
      </c>
      <c r="J1081" s="227">
        <f>IF(DAY(A1081)='Main Budget'!$J$29,'Main Budget'!$E$29,0)</f>
        <v>0</v>
      </c>
      <c r="K1081" s="20">
        <f>IF(DAY(A1081)='Main Budget'!$J$30,'Main Budget'!$E$30,0)</f>
        <v>0</v>
      </c>
      <c r="L1081" s="20">
        <f>IF(DAY(A1081)='Main Budget'!$J$31,'Main Budget'!$E$31,0)</f>
        <v>0</v>
      </c>
      <c r="M1081" s="20">
        <f>IF(DAY(A1081)='Main Budget'!$J$27,'Main Budget'!$E$27,0)</f>
        <v>0</v>
      </c>
      <c r="O1081" s="228">
        <f>B1081+(SUM(H1081:M1081)+(SUM(D1081:E1081)))</f>
        <v>100</v>
      </c>
      <c r="P1081" s="228">
        <f>C1081+F1081+G1081+N1081</f>
        <v>100</v>
      </c>
      <c r="Q1081" s="252">
        <f>O1081+P1081</f>
        <v>200</v>
      </c>
      <c r="S1081" s="231" t="str">
        <f>TEXT(A1081,"dddd")</f>
        <v>Friday</v>
      </c>
    </row>
    <row r="1082" spans="1:19" x14ac:dyDescent="0.25">
      <c r="A1082" s="226">
        <v>47103</v>
      </c>
      <c r="B1082" s="227">
        <f>O1081</f>
        <v>100</v>
      </c>
      <c r="C1082" s="228">
        <f>P1081</f>
        <v>100</v>
      </c>
      <c r="D1082" s="228">
        <f>IF(OR(DAY(A1082+2)=1,DAY(A1082+2)=15),-SUM('Main Budget'!$H$26:$H$31),0)</f>
        <v>0</v>
      </c>
      <c r="E1082" s="228">
        <f>IF(DAY(A1082+2)=22,-SUM('Main Budget'!$F$26:$F$31),0)</f>
        <v>0</v>
      </c>
      <c r="F1082" s="228">
        <f>IF(D1082&gt;0,-'Main Budget'!$H$25+0.15,0)</f>
        <v>0</v>
      </c>
      <c r="G1082" s="228">
        <f>IF(E1082&gt;0,-'Main Budget'!$F$25+0.81,0)</f>
        <v>0</v>
      </c>
      <c r="H1082" s="227">
        <f>IF(DAY(A1082)='Main Budget'!$J$26,'Main Budget'!$E$26,0)</f>
        <v>0</v>
      </c>
      <c r="I1082" s="227">
        <f>IF(DAY(A1082)='Main Budget'!$J$28,'Main Budget'!$E$28,0)</f>
        <v>0</v>
      </c>
      <c r="J1082" s="227">
        <f>IF(DAY(A1082)='Main Budget'!$J$29,'Main Budget'!$E$29,0)</f>
        <v>0</v>
      </c>
      <c r="K1082" s="20">
        <f>IF(DAY(A1082)='Main Budget'!$J$30,'Main Budget'!$E$30,0)</f>
        <v>0</v>
      </c>
      <c r="L1082" s="20">
        <f>IF(DAY(A1082)='Main Budget'!$J$31,'Main Budget'!$E$31,0)</f>
        <v>0</v>
      </c>
      <c r="M1082" s="20">
        <f>IF(DAY(A1082)='Main Budget'!$J$27,'Main Budget'!$E$27,0)</f>
        <v>0</v>
      </c>
      <c r="O1082" s="228">
        <f>B1082+(SUM(H1082:M1082)+(SUM(D1082:E1082)))</f>
        <v>100</v>
      </c>
      <c r="P1082" s="228">
        <f>C1082+F1082+G1082+N1082</f>
        <v>100</v>
      </c>
      <c r="Q1082" s="252">
        <f>O1082+P1082</f>
        <v>200</v>
      </c>
      <c r="S1082" s="231" t="str">
        <f>TEXT(A1082,"dddd")</f>
        <v>Saturday</v>
      </c>
    </row>
    <row r="1083" spans="1:19" x14ac:dyDescent="0.25">
      <c r="A1083" s="226">
        <v>47104</v>
      </c>
      <c r="B1083" s="227">
        <f>O1082</f>
        <v>100</v>
      </c>
      <c r="C1083" s="228">
        <f>P1082</f>
        <v>100</v>
      </c>
      <c r="D1083" s="228">
        <f>IF(OR(DAY(A1083+2)=1,DAY(A1083+2)=15),-SUM('Main Budget'!$H$26:$H$31),0)</f>
        <v>0</v>
      </c>
      <c r="E1083" s="228">
        <f>IF(DAY(A1083+2)=22,-SUM('Main Budget'!$F$26:$F$31),0)</f>
        <v>0</v>
      </c>
      <c r="F1083" s="228">
        <f>IF(D1083&gt;0,-'Main Budget'!$H$25+0.15,0)</f>
        <v>0</v>
      </c>
      <c r="G1083" s="228">
        <f>IF(E1083&gt;0,-'Main Budget'!$F$25+0.81,0)</f>
        <v>0</v>
      </c>
      <c r="H1083" s="227">
        <f>IF(DAY(A1083)='Main Budget'!$J$26,'Main Budget'!$E$26,0)</f>
        <v>0</v>
      </c>
      <c r="I1083" s="227">
        <f>IF(DAY(A1083)='Main Budget'!$J$28,'Main Budget'!$E$28,0)</f>
        <v>0</v>
      </c>
      <c r="J1083" s="227">
        <f>IF(DAY(A1083)='Main Budget'!$J$29,'Main Budget'!$E$29,0)</f>
        <v>0</v>
      </c>
      <c r="K1083" s="20">
        <f>IF(DAY(A1083)='Main Budget'!$J$30,'Main Budget'!$E$30,0)</f>
        <v>0</v>
      </c>
      <c r="L1083" s="20">
        <f>IF(DAY(A1083)='Main Budget'!$J$31,'Main Budget'!$E$31,0)</f>
        <v>0</v>
      </c>
      <c r="M1083" s="20">
        <f>IF(DAY(A1083)='Main Budget'!$J$27,'Main Budget'!$E$27,0)</f>
        <v>0</v>
      </c>
      <c r="O1083" s="228">
        <f>B1083+(SUM(H1083:M1083)+(SUM(D1083:E1083)))</f>
        <v>100</v>
      </c>
      <c r="P1083" s="228">
        <f>C1083+F1083+G1083+N1083</f>
        <v>100</v>
      </c>
      <c r="Q1083" s="252">
        <f>O1083+P1083</f>
        <v>200</v>
      </c>
      <c r="S1083" s="231" t="str">
        <f>TEXT(A1083,"dddd")</f>
        <v>Sunday</v>
      </c>
    </row>
    <row r="1084" spans="1:19" x14ac:dyDescent="0.25">
      <c r="A1084" s="226">
        <v>47105</v>
      </c>
      <c r="B1084" s="227">
        <f>O1083</f>
        <v>100</v>
      </c>
      <c r="C1084" s="228">
        <f>P1083</f>
        <v>100</v>
      </c>
      <c r="D1084" s="228">
        <f>IF(OR(DAY(A1084+2)=1,DAY(A1084+2)=15),-SUM('Main Budget'!$H$26:$H$31),0)</f>
        <v>0</v>
      </c>
      <c r="E1084" s="228">
        <f>IF(DAY(A1084+2)=22,-SUM('Main Budget'!$F$26:$F$31),0)</f>
        <v>0</v>
      </c>
      <c r="F1084" s="228">
        <f>IF(D1084&gt;0,-'Main Budget'!$H$25+0.15,0)</f>
        <v>0</v>
      </c>
      <c r="G1084" s="228">
        <f>IF(E1084&gt;0,-'Main Budget'!$F$25+0.81,0)</f>
        <v>0</v>
      </c>
      <c r="H1084" s="227">
        <f>IF(DAY(A1084)='Main Budget'!$J$26,'Main Budget'!$E$26,0)</f>
        <v>0</v>
      </c>
      <c r="I1084" s="227">
        <f>IF(DAY(A1084)='Main Budget'!$J$28,'Main Budget'!$E$28,0)</f>
        <v>0</v>
      </c>
      <c r="J1084" s="227">
        <f>IF(DAY(A1084)='Main Budget'!$J$29,'Main Budget'!$E$29,0)</f>
        <v>0</v>
      </c>
      <c r="K1084" s="20">
        <f>IF(DAY(A1084)='Main Budget'!$J$30,'Main Budget'!$E$30,0)</f>
        <v>0</v>
      </c>
      <c r="L1084" s="20">
        <f>IF(DAY(A1084)='Main Budget'!$J$31,'Main Budget'!$E$31,0)</f>
        <v>0</v>
      </c>
      <c r="M1084" s="20">
        <f>IF(DAY(A1084)='Main Budget'!$J$27,'Main Budget'!$E$27,0)</f>
        <v>0</v>
      </c>
      <c r="O1084" s="228">
        <f>B1084+(SUM(H1084:M1084)+(SUM(D1084:E1084)))</f>
        <v>100</v>
      </c>
      <c r="P1084" s="228">
        <f>C1084+F1084+G1084+N1084</f>
        <v>100</v>
      </c>
      <c r="Q1084" s="252">
        <f>O1084+P1084</f>
        <v>200</v>
      </c>
      <c r="S1084" s="231" t="str">
        <f>TEXT(A1084,"dddd")</f>
        <v>Monday</v>
      </c>
    </row>
    <row r="1085" spans="1:19" x14ac:dyDescent="0.25">
      <c r="A1085" s="226">
        <v>47106</v>
      </c>
      <c r="B1085" s="227">
        <f>O1084</f>
        <v>100</v>
      </c>
      <c r="C1085" s="228">
        <f>P1084</f>
        <v>100</v>
      </c>
      <c r="D1085" s="228">
        <f>IF(OR(DAY(A1085+2)=1,DAY(A1085+2)=15),-SUM('Main Budget'!$H$26:$H$31),0)</f>
        <v>0</v>
      </c>
      <c r="E1085" s="228">
        <f>IF(DAY(A1085+2)=22,-SUM('Main Budget'!$F$26:$F$31),0)</f>
        <v>0</v>
      </c>
      <c r="F1085" s="228">
        <f>IF(D1085&gt;0,-'Main Budget'!$H$25+0.15,0)</f>
        <v>0</v>
      </c>
      <c r="G1085" s="228">
        <f>IF(E1085&gt;0,-'Main Budget'!$F$25+0.81,0)</f>
        <v>0</v>
      </c>
      <c r="H1085" s="227">
        <f>IF(DAY(A1085)='Main Budget'!$J$26,'Main Budget'!$E$26,0)</f>
        <v>0</v>
      </c>
      <c r="I1085" s="227">
        <f>IF(DAY(A1085)='Main Budget'!$J$28,'Main Budget'!$E$28,0)</f>
        <v>0</v>
      </c>
      <c r="J1085" s="227">
        <f>IF(DAY(A1085)='Main Budget'!$J$29,'Main Budget'!$E$29,0)</f>
        <v>0</v>
      </c>
      <c r="K1085" s="20">
        <f>IF(DAY(A1085)='Main Budget'!$J$30,'Main Budget'!$E$30,0)</f>
        <v>0</v>
      </c>
      <c r="L1085" s="20">
        <f>IF(DAY(A1085)='Main Budget'!$J$31,'Main Budget'!$E$31,0)</f>
        <v>0</v>
      </c>
      <c r="M1085" s="20">
        <f>IF(DAY(A1085)='Main Budget'!$J$27,'Main Budget'!$E$27,0)</f>
        <v>0</v>
      </c>
      <c r="O1085" s="228">
        <f>B1085+(SUM(H1085:M1085)+(SUM(D1085:E1085)))</f>
        <v>100</v>
      </c>
      <c r="P1085" s="228">
        <f>C1085+F1085+G1085+N1085</f>
        <v>100</v>
      </c>
      <c r="Q1085" s="252">
        <f>O1085+P1085</f>
        <v>200</v>
      </c>
      <c r="S1085" s="231" t="str">
        <f>TEXT(A1085,"dddd")</f>
        <v>Tuesday</v>
      </c>
    </row>
    <row r="1086" spans="1:19" x14ac:dyDescent="0.25">
      <c r="A1086" s="226">
        <v>47107</v>
      </c>
      <c r="B1086" s="227">
        <f>O1085</f>
        <v>100</v>
      </c>
      <c r="C1086" s="228">
        <f>P1085</f>
        <v>100</v>
      </c>
      <c r="D1086" s="228">
        <f>IF(OR(DAY(A1086+2)=1,DAY(A1086+2)=15),-SUM('Main Budget'!$H$26:$H$31),0)</f>
        <v>0</v>
      </c>
      <c r="E1086" s="228">
        <f>IF(DAY(A1086+2)=22,-SUM('Main Budget'!$F$26:$F$31),0)</f>
        <v>0</v>
      </c>
      <c r="F1086" s="228">
        <f>IF(D1086&gt;0,-'Main Budget'!$H$25+0.15,0)</f>
        <v>0</v>
      </c>
      <c r="G1086" s="228">
        <f>IF(E1086&gt;0,-'Main Budget'!$F$25+0.81,0)</f>
        <v>0</v>
      </c>
      <c r="H1086" s="227">
        <f>IF(DAY(A1086)='Main Budget'!$J$26,'Main Budget'!$E$26,0)</f>
        <v>0</v>
      </c>
      <c r="I1086" s="227">
        <f>IF(DAY(A1086)='Main Budget'!$J$28,'Main Budget'!$E$28,0)</f>
        <v>0</v>
      </c>
      <c r="J1086" s="227">
        <f>IF(DAY(A1086)='Main Budget'!$J$29,'Main Budget'!$E$29,0)</f>
        <v>0</v>
      </c>
      <c r="K1086" s="20">
        <f>IF(DAY(A1086)='Main Budget'!$J$30,'Main Budget'!$E$30,0)</f>
        <v>0</v>
      </c>
      <c r="L1086" s="20">
        <f>IF(DAY(A1086)='Main Budget'!$J$31,'Main Budget'!$E$31,0)</f>
        <v>0</v>
      </c>
      <c r="M1086" s="20">
        <f>IF(DAY(A1086)='Main Budget'!$J$27,'Main Budget'!$E$27,0)</f>
        <v>0</v>
      </c>
      <c r="O1086" s="228">
        <f>B1086+(SUM(H1086:M1086)+(SUM(D1086:E1086)))</f>
        <v>100</v>
      </c>
      <c r="P1086" s="228">
        <f>C1086+F1086+G1086+N1086</f>
        <v>100</v>
      </c>
      <c r="Q1086" s="252">
        <f>O1086+P1086</f>
        <v>200</v>
      </c>
      <c r="S1086" s="231" t="str">
        <f>TEXT(A1086,"dddd")</f>
        <v>Wednesday</v>
      </c>
    </row>
    <row r="1087" spans="1:19" x14ac:dyDescent="0.25">
      <c r="A1087" s="226">
        <v>47108</v>
      </c>
      <c r="B1087" s="227">
        <f>O1086</f>
        <v>100</v>
      </c>
      <c r="C1087" s="228">
        <f>P1086</f>
        <v>100</v>
      </c>
      <c r="D1087" s="228">
        <f>IF(OR(DAY(A1087+2)=1,DAY(A1087+2)=15),-SUM('Main Budget'!$H$26:$H$31),0)</f>
        <v>0</v>
      </c>
      <c r="E1087" s="228">
        <f>IF(DAY(A1087+2)=22,-SUM('Main Budget'!$F$26:$F$31),0)</f>
        <v>0</v>
      </c>
      <c r="F1087" s="228">
        <f>IF(D1087&gt;0,-'Main Budget'!$H$25+0.15,0)</f>
        <v>0</v>
      </c>
      <c r="G1087" s="228">
        <f>IF(E1087&gt;0,-'Main Budget'!$F$25+0.81,0)</f>
        <v>0</v>
      </c>
      <c r="H1087" s="227">
        <f>IF(DAY(A1087)='Main Budget'!$J$26,'Main Budget'!$E$26,0)</f>
        <v>0</v>
      </c>
      <c r="I1087" s="227">
        <f>IF(DAY(A1087)='Main Budget'!$J$28,'Main Budget'!$E$28,0)</f>
        <v>0</v>
      </c>
      <c r="J1087" s="227">
        <f>IF(DAY(A1087)='Main Budget'!$J$29,'Main Budget'!$E$29,0)</f>
        <v>0</v>
      </c>
      <c r="K1087" s="20">
        <f>IF(DAY(A1087)='Main Budget'!$J$30,'Main Budget'!$E$30,0)</f>
        <v>0</v>
      </c>
      <c r="L1087" s="20">
        <f>IF(DAY(A1087)='Main Budget'!$J$31,'Main Budget'!$E$31,0)</f>
        <v>0</v>
      </c>
      <c r="M1087" s="20">
        <f>IF(DAY(A1087)='Main Budget'!$J$27,'Main Budget'!$E$27,0)</f>
        <v>0</v>
      </c>
      <c r="O1087" s="228">
        <f>B1087+(SUM(H1087:M1087)+(SUM(D1087:E1087)))</f>
        <v>100</v>
      </c>
      <c r="P1087" s="228">
        <f>C1087+F1087+G1087+N1087</f>
        <v>100</v>
      </c>
      <c r="Q1087" s="252">
        <f>O1087+P1087</f>
        <v>200</v>
      </c>
      <c r="S1087" s="231" t="str">
        <f>TEXT(A1087,"dddd")</f>
        <v>Thursday</v>
      </c>
    </row>
    <row r="1088" spans="1:19" x14ac:dyDescent="0.25">
      <c r="A1088" s="226">
        <v>47109</v>
      </c>
      <c r="B1088" s="227">
        <f>O1087</f>
        <v>100</v>
      </c>
      <c r="C1088" s="228">
        <f>P1087</f>
        <v>100</v>
      </c>
      <c r="D1088" s="228">
        <f>IF(OR(DAY(A1088+2)=1,DAY(A1088+2)=15),-SUM('Main Budget'!$H$26:$H$31),0)</f>
        <v>0</v>
      </c>
      <c r="E1088" s="228">
        <f>IF(DAY(A1088+2)=22,-SUM('Main Budget'!$F$26:$F$31),0)</f>
        <v>0</v>
      </c>
      <c r="F1088" s="228">
        <f>IF(D1088&gt;0,-'Main Budget'!$H$25+0.15,0)</f>
        <v>0</v>
      </c>
      <c r="G1088" s="228">
        <f>IF(E1088&gt;0,-'Main Budget'!$F$25+0.81,0)</f>
        <v>0</v>
      </c>
      <c r="H1088" s="227">
        <f>IF(DAY(A1088)='Main Budget'!$J$26,'Main Budget'!$E$26,0)</f>
        <v>0</v>
      </c>
      <c r="I1088" s="227">
        <f>IF(DAY(A1088)='Main Budget'!$J$28,'Main Budget'!$E$28,0)</f>
        <v>0</v>
      </c>
      <c r="J1088" s="227">
        <f>IF(DAY(A1088)='Main Budget'!$J$29,'Main Budget'!$E$29,0)</f>
        <v>0</v>
      </c>
      <c r="K1088" s="20">
        <f>IF(DAY(A1088)='Main Budget'!$J$30,'Main Budget'!$E$30,0)</f>
        <v>0</v>
      </c>
      <c r="L1088" s="20">
        <f>IF(DAY(A1088)='Main Budget'!$J$31,'Main Budget'!$E$31,0)</f>
        <v>0</v>
      </c>
      <c r="M1088" s="20">
        <f>IF(DAY(A1088)='Main Budget'!$J$27,'Main Budget'!$E$27,0)</f>
        <v>0</v>
      </c>
      <c r="O1088" s="228">
        <f>B1088+(SUM(H1088:M1088)+(SUM(D1088:E1088)))</f>
        <v>100</v>
      </c>
      <c r="P1088" s="228">
        <f>C1088+F1088+G1088+N1088</f>
        <v>100</v>
      </c>
      <c r="Q1088" s="252">
        <f>O1088+P1088</f>
        <v>200</v>
      </c>
      <c r="S1088" s="231" t="str">
        <f>TEXT(A1088,"dddd")</f>
        <v>Friday</v>
      </c>
    </row>
    <row r="1089" spans="1:19" x14ac:dyDescent="0.25">
      <c r="A1089" s="226">
        <v>47110</v>
      </c>
      <c r="B1089" s="227">
        <f>O1088</f>
        <v>100</v>
      </c>
      <c r="C1089" s="228">
        <f>P1088</f>
        <v>100</v>
      </c>
      <c r="D1089" s="228">
        <f>IF(OR(DAY(A1089+2)=1,DAY(A1089+2)=15),-SUM('Main Budget'!$H$26:$H$31),0)</f>
        <v>0</v>
      </c>
      <c r="E1089" s="228">
        <f>IF(DAY(A1089+2)=22,-SUM('Main Budget'!$F$26:$F$31),0)</f>
        <v>0</v>
      </c>
      <c r="F1089" s="228">
        <f>IF(D1089&gt;0,-'Main Budget'!$H$25+0.15,0)</f>
        <v>0</v>
      </c>
      <c r="G1089" s="228">
        <f>IF(E1089&gt;0,-'Main Budget'!$F$25+0.81,0)</f>
        <v>0</v>
      </c>
      <c r="H1089" s="227">
        <f>IF(DAY(A1089)='Main Budget'!$J$26,'Main Budget'!$E$26,0)</f>
        <v>0</v>
      </c>
      <c r="I1089" s="227">
        <f>IF(DAY(A1089)='Main Budget'!$J$28,'Main Budget'!$E$28,0)</f>
        <v>0</v>
      </c>
      <c r="J1089" s="227">
        <f>IF(DAY(A1089)='Main Budget'!$J$29,'Main Budget'!$E$29,0)</f>
        <v>0</v>
      </c>
      <c r="K1089" s="20">
        <f>IF(DAY(A1089)='Main Budget'!$J$30,'Main Budget'!$E$30,0)</f>
        <v>0</v>
      </c>
      <c r="L1089" s="20">
        <f>IF(DAY(A1089)='Main Budget'!$J$31,'Main Budget'!$E$31,0)</f>
        <v>0</v>
      </c>
      <c r="M1089" s="20">
        <f>IF(DAY(A1089)='Main Budget'!$J$27,'Main Budget'!$E$27,0)</f>
        <v>0</v>
      </c>
      <c r="O1089" s="228">
        <f>B1089+(SUM(H1089:M1089)+(SUM(D1089:E1089)))</f>
        <v>100</v>
      </c>
      <c r="P1089" s="228">
        <f>C1089+F1089+G1089+N1089</f>
        <v>100</v>
      </c>
      <c r="Q1089" s="252">
        <f>O1089+P1089</f>
        <v>200</v>
      </c>
      <c r="S1089" s="231" t="str">
        <f>TEXT(A1089,"dddd")</f>
        <v>Saturday</v>
      </c>
    </row>
    <row r="1090" spans="1:19" x14ac:dyDescent="0.25">
      <c r="A1090" s="226">
        <v>47111</v>
      </c>
      <c r="B1090" s="227">
        <f>O1089</f>
        <v>100</v>
      </c>
      <c r="C1090" s="228">
        <f>P1089</f>
        <v>100</v>
      </c>
      <c r="D1090" s="228">
        <f>IF(OR(DAY(A1090+2)=1,DAY(A1090+2)=15),-SUM('Main Budget'!$H$26:$H$31),0)</f>
        <v>0</v>
      </c>
      <c r="E1090" s="228">
        <f>IF(DAY(A1090+2)=22,-SUM('Main Budget'!$F$26:$F$31),0)</f>
        <v>0</v>
      </c>
      <c r="F1090" s="228">
        <f>IF(D1090&gt;0,-'Main Budget'!$H$25+0.15,0)</f>
        <v>0</v>
      </c>
      <c r="G1090" s="228">
        <f>IF(E1090&gt;0,-'Main Budget'!$F$25+0.81,0)</f>
        <v>0</v>
      </c>
      <c r="H1090" s="227">
        <f>IF(DAY(A1090)='Main Budget'!$J$26,'Main Budget'!$E$26,0)</f>
        <v>0</v>
      </c>
      <c r="I1090" s="227">
        <f>IF(DAY(A1090)='Main Budget'!$J$28,'Main Budget'!$E$28,0)</f>
        <v>0</v>
      </c>
      <c r="J1090" s="227">
        <f>IF(DAY(A1090)='Main Budget'!$J$29,'Main Budget'!$E$29,0)</f>
        <v>0</v>
      </c>
      <c r="K1090" s="20">
        <f>IF(DAY(A1090)='Main Budget'!$J$30,'Main Budget'!$E$30,0)</f>
        <v>0</v>
      </c>
      <c r="L1090" s="20">
        <f>IF(DAY(A1090)='Main Budget'!$J$31,'Main Budget'!$E$31,0)</f>
        <v>0</v>
      </c>
      <c r="M1090" s="20">
        <f>IF(DAY(A1090)='Main Budget'!$J$27,'Main Budget'!$E$27,0)</f>
        <v>0</v>
      </c>
      <c r="O1090" s="228">
        <f>B1090+(SUM(H1090:M1090)+(SUM(D1090:E1090)))</f>
        <v>100</v>
      </c>
      <c r="P1090" s="228">
        <f>C1090+F1090+G1090+N1090</f>
        <v>100</v>
      </c>
      <c r="Q1090" s="252">
        <f>O1090+P1090</f>
        <v>200</v>
      </c>
      <c r="S1090" s="231" t="str">
        <f>TEXT(A1090,"dddd")</f>
        <v>Sunday</v>
      </c>
    </row>
    <row r="1091" spans="1:19" x14ac:dyDescent="0.25">
      <c r="A1091" s="226">
        <v>47112</v>
      </c>
      <c r="B1091" s="227">
        <f>O1090</f>
        <v>100</v>
      </c>
      <c r="C1091" s="228">
        <f>P1090</f>
        <v>100</v>
      </c>
      <c r="D1091" s="228">
        <f>IF(OR(DAY(A1091+2)=1,DAY(A1091+2)=15),-SUM('Main Budget'!$H$26:$H$31),0)</f>
        <v>0</v>
      </c>
      <c r="E1091" s="228">
        <f>IF(DAY(A1091+2)=22,-SUM('Main Budget'!$F$26:$F$31),0)</f>
        <v>0</v>
      </c>
      <c r="F1091" s="228">
        <f>IF(D1091&gt;0,-'Main Budget'!$H$25+0.15,0)</f>
        <v>0</v>
      </c>
      <c r="G1091" s="228">
        <f>IF(E1091&gt;0,-'Main Budget'!$F$25+0.81,0)</f>
        <v>0</v>
      </c>
      <c r="H1091" s="227">
        <f>IF(DAY(A1091)='Main Budget'!$J$26,'Main Budget'!$E$26,0)</f>
        <v>0</v>
      </c>
      <c r="I1091" s="227">
        <f>IF(DAY(A1091)='Main Budget'!$J$28,'Main Budget'!$E$28,0)</f>
        <v>0</v>
      </c>
      <c r="J1091" s="227">
        <f>IF(DAY(A1091)='Main Budget'!$J$29,'Main Budget'!$E$29,0)</f>
        <v>0</v>
      </c>
      <c r="K1091" s="20">
        <f>IF(DAY(A1091)='Main Budget'!$J$30,'Main Budget'!$E$30,0)</f>
        <v>0</v>
      </c>
      <c r="L1091" s="20">
        <f>IF(DAY(A1091)='Main Budget'!$J$31,'Main Budget'!$E$31,0)</f>
        <v>0</v>
      </c>
      <c r="M1091" s="20">
        <f>IF(DAY(A1091)='Main Budget'!$J$27,'Main Budget'!$E$27,0)</f>
        <v>0</v>
      </c>
      <c r="O1091" s="228">
        <f>B1091+(SUM(H1091:M1091)+(SUM(D1091:E1091)))</f>
        <v>100</v>
      </c>
      <c r="P1091" s="228">
        <f>C1091+F1091+G1091+N1091</f>
        <v>100</v>
      </c>
      <c r="Q1091" s="252">
        <f>O1091+P1091</f>
        <v>200</v>
      </c>
      <c r="S1091" s="231" t="str">
        <f>TEXT(A1091,"dddd")</f>
        <v>Monday</v>
      </c>
    </row>
    <row r="1092" spans="1:19" x14ac:dyDescent="0.25">
      <c r="A1092" s="226">
        <v>47113</v>
      </c>
      <c r="B1092" s="227">
        <f>O1091</f>
        <v>100</v>
      </c>
      <c r="C1092" s="228">
        <f>P1091</f>
        <v>100</v>
      </c>
      <c r="D1092" s="228">
        <f>IF(OR(DAY(A1092+2)=1,DAY(A1092+2)=15),-SUM('Main Budget'!$H$26:$H$31),0)</f>
        <v>0</v>
      </c>
      <c r="E1092" s="228">
        <f>IF(DAY(A1092+2)=22,-SUM('Main Budget'!$F$26:$F$31),0)</f>
        <v>0</v>
      </c>
      <c r="F1092" s="228">
        <f>IF(D1092&gt;0,-'Main Budget'!$H$25+0.15,0)</f>
        <v>0</v>
      </c>
      <c r="G1092" s="228">
        <f>IF(E1092&gt;0,-'Main Budget'!$F$25+0.81,0)</f>
        <v>0</v>
      </c>
      <c r="H1092" s="227">
        <f>IF(DAY(A1092)='Main Budget'!$J$26,'Main Budget'!$E$26,0)</f>
        <v>0</v>
      </c>
      <c r="I1092" s="227">
        <f>IF(DAY(A1092)='Main Budget'!$J$28,'Main Budget'!$E$28,0)</f>
        <v>0</v>
      </c>
      <c r="J1092" s="227">
        <f>IF(DAY(A1092)='Main Budget'!$J$29,'Main Budget'!$E$29,0)</f>
        <v>0</v>
      </c>
      <c r="K1092" s="20">
        <f>IF(DAY(A1092)='Main Budget'!$J$30,'Main Budget'!$E$30,0)</f>
        <v>0</v>
      </c>
      <c r="L1092" s="20">
        <f>IF(DAY(A1092)='Main Budget'!$J$31,'Main Budget'!$E$31,0)</f>
        <v>0</v>
      </c>
      <c r="M1092" s="20">
        <f>IF(DAY(A1092)='Main Budget'!$J$27,'Main Budget'!$E$27,0)</f>
        <v>0</v>
      </c>
      <c r="O1092" s="228">
        <f>B1092+(SUM(H1092:M1092)+(SUM(D1092:E1092)))</f>
        <v>100</v>
      </c>
      <c r="P1092" s="228">
        <f>C1092+F1092+G1092+N1092</f>
        <v>100</v>
      </c>
      <c r="Q1092" s="252">
        <f>O1092+P1092</f>
        <v>200</v>
      </c>
      <c r="S1092" s="231" t="str">
        <f>TEXT(A1092,"dddd")</f>
        <v>Tuesday</v>
      </c>
    </row>
    <row r="1093" spans="1:19" x14ac:dyDescent="0.25">
      <c r="A1093" s="226">
        <v>47114</v>
      </c>
      <c r="B1093" s="227">
        <f>O1092</f>
        <v>100</v>
      </c>
      <c r="C1093" s="228">
        <f>P1092</f>
        <v>100</v>
      </c>
      <c r="D1093" s="228">
        <f>IF(OR(DAY(A1093+2)=1,DAY(A1093+2)=15),-SUM('Main Budget'!$H$26:$H$31),0)</f>
        <v>0</v>
      </c>
      <c r="E1093" s="228">
        <f>IF(DAY(A1093+2)=22,-SUM('Main Budget'!$F$26:$F$31),0)</f>
        <v>0</v>
      </c>
      <c r="F1093" s="228">
        <f>IF(D1093&gt;0,-'Main Budget'!$H$25+0.15,0)</f>
        <v>0</v>
      </c>
      <c r="G1093" s="228">
        <f>IF(E1093&gt;0,-'Main Budget'!$F$25+0.81,0)</f>
        <v>0</v>
      </c>
      <c r="H1093" s="227">
        <f>IF(DAY(A1093)='Main Budget'!$J$26,'Main Budget'!$E$26,0)</f>
        <v>0</v>
      </c>
      <c r="I1093" s="227">
        <f>IF(DAY(A1093)='Main Budget'!$J$28,'Main Budget'!$E$28,0)</f>
        <v>0</v>
      </c>
      <c r="J1093" s="227">
        <f>IF(DAY(A1093)='Main Budget'!$J$29,'Main Budget'!$E$29,0)</f>
        <v>0</v>
      </c>
      <c r="K1093" s="20">
        <f>IF(DAY(A1093)='Main Budget'!$J$30,'Main Budget'!$E$30,0)</f>
        <v>0</v>
      </c>
      <c r="L1093" s="20">
        <f>IF(DAY(A1093)='Main Budget'!$J$31,'Main Budget'!$E$31,0)</f>
        <v>0</v>
      </c>
      <c r="M1093" s="20">
        <f>IF(DAY(A1093)='Main Budget'!$J$27,'Main Budget'!$E$27,0)</f>
        <v>0</v>
      </c>
      <c r="O1093" s="228">
        <f>B1093+(SUM(H1093:M1093)+(SUM(D1093:E1093)))</f>
        <v>100</v>
      </c>
      <c r="P1093" s="228">
        <f>C1093+F1093+G1093+N1093</f>
        <v>100</v>
      </c>
      <c r="Q1093" s="252">
        <f>O1093+P1093</f>
        <v>200</v>
      </c>
      <c r="S1093" s="231" t="str">
        <f>TEXT(A1093,"dddd")</f>
        <v>Wednesday</v>
      </c>
    </row>
    <row r="1094" spans="1:19" x14ac:dyDescent="0.25">
      <c r="A1094" s="226">
        <v>47115</v>
      </c>
      <c r="B1094" s="227">
        <f>O1093</f>
        <v>100</v>
      </c>
      <c r="C1094" s="228">
        <f>P1093</f>
        <v>100</v>
      </c>
      <c r="D1094" s="228">
        <f>IF(OR(DAY(A1094+2)=1,DAY(A1094+2)=15),-SUM('Main Budget'!$H$26:$H$31),0)</f>
        <v>0</v>
      </c>
      <c r="E1094" s="228">
        <f>IF(DAY(A1094+2)=22,-SUM('Main Budget'!$F$26:$F$31),0)</f>
        <v>0</v>
      </c>
      <c r="F1094" s="228">
        <f>IF(D1094&gt;0,-'Main Budget'!$H$25+0.15,0)</f>
        <v>0</v>
      </c>
      <c r="G1094" s="228">
        <f>IF(E1094&gt;0,-'Main Budget'!$F$25+0.81,0)</f>
        <v>0</v>
      </c>
      <c r="H1094" s="227">
        <f>IF(DAY(A1094)='Main Budget'!$J$26,'Main Budget'!$E$26,0)</f>
        <v>0</v>
      </c>
      <c r="I1094" s="227">
        <f>IF(DAY(A1094)='Main Budget'!$J$28,'Main Budget'!$E$28,0)</f>
        <v>0</v>
      </c>
      <c r="J1094" s="227">
        <f>IF(DAY(A1094)='Main Budget'!$J$29,'Main Budget'!$E$29,0)</f>
        <v>0</v>
      </c>
      <c r="K1094" s="20">
        <f>IF(DAY(A1094)='Main Budget'!$J$30,'Main Budget'!$E$30,0)</f>
        <v>0</v>
      </c>
      <c r="L1094" s="20">
        <f>IF(DAY(A1094)='Main Budget'!$J$31,'Main Budget'!$E$31,0)</f>
        <v>0</v>
      </c>
      <c r="M1094" s="20">
        <f>IF(DAY(A1094)='Main Budget'!$J$27,'Main Budget'!$E$27,0)</f>
        <v>0</v>
      </c>
      <c r="O1094" s="228">
        <f>B1094+(SUM(H1094:M1094)+(SUM(D1094:E1094)))</f>
        <v>100</v>
      </c>
      <c r="P1094" s="228">
        <f>C1094+F1094+G1094+N1094</f>
        <v>100</v>
      </c>
      <c r="Q1094" s="252">
        <f>O1094+P1094</f>
        <v>200</v>
      </c>
      <c r="S1094" s="231" t="str">
        <f>TEXT(A1094,"dddd")</f>
        <v>Thursday</v>
      </c>
    </row>
    <row r="1095" spans="1:19" x14ac:dyDescent="0.25">
      <c r="A1095" s="226">
        <v>47116</v>
      </c>
      <c r="B1095" s="227">
        <f>O1094</f>
        <v>100</v>
      </c>
      <c r="C1095" s="228">
        <f>P1094</f>
        <v>100</v>
      </c>
      <c r="D1095" s="228">
        <f>IF(OR(DAY(A1095+2)=1,DAY(A1095+2)=15),-SUM('Main Budget'!$H$26:$H$31),0)</f>
        <v>0</v>
      </c>
      <c r="E1095" s="228">
        <f>IF(DAY(A1095+2)=22,-SUM('Main Budget'!$F$26:$F$31),0)</f>
        <v>0</v>
      </c>
      <c r="F1095" s="228">
        <f>IF(D1095&gt;0,-'Main Budget'!$H$25+0.15,0)</f>
        <v>0</v>
      </c>
      <c r="G1095" s="228">
        <f>IF(E1095&gt;0,-'Main Budget'!$F$25+0.81,0)</f>
        <v>0</v>
      </c>
      <c r="H1095" s="227">
        <f>IF(DAY(A1095)='Main Budget'!$J$26,'Main Budget'!$E$26,0)</f>
        <v>0</v>
      </c>
      <c r="I1095" s="227">
        <f>IF(DAY(A1095)='Main Budget'!$J$28,'Main Budget'!$E$28,0)</f>
        <v>0</v>
      </c>
      <c r="J1095" s="227">
        <f>IF(DAY(A1095)='Main Budget'!$J$29,'Main Budget'!$E$29,0)</f>
        <v>0</v>
      </c>
      <c r="K1095" s="20">
        <f>IF(DAY(A1095)='Main Budget'!$J$30,'Main Budget'!$E$30,0)</f>
        <v>0</v>
      </c>
      <c r="L1095" s="20">
        <f>IF(DAY(A1095)='Main Budget'!$J$31,'Main Budget'!$E$31,0)</f>
        <v>0</v>
      </c>
      <c r="M1095" s="20">
        <f>IF(DAY(A1095)='Main Budget'!$J$27,'Main Budget'!$E$27,0)</f>
        <v>0</v>
      </c>
      <c r="O1095" s="228">
        <f>B1095+(SUM(H1095:M1095)+(SUM(D1095:E1095)))</f>
        <v>100</v>
      </c>
      <c r="P1095" s="228">
        <f>C1095+F1095+G1095+N1095</f>
        <v>100</v>
      </c>
      <c r="Q1095" s="252">
        <f>O1095+P1095</f>
        <v>200</v>
      </c>
      <c r="S1095" s="231" t="str">
        <f>TEXT(A1095,"dddd")</f>
        <v>Friday</v>
      </c>
    </row>
    <row r="1096" spans="1:19" x14ac:dyDescent="0.25">
      <c r="A1096" s="226">
        <v>47117</v>
      </c>
      <c r="B1096" s="227">
        <f>O1095</f>
        <v>100</v>
      </c>
      <c r="C1096" s="228">
        <f>P1095</f>
        <v>100</v>
      </c>
      <c r="D1096" s="228">
        <f>IF(OR(DAY(A1096+2)=1,DAY(A1096+2)=15),-SUM('Main Budget'!$H$26:$H$31),0)</f>
        <v>0</v>
      </c>
      <c r="E1096" s="228">
        <f>IF(DAY(A1096+2)=22,-SUM('Main Budget'!$F$26:$F$31),0)</f>
        <v>0</v>
      </c>
      <c r="F1096" s="228">
        <f>IF(D1096&gt;0,-'Main Budget'!$H$25+0.15,0)</f>
        <v>0</v>
      </c>
      <c r="G1096" s="228">
        <f>IF(E1096&gt;0,-'Main Budget'!$F$25+0.81,0)</f>
        <v>0</v>
      </c>
      <c r="H1096" s="227">
        <f>IF(DAY(A1096)='Main Budget'!$J$26,'Main Budget'!$E$26,0)</f>
        <v>0</v>
      </c>
      <c r="I1096" s="227">
        <f>IF(DAY(A1096)='Main Budget'!$J$28,'Main Budget'!$E$28,0)</f>
        <v>0</v>
      </c>
      <c r="J1096" s="227">
        <f>IF(DAY(A1096)='Main Budget'!$J$29,'Main Budget'!$E$29,0)</f>
        <v>0</v>
      </c>
      <c r="K1096" s="20">
        <f>IF(DAY(A1096)='Main Budget'!$J$30,'Main Budget'!$E$30,0)</f>
        <v>0</v>
      </c>
      <c r="L1096" s="20">
        <f>IF(DAY(A1096)='Main Budget'!$J$31,'Main Budget'!$E$31,0)</f>
        <v>0</v>
      </c>
      <c r="M1096" s="20">
        <f>IF(DAY(A1096)='Main Budget'!$J$27,'Main Budget'!$E$27,0)</f>
        <v>0</v>
      </c>
      <c r="O1096" s="228">
        <f>B1096+(SUM(H1096:M1096)+(SUM(D1096:E1096)))</f>
        <v>100</v>
      </c>
      <c r="P1096" s="228">
        <f>C1096+F1096+G1096+N1096</f>
        <v>100</v>
      </c>
      <c r="Q1096" s="252">
        <f>O1096+P1096</f>
        <v>200</v>
      </c>
      <c r="S1096" s="231" t="str">
        <f>TEXT(A1096,"dddd")</f>
        <v>Saturday</v>
      </c>
    </row>
    <row r="1097" spans="1:19" x14ac:dyDescent="0.25">
      <c r="A1097" s="226">
        <v>47118</v>
      </c>
      <c r="B1097" s="227">
        <f>O1096</f>
        <v>100</v>
      </c>
      <c r="C1097" s="228">
        <f>P1096</f>
        <v>100</v>
      </c>
      <c r="D1097" s="228">
        <f>IF(OR(DAY(A1097+2)=1,DAY(A1097+2)=15),-SUM('Main Budget'!$H$26:$H$31),0)</f>
        <v>0</v>
      </c>
      <c r="E1097" s="228">
        <f>IF(DAY(A1097+2)=22,-SUM('Main Budget'!$F$26:$F$31),0)</f>
        <v>0</v>
      </c>
      <c r="F1097" s="228">
        <f>IF(D1097&gt;0,-'Main Budget'!$H$25+0.15,0)</f>
        <v>0</v>
      </c>
      <c r="G1097" s="228">
        <f>IF(E1097&gt;0,-'Main Budget'!$F$25+0.81,0)</f>
        <v>0</v>
      </c>
      <c r="H1097" s="227">
        <f>IF(DAY(A1097)='Main Budget'!$J$26,'Main Budget'!$E$26,0)</f>
        <v>0</v>
      </c>
      <c r="I1097" s="227">
        <f>IF(DAY(A1097)='Main Budget'!$J$28,'Main Budget'!$E$28,0)</f>
        <v>0</v>
      </c>
      <c r="J1097" s="227">
        <f>IF(DAY(A1097)='Main Budget'!$J$29,'Main Budget'!$E$29,0)</f>
        <v>0</v>
      </c>
      <c r="K1097" s="20">
        <f>IF(DAY(A1097)='Main Budget'!$J$30,'Main Budget'!$E$30,0)</f>
        <v>0</v>
      </c>
      <c r="L1097" s="20">
        <f>IF(DAY(A1097)='Main Budget'!$J$31,'Main Budget'!$E$31,0)</f>
        <v>0</v>
      </c>
      <c r="M1097" s="20">
        <f>IF(DAY(A1097)='Main Budget'!$J$27,'Main Budget'!$E$27,0)</f>
        <v>0</v>
      </c>
      <c r="O1097" s="228">
        <f>B1097+(SUM(H1097:M1097)+(SUM(D1097:E1097)))</f>
        <v>100</v>
      </c>
      <c r="P1097" s="228">
        <f>C1097+F1097+G1097+N1097</f>
        <v>100</v>
      </c>
      <c r="Q1097" s="252">
        <f>O1097+P1097</f>
        <v>200</v>
      </c>
      <c r="S1097" s="231" t="str">
        <f>TEXT(A1097,"dddd")</f>
        <v>Sunday</v>
      </c>
    </row>
    <row r="1098" spans="1:19" x14ac:dyDescent="0.25">
      <c r="A1098" s="226">
        <v>47119</v>
      </c>
      <c r="B1098" s="227">
        <f>O1097</f>
        <v>100</v>
      </c>
      <c r="C1098" s="228">
        <f>P1097</f>
        <v>100</v>
      </c>
      <c r="D1098" s="228">
        <f>IF(OR(DAY(A1098+2)=1,DAY(A1098+2)=15),-SUM('Main Budget'!$H$26:$H$31),0)</f>
        <v>0</v>
      </c>
      <c r="E1098" s="228">
        <f>IF(DAY(A1098+2)=22,-SUM('Main Budget'!$F$26:$F$31),0)</f>
        <v>0</v>
      </c>
      <c r="F1098" s="228">
        <f>IF(D1098&gt;0,-'Main Budget'!$H$25+0.15,0)</f>
        <v>0</v>
      </c>
      <c r="G1098" s="228">
        <f>IF(E1098&gt;0,-'Main Budget'!$F$25+0.81,0)</f>
        <v>0</v>
      </c>
      <c r="H1098" s="227">
        <f>IF(DAY(A1098)='Main Budget'!$J$26,'Main Budget'!$E$26,0)</f>
        <v>0</v>
      </c>
      <c r="I1098" s="227">
        <f>IF(DAY(A1098)='Main Budget'!$J$28,'Main Budget'!$E$28,0)</f>
        <v>0</v>
      </c>
      <c r="J1098" s="227">
        <f>IF(DAY(A1098)='Main Budget'!$J$29,'Main Budget'!$E$29,0)</f>
        <v>0</v>
      </c>
      <c r="K1098" s="20">
        <f>IF(DAY(A1098)='Main Budget'!$J$30,'Main Budget'!$E$30,0)</f>
        <v>0</v>
      </c>
      <c r="L1098" s="20">
        <f>IF(DAY(A1098)='Main Budget'!$J$31,'Main Budget'!$E$31,0)</f>
        <v>0</v>
      </c>
      <c r="M1098" s="20">
        <f>IF(DAY(A1098)='Main Budget'!$J$27,'Main Budget'!$E$27,0)</f>
        <v>0</v>
      </c>
      <c r="O1098" s="228">
        <f>B1098+(SUM(H1098:M1098)+(SUM(D1098:E1098)))</f>
        <v>100</v>
      </c>
      <c r="P1098" s="228">
        <f>C1098+F1098+G1098+N1098</f>
        <v>100</v>
      </c>
      <c r="Q1098" s="252">
        <f>O1098+P1098</f>
        <v>200</v>
      </c>
      <c r="S1098" s="231" t="str">
        <f>TEXT(A1098,"dddd")</f>
        <v>Monday</v>
      </c>
    </row>
    <row r="1099" spans="1:19" x14ac:dyDescent="0.25">
      <c r="A1099" s="226">
        <v>47120</v>
      </c>
      <c r="B1099" s="227">
        <f>O1098</f>
        <v>100</v>
      </c>
      <c r="C1099" s="228">
        <f>P1098</f>
        <v>100</v>
      </c>
      <c r="D1099" s="228">
        <f>IF(OR(DAY(A1099+2)=1,DAY(A1099+2)=15),-SUM('Main Budget'!$H$26:$H$31),0)</f>
        <v>0</v>
      </c>
      <c r="E1099" s="228">
        <f>IF(DAY(A1099+2)=22,-SUM('Main Budget'!$F$26:$F$31),0)</f>
        <v>0</v>
      </c>
      <c r="F1099" s="228">
        <f>IF(D1099&gt;0,-'Main Budget'!$H$25+0.15,0)</f>
        <v>0</v>
      </c>
      <c r="G1099" s="228">
        <f>IF(E1099&gt;0,-'Main Budget'!$F$25+0.81,0)</f>
        <v>0</v>
      </c>
      <c r="H1099" s="227">
        <f>IF(DAY(A1099)='Main Budget'!$J$26,'Main Budget'!$E$26,0)</f>
        <v>0</v>
      </c>
      <c r="I1099" s="227">
        <f>IF(DAY(A1099)='Main Budget'!$J$28,'Main Budget'!$E$28,0)</f>
        <v>0</v>
      </c>
      <c r="J1099" s="227">
        <f>IF(DAY(A1099)='Main Budget'!$J$29,'Main Budget'!$E$29,0)</f>
        <v>0</v>
      </c>
      <c r="K1099" s="20">
        <f>IF(DAY(A1099)='Main Budget'!$J$30,'Main Budget'!$E$30,0)</f>
        <v>0</v>
      </c>
      <c r="L1099" s="20">
        <f>IF(DAY(A1099)='Main Budget'!$J$31,'Main Budget'!$E$31,0)</f>
        <v>0</v>
      </c>
      <c r="M1099" s="20">
        <f>IF(DAY(A1099)='Main Budget'!$J$27,'Main Budget'!$E$27,0)</f>
        <v>0</v>
      </c>
      <c r="O1099" s="228">
        <f>B1099+(SUM(H1099:M1099)+(SUM(D1099:E1099)))</f>
        <v>100</v>
      </c>
      <c r="P1099" s="228">
        <f>C1099+F1099+G1099+N1099</f>
        <v>100</v>
      </c>
      <c r="Q1099" s="252">
        <f>O1099+P1099</f>
        <v>200</v>
      </c>
      <c r="S1099" s="231" t="str">
        <f>TEXT(A1099,"dddd")</f>
        <v>Tuesday</v>
      </c>
    </row>
    <row r="1100" spans="1:19" x14ac:dyDescent="0.25">
      <c r="A1100" s="226">
        <v>47121</v>
      </c>
      <c r="B1100" s="227">
        <f>O1099</f>
        <v>100</v>
      </c>
      <c r="C1100" s="228">
        <f>P1099</f>
        <v>100</v>
      </c>
      <c r="D1100" s="228">
        <f>IF(OR(DAY(A1100+2)=1,DAY(A1100+2)=15),-SUM('Main Budget'!$H$26:$H$31),0)</f>
        <v>0</v>
      </c>
      <c r="E1100" s="228">
        <f>IF(DAY(A1100+2)=22,-SUM('Main Budget'!$F$26:$F$31),0)</f>
        <v>0</v>
      </c>
      <c r="F1100" s="228">
        <f>IF(D1100&gt;0,-'Main Budget'!$H$25+0.15,0)</f>
        <v>0</v>
      </c>
      <c r="G1100" s="228">
        <f>IF(E1100&gt;0,-'Main Budget'!$F$25+0.81,0)</f>
        <v>0</v>
      </c>
      <c r="H1100" s="227">
        <f>IF(DAY(A1100)='Main Budget'!$J$26,'Main Budget'!$E$26,0)</f>
        <v>0</v>
      </c>
      <c r="I1100" s="227">
        <f>IF(DAY(A1100)='Main Budget'!$J$28,'Main Budget'!$E$28,0)</f>
        <v>0</v>
      </c>
      <c r="J1100" s="227">
        <f>IF(DAY(A1100)='Main Budget'!$J$29,'Main Budget'!$E$29,0)</f>
        <v>0</v>
      </c>
      <c r="K1100" s="20">
        <f>IF(DAY(A1100)='Main Budget'!$J$30,'Main Budget'!$E$30,0)</f>
        <v>0</v>
      </c>
      <c r="L1100" s="20">
        <f>IF(DAY(A1100)='Main Budget'!$J$31,'Main Budget'!$E$31,0)</f>
        <v>0</v>
      </c>
      <c r="M1100" s="20">
        <f>IF(DAY(A1100)='Main Budget'!$J$27,'Main Budget'!$E$27,0)</f>
        <v>0</v>
      </c>
      <c r="O1100" s="228">
        <f>B1100+(SUM(H1100:M1100)+(SUM(D1100:E1100)))</f>
        <v>100</v>
      </c>
      <c r="P1100" s="228">
        <f>C1100+F1100+G1100+N1100</f>
        <v>100</v>
      </c>
      <c r="Q1100" s="252">
        <f>O1100+P1100</f>
        <v>200</v>
      </c>
      <c r="S1100" s="231" t="str">
        <f>TEXT(A1100,"dddd")</f>
        <v>Wednesday</v>
      </c>
    </row>
    <row r="1101" spans="1:19" x14ac:dyDescent="0.25">
      <c r="A1101" s="226">
        <v>47122</v>
      </c>
      <c r="B1101" s="227">
        <f>O1100</f>
        <v>100</v>
      </c>
      <c r="C1101" s="228">
        <f>P1100</f>
        <v>100</v>
      </c>
      <c r="D1101" s="228">
        <f>IF(OR(DAY(A1101+2)=1,DAY(A1101+2)=15),-SUM('Main Budget'!$H$26:$H$31),0)</f>
        <v>0</v>
      </c>
      <c r="E1101" s="228">
        <f>IF(DAY(A1101+2)=22,-SUM('Main Budget'!$F$26:$F$31),0)</f>
        <v>0</v>
      </c>
      <c r="F1101" s="228">
        <f>IF(D1101&gt;0,-'Main Budget'!$H$25+0.15,0)</f>
        <v>0</v>
      </c>
      <c r="G1101" s="228">
        <f>IF(E1101&gt;0,-'Main Budget'!$F$25+0.81,0)</f>
        <v>0</v>
      </c>
      <c r="H1101" s="227">
        <f>IF(DAY(A1101)='Main Budget'!$J$26,'Main Budget'!$E$26,0)</f>
        <v>0</v>
      </c>
      <c r="I1101" s="227">
        <f>IF(DAY(A1101)='Main Budget'!$J$28,'Main Budget'!$E$28,0)</f>
        <v>0</v>
      </c>
      <c r="J1101" s="227">
        <f>IF(DAY(A1101)='Main Budget'!$J$29,'Main Budget'!$E$29,0)</f>
        <v>0</v>
      </c>
      <c r="K1101" s="20">
        <f>IF(DAY(A1101)='Main Budget'!$J$30,'Main Budget'!$E$30,0)</f>
        <v>0</v>
      </c>
      <c r="L1101" s="20">
        <f>IF(DAY(A1101)='Main Budget'!$J$31,'Main Budget'!$E$31,0)</f>
        <v>0</v>
      </c>
      <c r="M1101" s="20">
        <f>IF(DAY(A1101)='Main Budget'!$J$27,'Main Budget'!$E$27,0)</f>
        <v>0</v>
      </c>
      <c r="O1101" s="228">
        <f>B1101+(SUM(H1101:M1101)+(SUM(D1101:E1101)))</f>
        <v>100</v>
      </c>
      <c r="P1101" s="228">
        <f>C1101+F1101+G1101+N1101</f>
        <v>100</v>
      </c>
      <c r="Q1101" s="252">
        <f>O1101+P1101</f>
        <v>200</v>
      </c>
      <c r="S1101" s="231" t="str">
        <f>TEXT(A1101,"dddd")</f>
        <v>Thursday</v>
      </c>
    </row>
    <row r="1102" spans="1:19" x14ac:dyDescent="0.25">
      <c r="A1102" s="226">
        <v>47123</v>
      </c>
      <c r="B1102" s="227">
        <f>O1101</f>
        <v>100</v>
      </c>
      <c r="C1102" s="228">
        <f>P1101</f>
        <v>100</v>
      </c>
      <c r="D1102" s="228">
        <f>IF(OR(DAY(A1102+2)=1,DAY(A1102+2)=15),-SUM('Main Budget'!$H$26:$H$31),0)</f>
        <v>0</v>
      </c>
      <c r="E1102" s="228">
        <f>IF(DAY(A1102+2)=22,-SUM('Main Budget'!$F$26:$F$31),0)</f>
        <v>0</v>
      </c>
      <c r="F1102" s="228">
        <f>IF(D1102&gt;0,-'Main Budget'!$H$25+0.15,0)</f>
        <v>0</v>
      </c>
      <c r="G1102" s="228">
        <f>IF(E1102&gt;0,-'Main Budget'!$F$25+0.81,0)</f>
        <v>0</v>
      </c>
      <c r="H1102" s="227">
        <f>IF(DAY(A1102)='Main Budget'!$J$26,'Main Budget'!$E$26,0)</f>
        <v>0</v>
      </c>
      <c r="I1102" s="227">
        <f>IF(DAY(A1102)='Main Budget'!$J$28,'Main Budget'!$E$28,0)</f>
        <v>0</v>
      </c>
      <c r="J1102" s="227">
        <f>IF(DAY(A1102)='Main Budget'!$J$29,'Main Budget'!$E$29,0)</f>
        <v>0</v>
      </c>
      <c r="K1102" s="20">
        <f>IF(DAY(A1102)='Main Budget'!$J$30,'Main Budget'!$E$30,0)</f>
        <v>0</v>
      </c>
      <c r="L1102" s="20">
        <f>IF(DAY(A1102)='Main Budget'!$J$31,'Main Budget'!$E$31,0)</f>
        <v>0</v>
      </c>
      <c r="M1102" s="20">
        <f>IF(DAY(A1102)='Main Budget'!$J$27,'Main Budget'!$E$27,0)</f>
        <v>0</v>
      </c>
      <c r="O1102" s="228">
        <f>B1102+(SUM(H1102:M1102)+(SUM(D1102:E1102)))</f>
        <v>100</v>
      </c>
      <c r="P1102" s="228">
        <f>C1102+F1102+G1102+N1102</f>
        <v>100</v>
      </c>
      <c r="Q1102" s="252">
        <f>O1102+P1102</f>
        <v>200</v>
      </c>
      <c r="S1102" s="231" t="str">
        <f>TEXT(A1102,"dddd")</f>
        <v>Friday</v>
      </c>
    </row>
    <row r="1103" spans="1:19" x14ac:dyDescent="0.25">
      <c r="A1103" s="226">
        <v>47124</v>
      </c>
      <c r="B1103" s="227">
        <f>O1102</f>
        <v>100</v>
      </c>
      <c r="C1103" s="228">
        <f>P1102</f>
        <v>100</v>
      </c>
      <c r="D1103" s="228">
        <f>IF(OR(DAY(A1103+2)=1,DAY(A1103+2)=15),-SUM('Main Budget'!$H$26:$H$31),0)</f>
        <v>0</v>
      </c>
      <c r="E1103" s="228">
        <f>IF(DAY(A1103+2)=22,-SUM('Main Budget'!$F$26:$F$31),0)</f>
        <v>0</v>
      </c>
      <c r="F1103" s="228">
        <f>IF(D1103&gt;0,-'Main Budget'!$H$25+0.15,0)</f>
        <v>0</v>
      </c>
      <c r="G1103" s="228">
        <f>IF(E1103&gt;0,-'Main Budget'!$F$25+0.81,0)</f>
        <v>0</v>
      </c>
      <c r="H1103" s="227">
        <f>IF(DAY(A1103)='Main Budget'!$J$26,'Main Budget'!$E$26,0)</f>
        <v>0</v>
      </c>
      <c r="I1103" s="227">
        <f>IF(DAY(A1103)='Main Budget'!$J$28,'Main Budget'!$E$28,0)</f>
        <v>0</v>
      </c>
      <c r="J1103" s="227">
        <f>IF(DAY(A1103)='Main Budget'!$J$29,'Main Budget'!$E$29,0)</f>
        <v>0</v>
      </c>
      <c r="K1103" s="20">
        <f>IF(DAY(A1103)='Main Budget'!$J$30,'Main Budget'!$E$30,0)</f>
        <v>0</v>
      </c>
      <c r="L1103" s="20">
        <f>IF(DAY(A1103)='Main Budget'!$J$31,'Main Budget'!$E$31,0)</f>
        <v>0</v>
      </c>
      <c r="M1103" s="20">
        <f>IF(DAY(A1103)='Main Budget'!$J$27,'Main Budget'!$E$27,0)</f>
        <v>0</v>
      </c>
      <c r="O1103" s="228">
        <f>B1103+(SUM(H1103:M1103)+(SUM(D1103:E1103)))</f>
        <v>100</v>
      </c>
      <c r="P1103" s="228">
        <f>C1103+F1103+G1103+N1103</f>
        <v>100</v>
      </c>
      <c r="Q1103" s="252">
        <f>O1103+P1103</f>
        <v>200</v>
      </c>
      <c r="S1103" s="231" t="str">
        <f>TEXT(A1103,"dddd")</f>
        <v>Saturday</v>
      </c>
    </row>
    <row r="1104" spans="1:19" x14ac:dyDescent="0.25">
      <c r="A1104" s="226">
        <v>47125</v>
      </c>
      <c r="B1104" s="227">
        <f>O1103</f>
        <v>100</v>
      </c>
      <c r="C1104" s="228">
        <f>P1103</f>
        <v>100</v>
      </c>
      <c r="D1104" s="228">
        <f>IF(OR(DAY(A1104+2)=1,DAY(A1104+2)=15),-SUM('Main Budget'!$H$26:$H$31),0)</f>
        <v>0</v>
      </c>
      <c r="E1104" s="228">
        <f>IF(DAY(A1104+2)=22,-SUM('Main Budget'!$F$26:$F$31),0)</f>
        <v>0</v>
      </c>
      <c r="F1104" s="228">
        <f>IF(D1104&gt;0,-'Main Budget'!$H$25+0.15,0)</f>
        <v>0</v>
      </c>
      <c r="G1104" s="228">
        <f>IF(E1104&gt;0,-'Main Budget'!$F$25+0.81,0)</f>
        <v>0</v>
      </c>
      <c r="H1104" s="227">
        <f>IF(DAY(A1104)='Main Budget'!$J$26,'Main Budget'!$E$26,0)</f>
        <v>0</v>
      </c>
      <c r="I1104" s="227">
        <f>IF(DAY(A1104)='Main Budget'!$J$28,'Main Budget'!$E$28,0)</f>
        <v>0</v>
      </c>
      <c r="J1104" s="227">
        <f>IF(DAY(A1104)='Main Budget'!$J$29,'Main Budget'!$E$29,0)</f>
        <v>0</v>
      </c>
      <c r="K1104" s="20">
        <f>IF(DAY(A1104)='Main Budget'!$J$30,'Main Budget'!$E$30,0)</f>
        <v>0</v>
      </c>
      <c r="L1104" s="20">
        <f>IF(DAY(A1104)='Main Budget'!$J$31,'Main Budget'!$E$31,0)</f>
        <v>0</v>
      </c>
      <c r="M1104" s="20">
        <f>IF(DAY(A1104)='Main Budget'!$J$27,'Main Budget'!$E$27,0)</f>
        <v>0</v>
      </c>
      <c r="O1104" s="228">
        <f>B1104+(SUM(H1104:M1104)+(SUM(D1104:E1104)))</f>
        <v>100</v>
      </c>
      <c r="P1104" s="228">
        <f>C1104+F1104+G1104+N1104</f>
        <v>100</v>
      </c>
      <c r="Q1104" s="252">
        <f>O1104+P1104</f>
        <v>200</v>
      </c>
      <c r="S1104" s="231" t="str">
        <f>TEXT(A1104,"dddd")</f>
        <v>Sunday</v>
      </c>
    </row>
    <row r="1105" spans="1:19" x14ac:dyDescent="0.25">
      <c r="A1105" s="226">
        <v>47126</v>
      </c>
      <c r="B1105" s="227">
        <f>O1104</f>
        <v>100</v>
      </c>
      <c r="C1105" s="228">
        <f>P1104</f>
        <v>100</v>
      </c>
      <c r="D1105" s="228">
        <f>IF(OR(DAY(A1105+2)=1,DAY(A1105+2)=15),-SUM('Main Budget'!$H$26:$H$31),0)</f>
        <v>0</v>
      </c>
      <c r="E1105" s="228">
        <f>IF(DAY(A1105+2)=22,-SUM('Main Budget'!$F$26:$F$31),0)</f>
        <v>0</v>
      </c>
      <c r="F1105" s="228">
        <f>IF(D1105&gt;0,-'Main Budget'!$H$25+0.15,0)</f>
        <v>0</v>
      </c>
      <c r="G1105" s="228">
        <f>IF(E1105&gt;0,-'Main Budget'!$F$25+0.81,0)</f>
        <v>0</v>
      </c>
      <c r="H1105" s="227">
        <f>IF(DAY(A1105)='Main Budget'!$J$26,'Main Budget'!$E$26,0)</f>
        <v>0</v>
      </c>
      <c r="I1105" s="227">
        <f>IF(DAY(A1105)='Main Budget'!$J$28,'Main Budget'!$E$28,0)</f>
        <v>0</v>
      </c>
      <c r="J1105" s="227">
        <f>IF(DAY(A1105)='Main Budget'!$J$29,'Main Budget'!$E$29,0)</f>
        <v>0</v>
      </c>
      <c r="K1105" s="20">
        <f>IF(DAY(A1105)='Main Budget'!$J$30,'Main Budget'!$E$30,0)</f>
        <v>0</v>
      </c>
      <c r="L1105" s="20">
        <f>IF(DAY(A1105)='Main Budget'!$J$31,'Main Budget'!$E$31,0)</f>
        <v>0</v>
      </c>
      <c r="M1105" s="20">
        <f>IF(DAY(A1105)='Main Budget'!$J$27,'Main Budget'!$E$27,0)</f>
        <v>0</v>
      </c>
      <c r="O1105" s="228">
        <f>B1105+(SUM(H1105:M1105)+(SUM(D1105:E1105)))</f>
        <v>100</v>
      </c>
      <c r="P1105" s="228">
        <f>C1105+F1105+G1105+N1105</f>
        <v>100</v>
      </c>
      <c r="Q1105" s="252">
        <f>O1105+P1105</f>
        <v>200</v>
      </c>
      <c r="S1105" s="231" t="str">
        <f>TEXT(A1105,"dddd")</f>
        <v>Monday</v>
      </c>
    </row>
    <row r="1106" spans="1:19" x14ac:dyDescent="0.25">
      <c r="A1106" s="226">
        <v>47127</v>
      </c>
      <c r="B1106" s="227">
        <f>O1105</f>
        <v>100</v>
      </c>
      <c r="C1106" s="228">
        <f>P1105</f>
        <v>100</v>
      </c>
      <c r="D1106" s="228">
        <f>IF(OR(DAY(A1106+2)=1,DAY(A1106+2)=15),-SUM('Main Budget'!$H$26:$H$31),0)</f>
        <v>0</v>
      </c>
      <c r="E1106" s="228">
        <f>IF(DAY(A1106+2)=22,-SUM('Main Budget'!$F$26:$F$31),0)</f>
        <v>0</v>
      </c>
      <c r="F1106" s="228">
        <f>IF(D1106&gt;0,-'Main Budget'!$H$25+0.15,0)</f>
        <v>0</v>
      </c>
      <c r="G1106" s="228">
        <f>IF(E1106&gt;0,-'Main Budget'!$F$25+0.81,0)</f>
        <v>0</v>
      </c>
      <c r="H1106" s="227">
        <f>IF(DAY(A1106)='Main Budget'!$J$26,'Main Budget'!$E$26,0)</f>
        <v>0</v>
      </c>
      <c r="I1106" s="227">
        <f>IF(DAY(A1106)='Main Budget'!$J$28,'Main Budget'!$E$28,0)</f>
        <v>0</v>
      </c>
      <c r="J1106" s="227">
        <f>IF(DAY(A1106)='Main Budget'!$J$29,'Main Budget'!$E$29,0)</f>
        <v>0</v>
      </c>
      <c r="K1106" s="20">
        <f>IF(DAY(A1106)='Main Budget'!$J$30,'Main Budget'!$E$30,0)</f>
        <v>0</v>
      </c>
      <c r="L1106" s="20">
        <f>IF(DAY(A1106)='Main Budget'!$J$31,'Main Budget'!$E$31,0)</f>
        <v>0</v>
      </c>
      <c r="M1106" s="20">
        <f>IF(DAY(A1106)='Main Budget'!$J$27,'Main Budget'!$E$27,0)</f>
        <v>0</v>
      </c>
      <c r="O1106" s="228">
        <f>B1106+(SUM(H1106:M1106)+(SUM(D1106:E1106)))</f>
        <v>100</v>
      </c>
      <c r="P1106" s="228">
        <f>C1106+F1106+G1106+N1106</f>
        <v>100</v>
      </c>
      <c r="Q1106" s="252">
        <f>O1106+P1106</f>
        <v>200</v>
      </c>
      <c r="S1106" s="231" t="str">
        <f>TEXT(A1106,"dddd")</f>
        <v>Tuesday</v>
      </c>
    </row>
    <row r="1107" spans="1:19" x14ac:dyDescent="0.25">
      <c r="A1107" s="226">
        <v>47128</v>
      </c>
      <c r="B1107" s="227">
        <f>O1106</f>
        <v>100</v>
      </c>
      <c r="C1107" s="228">
        <f>P1106</f>
        <v>100</v>
      </c>
      <c r="D1107" s="228">
        <f>IF(OR(DAY(A1107+2)=1,DAY(A1107+2)=15),-SUM('Main Budget'!$H$26:$H$31),0)</f>
        <v>0</v>
      </c>
      <c r="E1107" s="228">
        <f>IF(DAY(A1107+2)=22,-SUM('Main Budget'!$F$26:$F$31),0)</f>
        <v>0</v>
      </c>
      <c r="F1107" s="228">
        <f>IF(D1107&gt;0,-'Main Budget'!$H$25+0.15,0)</f>
        <v>0</v>
      </c>
      <c r="G1107" s="228">
        <f>IF(E1107&gt;0,-'Main Budget'!$F$25+0.81,0)</f>
        <v>0</v>
      </c>
      <c r="H1107" s="227">
        <f>IF(DAY(A1107)='Main Budget'!$J$26,'Main Budget'!$E$26,0)</f>
        <v>0</v>
      </c>
      <c r="I1107" s="227">
        <f>IF(DAY(A1107)='Main Budget'!$J$28,'Main Budget'!$E$28,0)</f>
        <v>0</v>
      </c>
      <c r="J1107" s="227">
        <f>IF(DAY(A1107)='Main Budget'!$J$29,'Main Budget'!$E$29,0)</f>
        <v>0</v>
      </c>
      <c r="K1107" s="20">
        <f>IF(DAY(A1107)='Main Budget'!$J$30,'Main Budget'!$E$30,0)</f>
        <v>0</v>
      </c>
      <c r="L1107" s="20">
        <f>IF(DAY(A1107)='Main Budget'!$J$31,'Main Budget'!$E$31,0)</f>
        <v>0</v>
      </c>
      <c r="M1107" s="20">
        <f>IF(DAY(A1107)='Main Budget'!$J$27,'Main Budget'!$E$27,0)</f>
        <v>0</v>
      </c>
      <c r="O1107" s="228">
        <f>B1107+(SUM(H1107:M1107)+(SUM(D1107:E1107)))</f>
        <v>100</v>
      </c>
      <c r="P1107" s="228">
        <f>C1107+F1107+G1107+N1107</f>
        <v>100</v>
      </c>
      <c r="Q1107" s="252">
        <f>O1107+P1107</f>
        <v>200</v>
      </c>
      <c r="S1107" s="231" t="str">
        <f>TEXT(A1107,"dddd")</f>
        <v>Wednesday</v>
      </c>
    </row>
    <row r="1108" spans="1:19" x14ac:dyDescent="0.25">
      <c r="A1108" s="226">
        <v>47129</v>
      </c>
      <c r="B1108" s="227">
        <f>O1107</f>
        <v>100</v>
      </c>
      <c r="C1108" s="228">
        <f>P1107</f>
        <v>100</v>
      </c>
      <c r="D1108" s="228">
        <f>IF(OR(DAY(A1108+2)=1,DAY(A1108+2)=15),-SUM('Main Budget'!$H$26:$H$31),0)</f>
        <v>0</v>
      </c>
      <c r="E1108" s="228">
        <f>IF(DAY(A1108+2)=22,-SUM('Main Budget'!$F$26:$F$31),0)</f>
        <v>0</v>
      </c>
      <c r="F1108" s="228">
        <f>IF(D1108&gt;0,-'Main Budget'!$H$25+0.15,0)</f>
        <v>0</v>
      </c>
      <c r="G1108" s="228">
        <f>IF(E1108&gt;0,-'Main Budget'!$F$25+0.81,0)</f>
        <v>0</v>
      </c>
      <c r="H1108" s="227">
        <f>IF(DAY(A1108)='Main Budget'!$J$26,'Main Budget'!$E$26,0)</f>
        <v>0</v>
      </c>
      <c r="I1108" s="227">
        <f>IF(DAY(A1108)='Main Budget'!$J$28,'Main Budget'!$E$28,0)</f>
        <v>0</v>
      </c>
      <c r="J1108" s="227">
        <f>IF(DAY(A1108)='Main Budget'!$J$29,'Main Budget'!$E$29,0)</f>
        <v>0</v>
      </c>
      <c r="K1108" s="20">
        <f>IF(DAY(A1108)='Main Budget'!$J$30,'Main Budget'!$E$30,0)</f>
        <v>0</v>
      </c>
      <c r="L1108" s="20">
        <f>IF(DAY(A1108)='Main Budget'!$J$31,'Main Budget'!$E$31,0)</f>
        <v>0</v>
      </c>
      <c r="M1108" s="20">
        <f>IF(DAY(A1108)='Main Budget'!$J$27,'Main Budget'!$E$27,0)</f>
        <v>0</v>
      </c>
      <c r="O1108" s="228">
        <f>B1108+(SUM(H1108:M1108)+(SUM(D1108:E1108)))</f>
        <v>100</v>
      </c>
      <c r="P1108" s="228">
        <f>C1108+F1108+G1108+N1108</f>
        <v>100</v>
      </c>
      <c r="Q1108" s="252">
        <f>O1108+P1108</f>
        <v>200</v>
      </c>
      <c r="S1108" s="231" t="str">
        <f>TEXT(A1108,"dddd")</f>
        <v>Thursday</v>
      </c>
    </row>
    <row r="1109" spans="1:19" x14ac:dyDescent="0.25">
      <c r="A1109" s="226">
        <v>47130</v>
      </c>
      <c r="B1109" s="227">
        <f>O1108</f>
        <v>100</v>
      </c>
      <c r="C1109" s="228">
        <f>P1108</f>
        <v>100</v>
      </c>
      <c r="D1109" s="228">
        <f>IF(OR(DAY(A1109+2)=1,DAY(A1109+2)=15),-SUM('Main Budget'!$H$26:$H$31),0)</f>
        <v>0</v>
      </c>
      <c r="E1109" s="228">
        <f>IF(DAY(A1109+2)=22,-SUM('Main Budget'!$F$26:$F$31),0)</f>
        <v>0</v>
      </c>
      <c r="F1109" s="228">
        <f>IF(D1109&gt;0,-'Main Budget'!$H$25+0.15,0)</f>
        <v>0</v>
      </c>
      <c r="G1109" s="228">
        <f>IF(E1109&gt;0,-'Main Budget'!$F$25+0.81,0)</f>
        <v>0</v>
      </c>
      <c r="H1109" s="227">
        <f>IF(DAY(A1109)='Main Budget'!$J$26,'Main Budget'!$E$26,0)</f>
        <v>0</v>
      </c>
      <c r="I1109" s="227">
        <f>IF(DAY(A1109)='Main Budget'!$J$28,'Main Budget'!$E$28,0)</f>
        <v>0</v>
      </c>
      <c r="J1109" s="227">
        <f>IF(DAY(A1109)='Main Budget'!$J$29,'Main Budget'!$E$29,0)</f>
        <v>0</v>
      </c>
      <c r="K1109" s="20">
        <f>IF(DAY(A1109)='Main Budget'!$J$30,'Main Budget'!$E$30,0)</f>
        <v>0</v>
      </c>
      <c r="L1109" s="20">
        <f>IF(DAY(A1109)='Main Budget'!$J$31,'Main Budget'!$E$31,0)</f>
        <v>0</v>
      </c>
      <c r="M1109" s="20">
        <f>IF(DAY(A1109)='Main Budget'!$J$27,'Main Budget'!$E$27,0)</f>
        <v>0</v>
      </c>
      <c r="O1109" s="228">
        <f>B1109+(SUM(H1109:M1109)+(SUM(D1109:E1109)))</f>
        <v>100</v>
      </c>
      <c r="P1109" s="228">
        <f>C1109+F1109+G1109+N1109</f>
        <v>100</v>
      </c>
      <c r="Q1109" s="252">
        <f>O1109+P1109</f>
        <v>200</v>
      </c>
      <c r="S1109" s="231" t="str">
        <f>TEXT(A1109,"dddd")</f>
        <v>Friday</v>
      </c>
    </row>
    <row r="1110" spans="1:19" x14ac:dyDescent="0.25">
      <c r="A1110" s="226">
        <v>47131</v>
      </c>
      <c r="B1110" s="227">
        <f>O1109</f>
        <v>100</v>
      </c>
      <c r="C1110" s="228">
        <f>P1109</f>
        <v>100</v>
      </c>
      <c r="D1110" s="228">
        <f>IF(OR(DAY(A1110+2)=1,DAY(A1110+2)=15),-SUM('Main Budget'!$H$26:$H$31),0)</f>
        <v>0</v>
      </c>
      <c r="E1110" s="228">
        <f>IF(DAY(A1110+2)=22,-SUM('Main Budget'!$F$26:$F$31),0)</f>
        <v>0</v>
      </c>
      <c r="F1110" s="228">
        <f>IF(D1110&gt;0,-'Main Budget'!$H$25+0.15,0)</f>
        <v>0</v>
      </c>
      <c r="G1110" s="228">
        <f>IF(E1110&gt;0,-'Main Budget'!$F$25+0.81,0)</f>
        <v>0</v>
      </c>
      <c r="H1110" s="227">
        <f>IF(DAY(A1110)='Main Budget'!$J$26,'Main Budget'!$E$26,0)</f>
        <v>0</v>
      </c>
      <c r="I1110" s="227">
        <f>IF(DAY(A1110)='Main Budget'!$J$28,'Main Budget'!$E$28,0)</f>
        <v>0</v>
      </c>
      <c r="J1110" s="227">
        <f>IF(DAY(A1110)='Main Budget'!$J$29,'Main Budget'!$E$29,0)</f>
        <v>0</v>
      </c>
      <c r="K1110" s="20">
        <f>IF(DAY(A1110)='Main Budget'!$J$30,'Main Budget'!$E$30,0)</f>
        <v>0</v>
      </c>
      <c r="L1110" s="20">
        <f>IF(DAY(A1110)='Main Budget'!$J$31,'Main Budget'!$E$31,0)</f>
        <v>0</v>
      </c>
      <c r="M1110" s="20">
        <f>IF(DAY(A1110)='Main Budget'!$J$27,'Main Budget'!$E$27,0)</f>
        <v>0</v>
      </c>
      <c r="O1110" s="228">
        <f>B1110+(SUM(H1110:M1110)+(SUM(D1110:E1110)))</f>
        <v>100</v>
      </c>
      <c r="P1110" s="228">
        <f>C1110+F1110+G1110+N1110</f>
        <v>100</v>
      </c>
      <c r="Q1110" s="252">
        <f>O1110+P1110</f>
        <v>200</v>
      </c>
      <c r="S1110" s="231" t="str">
        <f>TEXT(A1110,"dddd")</f>
        <v>Saturday</v>
      </c>
    </row>
    <row r="1111" spans="1:19" x14ac:dyDescent="0.25">
      <c r="A1111" s="226">
        <v>47132</v>
      </c>
      <c r="B1111" s="227">
        <f>O1110</f>
        <v>100</v>
      </c>
      <c r="C1111" s="228">
        <f>P1110</f>
        <v>100</v>
      </c>
      <c r="D1111" s="228">
        <f>IF(OR(DAY(A1111+2)=1,DAY(A1111+2)=15),-SUM('Main Budget'!$H$26:$H$31),0)</f>
        <v>0</v>
      </c>
      <c r="E1111" s="228">
        <f>IF(DAY(A1111+2)=22,-SUM('Main Budget'!$F$26:$F$31),0)</f>
        <v>0</v>
      </c>
      <c r="F1111" s="228">
        <f>IF(D1111&gt;0,-'Main Budget'!$H$25+0.15,0)</f>
        <v>0</v>
      </c>
      <c r="G1111" s="228">
        <f>IF(E1111&gt;0,-'Main Budget'!$F$25+0.81,0)</f>
        <v>0</v>
      </c>
      <c r="H1111" s="227">
        <f>IF(DAY(A1111)='Main Budget'!$J$26,'Main Budget'!$E$26,0)</f>
        <v>0</v>
      </c>
      <c r="I1111" s="227">
        <f>IF(DAY(A1111)='Main Budget'!$J$28,'Main Budget'!$E$28,0)</f>
        <v>0</v>
      </c>
      <c r="J1111" s="227">
        <f>IF(DAY(A1111)='Main Budget'!$J$29,'Main Budget'!$E$29,0)</f>
        <v>0</v>
      </c>
      <c r="K1111" s="20">
        <f>IF(DAY(A1111)='Main Budget'!$J$30,'Main Budget'!$E$30,0)</f>
        <v>0</v>
      </c>
      <c r="L1111" s="20">
        <f>IF(DAY(A1111)='Main Budget'!$J$31,'Main Budget'!$E$31,0)</f>
        <v>0</v>
      </c>
      <c r="M1111" s="20">
        <f>IF(DAY(A1111)='Main Budget'!$J$27,'Main Budget'!$E$27,0)</f>
        <v>0</v>
      </c>
      <c r="O1111" s="228">
        <f>B1111+(SUM(H1111:M1111)+(SUM(D1111:E1111)))</f>
        <v>100</v>
      </c>
      <c r="P1111" s="228">
        <f>C1111+F1111+G1111+N1111</f>
        <v>100</v>
      </c>
      <c r="Q1111" s="252">
        <f>O1111+P1111</f>
        <v>200</v>
      </c>
      <c r="S1111" s="231" t="str">
        <f>TEXT(A1111,"dddd")</f>
        <v>Sunday</v>
      </c>
    </row>
    <row r="1112" spans="1:19" x14ac:dyDescent="0.25">
      <c r="A1112" s="226">
        <v>47133</v>
      </c>
      <c r="B1112" s="227">
        <f>O1111</f>
        <v>100</v>
      </c>
      <c r="C1112" s="228">
        <f>P1111</f>
        <v>100</v>
      </c>
      <c r="D1112" s="228">
        <f>IF(OR(DAY(A1112+2)=1,DAY(A1112+2)=15),-SUM('Main Budget'!$H$26:$H$31),0)</f>
        <v>0</v>
      </c>
      <c r="E1112" s="228">
        <f>IF(DAY(A1112+2)=22,-SUM('Main Budget'!$F$26:$F$31),0)</f>
        <v>0</v>
      </c>
      <c r="F1112" s="228">
        <f>IF(D1112&gt;0,-'Main Budget'!$H$25+0.15,0)</f>
        <v>0</v>
      </c>
      <c r="G1112" s="228">
        <f>IF(E1112&gt;0,-'Main Budget'!$F$25+0.81,0)</f>
        <v>0</v>
      </c>
      <c r="H1112" s="227">
        <f>IF(DAY(A1112)='Main Budget'!$J$26,'Main Budget'!$E$26,0)</f>
        <v>0</v>
      </c>
      <c r="I1112" s="227">
        <f>IF(DAY(A1112)='Main Budget'!$J$28,'Main Budget'!$E$28,0)</f>
        <v>0</v>
      </c>
      <c r="J1112" s="227">
        <f>IF(DAY(A1112)='Main Budget'!$J$29,'Main Budget'!$E$29,0)</f>
        <v>0</v>
      </c>
      <c r="K1112" s="20">
        <f>IF(DAY(A1112)='Main Budget'!$J$30,'Main Budget'!$E$30,0)</f>
        <v>0</v>
      </c>
      <c r="L1112" s="20">
        <f>IF(DAY(A1112)='Main Budget'!$J$31,'Main Budget'!$E$31,0)</f>
        <v>0</v>
      </c>
      <c r="M1112" s="20">
        <f>IF(DAY(A1112)='Main Budget'!$J$27,'Main Budget'!$E$27,0)</f>
        <v>0</v>
      </c>
      <c r="O1112" s="228">
        <f>B1112+(SUM(H1112:M1112)+(SUM(D1112:E1112)))</f>
        <v>100</v>
      </c>
      <c r="P1112" s="228">
        <f>C1112+F1112+G1112+N1112</f>
        <v>100</v>
      </c>
      <c r="Q1112" s="252">
        <f>O1112+P1112</f>
        <v>200</v>
      </c>
      <c r="S1112" s="231" t="str">
        <f>TEXT(A1112,"dddd")</f>
        <v>Monday</v>
      </c>
    </row>
    <row r="1113" spans="1:19" x14ac:dyDescent="0.25">
      <c r="A1113" s="226">
        <v>47134</v>
      </c>
      <c r="B1113" s="227">
        <f>O1112</f>
        <v>100</v>
      </c>
      <c r="C1113" s="228">
        <f>P1112</f>
        <v>100</v>
      </c>
      <c r="D1113" s="228">
        <f>IF(OR(DAY(A1113+2)=1,DAY(A1113+2)=15),-SUM('Main Budget'!$H$26:$H$31),0)</f>
        <v>0</v>
      </c>
      <c r="E1113" s="228">
        <f>IF(DAY(A1113+2)=22,-SUM('Main Budget'!$F$26:$F$31),0)</f>
        <v>0</v>
      </c>
      <c r="F1113" s="228">
        <f>IF(D1113&gt;0,-'Main Budget'!$H$25+0.15,0)</f>
        <v>0</v>
      </c>
      <c r="G1113" s="228">
        <f>IF(E1113&gt;0,-'Main Budget'!$F$25+0.81,0)</f>
        <v>0</v>
      </c>
      <c r="H1113" s="227">
        <f>IF(DAY(A1113)='Main Budget'!$J$26,'Main Budget'!$E$26,0)</f>
        <v>0</v>
      </c>
      <c r="I1113" s="227">
        <f>IF(DAY(A1113)='Main Budget'!$J$28,'Main Budget'!$E$28,0)</f>
        <v>0</v>
      </c>
      <c r="J1113" s="227">
        <f>IF(DAY(A1113)='Main Budget'!$J$29,'Main Budget'!$E$29,0)</f>
        <v>0</v>
      </c>
      <c r="K1113" s="20">
        <f>IF(DAY(A1113)='Main Budget'!$J$30,'Main Budget'!$E$30,0)</f>
        <v>0</v>
      </c>
      <c r="L1113" s="20">
        <f>IF(DAY(A1113)='Main Budget'!$J$31,'Main Budget'!$E$31,0)</f>
        <v>0</v>
      </c>
      <c r="M1113" s="20">
        <f>IF(DAY(A1113)='Main Budget'!$J$27,'Main Budget'!$E$27,0)</f>
        <v>0</v>
      </c>
      <c r="O1113" s="228">
        <f>B1113+(SUM(H1113:M1113)+(SUM(D1113:E1113)))</f>
        <v>100</v>
      </c>
      <c r="P1113" s="228">
        <f>C1113+F1113+G1113+N1113</f>
        <v>100</v>
      </c>
      <c r="Q1113" s="252">
        <f>O1113+P1113</f>
        <v>200</v>
      </c>
      <c r="S1113" s="231" t="str">
        <f>TEXT(A1113,"dddd")</f>
        <v>Tuesday</v>
      </c>
    </row>
    <row r="1114" spans="1:19" x14ac:dyDescent="0.25">
      <c r="A1114" s="226">
        <v>47135</v>
      </c>
      <c r="B1114" s="227">
        <f>O1113</f>
        <v>100</v>
      </c>
      <c r="C1114" s="228">
        <f>P1113</f>
        <v>100</v>
      </c>
      <c r="D1114" s="228">
        <f>IF(OR(DAY(A1114+2)=1,DAY(A1114+2)=15),-SUM('Main Budget'!$H$26:$H$31),0)</f>
        <v>0</v>
      </c>
      <c r="E1114" s="228">
        <f>IF(DAY(A1114+2)=22,-SUM('Main Budget'!$F$26:$F$31),0)</f>
        <v>0</v>
      </c>
      <c r="F1114" s="228">
        <f>IF(D1114&gt;0,-'Main Budget'!$H$25+0.15,0)</f>
        <v>0</v>
      </c>
      <c r="G1114" s="228">
        <f>IF(E1114&gt;0,-'Main Budget'!$F$25+0.81,0)</f>
        <v>0</v>
      </c>
      <c r="H1114" s="227">
        <f>IF(DAY(A1114)='Main Budget'!$J$26,'Main Budget'!$E$26,0)</f>
        <v>0</v>
      </c>
      <c r="I1114" s="227">
        <f>IF(DAY(A1114)='Main Budget'!$J$28,'Main Budget'!$E$28,0)</f>
        <v>0</v>
      </c>
      <c r="J1114" s="227">
        <f>IF(DAY(A1114)='Main Budget'!$J$29,'Main Budget'!$E$29,0)</f>
        <v>0</v>
      </c>
      <c r="K1114" s="20">
        <f>IF(DAY(A1114)='Main Budget'!$J$30,'Main Budget'!$E$30,0)</f>
        <v>0</v>
      </c>
      <c r="L1114" s="20">
        <f>IF(DAY(A1114)='Main Budget'!$J$31,'Main Budget'!$E$31,0)</f>
        <v>0</v>
      </c>
      <c r="M1114" s="20">
        <f>IF(DAY(A1114)='Main Budget'!$J$27,'Main Budget'!$E$27,0)</f>
        <v>0</v>
      </c>
      <c r="O1114" s="228">
        <f>B1114+(SUM(H1114:M1114)+(SUM(D1114:E1114)))</f>
        <v>100</v>
      </c>
      <c r="P1114" s="228">
        <f>C1114+F1114+G1114+N1114</f>
        <v>100</v>
      </c>
      <c r="Q1114" s="252">
        <f>O1114+P1114</f>
        <v>200</v>
      </c>
      <c r="S1114" s="231" t="str">
        <f>TEXT(A1114,"dddd")</f>
        <v>Wednesday</v>
      </c>
    </row>
    <row r="1115" spans="1:19" x14ac:dyDescent="0.25">
      <c r="A1115" s="226">
        <v>47136</v>
      </c>
      <c r="B1115" s="227">
        <f>O1114</f>
        <v>100</v>
      </c>
      <c r="C1115" s="228">
        <f>P1114</f>
        <v>100</v>
      </c>
      <c r="D1115" s="228">
        <f>IF(OR(DAY(A1115+2)=1,DAY(A1115+2)=15),-SUM('Main Budget'!$H$26:$H$31),0)</f>
        <v>0</v>
      </c>
      <c r="E1115" s="228">
        <f>IF(DAY(A1115+2)=22,-SUM('Main Budget'!$F$26:$F$31),0)</f>
        <v>0</v>
      </c>
      <c r="F1115" s="228">
        <f>IF(D1115&gt;0,-'Main Budget'!$H$25+0.15,0)</f>
        <v>0</v>
      </c>
      <c r="G1115" s="228">
        <f>IF(E1115&gt;0,-'Main Budget'!$F$25+0.81,0)</f>
        <v>0</v>
      </c>
      <c r="H1115" s="227">
        <f>IF(DAY(A1115)='Main Budget'!$J$26,'Main Budget'!$E$26,0)</f>
        <v>0</v>
      </c>
      <c r="I1115" s="227">
        <f>IF(DAY(A1115)='Main Budget'!$J$28,'Main Budget'!$E$28,0)</f>
        <v>0</v>
      </c>
      <c r="J1115" s="227">
        <f>IF(DAY(A1115)='Main Budget'!$J$29,'Main Budget'!$E$29,0)</f>
        <v>0</v>
      </c>
      <c r="K1115" s="20">
        <f>IF(DAY(A1115)='Main Budget'!$J$30,'Main Budget'!$E$30,0)</f>
        <v>0</v>
      </c>
      <c r="L1115" s="20">
        <f>IF(DAY(A1115)='Main Budget'!$J$31,'Main Budget'!$E$31,0)</f>
        <v>0</v>
      </c>
      <c r="M1115" s="20">
        <f>IF(DAY(A1115)='Main Budget'!$J$27,'Main Budget'!$E$27,0)</f>
        <v>0</v>
      </c>
      <c r="O1115" s="228">
        <f>B1115+(SUM(H1115:M1115)+(SUM(D1115:E1115)))</f>
        <v>100</v>
      </c>
      <c r="P1115" s="228">
        <f>C1115+F1115+G1115+N1115</f>
        <v>100</v>
      </c>
      <c r="Q1115" s="252">
        <f>O1115+P1115</f>
        <v>200</v>
      </c>
      <c r="S1115" s="231" t="str">
        <f>TEXT(A1115,"dddd")</f>
        <v>Thursday</v>
      </c>
    </row>
    <row r="1116" spans="1:19" x14ac:dyDescent="0.25">
      <c r="A1116" s="226">
        <v>47137</v>
      </c>
      <c r="B1116" s="227">
        <f>O1115</f>
        <v>100</v>
      </c>
      <c r="C1116" s="228">
        <f>P1115</f>
        <v>100</v>
      </c>
      <c r="D1116" s="228">
        <f>IF(OR(DAY(A1116+2)=1,DAY(A1116+2)=15),-SUM('Main Budget'!$H$26:$H$31),0)</f>
        <v>0</v>
      </c>
      <c r="E1116" s="228">
        <f>IF(DAY(A1116+2)=22,-SUM('Main Budget'!$F$26:$F$31),0)</f>
        <v>0</v>
      </c>
      <c r="F1116" s="228">
        <f>IF(D1116&gt;0,-'Main Budget'!$H$25+0.15,0)</f>
        <v>0</v>
      </c>
      <c r="G1116" s="228">
        <f>IF(E1116&gt;0,-'Main Budget'!$F$25+0.81,0)</f>
        <v>0</v>
      </c>
      <c r="H1116" s="227">
        <f>IF(DAY(A1116)='Main Budget'!$J$26,'Main Budget'!$E$26,0)</f>
        <v>0</v>
      </c>
      <c r="I1116" s="227">
        <f>IF(DAY(A1116)='Main Budget'!$J$28,'Main Budget'!$E$28,0)</f>
        <v>0</v>
      </c>
      <c r="J1116" s="227">
        <f>IF(DAY(A1116)='Main Budget'!$J$29,'Main Budget'!$E$29,0)</f>
        <v>0</v>
      </c>
      <c r="K1116" s="20">
        <f>IF(DAY(A1116)='Main Budget'!$J$30,'Main Budget'!$E$30,0)</f>
        <v>0</v>
      </c>
      <c r="L1116" s="20">
        <f>IF(DAY(A1116)='Main Budget'!$J$31,'Main Budget'!$E$31,0)</f>
        <v>0</v>
      </c>
      <c r="M1116" s="20">
        <f>IF(DAY(A1116)='Main Budget'!$J$27,'Main Budget'!$E$27,0)</f>
        <v>0</v>
      </c>
      <c r="O1116" s="228">
        <f>B1116+(SUM(H1116:M1116)+(SUM(D1116:E1116)))</f>
        <v>100</v>
      </c>
      <c r="P1116" s="228">
        <f>C1116+F1116+G1116+N1116</f>
        <v>100</v>
      </c>
      <c r="Q1116" s="252">
        <f>O1116+P1116</f>
        <v>200</v>
      </c>
      <c r="S1116" s="231" t="str">
        <f>TEXT(A1116,"dddd")</f>
        <v>Friday</v>
      </c>
    </row>
    <row r="1117" spans="1:19" x14ac:dyDescent="0.25">
      <c r="A1117" s="226">
        <v>47138</v>
      </c>
      <c r="B1117" s="227">
        <f>O1116</f>
        <v>100</v>
      </c>
      <c r="C1117" s="228">
        <f>P1116</f>
        <v>100</v>
      </c>
      <c r="D1117" s="228">
        <f>IF(OR(DAY(A1117+2)=1,DAY(A1117+2)=15),-SUM('Main Budget'!$H$26:$H$31),0)</f>
        <v>0</v>
      </c>
      <c r="E1117" s="228">
        <f>IF(DAY(A1117+2)=22,-SUM('Main Budget'!$F$26:$F$31),0)</f>
        <v>0</v>
      </c>
      <c r="F1117" s="228">
        <f>IF(D1117&gt;0,-'Main Budget'!$H$25+0.15,0)</f>
        <v>0</v>
      </c>
      <c r="G1117" s="228">
        <f>IF(E1117&gt;0,-'Main Budget'!$F$25+0.81,0)</f>
        <v>0</v>
      </c>
      <c r="H1117" s="227">
        <f>IF(DAY(A1117)='Main Budget'!$J$26,'Main Budget'!$E$26,0)</f>
        <v>0</v>
      </c>
      <c r="I1117" s="227">
        <f>IF(DAY(A1117)='Main Budget'!$J$28,'Main Budget'!$E$28,0)</f>
        <v>0</v>
      </c>
      <c r="J1117" s="227">
        <f>IF(DAY(A1117)='Main Budget'!$J$29,'Main Budget'!$E$29,0)</f>
        <v>0</v>
      </c>
      <c r="K1117" s="20">
        <f>IF(DAY(A1117)='Main Budget'!$J$30,'Main Budget'!$E$30,0)</f>
        <v>0</v>
      </c>
      <c r="L1117" s="20">
        <f>IF(DAY(A1117)='Main Budget'!$J$31,'Main Budget'!$E$31,0)</f>
        <v>0</v>
      </c>
      <c r="M1117" s="20">
        <f>IF(DAY(A1117)='Main Budget'!$J$27,'Main Budget'!$E$27,0)</f>
        <v>0</v>
      </c>
      <c r="O1117" s="228">
        <f>B1117+(SUM(H1117:M1117)+(SUM(D1117:E1117)))</f>
        <v>100</v>
      </c>
      <c r="P1117" s="228">
        <f>C1117+F1117+G1117+N1117</f>
        <v>100</v>
      </c>
      <c r="Q1117" s="252">
        <f>O1117+P1117</f>
        <v>200</v>
      </c>
      <c r="S1117" s="231" t="str">
        <f>TEXT(A1117,"dddd")</f>
        <v>Saturday</v>
      </c>
    </row>
    <row r="1118" spans="1:19" x14ac:dyDescent="0.25">
      <c r="A1118" s="226">
        <v>47139</v>
      </c>
      <c r="B1118" s="227">
        <f>O1117</f>
        <v>100</v>
      </c>
      <c r="C1118" s="228">
        <f>P1117</f>
        <v>100</v>
      </c>
      <c r="D1118" s="228">
        <f>IF(OR(DAY(A1118+2)=1,DAY(A1118+2)=15),-SUM('Main Budget'!$H$26:$H$31),0)</f>
        <v>0</v>
      </c>
      <c r="E1118" s="228">
        <f>IF(DAY(A1118+2)=22,-SUM('Main Budget'!$F$26:$F$31),0)</f>
        <v>0</v>
      </c>
      <c r="F1118" s="228">
        <f>IF(D1118&gt;0,-'Main Budget'!$H$25+0.15,0)</f>
        <v>0</v>
      </c>
      <c r="G1118" s="228">
        <f>IF(E1118&gt;0,-'Main Budget'!$F$25+0.81,0)</f>
        <v>0</v>
      </c>
      <c r="H1118" s="227">
        <f>IF(DAY(A1118)='Main Budget'!$J$26,'Main Budget'!$E$26,0)</f>
        <v>0</v>
      </c>
      <c r="I1118" s="227">
        <f>IF(DAY(A1118)='Main Budget'!$J$28,'Main Budget'!$E$28,0)</f>
        <v>0</v>
      </c>
      <c r="J1118" s="227">
        <f>IF(DAY(A1118)='Main Budget'!$J$29,'Main Budget'!$E$29,0)</f>
        <v>0</v>
      </c>
      <c r="K1118" s="20">
        <f>IF(DAY(A1118)='Main Budget'!$J$30,'Main Budget'!$E$30,0)</f>
        <v>0</v>
      </c>
      <c r="L1118" s="20">
        <f>IF(DAY(A1118)='Main Budget'!$J$31,'Main Budget'!$E$31,0)</f>
        <v>0</v>
      </c>
      <c r="M1118" s="20">
        <f>IF(DAY(A1118)='Main Budget'!$J$27,'Main Budget'!$E$27,0)</f>
        <v>0</v>
      </c>
      <c r="O1118" s="228">
        <f>B1118+(SUM(H1118:M1118)+(SUM(D1118:E1118)))</f>
        <v>100</v>
      </c>
      <c r="P1118" s="228">
        <f>C1118+F1118+G1118+N1118</f>
        <v>100</v>
      </c>
      <c r="Q1118" s="252">
        <f>O1118+P1118</f>
        <v>200</v>
      </c>
      <c r="S1118" s="231" t="str">
        <f>TEXT(A1118,"dddd")</f>
        <v>Sunday</v>
      </c>
    </row>
    <row r="1119" spans="1:19" x14ac:dyDescent="0.25">
      <c r="A1119" s="226">
        <v>47140</v>
      </c>
      <c r="B1119" s="227">
        <f>O1118</f>
        <v>100</v>
      </c>
      <c r="C1119" s="228">
        <f>P1118</f>
        <v>100</v>
      </c>
      <c r="D1119" s="228">
        <f>IF(OR(DAY(A1119+2)=1,DAY(A1119+2)=15),-SUM('Main Budget'!$H$26:$H$31),0)</f>
        <v>0</v>
      </c>
      <c r="E1119" s="228">
        <f>IF(DAY(A1119+2)=22,-SUM('Main Budget'!$F$26:$F$31),0)</f>
        <v>0</v>
      </c>
      <c r="F1119" s="228">
        <f>IF(D1119&gt;0,-'Main Budget'!$H$25+0.15,0)</f>
        <v>0</v>
      </c>
      <c r="G1119" s="228">
        <f>IF(E1119&gt;0,-'Main Budget'!$F$25+0.81,0)</f>
        <v>0</v>
      </c>
      <c r="H1119" s="227">
        <f>IF(DAY(A1119)='Main Budget'!$J$26,'Main Budget'!$E$26,0)</f>
        <v>0</v>
      </c>
      <c r="I1119" s="227">
        <f>IF(DAY(A1119)='Main Budget'!$J$28,'Main Budget'!$E$28,0)</f>
        <v>0</v>
      </c>
      <c r="J1119" s="227">
        <f>IF(DAY(A1119)='Main Budget'!$J$29,'Main Budget'!$E$29,0)</f>
        <v>0</v>
      </c>
      <c r="K1119" s="20">
        <f>IF(DAY(A1119)='Main Budget'!$J$30,'Main Budget'!$E$30,0)</f>
        <v>0</v>
      </c>
      <c r="L1119" s="20">
        <f>IF(DAY(A1119)='Main Budget'!$J$31,'Main Budget'!$E$31,0)</f>
        <v>0</v>
      </c>
      <c r="M1119" s="20">
        <f>IF(DAY(A1119)='Main Budget'!$J$27,'Main Budget'!$E$27,0)</f>
        <v>0</v>
      </c>
      <c r="O1119" s="228">
        <f>B1119+(SUM(H1119:M1119)+(SUM(D1119:E1119)))</f>
        <v>100</v>
      </c>
      <c r="P1119" s="228">
        <f>C1119+F1119+G1119+N1119</f>
        <v>100</v>
      </c>
      <c r="Q1119" s="252">
        <f>O1119+P1119</f>
        <v>200</v>
      </c>
      <c r="S1119" s="231" t="str">
        <f>TEXT(A1119,"dddd")</f>
        <v>Monday</v>
      </c>
    </row>
    <row r="1120" spans="1:19" x14ac:dyDescent="0.25">
      <c r="A1120" s="226">
        <v>47141</v>
      </c>
      <c r="B1120" s="227">
        <f>O1119</f>
        <v>100</v>
      </c>
      <c r="C1120" s="228">
        <f>P1119</f>
        <v>100</v>
      </c>
      <c r="D1120" s="228">
        <f>IF(OR(DAY(A1120+2)=1,DAY(A1120+2)=15),-SUM('Main Budget'!$H$26:$H$31),0)</f>
        <v>0</v>
      </c>
      <c r="E1120" s="228">
        <f>IF(DAY(A1120+2)=22,-SUM('Main Budget'!$F$26:$F$31),0)</f>
        <v>0</v>
      </c>
      <c r="F1120" s="228">
        <f>IF(D1120&gt;0,-'Main Budget'!$H$25+0.15,0)</f>
        <v>0</v>
      </c>
      <c r="G1120" s="228">
        <f>IF(E1120&gt;0,-'Main Budget'!$F$25+0.81,0)</f>
        <v>0</v>
      </c>
      <c r="H1120" s="227">
        <f>IF(DAY(A1120)='Main Budget'!$J$26,'Main Budget'!$E$26,0)</f>
        <v>0</v>
      </c>
      <c r="I1120" s="227">
        <f>IF(DAY(A1120)='Main Budget'!$J$28,'Main Budget'!$E$28,0)</f>
        <v>0</v>
      </c>
      <c r="J1120" s="227">
        <f>IF(DAY(A1120)='Main Budget'!$J$29,'Main Budget'!$E$29,0)</f>
        <v>0</v>
      </c>
      <c r="K1120" s="20">
        <f>IF(DAY(A1120)='Main Budget'!$J$30,'Main Budget'!$E$30,0)</f>
        <v>0</v>
      </c>
      <c r="L1120" s="20">
        <f>IF(DAY(A1120)='Main Budget'!$J$31,'Main Budget'!$E$31,0)</f>
        <v>0</v>
      </c>
      <c r="M1120" s="20">
        <f>IF(DAY(A1120)='Main Budget'!$J$27,'Main Budget'!$E$27,0)</f>
        <v>0</v>
      </c>
      <c r="O1120" s="228">
        <f>B1120+(SUM(H1120:M1120)+(SUM(D1120:E1120)))</f>
        <v>100</v>
      </c>
      <c r="P1120" s="228">
        <f>C1120+F1120+G1120+N1120</f>
        <v>100</v>
      </c>
      <c r="Q1120" s="252">
        <f>O1120+P1120</f>
        <v>200</v>
      </c>
      <c r="S1120" s="231" t="str">
        <f>TEXT(A1120,"dddd")</f>
        <v>Tuesday</v>
      </c>
    </row>
    <row r="1121" spans="1:19" x14ac:dyDescent="0.25">
      <c r="A1121" s="226">
        <v>47142</v>
      </c>
      <c r="B1121" s="227">
        <f>O1120</f>
        <v>100</v>
      </c>
      <c r="C1121" s="228">
        <f>P1120</f>
        <v>100</v>
      </c>
      <c r="D1121" s="228">
        <f>IF(OR(DAY(A1121+2)=1,DAY(A1121+2)=15),-SUM('Main Budget'!$H$26:$H$31),0)</f>
        <v>0</v>
      </c>
      <c r="E1121" s="228">
        <f>IF(DAY(A1121+2)=22,-SUM('Main Budget'!$F$26:$F$31),0)</f>
        <v>0</v>
      </c>
      <c r="F1121" s="228">
        <f>IF(D1121&gt;0,-'Main Budget'!$H$25+0.15,0)</f>
        <v>0</v>
      </c>
      <c r="G1121" s="228">
        <f>IF(E1121&gt;0,-'Main Budget'!$F$25+0.81,0)</f>
        <v>0</v>
      </c>
      <c r="H1121" s="227">
        <f>IF(DAY(A1121)='Main Budget'!$J$26,'Main Budget'!$E$26,0)</f>
        <v>0</v>
      </c>
      <c r="I1121" s="227">
        <f>IF(DAY(A1121)='Main Budget'!$J$28,'Main Budget'!$E$28,0)</f>
        <v>0</v>
      </c>
      <c r="J1121" s="227">
        <f>IF(DAY(A1121)='Main Budget'!$J$29,'Main Budget'!$E$29,0)</f>
        <v>0</v>
      </c>
      <c r="K1121" s="20">
        <f>IF(DAY(A1121)='Main Budget'!$J$30,'Main Budget'!$E$30,0)</f>
        <v>0</v>
      </c>
      <c r="L1121" s="20">
        <f>IF(DAY(A1121)='Main Budget'!$J$31,'Main Budget'!$E$31,0)</f>
        <v>0</v>
      </c>
      <c r="M1121" s="20">
        <f>IF(DAY(A1121)='Main Budget'!$J$27,'Main Budget'!$E$27,0)</f>
        <v>0</v>
      </c>
      <c r="O1121" s="228">
        <f>B1121+(SUM(H1121:M1121)+(SUM(D1121:E1121)))</f>
        <v>100</v>
      </c>
      <c r="P1121" s="228">
        <f>C1121+F1121+G1121+N1121</f>
        <v>100</v>
      </c>
      <c r="Q1121" s="252">
        <f>O1121+P1121</f>
        <v>200</v>
      </c>
      <c r="S1121" s="231" t="str">
        <f>TEXT(A1121,"dddd")</f>
        <v>Wednesday</v>
      </c>
    </row>
    <row r="1122" spans="1:19" x14ac:dyDescent="0.25">
      <c r="A1122" s="226">
        <v>47143</v>
      </c>
      <c r="B1122" s="227">
        <f>O1121</f>
        <v>100</v>
      </c>
      <c r="C1122" s="228">
        <f>P1121</f>
        <v>100</v>
      </c>
      <c r="D1122" s="228">
        <f>IF(OR(DAY(A1122+2)=1,DAY(A1122+2)=15),-SUM('Main Budget'!$H$26:$H$31),0)</f>
        <v>0</v>
      </c>
      <c r="E1122" s="228">
        <f>IF(DAY(A1122+2)=22,-SUM('Main Budget'!$F$26:$F$31),0)</f>
        <v>0</v>
      </c>
      <c r="F1122" s="228">
        <f>IF(D1122&gt;0,-'Main Budget'!$H$25+0.15,0)</f>
        <v>0</v>
      </c>
      <c r="G1122" s="228">
        <f>IF(E1122&gt;0,-'Main Budget'!$F$25+0.81,0)</f>
        <v>0</v>
      </c>
      <c r="H1122" s="227">
        <f>IF(DAY(A1122)='Main Budget'!$J$26,'Main Budget'!$E$26,0)</f>
        <v>0</v>
      </c>
      <c r="I1122" s="227">
        <f>IF(DAY(A1122)='Main Budget'!$J$28,'Main Budget'!$E$28,0)</f>
        <v>0</v>
      </c>
      <c r="J1122" s="227">
        <f>IF(DAY(A1122)='Main Budget'!$J$29,'Main Budget'!$E$29,0)</f>
        <v>0</v>
      </c>
      <c r="K1122" s="20">
        <f>IF(DAY(A1122)='Main Budget'!$J$30,'Main Budget'!$E$30,0)</f>
        <v>0</v>
      </c>
      <c r="L1122" s="20">
        <f>IF(DAY(A1122)='Main Budget'!$J$31,'Main Budget'!$E$31,0)</f>
        <v>0</v>
      </c>
      <c r="M1122" s="20">
        <f>IF(DAY(A1122)='Main Budget'!$J$27,'Main Budget'!$E$27,0)</f>
        <v>0</v>
      </c>
      <c r="O1122" s="228">
        <f>B1122+(SUM(H1122:M1122)+(SUM(D1122:E1122)))</f>
        <v>100</v>
      </c>
      <c r="P1122" s="228">
        <f>C1122+F1122+G1122+N1122</f>
        <v>100</v>
      </c>
      <c r="Q1122" s="252">
        <f>O1122+P1122</f>
        <v>200</v>
      </c>
      <c r="S1122" s="231" t="str">
        <f>TEXT(A1122,"dddd")</f>
        <v>Thursday</v>
      </c>
    </row>
    <row r="1123" spans="1:19" x14ac:dyDescent="0.25">
      <c r="A1123" s="226">
        <v>47144</v>
      </c>
      <c r="B1123" s="227">
        <f>O1122</f>
        <v>100</v>
      </c>
      <c r="C1123" s="228">
        <f>P1122</f>
        <v>100</v>
      </c>
      <c r="D1123" s="228">
        <f>IF(OR(DAY(A1123+2)=1,DAY(A1123+2)=15),-SUM('Main Budget'!$H$26:$H$31),0)</f>
        <v>0</v>
      </c>
      <c r="E1123" s="228">
        <f>IF(DAY(A1123+2)=22,-SUM('Main Budget'!$F$26:$F$31),0)</f>
        <v>0</v>
      </c>
      <c r="F1123" s="228">
        <f>IF(D1123&gt;0,-'Main Budget'!$H$25+0.15,0)</f>
        <v>0</v>
      </c>
      <c r="G1123" s="228">
        <f>IF(E1123&gt;0,-'Main Budget'!$F$25+0.81,0)</f>
        <v>0</v>
      </c>
      <c r="H1123" s="227">
        <f>IF(DAY(A1123)='Main Budget'!$J$26,'Main Budget'!$E$26,0)</f>
        <v>0</v>
      </c>
      <c r="I1123" s="227">
        <f>IF(DAY(A1123)='Main Budget'!$J$28,'Main Budget'!$E$28,0)</f>
        <v>0</v>
      </c>
      <c r="J1123" s="227">
        <f>IF(DAY(A1123)='Main Budget'!$J$29,'Main Budget'!$E$29,0)</f>
        <v>0</v>
      </c>
      <c r="K1123" s="20">
        <f>IF(DAY(A1123)='Main Budget'!$J$30,'Main Budget'!$E$30,0)</f>
        <v>0</v>
      </c>
      <c r="L1123" s="20">
        <f>IF(DAY(A1123)='Main Budget'!$J$31,'Main Budget'!$E$31,0)</f>
        <v>0</v>
      </c>
      <c r="M1123" s="20">
        <f>IF(DAY(A1123)='Main Budget'!$J$27,'Main Budget'!$E$27,0)</f>
        <v>0</v>
      </c>
      <c r="O1123" s="228">
        <f>B1123+(SUM(H1123:M1123)+(SUM(D1123:E1123)))</f>
        <v>100</v>
      </c>
      <c r="P1123" s="228">
        <f>C1123+F1123+G1123+N1123</f>
        <v>100</v>
      </c>
      <c r="Q1123" s="252">
        <f>O1123+P1123</f>
        <v>200</v>
      </c>
      <c r="S1123" s="231" t="str">
        <f>TEXT(A1123,"dddd")</f>
        <v>Friday</v>
      </c>
    </row>
    <row r="1124" spans="1:19" x14ac:dyDescent="0.25">
      <c r="A1124" s="226">
        <v>47145</v>
      </c>
      <c r="B1124" s="227">
        <f>O1123</f>
        <v>100</v>
      </c>
      <c r="C1124" s="228">
        <f>P1123</f>
        <v>100</v>
      </c>
      <c r="D1124" s="228">
        <f>IF(OR(DAY(A1124+2)=1,DAY(A1124+2)=15),-SUM('Main Budget'!$H$26:$H$31),0)</f>
        <v>0</v>
      </c>
      <c r="E1124" s="228">
        <f>IF(DAY(A1124+2)=22,-SUM('Main Budget'!$F$26:$F$31),0)</f>
        <v>0</v>
      </c>
      <c r="F1124" s="228">
        <f>IF(D1124&gt;0,-'Main Budget'!$H$25+0.15,0)</f>
        <v>0</v>
      </c>
      <c r="G1124" s="228">
        <f>IF(E1124&gt;0,-'Main Budget'!$F$25+0.81,0)</f>
        <v>0</v>
      </c>
      <c r="H1124" s="227">
        <f>IF(DAY(A1124)='Main Budget'!$J$26,'Main Budget'!$E$26,0)</f>
        <v>0</v>
      </c>
      <c r="I1124" s="227">
        <f>IF(DAY(A1124)='Main Budget'!$J$28,'Main Budget'!$E$28,0)</f>
        <v>0</v>
      </c>
      <c r="J1124" s="227">
        <f>IF(DAY(A1124)='Main Budget'!$J$29,'Main Budget'!$E$29,0)</f>
        <v>0</v>
      </c>
      <c r="K1124" s="20">
        <f>IF(DAY(A1124)='Main Budget'!$J$30,'Main Budget'!$E$30,0)</f>
        <v>0</v>
      </c>
      <c r="L1124" s="20">
        <f>IF(DAY(A1124)='Main Budget'!$J$31,'Main Budget'!$E$31,0)</f>
        <v>0</v>
      </c>
      <c r="M1124" s="20">
        <f>IF(DAY(A1124)='Main Budget'!$J$27,'Main Budget'!$E$27,0)</f>
        <v>0</v>
      </c>
      <c r="O1124" s="228">
        <f>B1124+(SUM(H1124:M1124)+(SUM(D1124:E1124)))</f>
        <v>100</v>
      </c>
      <c r="P1124" s="228">
        <f>C1124+F1124+G1124+N1124</f>
        <v>100</v>
      </c>
      <c r="Q1124" s="252">
        <f>O1124+P1124</f>
        <v>200</v>
      </c>
      <c r="S1124" s="231" t="str">
        <f>TEXT(A1124,"dddd")</f>
        <v>Saturday</v>
      </c>
    </row>
    <row r="1125" spans="1:19" x14ac:dyDescent="0.25">
      <c r="A1125" s="226">
        <v>47146</v>
      </c>
      <c r="B1125" s="227">
        <f>O1124</f>
        <v>100</v>
      </c>
      <c r="C1125" s="228">
        <f>P1124</f>
        <v>100</v>
      </c>
      <c r="D1125" s="228">
        <f>IF(OR(DAY(A1125+2)=1,DAY(A1125+2)=15),-SUM('Main Budget'!$H$26:$H$31),0)</f>
        <v>0</v>
      </c>
      <c r="E1125" s="228">
        <f>IF(DAY(A1125+2)=22,-SUM('Main Budget'!$F$26:$F$31),0)</f>
        <v>0</v>
      </c>
      <c r="F1125" s="228">
        <f>IF(D1125&gt;0,-'Main Budget'!$H$25+0.15,0)</f>
        <v>0</v>
      </c>
      <c r="G1125" s="228">
        <f>IF(E1125&gt;0,-'Main Budget'!$F$25+0.81,0)</f>
        <v>0</v>
      </c>
      <c r="H1125" s="227">
        <f>IF(DAY(A1125)='Main Budget'!$J$26,'Main Budget'!$E$26,0)</f>
        <v>0</v>
      </c>
      <c r="I1125" s="227">
        <f>IF(DAY(A1125)='Main Budget'!$J$28,'Main Budget'!$E$28,0)</f>
        <v>0</v>
      </c>
      <c r="J1125" s="227">
        <f>IF(DAY(A1125)='Main Budget'!$J$29,'Main Budget'!$E$29,0)</f>
        <v>0</v>
      </c>
      <c r="K1125" s="20">
        <f>IF(DAY(A1125)='Main Budget'!$J$30,'Main Budget'!$E$30,0)</f>
        <v>0</v>
      </c>
      <c r="L1125" s="20">
        <f>IF(DAY(A1125)='Main Budget'!$J$31,'Main Budget'!$E$31,0)</f>
        <v>0</v>
      </c>
      <c r="M1125" s="20">
        <f>IF(DAY(A1125)='Main Budget'!$J$27,'Main Budget'!$E$27,0)</f>
        <v>0</v>
      </c>
      <c r="O1125" s="228">
        <f>B1125+(SUM(H1125:M1125)+(SUM(D1125:E1125)))</f>
        <v>100</v>
      </c>
      <c r="P1125" s="228">
        <f>C1125+F1125+G1125+N1125</f>
        <v>100</v>
      </c>
      <c r="Q1125" s="252">
        <f>O1125+P1125</f>
        <v>200</v>
      </c>
      <c r="S1125" s="231" t="str">
        <f>TEXT(A1125,"dddd")</f>
        <v>Sunday</v>
      </c>
    </row>
    <row r="1126" spans="1:19" x14ac:dyDescent="0.25">
      <c r="A1126" s="226">
        <v>47147</v>
      </c>
      <c r="B1126" s="227">
        <f>O1125</f>
        <v>100</v>
      </c>
      <c r="C1126" s="228">
        <f>P1125</f>
        <v>100</v>
      </c>
      <c r="D1126" s="228">
        <f>IF(OR(DAY(A1126+2)=1,DAY(A1126+2)=15),-SUM('Main Budget'!$H$26:$H$31),0)</f>
        <v>0</v>
      </c>
      <c r="E1126" s="228">
        <f>IF(DAY(A1126+2)=22,-SUM('Main Budget'!$F$26:$F$31),0)</f>
        <v>0</v>
      </c>
      <c r="F1126" s="228">
        <f>IF(D1126&gt;0,-'Main Budget'!$H$25+0.15,0)</f>
        <v>0</v>
      </c>
      <c r="G1126" s="228">
        <f>IF(E1126&gt;0,-'Main Budget'!$F$25+0.81,0)</f>
        <v>0</v>
      </c>
      <c r="H1126" s="227">
        <f>IF(DAY(A1126)='Main Budget'!$J$26,'Main Budget'!$E$26,0)</f>
        <v>0</v>
      </c>
      <c r="I1126" s="227">
        <f>IF(DAY(A1126)='Main Budget'!$J$28,'Main Budget'!$E$28,0)</f>
        <v>0</v>
      </c>
      <c r="J1126" s="227">
        <f>IF(DAY(A1126)='Main Budget'!$J$29,'Main Budget'!$E$29,0)</f>
        <v>0</v>
      </c>
      <c r="K1126" s="20">
        <f>IF(DAY(A1126)='Main Budget'!$J$30,'Main Budget'!$E$30,0)</f>
        <v>0</v>
      </c>
      <c r="L1126" s="20">
        <f>IF(DAY(A1126)='Main Budget'!$J$31,'Main Budget'!$E$31,0)</f>
        <v>0</v>
      </c>
      <c r="M1126" s="20">
        <f>IF(DAY(A1126)='Main Budget'!$J$27,'Main Budget'!$E$27,0)</f>
        <v>0</v>
      </c>
      <c r="O1126" s="228">
        <f>B1126+(SUM(H1126:M1126)+(SUM(D1126:E1126)))</f>
        <v>100</v>
      </c>
      <c r="P1126" s="228">
        <f>C1126+F1126+G1126+N1126</f>
        <v>100</v>
      </c>
      <c r="Q1126" s="252">
        <f>O1126+P1126</f>
        <v>200</v>
      </c>
      <c r="S1126" s="231" t="str">
        <f>TEXT(A1126,"dddd")</f>
        <v>Monday</v>
      </c>
    </row>
    <row r="1127" spans="1:19" x14ac:dyDescent="0.25">
      <c r="A1127" s="226">
        <v>47148</v>
      </c>
      <c r="B1127" s="227">
        <f>O1126</f>
        <v>100</v>
      </c>
      <c r="C1127" s="228">
        <f>P1126</f>
        <v>100</v>
      </c>
      <c r="D1127" s="228">
        <f>IF(OR(DAY(A1127+2)=1,DAY(A1127+2)=15),-SUM('Main Budget'!$H$26:$H$31),0)</f>
        <v>0</v>
      </c>
      <c r="E1127" s="228">
        <f>IF(DAY(A1127+2)=22,-SUM('Main Budget'!$F$26:$F$31),0)</f>
        <v>0</v>
      </c>
      <c r="F1127" s="228">
        <f>IF(D1127&gt;0,-'Main Budget'!$H$25+0.15,0)</f>
        <v>0</v>
      </c>
      <c r="G1127" s="228">
        <f>IF(E1127&gt;0,-'Main Budget'!$F$25+0.81,0)</f>
        <v>0</v>
      </c>
      <c r="H1127" s="227">
        <f>IF(DAY(A1127)='Main Budget'!$J$26,'Main Budget'!$E$26,0)</f>
        <v>0</v>
      </c>
      <c r="I1127" s="227">
        <f>IF(DAY(A1127)='Main Budget'!$J$28,'Main Budget'!$E$28,0)</f>
        <v>0</v>
      </c>
      <c r="J1127" s="227">
        <f>IF(DAY(A1127)='Main Budget'!$J$29,'Main Budget'!$E$29,0)</f>
        <v>0</v>
      </c>
      <c r="K1127" s="20">
        <f>IF(DAY(A1127)='Main Budget'!$J$30,'Main Budget'!$E$30,0)</f>
        <v>0</v>
      </c>
      <c r="L1127" s="20">
        <f>IF(DAY(A1127)='Main Budget'!$J$31,'Main Budget'!$E$31,0)</f>
        <v>0</v>
      </c>
      <c r="M1127" s="20">
        <f>IF(DAY(A1127)='Main Budget'!$J$27,'Main Budget'!$E$27,0)</f>
        <v>0</v>
      </c>
      <c r="O1127" s="228">
        <f>B1127+(SUM(H1127:M1127)+(SUM(D1127:E1127)))</f>
        <v>100</v>
      </c>
      <c r="P1127" s="228">
        <f>C1127+F1127+G1127+N1127</f>
        <v>100</v>
      </c>
      <c r="Q1127" s="252">
        <f>O1127+P1127</f>
        <v>200</v>
      </c>
      <c r="S1127" s="231" t="str">
        <f>TEXT(A1127,"dddd")</f>
        <v>Tuesday</v>
      </c>
    </row>
    <row r="1128" spans="1:19" x14ac:dyDescent="0.25">
      <c r="A1128" s="226">
        <v>47149</v>
      </c>
      <c r="B1128" s="227">
        <f>O1127</f>
        <v>100</v>
      </c>
      <c r="C1128" s="228">
        <f>P1127</f>
        <v>100</v>
      </c>
      <c r="D1128" s="228">
        <f>IF(OR(DAY(A1128+2)=1,DAY(A1128+2)=15),-SUM('Main Budget'!$H$26:$H$31),0)</f>
        <v>0</v>
      </c>
      <c r="E1128" s="228">
        <f>IF(DAY(A1128+2)=22,-SUM('Main Budget'!$F$26:$F$31),0)</f>
        <v>0</v>
      </c>
      <c r="F1128" s="228">
        <f>IF(D1128&gt;0,-'Main Budget'!$H$25+0.15,0)</f>
        <v>0</v>
      </c>
      <c r="G1128" s="228">
        <f>IF(E1128&gt;0,-'Main Budget'!$F$25+0.81,0)</f>
        <v>0</v>
      </c>
      <c r="H1128" s="227">
        <f>IF(DAY(A1128)='Main Budget'!$J$26,'Main Budget'!$E$26,0)</f>
        <v>0</v>
      </c>
      <c r="I1128" s="227">
        <f>IF(DAY(A1128)='Main Budget'!$J$28,'Main Budget'!$E$28,0)</f>
        <v>0</v>
      </c>
      <c r="J1128" s="227">
        <f>IF(DAY(A1128)='Main Budget'!$J$29,'Main Budget'!$E$29,0)</f>
        <v>0</v>
      </c>
      <c r="K1128" s="20">
        <f>IF(DAY(A1128)='Main Budget'!$J$30,'Main Budget'!$E$30,0)</f>
        <v>0</v>
      </c>
      <c r="L1128" s="20">
        <f>IF(DAY(A1128)='Main Budget'!$J$31,'Main Budget'!$E$31,0)</f>
        <v>0</v>
      </c>
      <c r="M1128" s="20">
        <f>IF(DAY(A1128)='Main Budget'!$J$27,'Main Budget'!$E$27,0)</f>
        <v>0</v>
      </c>
      <c r="O1128" s="228">
        <f>B1128+(SUM(H1128:M1128)+(SUM(D1128:E1128)))</f>
        <v>100</v>
      </c>
      <c r="P1128" s="228">
        <f>C1128+F1128+G1128+N1128</f>
        <v>100</v>
      </c>
      <c r="Q1128" s="252">
        <f>O1128+P1128</f>
        <v>200</v>
      </c>
      <c r="S1128" s="231" t="str">
        <f>TEXT(A1128,"dddd")</f>
        <v>Wednesday</v>
      </c>
    </row>
    <row r="1129" spans="1:19" x14ac:dyDescent="0.25">
      <c r="A1129" s="226">
        <v>47150</v>
      </c>
      <c r="B1129" s="227">
        <f>O1128</f>
        <v>100</v>
      </c>
      <c r="C1129" s="228">
        <f>P1128</f>
        <v>100</v>
      </c>
      <c r="D1129" s="228">
        <f>IF(OR(DAY(A1129+2)=1,DAY(A1129+2)=15),-SUM('Main Budget'!$H$26:$H$31),0)</f>
        <v>0</v>
      </c>
      <c r="E1129" s="228">
        <f>IF(DAY(A1129+2)=22,-SUM('Main Budget'!$F$26:$F$31),0)</f>
        <v>0</v>
      </c>
      <c r="F1129" s="228">
        <f>IF(D1129&gt;0,-'Main Budget'!$H$25+0.15,0)</f>
        <v>0</v>
      </c>
      <c r="G1129" s="228">
        <f>IF(E1129&gt;0,-'Main Budget'!$F$25+0.81,0)</f>
        <v>0</v>
      </c>
      <c r="H1129" s="227">
        <f>IF(DAY(A1129)='Main Budget'!$J$26,'Main Budget'!$E$26,0)</f>
        <v>0</v>
      </c>
      <c r="I1129" s="227">
        <f>IF(DAY(A1129)='Main Budget'!$J$28,'Main Budget'!$E$28,0)</f>
        <v>0</v>
      </c>
      <c r="J1129" s="227">
        <f>IF(DAY(A1129)='Main Budget'!$J$29,'Main Budget'!$E$29,0)</f>
        <v>0</v>
      </c>
      <c r="K1129" s="20">
        <f>IF(DAY(A1129)='Main Budget'!$J$30,'Main Budget'!$E$30,0)</f>
        <v>0</v>
      </c>
      <c r="L1129" s="20">
        <f>IF(DAY(A1129)='Main Budget'!$J$31,'Main Budget'!$E$31,0)</f>
        <v>0</v>
      </c>
      <c r="M1129" s="20">
        <f>IF(DAY(A1129)='Main Budget'!$J$27,'Main Budget'!$E$27,0)</f>
        <v>0</v>
      </c>
      <c r="O1129" s="228">
        <f>B1129+(SUM(H1129:M1129)+(SUM(D1129:E1129)))</f>
        <v>100</v>
      </c>
      <c r="P1129" s="228">
        <f>C1129+F1129+G1129+N1129</f>
        <v>100</v>
      </c>
      <c r="Q1129" s="252">
        <f>O1129+P1129</f>
        <v>200</v>
      </c>
      <c r="S1129" s="231" t="str">
        <f>TEXT(A1129,"dddd")</f>
        <v>Thursday</v>
      </c>
    </row>
    <row r="1130" spans="1:19" x14ac:dyDescent="0.25">
      <c r="A1130" s="226">
        <v>47151</v>
      </c>
      <c r="B1130" s="227">
        <f>O1129</f>
        <v>100</v>
      </c>
      <c r="C1130" s="228">
        <f>P1129</f>
        <v>100</v>
      </c>
      <c r="D1130" s="228">
        <f>IF(OR(DAY(A1130+2)=1,DAY(A1130+2)=15),-SUM('Main Budget'!$H$26:$H$31),0)</f>
        <v>0</v>
      </c>
      <c r="E1130" s="228">
        <f>IF(DAY(A1130+2)=22,-SUM('Main Budget'!$F$26:$F$31),0)</f>
        <v>0</v>
      </c>
      <c r="F1130" s="228">
        <f>IF(D1130&gt;0,-'Main Budget'!$H$25+0.15,0)</f>
        <v>0</v>
      </c>
      <c r="G1130" s="228">
        <f>IF(E1130&gt;0,-'Main Budget'!$F$25+0.81,0)</f>
        <v>0</v>
      </c>
      <c r="H1130" s="227">
        <f>IF(DAY(A1130)='Main Budget'!$J$26,'Main Budget'!$E$26,0)</f>
        <v>0</v>
      </c>
      <c r="I1130" s="227">
        <f>IF(DAY(A1130)='Main Budget'!$J$28,'Main Budget'!$E$28,0)</f>
        <v>0</v>
      </c>
      <c r="J1130" s="227">
        <f>IF(DAY(A1130)='Main Budget'!$J$29,'Main Budget'!$E$29,0)</f>
        <v>0</v>
      </c>
      <c r="K1130" s="20">
        <f>IF(DAY(A1130)='Main Budget'!$J$30,'Main Budget'!$E$30,0)</f>
        <v>0</v>
      </c>
      <c r="L1130" s="20">
        <f>IF(DAY(A1130)='Main Budget'!$J$31,'Main Budget'!$E$31,0)</f>
        <v>0</v>
      </c>
      <c r="M1130" s="20">
        <f>IF(DAY(A1130)='Main Budget'!$J$27,'Main Budget'!$E$27,0)</f>
        <v>0</v>
      </c>
      <c r="O1130" s="228">
        <f>B1130+(SUM(H1130:M1130)+(SUM(D1130:E1130)))</f>
        <v>100</v>
      </c>
      <c r="P1130" s="228">
        <f>C1130+F1130+G1130+N1130</f>
        <v>100</v>
      </c>
      <c r="Q1130" s="252">
        <f>O1130+P1130</f>
        <v>200</v>
      </c>
      <c r="S1130" s="231" t="str">
        <f>TEXT(A1130,"dddd")</f>
        <v>Friday</v>
      </c>
    </row>
    <row r="1131" spans="1:19" x14ac:dyDescent="0.25">
      <c r="A1131" s="226">
        <v>47152</v>
      </c>
      <c r="B1131" s="227">
        <f>O1130</f>
        <v>100</v>
      </c>
      <c r="C1131" s="228">
        <f>P1130</f>
        <v>100</v>
      </c>
      <c r="D1131" s="228">
        <f>IF(OR(DAY(A1131+2)=1,DAY(A1131+2)=15),-SUM('Main Budget'!$H$26:$H$31),0)</f>
        <v>0</v>
      </c>
      <c r="E1131" s="228">
        <f>IF(DAY(A1131+2)=22,-SUM('Main Budget'!$F$26:$F$31),0)</f>
        <v>0</v>
      </c>
      <c r="F1131" s="228">
        <f>IF(D1131&gt;0,-'Main Budget'!$H$25+0.15,0)</f>
        <v>0</v>
      </c>
      <c r="G1131" s="228">
        <f>IF(E1131&gt;0,-'Main Budget'!$F$25+0.81,0)</f>
        <v>0</v>
      </c>
      <c r="H1131" s="227">
        <f>IF(DAY(A1131)='Main Budget'!$J$26,'Main Budget'!$E$26,0)</f>
        <v>0</v>
      </c>
      <c r="I1131" s="227">
        <f>IF(DAY(A1131)='Main Budget'!$J$28,'Main Budget'!$E$28,0)</f>
        <v>0</v>
      </c>
      <c r="J1131" s="227">
        <f>IF(DAY(A1131)='Main Budget'!$J$29,'Main Budget'!$E$29,0)</f>
        <v>0</v>
      </c>
      <c r="K1131" s="20">
        <f>IF(DAY(A1131)='Main Budget'!$J$30,'Main Budget'!$E$30,0)</f>
        <v>0</v>
      </c>
      <c r="L1131" s="20">
        <f>IF(DAY(A1131)='Main Budget'!$J$31,'Main Budget'!$E$31,0)</f>
        <v>0</v>
      </c>
      <c r="M1131" s="20">
        <f>IF(DAY(A1131)='Main Budget'!$J$27,'Main Budget'!$E$27,0)</f>
        <v>0</v>
      </c>
      <c r="O1131" s="228">
        <f>B1131+(SUM(H1131:M1131)+(SUM(D1131:E1131)))</f>
        <v>100</v>
      </c>
      <c r="P1131" s="228">
        <f>C1131+F1131+G1131+N1131</f>
        <v>100</v>
      </c>
      <c r="Q1131" s="252">
        <f>O1131+P1131</f>
        <v>200</v>
      </c>
      <c r="S1131" s="231" t="str">
        <f>TEXT(A1131,"dddd")</f>
        <v>Saturday</v>
      </c>
    </row>
    <row r="1132" spans="1:19" x14ac:dyDescent="0.25">
      <c r="A1132" s="226">
        <v>47153</v>
      </c>
      <c r="B1132" s="227">
        <f>O1131</f>
        <v>100</v>
      </c>
      <c r="C1132" s="228">
        <f>P1131</f>
        <v>100</v>
      </c>
      <c r="D1132" s="228">
        <f>IF(OR(DAY(A1132+2)=1,DAY(A1132+2)=15),-SUM('Main Budget'!$H$26:$H$31),0)</f>
        <v>0</v>
      </c>
      <c r="E1132" s="228">
        <f>IF(DAY(A1132+2)=22,-SUM('Main Budget'!$F$26:$F$31),0)</f>
        <v>0</v>
      </c>
      <c r="F1132" s="228">
        <f>IF(D1132&gt;0,-'Main Budget'!$H$25+0.15,0)</f>
        <v>0</v>
      </c>
      <c r="G1132" s="228">
        <f>IF(E1132&gt;0,-'Main Budget'!$F$25+0.81,0)</f>
        <v>0</v>
      </c>
      <c r="H1132" s="227">
        <f>IF(DAY(A1132)='Main Budget'!$J$26,'Main Budget'!$E$26,0)</f>
        <v>0</v>
      </c>
      <c r="I1132" s="227">
        <f>IF(DAY(A1132)='Main Budget'!$J$28,'Main Budget'!$E$28,0)</f>
        <v>0</v>
      </c>
      <c r="J1132" s="227">
        <f>IF(DAY(A1132)='Main Budget'!$J$29,'Main Budget'!$E$29,0)</f>
        <v>0</v>
      </c>
      <c r="K1132" s="20">
        <f>IF(DAY(A1132)='Main Budget'!$J$30,'Main Budget'!$E$30,0)</f>
        <v>0</v>
      </c>
      <c r="L1132" s="20">
        <f>IF(DAY(A1132)='Main Budget'!$J$31,'Main Budget'!$E$31,0)</f>
        <v>0</v>
      </c>
      <c r="M1132" s="20">
        <f>IF(DAY(A1132)='Main Budget'!$J$27,'Main Budget'!$E$27,0)</f>
        <v>0</v>
      </c>
      <c r="O1132" s="228">
        <f>B1132+(SUM(H1132:M1132)+(SUM(D1132:E1132)))</f>
        <v>100</v>
      </c>
      <c r="P1132" s="228">
        <f>C1132+F1132+G1132+N1132</f>
        <v>100</v>
      </c>
      <c r="Q1132" s="252">
        <f>O1132+P1132</f>
        <v>200</v>
      </c>
      <c r="S1132" s="231" t="str">
        <f>TEXT(A1132,"dddd")</f>
        <v>Sunday</v>
      </c>
    </row>
    <row r="1133" spans="1:19" x14ac:dyDescent="0.25">
      <c r="A1133" s="226">
        <v>47154</v>
      </c>
      <c r="B1133" s="227">
        <f>O1132</f>
        <v>100</v>
      </c>
      <c r="C1133" s="228">
        <f>P1132</f>
        <v>100</v>
      </c>
      <c r="D1133" s="228">
        <f>IF(OR(DAY(A1133+2)=1,DAY(A1133+2)=15),-SUM('Main Budget'!$H$26:$H$31),0)</f>
        <v>0</v>
      </c>
      <c r="E1133" s="228">
        <f>IF(DAY(A1133+2)=22,-SUM('Main Budget'!$F$26:$F$31),0)</f>
        <v>0</v>
      </c>
      <c r="F1133" s="228">
        <f>IF(D1133&gt;0,-'Main Budget'!$H$25+0.15,0)</f>
        <v>0</v>
      </c>
      <c r="G1133" s="228">
        <f>IF(E1133&gt;0,-'Main Budget'!$F$25+0.81,0)</f>
        <v>0</v>
      </c>
      <c r="H1133" s="227">
        <f>IF(DAY(A1133)='Main Budget'!$J$26,'Main Budget'!$E$26,0)</f>
        <v>0</v>
      </c>
      <c r="I1133" s="227">
        <f>IF(DAY(A1133)='Main Budget'!$J$28,'Main Budget'!$E$28,0)</f>
        <v>0</v>
      </c>
      <c r="J1133" s="227">
        <f>IF(DAY(A1133)='Main Budget'!$J$29,'Main Budget'!$E$29,0)</f>
        <v>0</v>
      </c>
      <c r="K1133" s="20">
        <f>IF(DAY(A1133)='Main Budget'!$J$30,'Main Budget'!$E$30,0)</f>
        <v>0</v>
      </c>
      <c r="L1133" s="20">
        <f>IF(DAY(A1133)='Main Budget'!$J$31,'Main Budget'!$E$31,0)</f>
        <v>0</v>
      </c>
      <c r="M1133" s="20">
        <f>IF(DAY(A1133)='Main Budget'!$J$27,'Main Budget'!$E$27,0)</f>
        <v>0</v>
      </c>
      <c r="O1133" s="228">
        <f>B1133+(SUM(H1133:M1133)+(SUM(D1133:E1133)))</f>
        <v>100</v>
      </c>
      <c r="P1133" s="228">
        <f>C1133+F1133+G1133+N1133</f>
        <v>100</v>
      </c>
      <c r="Q1133" s="252">
        <f>O1133+P1133</f>
        <v>200</v>
      </c>
      <c r="S1133" s="231" t="str">
        <f>TEXT(A1133,"dddd")</f>
        <v>Monday</v>
      </c>
    </row>
    <row r="1134" spans="1:19" x14ac:dyDescent="0.25">
      <c r="A1134" s="226">
        <v>47155</v>
      </c>
      <c r="B1134" s="227">
        <f>O1133</f>
        <v>100</v>
      </c>
      <c r="C1134" s="228">
        <f>P1133</f>
        <v>100</v>
      </c>
      <c r="D1134" s="228">
        <f>IF(OR(DAY(A1134+2)=1,DAY(A1134+2)=15),-SUM('Main Budget'!$H$26:$H$31),0)</f>
        <v>0</v>
      </c>
      <c r="E1134" s="228">
        <f>IF(DAY(A1134+2)=22,-SUM('Main Budget'!$F$26:$F$31),0)</f>
        <v>0</v>
      </c>
      <c r="F1134" s="228">
        <f>IF(D1134&gt;0,-'Main Budget'!$H$25+0.15,0)</f>
        <v>0</v>
      </c>
      <c r="G1134" s="228">
        <f>IF(E1134&gt;0,-'Main Budget'!$F$25+0.81,0)</f>
        <v>0</v>
      </c>
      <c r="H1134" s="227">
        <f>IF(DAY(A1134)='Main Budget'!$J$26,'Main Budget'!$E$26,0)</f>
        <v>0</v>
      </c>
      <c r="I1134" s="227">
        <f>IF(DAY(A1134)='Main Budget'!$J$28,'Main Budget'!$E$28,0)</f>
        <v>0</v>
      </c>
      <c r="J1134" s="227">
        <f>IF(DAY(A1134)='Main Budget'!$J$29,'Main Budget'!$E$29,0)</f>
        <v>0</v>
      </c>
      <c r="K1134" s="20">
        <f>IF(DAY(A1134)='Main Budget'!$J$30,'Main Budget'!$E$30,0)</f>
        <v>0</v>
      </c>
      <c r="L1134" s="20">
        <f>IF(DAY(A1134)='Main Budget'!$J$31,'Main Budget'!$E$31,0)</f>
        <v>0</v>
      </c>
      <c r="M1134" s="20">
        <f>IF(DAY(A1134)='Main Budget'!$J$27,'Main Budget'!$E$27,0)</f>
        <v>0</v>
      </c>
      <c r="O1134" s="228">
        <f>B1134+(SUM(H1134:M1134)+(SUM(D1134:E1134)))</f>
        <v>100</v>
      </c>
      <c r="P1134" s="228">
        <f>C1134+F1134+G1134+N1134</f>
        <v>100</v>
      </c>
      <c r="Q1134" s="252">
        <f>O1134+P1134</f>
        <v>200</v>
      </c>
      <c r="S1134" s="231" t="str">
        <f>TEXT(A1134,"dddd")</f>
        <v>Tuesday</v>
      </c>
    </row>
    <row r="1135" spans="1:19" x14ac:dyDescent="0.25">
      <c r="A1135" s="226">
        <v>47156</v>
      </c>
      <c r="B1135" s="227">
        <f>O1134</f>
        <v>100</v>
      </c>
      <c r="C1135" s="228">
        <f>P1134</f>
        <v>100</v>
      </c>
      <c r="D1135" s="228">
        <f>IF(OR(DAY(A1135+2)=1,DAY(A1135+2)=15),-SUM('Main Budget'!$H$26:$H$31),0)</f>
        <v>0</v>
      </c>
      <c r="E1135" s="228">
        <f>IF(DAY(A1135+2)=22,-SUM('Main Budget'!$F$26:$F$31),0)</f>
        <v>0</v>
      </c>
      <c r="F1135" s="228">
        <f>IF(D1135&gt;0,-'Main Budget'!$H$25+0.15,0)</f>
        <v>0</v>
      </c>
      <c r="G1135" s="228">
        <f>IF(E1135&gt;0,-'Main Budget'!$F$25+0.81,0)</f>
        <v>0</v>
      </c>
      <c r="H1135" s="227">
        <f>IF(DAY(A1135)='Main Budget'!$J$26,'Main Budget'!$E$26,0)</f>
        <v>0</v>
      </c>
      <c r="I1135" s="227">
        <f>IF(DAY(A1135)='Main Budget'!$J$28,'Main Budget'!$E$28,0)</f>
        <v>0</v>
      </c>
      <c r="J1135" s="227">
        <f>IF(DAY(A1135)='Main Budget'!$J$29,'Main Budget'!$E$29,0)</f>
        <v>0</v>
      </c>
      <c r="K1135" s="20">
        <f>IF(DAY(A1135)='Main Budget'!$J$30,'Main Budget'!$E$30,0)</f>
        <v>0</v>
      </c>
      <c r="L1135" s="20">
        <f>IF(DAY(A1135)='Main Budget'!$J$31,'Main Budget'!$E$31,0)</f>
        <v>0</v>
      </c>
      <c r="M1135" s="20">
        <f>IF(DAY(A1135)='Main Budget'!$J$27,'Main Budget'!$E$27,0)</f>
        <v>0</v>
      </c>
      <c r="O1135" s="228">
        <f>B1135+(SUM(H1135:M1135)+(SUM(D1135:E1135)))</f>
        <v>100</v>
      </c>
      <c r="P1135" s="228">
        <f>C1135+F1135+G1135+N1135</f>
        <v>100</v>
      </c>
      <c r="Q1135" s="252">
        <f>O1135+P1135</f>
        <v>200</v>
      </c>
      <c r="S1135" s="231" t="str">
        <f>TEXT(A1135,"dddd")</f>
        <v>Wednesday</v>
      </c>
    </row>
    <row r="1136" spans="1:19" x14ac:dyDescent="0.25">
      <c r="A1136" s="226">
        <v>47157</v>
      </c>
      <c r="B1136" s="227">
        <f>O1135</f>
        <v>100</v>
      </c>
      <c r="C1136" s="228">
        <f>P1135</f>
        <v>100</v>
      </c>
      <c r="D1136" s="228">
        <f>IF(OR(DAY(A1136+2)=1,DAY(A1136+2)=15),-SUM('Main Budget'!$H$26:$H$31),0)</f>
        <v>0</v>
      </c>
      <c r="E1136" s="228">
        <f>IF(DAY(A1136+2)=22,-SUM('Main Budget'!$F$26:$F$31),0)</f>
        <v>0</v>
      </c>
      <c r="F1136" s="228">
        <f>IF(D1136&gt;0,-'Main Budget'!$H$25+0.15,0)</f>
        <v>0</v>
      </c>
      <c r="G1136" s="228">
        <f>IF(E1136&gt;0,-'Main Budget'!$F$25+0.81,0)</f>
        <v>0</v>
      </c>
      <c r="H1136" s="227">
        <f>IF(DAY(A1136)='Main Budget'!$J$26,'Main Budget'!$E$26,0)</f>
        <v>0</v>
      </c>
      <c r="I1136" s="227">
        <f>IF(DAY(A1136)='Main Budget'!$J$28,'Main Budget'!$E$28,0)</f>
        <v>0</v>
      </c>
      <c r="J1136" s="227">
        <f>IF(DAY(A1136)='Main Budget'!$J$29,'Main Budget'!$E$29,0)</f>
        <v>0</v>
      </c>
      <c r="K1136" s="20">
        <f>IF(DAY(A1136)='Main Budget'!$J$30,'Main Budget'!$E$30,0)</f>
        <v>0</v>
      </c>
      <c r="L1136" s="20">
        <f>IF(DAY(A1136)='Main Budget'!$J$31,'Main Budget'!$E$31,0)</f>
        <v>0</v>
      </c>
      <c r="M1136" s="20">
        <f>IF(DAY(A1136)='Main Budget'!$J$27,'Main Budget'!$E$27,0)</f>
        <v>0</v>
      </c>
      <c r="O1136" s="228">
        <f>B1136+(SUM(H1136:M1136)+(SUM(D1136:E1136)))</f>
        <v>100</v>
      </c>
      <c r="P1136" s="228">
        <f>C1136+F1136+G1136+N1136</f>
        <v>100</v>
      </c>
      <c r="Q1136" s="252">
        <f>O1136+P1136</f>
        <v>200</v>
      </c>
      <c r="S1136" s="231" t="str">
        <f>TEXT(A1136,"dddd")</f>
        <v>Thursday</v>
      </c>
    </row>
    <row r="1137" spans="1:19" x14ac:dyDescent="0.25">
      <c r="A1137" s="226">
        <v>47158</v>
      </c>
      <c r="B1137" s="227">
        <f>O1136</f>
        <v>100</v>
      </c>
      <c r="C1137" s="228">
        <f>P1136</f>
        <v>100</v>
      </c>
      <c r="D1137" s="228">
        <f>IF(OR(DAY(A1137+2)=1,DAY(A1137+2)=15),-SUM('Main Budget'!$H$26:$H$31),0)</f>
        <v>0</v>
      </c>
      <c r="E1137" s="228">
        <f>IF(DAY(A1137+2)=22,-SUM('Main Budget'!$F$26:$F$31),0)</f>
        <v>0</v>
      </c>
      <c r="F1137" s="228">
        <f>IF(D1137&gt;0,-'Main Budget'!$H$25+0.15,0)</f>
        <v>0</v>
      </c>
      <c r="G1137" s="228">
        <f>IF(E1137&gt;0,-'Main Budget'!$F$25+0.81,0)</f>
        <v>0</v>
      </c>
      <c r="H1137" s="227">
        <f>IF(DAY(A1137)='Main Budget'!$J$26,'Main Budget'!$E$26,0)</f>
        <v>0</v>
      </c>
      <c r="I1137" s="227">
        <f>IF(DAY(A1137)='Main Budget'!$J$28,'Main Budget'!$E$28,0)</f>
        <v>0</v>
      </c>
      <c r="J1137" s="227">
        <f>IF(DAY(A1137)='Main Budget'!$J$29,'Main Budget'!$E$29,0)</f>
        <v>0</v>
      </c>
      <c r="K1137" s="20">
        <f>IF(DAY(A1137)='Main Budget'!$J$30,'Main Budget'!$E$30,0)</f>
        <v>0</v>
      </c>
      <c r="L1137" s="20">
        <f>IF(DAY(A1137)='Main Budget'!$J$31,'Main Budget'!$E$31,0)</f>
        <v>0</v>
      </c>
      <c r="M1137" s="20">
        <f>IF(DAY(A1137)='Main Budget'!$J$27,'Main Budget'!$E$27,0)</f>
        <v>0</v>
      </c>
      <c r="O1137" s="228">
        <f>B1137+(SUM(H1137:M1137)+(SUM(D1137:E1137)))</f>
        <v>100</v>
      </c>
      <c r="P1137" s="228">
        <f>C1137+F1137+G1137+N1137</f>
        <v>100</v>
      </c>
      <c r="Q1137" s="252">
        <f>O1137+P1137</f>
        <v>200</v>
      </c>
      <c r="S1137" s="231" t="str">
        <f>TEXT(A1137,"dddd")</f>
        <v>Friday</v>
      </c>
    </row>
    <row r="1138" spans="1:19" x14ac:dyDescent="0.25">
      <c r="A1138" s="226">
        <v>47159</v>
      </c>
      <c r="B1138" s="227">
        <f>O1137</f>
        <v>100</v>
      </c>
      <c r="C1138" s="228">
        <f>P1137</f>
        <v>100</v>
      </c>
      <c r="D1138" s="228">
        <f>IF(OR(DAY(A1138+2)=1,DAY(A1138+2)=15),-SUM('Main Budget'!$H$26:$H$31),0)</f>
        <v>0</v>
      </c>
      <c r="E1138" s="228">
        <f>IF(DAY(A1138+2)=22,-SUM('Main Budget'!$F$26:$F$31),0)</f>
        <v>0</v>
      </c>
      <c r="F1138" s="228">
        <f>IF(D1138&gt;0,-'Main Budget'!$H$25+0.15,0)</f>
        <v>0</v>
      </c>
      <c r="G1138" s="228">
        <f>IF(E1138&gt;0,-'Main Budget'!$F$25+0.81,0)</f>
        <v>0</v>
      </c>
      <c r="H1138" s="227">
        <f>IF(DAY(A1138)='Main Budget'!$J$26,'Main Budget'!$E$26,0)</f>
        <v>0</v>
      </c>
      <c r="I1138" s="227">
        <f>IF(DAY(A1138)='Main Budget'!$J$28,'Main Budget'!$E$28,0)</f>
        <v>0</v>
      </c>
      <c r="J1138" s="227">
        <f>IF(DAY(A1138)='Main Budget'!$J$29,'Main Budget'!$E$29,0)</f>
        <v>0</v>
      </c>
      <c r="K1138" s="20">
        <f>IF(DAY(A1138)='Main Budget'!$J$30,'Main Budget'!$E$30,0)</f>
        <v>0</v>
      </c>
      <c r="L1138" s="20">
        <f>IF(DAY(A1138)='Main Budget'!$J$31,'Main Budget'!$E$31,0)</f>
        <v>0</v>
      </c>
      <c r="M1138" s="20">
        <f>IF(DAY(A1138)='Main Budget'!$J$27,'Main Budget'!$E$27,0)</f>
        <v>0</v>
      </c>
      <c r="O1138" s="228">
        <f>B1138+(SUM(H1138:M1138)+(SUM(D1138:E1138)))</f>
        <v>100</v>
      </c>
      <c r="P1138" s="228">
        <f>C1138+F1138+G1138+N1138</f>
        <v>100</v>
      </c>
      <c r="Q1138" s="252">
        <f>O1138+P1138</f>
        <v>200</v>
      </c>
      <c r="S1138" s="231" t="str">
        <f>TEXT(A1138,"dddd")</f>
        <v>Saturday</v>
      </c>
    </row>
    <row r="1139" spans="1:19" x14ac:dyDescent="0.25">
      <c r="A1139" s="226">
        <v>47160</v>
      </c>
      <c r="B1139" s="227">
        <f>O1138</f>
        <v>100</v>
      </c>
      <c r="C1139" s="228">
        <f>P1138</f>
        <v>100</v>
      </c>
      <c r="D1139" s="228">
        <f>IF(OR(DAY(A1139+2)=1,DAY(A1139+2)=15),-SUM('Main Budget'!$H$26:$H$31),0)</f>
        <v>0</v>
      </c>
      <c r="E1139" s="228">
        <f>IF(DAY(A1139+2)=22,-SUM('Main Budget'!$F$26:$F$31),0)</f>
        <v>0</v>
      </c>
      <c r="F1139" s="228">
        <f>IF(D1139&gt;0,-'Main Budget'!$H$25+0.15,0)</f>
        <v>0</v>
      </c>
      <c r="G1139" s="228">
        <f>IF(E1139&gt;0,-'Main Budget'!$F$25+0.81,0)</f>
        <v>0</v>
      </c>
      <c r="H1139" s="227">
        <f>IF(DAY(A1139)='Main Budget'!$J$26,'Main Budget'!$E$26,0)</f>
        <v>0</v>
      </c>
      <c r="I1139" s="227">
        <f>IF(DAY(A1139)='Main Budget'!$J$28,'Main Budget'!$E$28,0)</f>
        <v>0</v>
      </c>
      <c r="J1139" s="227">
        <f>IF(DAY(A1139)='Main Budget'!$J$29,'Main Budget'!$E$29,0)</f>
        <v>0</v>
      </c>
      <c r="K1139" s="20">
        <f>IF(DAY(A1139)='Main Budget'!$J$30,'Main Budget'!$E$30,0)</f>
        <v>0</v>
      </c>
      <c r="L1139" s="20">
        <f>IF(DAY(A1139)='Main Budget'!$J$31,'Main Budget'!$E$31,0)</f>
        <v>0</v>
      </c>
      <c r="M1139" s="20">
        <f>IF(DAY(A1139)='Main Budget'!$J$27,'Main Budget'!$E$27,0)</f>
        <v>0</v>
      </c>
      <c r="O1139" s="228">
        <f>B1139+(SUM(H1139:M1139)+(SUM(D1139:E1139)))</f>
        <v>100</v>
      </c>
      <c r="P1139" s="228">
        <f>C1139+F1139+G1139+N1139</f>
        <v>100</v>
      </c>
      <c r="Q1139" s="252">
        <f>O1139+P1139</f>
        <v>200</v>
      </c>
      <c r="S1139" s="231" t="str">
        <f>TEXT(A1139,"dddd")</f>
        <v>Sunday</v>
      </c>
    </row>
    <row r="1140" spans="1:19" x14ac:dyDescent="0.25">
      <c r="A1140" s="226">
        <v>47161</v>
      </c>
      <c r="B1140" s="227">
        <f>O1139</f>
        <v>100</v>
      </c>
      <c r="C1140" s="228">
        <f>P1139</f>
        <v>100</v>
      </c>
      <c r="D1140" s="228">
        <f>IF(OR(DAY(A1140+2)=1,DAY(A1140+2)=15),-SUM('Main Budget'!$H$26:$H$31),0)</f>
        <v>0</v>
      </c>
      <c r="E1140" s="228">
        <f>IF(DAY(A1140+2)=22,-SUM('Main Budget'!$F$26:$F$31),0)</f>
        <v>0</v>
      </c>
      <c r="F1140" s="228">
        <f>IF(D1140&gt;0,-'Main Budget'!$H$25+0.15,0)</f>
        <v>0</v>
      </c>
      <c r="G1140" s="228">
        <f>IF(E1140&gt;0,-'Main Budget'!$F$25+0.81,0)</f>
        <v>0</v>
      </c>
      <c r="H1140" s="227">
        <f>IF(DAY(A1140)='Main Budget'!$J$26,'Main Budget'!$E$26,0)</f>
        <v>0</v>
      </c>
      <c r="I1140" s="227">
        <f>IF(DAY(A1140)='Main Budget'!$J$28,'Main Budget'!$E$28,0)</f>
        <v>0</v>
      </c>
      <c r="J1140" s="227">
        <f>IF(DAY(A1140)='Main Budget'!$J$29,'Main Budget'!$E$29,0)</f>
        <v>0</v>
      </c>
      <c r="K1140" s="20">
        <f>IF(DAY(A1140)='Main Budget'!$J$30,'Main Budget'!$E$30,0)</f>
        <v>0</v>
      </c>
      <c r="L1140" s="20">
        <f>IF(DAY(A1140)='Main Budget'!$J$31,'Main Budget'!$E$31,0)</f>
        <v>0</v>
      </c>
      <c r="M1140" s="20">
        <f>IF(DAY(A1140)='Main Budget'!$J$27,'Main Budget'!$E$27,0)</f>
        <v>0</v>
      </c>
      <c r="O1140" s="228">
        <f>B1140+(SUM(H1140:M1140)+(SUM(D1140:E1140)))</f>
        <v>100</v>
      </c>
      <c r="P1140" s="228">
        <f>C1140+F1140+G1140+N1140</f>
        <v>100</v>
      </c>
      <c r="Q1140" s="252">
        <f>O1140+P1140</f>
        <v>200</v>
      </c>
      <c r="S1140" s="231" t="str">
        <f>TEXT(A1140,"dddd")</f>
        <v>Monday</v>
      </c>
    </row>
    <row r="1141" spans="1:19" x14ac:dyDescent="0.25">
      <c r="A1141" s="226">
        <v>47162</v>
      </c>
      <c r="B1141" s="227">
        <f>O1140</f>
        <v>100</v>
      </c>
      <c r="C1141" s="228">
        <f>P1140</f>
        <v>100</v>
      </c>
      <c r="D1141" s="228">
        <f>IF(OR(DAY(A1141+2)=1,DAY(A1141+2)=15),-SUM('Main Budget'!$H$26:$H$31),0)</f>
        <v>0</v>
      </c>
      <c r="E1141" s="228">
        <f>IF(DAY(A1141+2)=22,-SUM('Main Budget'!$F$26:$F$31),0)</f>
        <v>0</v>
      </c>
      <c r="F1141" s="228">
        <f>IF(D1141&gt;0,-'Main Budget'!$H$25+0.15,0)</f>
        <v>0</v>
      </c>
      <c r="G1141" s="228">
        <f>IF(E1141&gt;0,-'Main Budget'!$F$25+0.81,0)</f>
        <v>0</v>
      </c>
      <c r="H1141" s="227">
        <f>IF(DAY(A1141)='Main Budget'!$J$26,'Main Budget'!$E$26,0)</f>
        <v>0</v>
      </c>
      <c r="I1141" s="227">
        <f>IF(DAY(A1141)='Main Budget'!$J$28,'Main Budget'!$E$28,0)</f>
        <v>0</v>
      </c>
      <c r="J1141" s="227">
        <f>IF(DAY(A1141)='Main Budget'!$J$29,'Main Budget'!$E$29,0)</f>
        <v>0</v>
      </c>
      <c r="K1141" s="20">
        <f>IF(DAY(A1141)='Main Budget'!$J$30,'Main Budget'!$E$30,0)</f>
        <v>0</v>
      </c>
      <c r="L1141" s="20">
        <f>IF(DAY(A1141)='Main Budget'!$J$31,'Main Budget'!$E$31,0)</f>
        <v>0</v>
      </c>
      <c r="M1141" s="20">
        <f>IF(DAY(A1141)='Main Budget'!$J$27,'Main Budget'!$E$27,0)</f>
        <v>0</v>
      </c>
      <c r="O1141" s="228">
        <f>B1141+(SUM(H1141:M1141)+(SUM(D1141:E1141)))</f>
        <v>100</v>
      </c>
      <c r="P1141" s="228">
        <f>C1141+F1141+G1141+N1141</f>
        <v>100</v>
      </c>
      <c r="Q1141" s="252">
        <f>O1141+P1141</f>
        <v>200</v>
      </c>
      <c r="S1141" s="231" t="str">
        <f>TEXT(A1141,"dddd")</f>
        <v>Tuesday</v>
      </c>
    </row>
    <row r="1142" spans="1:19" x14ac:dyDescent="0.25">
      <c r="A1142" s="226">
        <v>47163</v>
      </c>
      <c r="B1142" s="227">
        <f>O1141</f>
        <v>100</v>
      </c>
      <c r="C1142" s="228">
        <f>P1141</f>
        <v>100</v>
      </c>
      <c r="D1142" s="228">
        <f>IF(OR(DAY(A1142+2)=1,DAY(A1142+2)=15),-SUM('Main Budget'!$H$26:$H$31),0)</f>
        <v>0</v>
      </c>
      <c r="E1142" s="228">
        <f>IF(DAY(A1142+2)=22,-SUM('Main Budget'!$F$26:$F$31),0)</f>
        <v>0</v>
      </c>
      <c r="F1142" s="228">
        <f>IF(D1142&gt;0,-'Main Budget'!$H$25+0.15,0)</f>
        <v>0</v>
      </c>
      <c r="G1142" s="228">
        <f>IF(E1142&gt;0,-'Main Budget'!$F$25+0.81,0)</f>
        <v>0</v>
      </c>
      <c r="H1142" s="227">
        <f>IF(DAY(A1142)='Main Budget'!$J$26,'Main Budget'!$E$26,0)</f>
        <v>0</v>
      </c>
      <c r="I1142" s="227">
        <f>IF(DAY(A1142)='Main Budget'!$J$28,'Main Budget'!$E$28,0)</f>
        <v>0</v>
      </c>
      <c r="J1142" s="227">
        <f>IF(DAY(A1142)='Main Budget'!$J$29,'Main Budget'!$E$29,0)</f>
        <v>0</v>
      </c>
      <c r="K1142" s="20">
        <f>IF(DAY(A1142)='Main Budget'!$J$30,'Main Budget'!$E$30,0)</f>
        <v>0</v>
      </c>
      <c r="L1142" s="20">
        <f>IF(DAY(A1142)='Main Budget'!$J$31,'Main Budget'!$E$31,0)</f>
        <v>0</v>
      </c>
      <c r="M1142" s="20">
        <f>IF(DAY(A1142)='Main Budget'!$J$27,'Main Budget'!$E$27,0)</f>
        <v>0</v>
      </c>
      <c r="O1142" s="228">
        <f>B1142+(SUM(H1142:M1142)+(SUM(D1142:E1142)))</f>
        <v>100</v>
      </c>
      <c r="P1142" s="228">
        <f>C1142+F1142+G1142+N1142</f>
        <v>100</v>
      </c>
      <c r="Q1142" s="252">
        <f>O1142+P1142</f>
        <v>200</v>
      </c>
      <c r="S1142" s="231" t="str">
        <f>TEXT(A1142,"dddd")</f>
        <v>Wednesday</v>
      </c>
    </row>
    <row r="1143" spans="1:19" x14ac:dyDescent="0.25">
      <c r="A1143" s="226">
        <v>47164</v>
      </c>
      <c r="B1143" s="227">
        <f>O1142</f>
        <v>100</v>
      </c>
      <c r="C1143" s="228">
        <f>P1142</f>
        <v>100</v>
      </c>
      <c r="D1143" s="228">
        <f>IF(OR(DAY(A1143+2)=1,DAY(A1143+2)=15),-SUM('Main Budget'!$H$26:$H$31),0)</f>
        <v>0</v>
      </c>
      <c r="E1143" s="228">
        <f>IF(DAY(A1143+2)=22,-SUM('Main Budget'!$F$26:$F$31),0)</f>
        <v>0</v>
      </c>
      <c r="F1143" s="228">
        <f>IF(D1143&gt;0,-'Main Budget'!$H$25+0.15,0)</f>
        <v>0</v>
      </c>
      <c r="G1143" s="228">
        <f>IF(E1143&gt;0,-'Main Budget'!$F$25+0.81,0)</f>
        <v>0</v>
      </c>
      <c r="H1143" s="227">
        <f>IF(DAY(A1143)='Main Budget'!$J$26,'Main Budget'!$E$26,0)</f>
        <v>0</v>
      </c>
      <c r="I1143" s="227">
        <f>IF(DAY(A1143)='Main Budget'!$J$28,'Main Budget'!$E$28,0)</f>
        <v>0</v>
      </c>
      <c r="J1143" s="227">
        <f>IF(DAY(A1143)='Main Budget'!$J$29,'Main Budget'!$E$29,0)</f>
        <v>0</v>
      </c>
      <c r="K1143" s="20">
        <f>IF(DAY(A1143)='Main Budget'!$J$30,'Main Budget'!$E$30,0)</f>
        <v>0</v>
      </c>
      <c r="L1143" s="20">
        <f>IF(DAY(A1143)='Main Budget'!$J$31,'Main Budget'!$E$31,0)</f>
        <v>0</v>
      </c>
      <c r="M1143" s="20">
        <f>IF(DAY(A1143)='Main Budget'!$J$27,'Main Budget'!$E$27,0)</f>
        <v>0</v>
      </c>
      <c r="O1143" s="228">
        <f>B1143+(SUM(H1143:M1143)+(SUM(D1143:E1143)))</f>
        <v>100</v>
      </c>
      <c r="P1143" s="228">
        <f>C1143+F1143+G1143+N1143</f>
        <v>100</v>
      </c>
      <c r="Q1143" s="252">
        <f>O1143+P1143</f>
        <v>200</v>
      </c>
      <c r="S1143" s="231" t="str">
        <f>TEXT(A1143,"dddd")</f>
        <v>Thursday</v>
      </c>
    </row>
    <row r="1144" spans="1:19" x14ac:dyDescent="0.25">
      <c r="A1144" s="226">
        <v>47165</v>
      </c>
      <c r="B1144" s="227">
        <f>O1143</f>
        <v>100</v>
      </c>
      <c r="C1144" s="228">
        <f>P1143</f>
        <v>100</v>
      </c>
      <c r="D1144" s="228">
        <f>IF(OR(DAY(A1144+2)=1,DAY(A1144+2)=15),-SUM('Main Budget'!$H$26:$H$31),0)</f>
        <v>0</v>
      </c>
      <c r="E1144" s="228">
        <f>IF(DAY(A1144+2)=22,-SUM('Main Budget'!$F$26:$F$31),0)</f>
        <v>0</v>
      </c>
      <c r="F1144" s="228">
        <f>IF(D1144&gt;0,-'Main Budget'!$H$25+0.15,0)</f>
        <v>0</v>
      </c>
      <c r="G1144" s="228">
        <f>IF(E1144&gt;0,-'Main Budget'!$F$25+0.81,0)</f>
        <v>0</v>
      </c>
      <c r="H1144" s="227">
        <f>IF(DAY(A1144)='Main Budget'!$J$26,'Main Budget'!$E$26,0)</f>
        <v>0</v>
      </c>
      <c r="I1144" s="227">
        <f>IF(DAY(A1144)='Main Budget'!$J$28,'Main Budget'!$E$28,0)</f>
        <v>0</v>
      </c>
      <c r="J1144" s="227">
        <f>IF(DAY(A1144)='Main Budget'!$J$29,'Main Budget'!$E$29,0)</f>
        <v>0</v>
      </c>
      <c r="K1144" s="20">
        <f>IF(DAY(A1144)='Main Budget'!$J$30,'Main Budget'!$E$30,0)</f>
        <v>0</v>
      </c>
      <c r="L1144" s="20">
        <f>IF(DAY(A1144)='Main Budget'!$J$31,'Main Budget'!$E$31,0)</f>
        <v>0</v>
      </c>
      <c r="M1144" s="20">
        <f>IF(DAY(A1144)='Main Budget'!$J$27,'Main Budget'!$E$27,0)</f>
        <v>0</v>
      </c>
      <c r="O1144" s="228">
        <f>B1144+(SUM(H1144:M1144)+(SUM(D1144:E1144)))</f>
        <v>100</v>
      </c>
      <c r="P1144" s="228">
        <f>C1144+F1144+G1144+N1144</f>
        <v>100</v>
      </c>
      <c r="Q1144" s="252">
        <f>O1144+P1144</f>
        <v>200</v>
      </c>
      <c r="S1144" s="231" t="str">
        <f>TEXT(A1144,"dddd")</f>
        <v>Friday</v>
      </c>
    </row>
    <row r="1145" spans="1:19" x14ac:dyDescent="0.25">
      <c r="A1145" s="226">
        <v>47166</v>
      </c>
      <c r="B1145" s="227">
        <f>O1144</f>
        <v>100</v>
      </c>
      <c r="C1145" s="228">
        <f>P1144</f>
        <v>100</v>
      </c>
      <c r="D1145" s="228">
        <f>IF(OR(DAY(A1145+2)=1,DAY(A1145+2)=15),-SUM('Main Budget'!$H$26:$H$31),0)</f>
        <v>0</v>
      </c>
      <c r="E1145" s="228">
        <f>IF(DAY(A1145+2)=22,-SUM('Main Budget'!$F$26:$F$31),0)</f>
        <v>0</v>
      </c>
      <c r="F1145" s="228">
        <f>IF(D1145&gt;0,-'Main Budget'!$H$25+0.15,0)</f>
        <v>0</v>
      </c>
      <c r="G1145" s="228">
        <f>IF(E1145&gt;0,-'Main Budget'!$F$25+0.81,0)</f>
        <v>0</v>
      </c>
      <c r="H1145" s="227">
        <f>IF(DAY(A1145)='Main Budget'!$J$26,'Main Budget'!$E$26,0)</f>
        <v>0</v>
      </c>
      <c r="I1145" s="227">
        <f>IF(DAY(A1145)='Main Budget'!$J$28,'Main Budget'!$E$28,0)</f>
        <v>0</v>
      </c>
      <c r="J1145" s="227">
        <f>IF(DAY(A1145)='Main Budget'!$J$29,'Main Budget'!$E$29,0)</f>
        <v>0</v>
      </c>
      <c r="K1145" s="20">
        <f>IF(DAY(A1145)='Main Budget'!$J$30,'Main Budget'!$E$30,0)</f>
        <v>0</v>
      </c>
      <c r="L1145" s="20">
        <f>IF(DAY(A1145)='Main Budget'!$J$31,'Main Budget'!$E$31,0)</f>
        <v>0</v>
      </c>
      <c r="M1145" s="20">
        <f>IF(DAY(A1145)='Main Budget'!$J$27,'Main Budget'!$E$27,0)</f>
        <v>0</v>
      </c>
      <c r="O1145" s="228">
        <f>B1145+(SUM(H1145:M1145)+(SUM(D1145:E1145)))</f>
        <v>100</v>
      </c>
      <c r="P1145" s="228">
        <f>C1145+F1145+G1145+N1145</f>
        <v>100</v>
      </c>
      <c r="Q1145" s="252">
        <f>O1145+P1145</f>
        <v>200</v>
      </c>
      <c r="S1145" s="231" t="str">
        <f>TEXT(A1145,"dddd")</f>
        <v>Saturday</v>
      </c>
    </row>
    <row r="1146" spans="1:19" x14ac:dyDescent="0.25">
      <c r="A1146" s="226">
        <v>47167</v>
      </c>
      <c r="B1146" s="227">
        <f>O1145</f>
        <v>100</v>
      </c>
      <c r="C1146" s="228">
        <f>P1145</f>
        <v>100</v>
      </c>
      <c r="D1146" s="228">
        <f>IF(OR(DAY(A1146+2)=1,DAY(A1146+2)=15),-SUM('Main Budget'!$H$26:$H$31),0)</f>
        <v>0</v>
      </c>
      <c r="E1146" s="228">
        <f>IF(DAY(A1146+2)=22,-SUM('Main Budget'!$F$26:$F$31),0)</f>
        <v>0</v>
      </c>
      <c r="F1146" s="228">
        <f>IF(D1146&gt;0,-'Main Budget'!$H$25+0.15,0)</f>
        <v>0</v>
      </c>
      <c r="G1146" s="228">
        <f>IF(E1146&gt;0,-'Main Budget'!$F$25+0.81,0)</f>
        <v>0</v>
      </c>
      <c r="H1146" s="227">
        <f>IF(DAY(A1146)='Main Budget'!$J$26,'Main Budget'!$E$26,0)</f>
        <v>0</v>
      </c>
      <c r="I1146" s="227">
        <f>IF(DAY(A1146)='Main Budget'!$J$28,'Main Budget'!$E$28,0)</f>
        <v>0</v>
      </c>
      <c r="J1146" s="227">
        <f>IF(DAY(A1146)='Main Budget'!$J$29,'Main Budget'!$E$29,0)</f>
        <v>0</v>
      </c>
      <c r="K1146" s="20">
        <f>IF(DAY(A1146)='Main Budget'!$J$30,'Main Budget'!$E$30,0)</f>
        <v>0</v>
      </c>
      <c r="L1146" s="20">
        <f>IF(DAY(A1146)='Main Budget'!$J$31,'Main Budget'!$E$31,0)</f>
        <v>0</v>
      </c>
      <c r="M1146" s="20">
        <f>IF(DAY(A1146)='Main Budget'!$J$27,'Main Budget'!$E$27,0)</f>
        <v>0</v>
      </c>
      <c r="O1146" s="228">
        <f>B1146+(SUM(H1146:M1146)+(SUM(D1146:E1146)))</f>
        <v>100</v>
      </c>
      <c r="P1146" s="228">
        <f>C1146+F1146+G1146+N1146</f>
        <v>100</v>
      </c>
      <c r="Q1146" s="252">
        <f>O1146+P1146</f>
        <v>200</v>
      </c>
      <c r="S1146" s="231" t="str">
        <f>TEXT(A1146,"dddd")</f>
        <v>Sunday</v>
      </c>
    </row>
    <row r="1147" spans="1:19" x14ac:dyDescent="0.25">
      <c r="A1147" s="226">
        <v>47168</v>
      </c>
      <c r="B1147" s="227">
        <f>O1146</f>
        <v>100</v>
      </c>
      <c r="C1147" s="228">
        <f>P1146</f>
        <v>100</v>
      </c>
      <c r="D1147" s="228">
        <f>IF(OR(DAY(A1147+2)=1,DAY(A1147+2)=15),-SUM('Main Budget'!$H$26:$H$31),0)</f>
        <v>0</v>
      </c>
      <c r="E1147" s="228">
        <f>IF(DAY(A1147+2)=22,-SUM('Main Budget'!$F$26:$F$31),0)</f>
        <v>0</v>
      </c>
      <c r="F1147" s="228">
        <f>IF(D1147&gt;0,-'Main Budget'!$H$25+0.15,0)</f>
        <v>0</v>
      </c>
      <c r="G1147" s="228">
        <f>IF(E1147&gt;0,-'Main Budget'!$F$25+0.81,0)</f>
        <v>0</v>
      </c>
      <c r="H1147" s="227">
        <f>IF(DAY(A1147)='Main Budget'!$J$26,'Main Budget'!$E$26,0)</f>
        <v>0</v>
      </c>
      <c r="I1147" s="227">
        <f>IF(DAY(A1147)='Main Budget'!$J$28,'Main Budget'!$E$28,0)</f>
        <v>0</v>
      </c>
      <c r="J1147" s="227">
        <f>IF(DAY(A1147)='Main Budget'!$J$29,'Main Budget'!$E$29,0)</f>
        <v>0</v>
      </c>
      <c r="K1147" s="20">
        <f>IF(DAY(A1147)='Main Budget'!$J$30,'Main Budget'!$E$30,0)</f>
        <v>0</v>
      </c>
      <c r="L1147" s="20">
        <f>IF(DAY(A1147)='Main Budget'!$J$31,'Main Budget'!$E$31,0)</f>
        <v>0</v>
      </c>
      <c r="M1147" s="20">
        <f>IF(DAY(A1147)='Main Budget'!$J$27,'Main Budget'!$E$27,0)</f>
        <v>0</v>
      </c>
      <c r="O1147" s="228">
        <f>B1147+(SUM(H1147:M1147)+(SUM(D1147:E1147)))</f>
        <v>100</v>
      </c>
      <c r="P1147" s="228">
        <f>C1147+F1147+G1147+N1147</f>
        <v>100</v>
      </c>
      <c r="Q1147" s="252">
        <f>O1147+P1147</f>
        <v>200</v>
      </c>
      <c r="S1147" s="231" t="str">
        <f>TEXT(A1147,"dddd")</f>
        <v>Monday</v>
      </c>
    </row>
    <row r="1148" spans="1:19" x14ac:dyDescent="0.25">
      <c r="A1148" s="226">
        <v>47169</v>
      </c>
      <c r="B1148" s="227">
        <f>O1147</f>
        <v>100</v>
      </c>
      <c r="C1148" s="228">
        <f>P1147</f>
        <v>100</v>
      </c>
      <c r="D1148" s="228">
        <f>IF(OR(DAY(A1148+2)=1,DAY(A1148+2)=15),-SUM('Main Budget'!$H$26:$H$31),0)</f>
        <v>0</v>
      </c>
      <c r="E1148" s="228">
        <f>IF(DAY(A1148+2)=22,-SUM('Main Budget'!$F$26:$F$31),0)</f>
        <v>0</v>
      </c>
      <c r="F1148" s="228">
        <f>IF(D1148&gt;0,-'Main Budget'!$H$25+0.15,0)</f>
        <v>0</v>
      </c>
      <c r="G1148" s="228">
        <f>IF(E1148&gt;0,-'Main Budget'!$F$25+0.81,0)</f>
        <v>0</v>
      </c>
      <c r="H1148" s="227">
        <f>IF(DAY(A1148)='Main Budget'!$J$26,'Main Budget'!$E$26,0)</f>
        <v>0</v>
      </c>
      <c r="I1148" s="227">
        <f>IF(DAY(A1148)='Main Budget'!$J$28,'Main Budget'!$E$28,0)</f>
        <v>0</v>
      </c>
      <c r="J1148" s="227">
        <f>IF(DAY(A1148)='Main Budget'!$J$29,'Main Budget'!$E$29,0)</f>
        <v>0</v>
      </c>
      <c r="K1148" s="20">
        <f>IF(DAY(A1148)='Main Budget'!$J$30,'Main Budget'!$E$30,0)</f>
        <v>0</v>
      </c>
      <c r="L1148" s="20">
        <f>IF(DAY(A1148)='Main Budget'!$J$31,'Main Budget'!$E$31,0)</f>
        <v>0</v>
      </c>
      <c r="M1148" s="20">
        <f>IF(DAY(A1148)='Main Budget'!$J$27,'Main Budget'!$E$27,0)</f>
        <v>0</v>
      </c>
      <c r="O1148" s="228">
        <f>B1148+(SUM(H1148:M1148)+(SUM(D1148:E1148)))</f>
        <v>100</v>
      </c>
      <c r="P1148" s="228">
        <f>C1148+F1148+G1148+N1148</f>
        <v>100</v>
      </c>
      <c r="Q1148" s="252">
        <f>O1148+P1148</f>
        <v>200</v>
      </c>
      <c r="S1148" s="231" t="str">
        <f>TEXT(A1148,"dddd")</f>
        <v>Tuesday</v>
      </c>
    </row>
    <row r="1149" spans="1:19" x14ac:dyDescent="0.25">
      <c r="A1149" s="226">
        <v>47170</v>
      </c>
      <c r="B1149" s="227">
        <f>O1148</f>
        <v>100</v>
      </c>
      <c r="C1149" s="228">
        <f>P1148</f>
        <v>100</v>
      </c>
      <c r="D1149" s="228">
        <f>IF(OR(DAY(A1149+2)=1,DAY(A1149+2)=15),-SUM('Main Budget'!$H$26:$H$31),0)</f>
        <v>0</v>
      </c>
      <c r="E1149" s="228">
        <f>IF(DAY(A1149+2)=22,-SUM('Main Budget'!$F$26:$F$31),0)</f>
        <v>0</v>
      </c>
      <c r="F1149" s="228">
        <f>IF(D1149&gt;0,-'Main Budget'!$H$25+0.15,0)</f>
        <v>0</v>
      </c>
      <c r="G1149" s="228">
        <f>IF(E1149&gt;0,-'Main Budget'!$F$25+0.81,0)</f>
        <v>0</v>
      </c>
      <c r="H1149" s="227">
        <f>IF(DAY(A1149)='Main Budget'!$J$26,'Main Budget'!$E$26,0)</f>
        <v>0</v>
      </c>
      <c r="I1149" s="227">
        <f>IF(DAY(A1149)='Main Budget'!$J$28,'Main Budget'!$E$28,0)</f>
        <v>0</v>
      </c>
      <c r="J1149" s="227">
        <f>IF(DAY(A1149)='Main Budget'!$J$29,'Main Budget'!$E$29,0)</f>
        <v>0</v>
      </c>
      <c r="K1149" s="20">
        <f>IF(DAY(A1149)='Main Budget'!$J$30,'Main Budget'!$E$30,0)</f>
        <v>0</v>
      </c>
      <c r="L1149" s="20">
        <f>IF(DAY(A1149)='Main Budget'!$J$31,'Main Budget'!$E$31,0)</f>
        <v>0</v>
      </c>
      <c r="M1149" s="20">
        <f>IF(DAY(A1149)='Main Budget'!$J$27,'Main Budget'!$E$27,0)</f>
        <v>0</v>
      </c>
      <c r="O1149" s="228">
        <f>B1149+(SUM(H1149:M1149)+(SUM(D1149:E1149)))</f>
        <v>100</v>
      </c>
      <c r="P1149" s="228">
        <f>C1149+F1149+G1149+N1149</f>
        <v>100</v>
      </c>
      <c r="Q1149" s="252">
        <f>O1149+P1149</f>
        <v>200</v>
      </c>
      <c r="S1149" s="231" t="str">
        <f>TEXT(A1149,"dddd")</f>
        <v>Wednesday</v>
      </c>
    </row>
    <row r="1150" spans="1:19" x14ac:dyDescent="0.25">
      <c r="A1150" s="226">
        <v>47171</v>
      </c>
      <c r="B1150" s="227">
        <f>O1149</f>
        <v>100</v>
      </c>
      <c r="C1150" s="228">
        <f>P1149</f>
        <v>100</v>
      </c>
      <c r="D1150" s="228">
        <f>IF(OR(DAY(A1150+2)=1,DAY(A1150+2)=15),-SUM('Main Budget'!$H$26:$H$31),0)</f>
        <v>0</v>
      </c>
      <c r="E1150" s="228">
        <f>IF(DAY(A1150+2)=22,-SUM('Main Budget'!$F$26:$F$31),0)</f>
        <v>0</v>
      </c>
      <c r="F1150" s="228">
        <f>IF(D1150&gt;0,-'Main Budget'!$H$25+0.15,0)</f>
        <v>0</v>
      </c>
      <c r="G1150" s="228">
        <f>IF(E1150&gt;0,-'Main Budget'!$F$25+0.81,0)</f>
        <v>0</v>
      </c>
      <c r="H1150" s="227">
        <f>IF(DAY(A1150)='Main Budget'!$J$26,'Main Budget'!$E$26,0)</f>
        <v>0</v>
      </c>
      <c r="I1150" s="227">
        <f>IF(DAY(A1150)='Main Budget'!$J$28,'Main Budget'!$E$28,0)</f>
        <v>0</v>
      </c>
      <c r="J1150" s="227">
        <f>IF(DAY(A1150)='Main Budget'!$J$29,'Main Budget'!$E$29,0)</f>
        <v>0</v>
      </c>
      <c r="K1150" s="20">
        <f>IF(DAY(A1150)='Main Budget'!$J$30,'Main Budget'!$E$30,0)</f>
        <v>0</v>
      </c>
      <c r="L1150" s="20">
        <f>IF(DAY(A1150)='Main Budget'!$J$31,'Main Budget'!$E$31,0)</f>
        <v>0</v>
      </c>
      <c r="M1150" s="20">
        <f>IF(DAY(A1150)='Main Budget'!$J$27,'Main Budget'!$E$27,0)</f>
        <v>0</v>
      </c>
      <c r="O1150" s="228">
        <f>B1150+(SUM(H1150:M1150)+(SUM(D1150:E1150)))</f>
        <v>100</v>
      </c>
      <c r="P1150" s="228">
        <f>C1150+F1150+G1150+N1150</f>
        <v>100</v>
      </c>
      <c r="Q1150" s="252">
        <f>O1150+P1150</f>
        <v>200</v>
      </c>
      <c r="S1150" s="231" t="str">
        <f>TEXT(A1150,"dddd")</f>
        <v>Thursday</v>
      </c>
    </row>
    <row r="1151" spans="1:19" x14ac:dyDescent="0.25">
      <c r="A1151" s="226">
        <v>47172</v>
      </c>
      <c r="B1151" s="227">
        <f>O1150</f>
        <v>100</v>
      </c>
      <c r="C1151" s="228">
        <f>P1150</f>
        <v>100</v>
      </c>
      <c r="D1151" s="228">
        <f>IF(OR(DAY(A1151+2)=1,DAY(A1151+2)=15),-SUM('Main Budget'!$H$26:$H$31),0)</f>
        <v>0</v>
      </c>
      <c r="E1151" s="228">
        <f>IF(DAY(A1151+2)=22,-SUM('Main Budget'!$F$26:$F$31),0)</f>
        <v>0</v>
      </c>
      <c r="F1151" s="228">
        <f>IF(D1151&gt;0,-'Main Budget'!$H$25+0.15,0)</f>
        <v>0</v>
      </c>
      <c r="G1151" s="228">
        <f>IF(E1151&gt;0,-'Main Budget'!$F$25+0.81,0)</f>
        <v>0</v>
      </c>
      <c r="H1151" s="227">
        <f>IF(DAY(A1151)='Main Budget'!$J$26,'Main Budget'!$E$26,0)</f>
        <v>0</v>
      </c>
      <c r="I1151" s="227">
        <f>IF(DAY(A1151)='Main Budget'!$J$28,'Main Budget'!$E$28,0)</f>
        <v>0</v>
      </c>
      <c r="J1151" s="227">
        <f>IF(DAY(A1151)='Main Budget'!$J$29,'Main Budget'!$E$29,0)</f>
        <v>0</v>
      </c>
      <c r="K1151" s="20">
        <f>IF(DAY(A1151)='Main Budget'!$J$30,'Main Budget'!$E$30,0)</f>
        <v>0</v>
      </c>
      <c r="L1151" s="20">
        <f>IF(DAY(A1151)='Main Budget'!$J$31,'Main Budget'!$E$31,0)</f>
        <v>0</v>
      </c>
      <c r="M1151" s="20">
        <f>IF(DAY(A1151)='Main Budget'!$J$27,'Main Budget'!$E$27,0)</f>
        <v>0</v>
      </c>
      <c r="O1151" s="228">
        <f>B1151+(SUM(H1151:M1151)+(SUM(D1151:E1151)))</f>
        <v>100</v>
      </c>
      <c r="P1151" s="228">
        <f>C1151+F1151+G1151+N1151</f>
        <v>100</v>
      </c>
      <c r="Q1151" s="252">
        <f>O1151+P1151</f>
        <v>200</v>
      </c>
      <c r="S1151" s="231" t="str">
        <f>TEXT(A1151,"dddd")</f>
        <v>Friday</v>
      </c>
    </row>
    <row r="1152" spans="1:19" x14ac:dyDescent="0.25">
      <c r="A1152" s="226">
        <v>47173</v>
      </c>
      <c r="B1152" s="227">
        <f>O1151</f>
        <v>100</v>
      </c>
      <c r="C1152" s="228">
        <f>P1151</f>
        <v>100</v>
      </c>
      <c r="D1152" s="228">
        <f>IF(OR(DAY(A1152+2)=1,DAY(A1152+2)=15),-SUM('Main Budget'!$H$26:$H$31),0)</f>
        <v>0</v>
      </c>
      <c r="E1152" s="228">
        <f>IF(DAY(A1152+2)=22,-SUM('Main Budget'!$F$26:$F$31),0)</f>
        <v>0</v>
      </c>
      <c r="F1152" s="228">
        <f>IF(D1152&gt;0,-'Main Budget'!$H$25+0.15,0)</f>
        <v>0</v>
      </c>
      <c r="G1152" s="228">
        <f>IF(E1152&gt;0,-'Main Budget'!$F$25+0.81,0)</f>
        <v>0</v>
      </c>
      <c r="H1152" s="227">
        <f>IF(DAY(A1152)='Main Budget'!$J$26,'Main Budget'!$E$26,0)</f>
        <v>0</v>
      </c>
      <c r="I1152" s="227">
        <f>IF(DAY(A1152)='Main Budget'!$J$28,'Main Budget'!$E$28,0)</f>
        <v>0</v>
      </c>
      <c r="J1152" s="227">
        <f>IF(DAY(A1152)='Main Budget'!$J$29,'Main Budget'!$E$29,0)</f>
        <v>0</v>
      </c>
      <c r="K1152" s="20">
        <f>IF(DAY(A1152)='Main Budget'!$J$30,'Main Budget'!$E$30,0)</f>
        <v>0</v>
      </c>
      <c r="L1152" s="20">
        <f>IF(DAY(A1152)='Main Budget'!$J$31,'Main Budget'!$E$31,0)</f>
        <v>0</v>
      </c>
      <c r="M1152" s="20">
        <f>IF(DAY(A1152)='Main Budget'!$J$27,'Main Budget'!$E$27,0)</f>
        <v>0</v>
      </c>
      <c r="O1152" s="228">
        <f>B1152+(SUM(H1152:M1152)+(SUM(D1152:E1152)))</f>
        <v>100</v>
      </c>
      <c r="P1152" s="228">
        <f>C1152+F1152+G1152+N1152</f>
        <v>100</v>
      </c>
      <c r="Q1152" s="252">
        <f>O1152+P1152</f>
        <v>200</v>
      </c>
      <c r="S1152" s="231" t="str">
        <f>TEXT(A1152,"dddd")</f>
        <v>Saturday</v>
      </c>
    </row>
    <row r="1153" spans="1:19" x14ac:dyDescent="0.25">
      <c r="A1153" s="226">
        <v>47174</v>
      </c>
      <c r="B1153" s="227">
        <f>O1152</f>
        <v>100</v>
      </c>
      <c r="C1153" s="228">
        <f>P1152</f>
        <v>100</v>
      </c>
      <c r="D1153" s="228">
        <f>IF(OR(DAY(A1153+2)=1,DAY(A1153+2)=15),-SUM('Main Budget'!$H$26:$H$31),0)</f>
        <v>0</v>
      </c>
      <c r="E1153" s="228">
        <f>IF(DAY(A1153+2)=22,-SUM('Main Budget'!$F$26:$F$31),0)</f>
        <v>0</v>
      </c>
      <c r="F1153" s="228">
        <f>IF(D1153&gt;0,-'Main Budget'!$H$25+0.15,0)</f>
        <v>0</v>
      </c>
      <c r="G1153" s="228">
        <f>IF(E1153&gt;0,-'Main Budget'!$F$25+0.81,0)</f>
        <v>0</v>
      </c>
      <c r="H1153" s="227">
        <f>IF(DAY(A1153)='Main Budget'!$J$26,'Main Budget'!$E$26,0)</f>
        <v>0</v>
      </c>
      <c r="I1153" s="227">
        <f>IF(DAY(A1153)='Main Budget'!$J$28,'Main Budget'!$E$28,0)</f>
        <v>0</v>
      </c>
      <c r="J1153" s="227">
        <f>IF(DAY(A1153)='Main Budget'!$J$29,'Main Budget'!$E$29,0)</f>
        <v>0</v>
      </c>
      <c r="K1153" s="20">
        <f>IF(DAY(A1153)='Main Budget'!$J$30,'Main Budget'!$E$30,0)</f>
        <v>0</v>
      </c>
      <c r="L1153" s="20">
        <f>IF(DAY(A1153)='Main Budget'!$J$31,'Main Budget'!$E$31,0)</f>
        <v>0</v>
      </c>
      <c r="M1153" s="20">
        <f>IF(DAY(A1153)='Main Budget'!$J$27,'Main Budget'!$E$27,0)</f>
        <v>0</v>
      </c>
      <c r="O1153" s="228">
        <f>B1153+(SUM(H1153:M1153)+(SUM(D1153:E1153)))</f>
        <v>100</v>
      </c>
      <c r="P1153" s="228">
        <f>C1153+F1153+G1153+N1153</f>
        <v>100</v>
      </c>
      <c r="Q1153" s="252">
        <f>O1153+P1153</f>
        <v>200</v>
      </c>
      <c r="S1153" s="231" t="str">
        <f>TEXT(A1153,"dddd")</f>
        <v>Sunday</v>
      </c>
    </row>
    <row r="1154" spans="1:19" x14ac:dyDescent="0.25">
      <c r="A1154" s="226">
        <v>47175</v>
      </c>
      <c r="B1154" s="227">
        <f>O1153</f>
        <v>100</v>
      </c>
      <c r="C1154" s="228">
        <f>P1153</f>
        <v>100</v>
      </c>
      <c r="D1154" s="228">
        <f>IF(OR(DAY(A1154+2)=1,DAY(A1154+2)=15),-SUM('Main Budget'!$H$26:$H$31),0)</f>
        <v>0</v>
      </c>
      <c r="E1154" s="228">
        <f>IF(DAY(A1154+2)=22,-SUM('Main Budget'!$F$26:$F$31),0)</f>
        <v>0</v>
      </c>
      <c r="F1154" s="228">
        <f>IF(D1154&gt;0,-'Main Budget'!$H$25+0.15,0)</f>
        <v>0</v>
      </c>
      <c r="G1154" s="228">
        <f>IF(E1154&gt;0,-'Main Budget'!$F$25+0.81,0)</f>
        <v>0</v>
      </c>
      <c r="H1154" s="227">
        <f>IF(DAY(A1154)='Main Budget'!$J$26,'Main Budget'!$E$26,0)</f>
        <v>0</v>
      </c>
      <c r="I1154" s="227">
        <f>IF(DAY(A1154)='Main Budget'!$J$28,'Main Budget'!$E$28,0)</f>
        <v>0</v>
      </c>
      <c r="J1154" s="227">
        <f>IF(DAY(A1154)='Main Budget'!$J$29,'Main Budget'!$E$29,0)</f>
        <v>0</v>
      </c>
      <c r="K1154" s="20">
        <f>IF(DAY(A1154)='Main Budget'!$J$30,'Main Budget'!$E$30,0)</f>
        <v>0</v>
      </c>
      <c r="L1154" s="20">
        <f>IF(DAY(A1154)='Main Budget'!$J$31,'Main Budget'!$E$31,0)</f>
        <v>0</v>
      </c>
      <c r="M1154" s="20">
        <f>IF(DAY(A1154)='Main Budget'!$J$27,'Main Budget'!$E$27,0)</f>
        <v>0</v>
      </c>
      <c r="O1154" s="228">
        <f>B1154+(SUM(H1154:M1154)+(SUM(D1154:E1154)))</f>
        <v>100</v>
      </c>
      <c r="P1154" s="228">
        <f>C1154+F1154+G1154+N1154</f>
        <v>100</v>
      </c>
      <c r="Q1154" s="252">
        <f>O1154+P1154</f>
        <v>200</v>
      </c>
      <c r="S1154" s="231" t="str">
        <f>TEXT(A1154,"dddd")</f>
        <v>Monday</v>
      </c>
    </row>
    <row r="1155" spans="1:19" x14ac:dyDescent="0.25">
      <c r="A1155" s="226">
        <v>47176</v>
      </c>
      <c r="B1155" s="227">
        <f>O1154</f>
        <v>100</v>
      </c>
      <c r="C1155" s="228">
        <f>P1154</f>
        <v>100</v>
      </c>
      <c r="D1155" s="228">
        <f>IF(OR(DAY(A1155+2)=1,DAY(A1155+2)=15),-SUM('Main Budget'!$H$26:$H$31),0)</f>
        <v>0</v>
      </c>
      <c r="E1155" s="228">
        <f>IF(DAY(A1155+2)=22,-SUM('Main Budget'!$F$26:$F$31),0)</f>
        <v>0</v>
      </c>
      <c r="F1155" s="228">
        <f>IF(D1155&gt;0,-'Main Budget'!$H$25+0.15,0)</f>
        <v>0</v>
      </c>
      <c r="G1155" s="228">
        <f>IF(E1155&gt;0,-'Main Budget'!$F$25+0.81,0)</f>
        <v>0</v>
      </c>
      <c r="H1155" s="227">
        <f>IF(DAY(A1155)='Main Budget'!$J$26,'Main Budget'!$E$26,0)</f>
        <v>0</v>
      </c>
      <c r="I1155" s="227">
        <f>IF(DAY(A1155)='Main Budget'!$J$28,'Main Budget'!$E$28,0)</f>
        <v>0</v>
      </c>
      <c r="J1155" s="227">
        <f>IF(DAY(A1155)='Main Budget'!$J$29,'Main Budget'!$E$29,0)</f>
        <v>0</v>
      </c>
      <c r="K1155" s="20">
        <f>IF(DAY(A1155)='Main Budget'!$J$30,'Main Budget'!$E$30,0)</f>
        <v>0</v>
      </c>
      <c r="L1155" s="20">
        <f>IF(DAY(A1155)='Main Budget'!$J$31,'Main Budget'!$E$31,0)</f>
        <v>0</v>
      </c>
      <c r="M1155" s="20">
        <f>IF(DAY(A1155)='Main Budget'!$J$27,'Main Budget'!$E$27,0)</f>
        <v>0</v>
      </c>
      <c r="O1155" s="228">
        <f>B1155+(SUM(H1155:M1155)+(SUM(D1155:E1155)))</f>
        <v>100</v>
      </c>
      <c r="P1155" s="228">
        <f>C1155+F1155+G1155+N1155</f>
        <v>100</v>
      </c>
      <c r="Q1155" s="252">
        <f>O1155+P1155</f>
        <v>200</v>
      </c>
      <c r="S1155" s="231" t="str">
        <f>TEXT(A1155,"dddd")</f>
        <v>Tuesday</v>
      </c>
    </row>
    <row r="1156" spans="1:19" x14ac:dyDescent="0.25">
      <c r="A1156" s="226">
        <v>47177</v>
      </c>
      <c r="B1156" s="227">
        <f>O1155</f>
        <v>100</v>
      </c>
      <c r="C1156" s="228">
        <f>P1155</f>
        <v>100</v>
      </c>
      <c r="D1156" s="228">
        <f>IF(OR(DAY(A1156+2)=1,DAY(A1156+2)=15),-SUM('Main Budget'!$H$26:$H$31),0)</f>
        <v>0</v>
      </c>
      <c r="E1156" s="228">
        <f>IF(DAY(A1156+2)=22,-SUM('Main Budget'!$F$26:$F$31),0)</f>
        <v>0</v>
      </c>
      <c r="F1156" s="228">
        <f>IF(D1156&gt;0,-'Main Budget'!$H$25+0.15,0)</f>
        <v>0</v>
      </c>
      <c r="G1156" s="228">
        <f>IF(E1156&gt;0,-'Main Budget'!$F$25+0.81,0)</f>
        <v>0</v>
      </c>
      <c r="H1156" s="227">
        <f>IF(DAY(A1156)='Main Budget'!$J$26,'Main Budget'!$E$26,0)</f>
        <v>0</v>
      </c>
      <c r="I1156" s="227">
        <f>IF(DAY(A1156)='Main Budget'!$J$28,'Main Budget'!$E$28,0)</f>
        <v>0</v>
      </c>
      <c r="J1156" s="227">
        <f>IF(DAY(A1156)='Main Budget'!$J$29,'Main Budget'!$E$29,0)</f>
        <v>0</v>
      </c>
      <c r="K1156" s="20">
        <f>IF(DAY(A1156)='Main Budget'!$J$30,'Main Budget'!$E$30,0)</f>
        <v>0</v>
      </c>
      <c r="L1156" s="20">
        <f>IF(DAY(A1156)='Main Budget'!$J$31,'Main Budget'!$E$31,0)</f>
        <v>0</v>
      </c>
      <c r="M1156" s="20">
        <f>IF(DAY(A1156)='Main Budget'!$J$27,'Main Budget'!$E$27,0)</f>
        <v>0</v>
      </c>
      <c r="O1156" s="228">
        <f>B1156+(SUM(H1156:M1156)+(SUM(D1156:E1156)))</f>
        <v>100</v>
      </c>
      <c r="P1156" s="228">
        <f>C1156+F1156+G1156+N1156</f>
        <v>100</v>
      </c>
      <c r="Q1156" s="252">
        <f>O1156+P1156</f>
        <v>200</v>
      </c>
      <c r="S1156" s="231" t="str">
        <f>TEXT(A1156,"dddd")</f>
        <v>Wednesday</v>
      </c>
    </row>
    <row r="1157" spans="1:19" x14ac:dyDescent="0.25">
      <c r="A1157" s="226">
        <v>47178</v>
      </c>
      <c r="B1157" s="227">
        <f>O1156</f>
        <v>100</v>
      </c>
      <c r="C1157" s="228">
        <f>P1156</f>
        <v>100</v>
      </c>
      <c r="D1157" s="228">
        <f>IF(OR(DAY(A1157+2)=1,DAY(A1157+2)=15),-SUM('Main Budget'!$H$26:$H$31),0)</f>
        <v>0</v>
      </c>
      <c r="E1157" s="228">
        <f>IF(DAY(A1157+2)=22,-SUM('Main Budget'!$F$26:$F$31),0)</f>
        <v>0</v>
      </c>
      <c r="F1157" s="228">
        <f>IF(D1157&gt;0,-'Main Budget'!$H$25+0.15,0)</f>
        <v>0</v>
      </c>
      <c r="G1157" s="228">
        <f>IF(E1157&gt;0,-'Main Budget'!$F$25+0.81,0)</f>
        <v>0</v>
      </c>
      <c r="H1157" s="227">
        <f>IF(DAY(A1157)='Main Budget'!$J$26,'Main Budget'!$E$26,0)</f>
        <v>0</v>
      </c>
      <c r="I1157" s="227">
        <f>IF(DAY(A1157)='Main Budget'!$J$28,'Main Budget'!$E$28,0)</f>
        <v>0</v>
      </c>
      <c r="J1157" s="227">
        <f>IF(DAY(A1157)='Main Budget'!$J$29,'Main Budget'!$E$29,0)</f>
        <v>0</v>
      </c>
      <c r="K1157" s="20">
        <f>IF(DAY(A1157)='Main Budget'!$J$30,'Main Budget'!$E$30,0)</f>
        <v>0</v>
      </c>
      <c r="L1157" s="20">
        <f>IF(DAY(A1157)='Main Budget'!$J$31,'Main Budget'!$E$31,0)</f>
        <v>0</v>
      </c>
      <c r="M1157" s="20">
        <f>IF(DAY(A1157)='Main Budget'!$J$27,'Main Budget'!$E$27,0)</f>
        <v>0</v>
      </c>
      <c r="O1157" s="228">
        <f>B1157+(SUM(H1157:M1157)+(SUM(D1157:E1157)))</f>
        <v>100</v>
      </c>
      <c r="P1157" s="228">
        <f>C1157+F1157+G1157+N1157</f>
        <v>100</v>
      </c>
      <c r="Q1157" s="252">
        <f>O1157+P1157</f>
        <v>200</v>
      </c>
      <c r="S1157" s="231" t="str">
        <f>TEXT(A1157,"dddd")</f>
        <v>Thursday</v>
      </c>
    </row>
    <row r="1158" spans="1:19" x14ac:dyDescent="0.25">
      <c r="A1158" s="226">
        <v>47179</v>
      </c>
      <c r="B1158" s="227">
        <f>O1157</f>
        <v>100</v>
      </c>
      <c r="C1158" s="228">
        <f>P1157</f>
        <v>100</v>
      </c>
      <c r="D1158" s="228">
        <f>IF(OR(DAY(A1158+2)=1,DAY(A1158+2)=15),-SUM('Main Budget'!$H$26:$H$31),0)</f>
        <v>0</v>
      </c>
      <c r="E1158" s="228">
        <f>IF(DAY(A1158+2)=22,-SUM('Main Budget'!$F$26:$F$31),0)</f>
        <v>0</v>
      </c>
      <c r="F1158" s="228">
        <f>IF(D1158&gt;0,-'Main Budget'!$H$25+0.15,0)</f>
        <v>0</v>
      </c>
      <c r="G1158" s="228">
        <f>IF(E1158&gt;0,-'Main Budget'!$F$25+0.81,0)</f>
        <v>0</v>
      </c>
      <c r="H1158" s="227">
        <f>IF(DAY(A1158)='Main Budget'!$J$26,'Main Budget'!$E$26,0)</f>
        <v>0</v>
      </c>
      <c r="I1158" s="227">
        <f>IF(DAY(A1158)='Main Budget'!$J$28,'Main Budget'!$E$28,0)</f>
        <v>0</v>
      </c>
      <c r="J1158" s="227">
        <f>IF(DAY(A1158)='Main Budget'!$J$29,'Main Budget'!$E$29,0)</f>
        <v>0</v>
      </c>
      <c r="K1158" s="20">
        <f>IF(DAY(A1158)='Main Budget'!$J$30,'Main Budget'!$E$30,0)</f>
        <v>0</v>
      </c>
      <c r="L1158" s="20">
        <f>IF(DAY(A1158)='Main Budget'!$J$31,'Main Budget'!$E$31,0)</f>
        <v>0</v>
      </c>
      <c r="M1158" s="20">
        <f>IF(DAY(A1158)='Main Budget'!$J$27,'Main Budget'!$E$27,0)</f>
        <v>0</v>
      </c>
      <c r="O1158" s="228">
        <f>B1158+(SUM(H1158:M1158)+(SUM(D1158:E1158)))</f>
        <v>100</v>
      </c>
      <c r="P1158" s="228">
        <f>C1158+F1158+G1158+N1158</f>
        <v>100</v>
      </c>
      <c r="Q1158" s="252">
        <f>O1158+P1158</f>
        <v>200</v>
      </c>
      <c r="S1158" s="231" t="str">
        <f>TEXT(A1158,"dddd")</f>
        <v>Friday</v>
      </c>
    </row>
    <row r="1159" spans="1:19" x14ac:dyDescent="0.25">
      <c r="A1159" s="226">
        <v>47180</v>
      </c>
      <c r="B1159" s="227">
        <f>O1158</f>
        <v>100</v>
      </c>
      <c r="C1159" s="228">
        <f>P1158</f>
        <v>100</v>
      </c>
      <c r="D1159" s="228">
        <f>IF(OR(DAY(A1159+2)=1,DAY(A1159+2)=15),-SUM('Main Budget'!$H$26:$H$31),0)</f>
        <v>0</v>
      </c>
      <c r="E1159" s="228">
        <f>IF(DAY(A1159+2)=22,-SUM('Main Budget'!$F$26:$F$31),0)</f>
        <v>0</v>
      </c>
      <c r="F1159" s="228">
        <f>IF(D1159&gt;0,-'Main Budget'!$H$25+0.15,0)</f>
        <v>0</v>
      </c>
      <c r="G1159" s="228">
        <f>IF(E1159&gt;0,-'Main Budget'!$F$25+0.81,0)</f>
        <v>0</v>
      </c>
      <c r="H1159" s="227">
        <f>IF(DAY(A1159)='Main Budget'!$J$26,'Main Budget'!$E$26,0)</f>
        <v>0</v>
      </c>
      <c r="I1159" s="227">
        <f>IF(DAY(A1159)='Main Budget'!$J$28,'Main Budget'!$E$28,0)</f>
        <v>0</v>
      </c>
      <c r="J1159" s="227">
        <f>IF(DAY(A1159)='Main Budget'!$J$29,'Main Budget'!$E$29,0)</f>
        <v>0</v>
      </c>
      <c r="K1159" s="20">
        <f>IF(DAY(A1159)='Main Budget'!$J$30,'Main Budget'!$E$30,0)</f>
        <v>0</v>
      </c>
      <c r="L1159" s="20">
        <f>IF(DAY(A1159)='Main Budget'!$J$31,'Main Budget'!$E$31,0)</f>
        <v>0</v>
      </c>
      <c r="M1159" s="20">
        <f>IF(DAY(A1159)='Main Budget'!$J$27,'Main Budget'!$E$27,0)</f>
        <v>0</v>
      </c>
      <c r="O1159" s="228">
        <f>B1159+(SUM(H1159:M1159)+(SUM(D1159:E1159)))</f>
        <v>100</v>
      </c>
      <c r="P1159" s="228">
        <f>C1159+F1159+G1159+N1159</f>
        <v>100</v>
      </c>
      <c r="Q1159" s="252">
        <f>O1159+P1159</f>
        <v>200</v>
      </c>
      <c r="S1159" s="231" t="str">
        <f>TEXT(A1159,"dddd")</f>
        <v>Saturday</v>
      </c>
    </row>
    <row r="1160" spans="1:19" x14ac:dyDescent="0.25">
      <c r="A1160" s="226">
        <v>47181</v>
      </c>
      <c r="B1160" s="227">
        <f>O1159</f>
        <v>100</v>
      </c>
      <c r="C1160" s="228">
        <f>P1159</f>
        <v>100</v>
      </c>
      <c r="D1160" s="228">
        <f>IF(OR(DAY(A1160+2)=1,DAY(A1160+2)=15),-SUM('Main Budget'!$H$26:$H$31),0)</f>
        <v>0</v>
      </c>
      <c r="E1160" s="228">
        <f>IF(DAY(A1160+2)=22,-SUM('Main Budget'!$F$26:$F$31),0)</f>
        <v>0</v>
      </c>
      <c r="F1160" s="228">
        <f>IF(D1160&gt;0,-'Main Budget'!$H$25+0.15,0)</f>
        <v>0</v>
      </c>
      <c r="G1160" s="228">
        <f>IF(E1160&gt;0,-'Main Budget'!$F$25+0.81,0)</f>
        <v>0</v>
      </c>
      <c r="H1160" s="227">
        <f>IF(DAY(A1160)='Main Budget'!$J$26,'Main Budget'!$E$26,0)</f>
        <v>0</v>
      </c>
      <c r="I1160" s="227">
        <f>IF(DAY(A1160)='Main Budget'!$J$28,'Main Budget'!$E$28,0)</f>
        <v>0</v>
      </c>
      <c r="J1160" s="227">
        <f>IF(DAY(A1160)='Main Budget'!$J$29,'Main Budget'!$E$29,0)</f>
        <v>0</v>
      </c>
      <c r="K1160" s="20">
        <f>IF(DAY(A1160)='Main Budget'!$J$30,'Main Budget'!$E$30,0)</f>
        <v>0</v>
      </c>
      <c r="L1160" s="20">
        <f>IF(DAY(A1160)='Main Budget'!$J$31,'Main Budget'!$E$31,0)</f>
        <v>0</v>
      </c>
      <c r="M1160" s="20">
        <f>IF(DAY(A1160)='Main Budget'!$J$27,'Main Budget'!$E$27,0)</f>
        <v>0</v>
      </c>
      <c r="O1160" s="228">
        <f>B1160+(SUM(H1160:M1160)+(SUM(D1160:E1160)))</f>
        <v>100</v>
      </c>
      <c r="P1160" s="228">
        <f>C1160+F1160+G1160+N1160</f>
        <v>100</v>
      </c>
      <c r="Q1160" s="252">
        <f>O1160+P1160</f>
        <v>200</v>
      </c>
      <c r="S1160" s="231" t="str">
        <f>TEXT(A1160,"dddd")</f>
        <v>Sunday</v>
      </c>
    </row>
    <row r="1161" spans="1:19" x14ac:dyDescent="0.25">
      <c r="A1161" s="226">
        <v>47182</v>
      </c>
      <c r="B1161" s="227">
        <f>O1160</f>
        <v>100</v>
      </c>
      <c r="C1161" s="228">
        <f>P1160</f>
        <v>100</v>
      </c>
      <c r="D1161" s="228">
        <f>IF(OR(DAY(A1161+2)=1,DAY(A1161+2)=15),-SUM('Main Budget'!$H$26:$H$31),0)</f>
        <v>0</v>
      </c>
      <c r="E1161" s="228">
        <f>IF(DAY(A1161+2)=22,-SUM('Main Budget'!$F$26:$F$31),0)</f>
        <v>0</v>
      </c>
      <c r="F1161" s="228">
        <f>IF(D1161&gt;0,-'Main Budget'!$H$25+0.15,0)</f>
        <v>0</v>
      </c>
      <c r="G1161" s="228">
        <f>IF(E1161&gt;0,-'Main Budget'!$F$25+0.81,0)</f>
        <v>0</v>
      </c>
      <c r="H1161" s="227">
        <f>IF(DAY(A1161)='Main Budget'!$J$26,'Main Budget'!$E$26,0)</f>
        <v>0</v>
      </c>
      <c r="I1161" s="227">
        <f>IF(DAY(A1161)='Main Budget'!$J$28,'Main Budget'!$E$28,0)</f>
        <v>0</v>
      </c>
      <c r="J1161" s="227">
        <f>IF(DAY(A1161)='Main Budget'!$J$29,'Main Budget'!$E$29,0)</f>
        <v>0</v>
      </c>
      <c r="K1161" s="20">
        <f>IF(DAY(A1161)='Main Budget'!$J$30,'Main Budget'!$E$30,0)</f>
        <v>0</v>
      </c>
      <c r="L1161" s="20">
        <f>IF(DAY(A1161)='Main Budget'!$J$31,'Main Budget'!$E$31,0)</f>
        <v>0</v>
      </c>
      <c r="M1161" s="20">
        <f>IF(DAY(A1161)='Main Budget'!$J$27,'Main Budget'!$E$27,0)</f>
        <v>0</v>
      </c>
      <c r="O1161" s="228">
        <f>B1161+(SUM(H1161:M1161)+(SUM(D1161:E1161)))</f>
        <v>100</v>
      </c>
      <c r="P1161" s="228">
        <f>C1161+F1161+G1161+N1161</f>
        <v>100</v>
      </c>
      <c r="Q1161" s="252">
        <f>O1161+P1161</f>
        <v>200</v>
      </c>
      <c r="S1161" s="231" t="str">
        <f>TEXT(A1161,"dddd")</f>
        <v>Monday</v>
      </c>
    </row>
    <row r="1162" spans="1:19" x14ac:dyDescent="0.25">
      <c r="A1162" s="226">
        <v>47183</v>
      </c>
      <c r="B1162" s="227">
        <f>O1161</f>
        <v>100</v>
      </c>
      <c r="C1162" s="228">
        <f>P1161</f>
        <v>100</v>
      </c>
      <c r="D1162" s="228">
        <f>IF(OR(DAY(A1162+2)=1,DAY(A1162+2)=15),-SUM('Main Budget'!$H$26:$H$31),0)</f>
        <v>0</v>
      </c>
      <c r="E1162" s="228">
        <f>IF(DAY(A1162+2)=22,-SUM('Main Budget'!$F$26:$F$31),0)</f>
        <v>0</v>
      </c>
      <c r="F1162" s="228">
        <f>IF(D1162&gt;0,-'Main Budget'!$H$25+0.15,0)</f>
        <v>0</v>
      </c>
      <c r="G1162" s="228">
        <f>IF(E1162&gt;0,-'Main Budget'!$F$25+0.81,0)</f>
        <v>0</v>
      </c>
      <c r="H1162" s="227">
        <f>IF(DAY(A1162)='Main Budget'!$J$26,'Main Budget'!$E$26,0)</f>
        <v>0</v>
      </c>
      <c r="I1162" s="227">
        <f>IF(DAY(A1162)='Main Budget'!$J$28,'Main Budget'!$E$28,0)</f>
        <v>0</v>
      </c>
      <c r="J1162" s="227">
        <f>IF(DAY(A1162)='Main Budget'!$J$29,'Main Budget'!$E$29,0)</f>
        <v>0</v>
      </c>
      <c r="K1162" s="20">
        <f>IF(DAY(A1162)='Main Budget'!$J$30,'Main Budget'!$E$30,0)</f>
        <v>0</v>
      </c>
      <c r="L1162" s="20">
        <f>IF(DAY(A1162)='Main Budget'!$J$31,'Main Budget'!$E$31,0)</f>
        <v>0</v>
      </c>
      <c r="M1162" s="20">
        <f>IF(DAY(A1162)='Main Budget'!$J$27,'Main Budget'!$E$27,0)</f>
        <v>0</v>
      </c>
      <c r="O1162" s="228">
        <f>B1162+(SUM(H1162:M1162)+(SUM(D1162:E1162)))</f>
        <v>100</v>
      </c>
      <c r="P1162" s="228">
        <f>C1162+F1162+G1162+N1162</f>
        <v>100</v>
      </c>
      <c r="Q1162" s="252">
        <f>O1162+P1162</f>
        <v>200</v>
      </c>
      <c r="S1162" s="231" t="str">
        <f>TEXT(A1162,"dddd")</f>
        <v>Tuesday</v>
      </c>
    </row>
    <row r="1163" spans="1:19" x14ac:dyDescent="0.25">
      <c r="A1163" s="226">
        <v>47184</v>
      </c>
      <c r="B1163" s="227">
        <f>O1162</f>
        <v>100</v>
      </c>
      <c r="C1163" s="228">
        <f>P1162</f>
        <v>100</v>
      </c>
      <c r="D1163" s="228">
        <f>IF(OR(DAY(A1163+2)=1,DAY(A1163+2)=15),-SUM('Main Budget'!$H$26:$H$31),0)</f>
        <v>0</v>
      </c>
      <c r="E1163" s="228">
        <f>IF(DAY(A1163+2)=22,-SUM('Main Budget'!$F$26:$F$31),0)</f>
        <v>0</v>
      </c>
      <c r="F1163" s="228">
        <f>IF(D1163&gt;0,-'Main Budget'!$H$25+0.15,0)</f>
        <v>0</v>
      </c>
      <c r="G1163" s="228">
        <f>IF(E1163&gt;0,-'Main Budget'!$F$25+0.81,0)</f>
        <v>0</v>
      </c>
      <c r="H1163" s="227">
        <f>IF(DAY(A1163)='Main Budget'!$J$26,'Main Budget'!$E$26,0)</f>
        <v>0</v>
      </c>
      <c r="I1163" s="227">
        <f>IF(DAY(A1163)='Main Budget'!$J$28,'Main Budget'!$E$28,0)</f>
        <v>0</v>
      </c>
      <c r="J1163" s="227">
        <f>IF(DAY(A1163)='Main Budget'!$J$29,'Main Budget'!$E$29,0)</f>
        <v>0</v>
      </c>
      <c r="K1163" s="20">
        <f>IF(DAY(A1163)='Main Budget'!$J$30,'Main Budget'!$E$30,0)</f>
        <v>0</v>
      </c>
      <c r="L1163" s="20">
        <f>IF(DAY(A1163)='Main Budget'!$J$31,'Main Budget'!$E$31,0)</f>
        <v>0</v>
      </c>
      <c r="M1163" s="20">
        <f>IF(DAY(A1163)='Main Budget'!$J$27,'Main Budget'!$E$27,0)</f>
        <v>0</v>
      </c>
      <c r="O1163" s="228">
        <f>B1163+(SUM(H1163:M1163)+(SUM(D1163:E1163)))</f>
        <v>100</v>
      </c>
      <c r="P1163" s="228">
        <f>C1163+F1163+G1163+N1163</f>
        <v>100</v>
      </c>
      <c r="Q1163" s="252">
        <f>O1163+P1163</f>
        <v>200</v>
      </c>
      <c r="S1163" s="231" t="str">
        <f>TEXT(A1163,"dddd")</f>
        <v>Wednesday</v>
      </c>
    </row>
    <row r="1164" spans="1:19" x14ac:dyDescent="0.25">
      <c r="A1164" s="226">
        <v>47185</v>
      </c>
      <c r="B1164" s="227">
        <f>O1163</f>
        <v>100</v>
      </c>
      <c r="C1164" s="228">
        <f>P1163</f>
        <v>100</v>
      </c>
      <c r="D1164" s="228">
        <f>IF(OR(DAY(A1164+2)=1,DAY(A1164+2)=15),-SUM('Main Budget'!$H$26:$H$31),0)</f>
        <v>0</v>
      </c>
      <c r="E1164" s="228">
        <f>IF(DAY(A1164+2)=22,-SUM('Main Budget'!$F$26:$F$31),0)</f>
        <v>0</v>
      </c>
      <c r="F1164" s="228">
        <f>IF(D1164&gt;0,-'Main Budget'!$H$25+0.15,0)</f>
        <v>0</v>
      </c>
      <c r="G1164" s="228">
        <f>IF(E1164&gt;0,-'Main Budget'!$F$25+0.81,0)</f>
        <v>0</v>
      </c>
      <c r="H1164" s="227">
        <f>IF(DAY(A1164)='Main Budget'!$J$26,'Main Budget'!$E$26,0)</f>
        <v>0</v>
      </c>
      <c r="I1164" s="227">
        <f>IF(DAY(A1164)='Main Budget'!$J$28,'Main Budget'!$E$28,0)</f>
        <v>0</v>
      </c>
      <c r="J1164" s="227">
        <f>IF(DAY(A1164)='Main Budget'!$J$29,'Main Budget'!$E$29,0)</f>
        <v>0</v>
      </c>
      <c r="K1164" s="20">
        <f>IF(DAY(A1164)='Main Budget'!$J$30,'Main Budget'!$E$30,0)</f>
        <v>0</v>
      </c>
      <c r="L1164" s="20">
        <f>IF(DAY(A1164)='Main Budget'!$J$31,'Main Budget'!$E$31,0)</f>
        <v>0</v>
      </c>
      <c r="M1164" s="20">
        <f>IF(DAY(A1164)='Main Budget'!$J$27,'Main Budget'!$E$27,0)</f>
        <v>0</v>
      </c>
      <c r="O1164" s="228">
        <f>B1164+(SUM(H1164:M1164)+(SUM(D1164:E1164)))</f>
        <v>100</v>
      </c>
      <c r="P1164" s="228">
        <f>C1164+F1164+G1164+N1164</f>
        <v>100</v>
      </c>
      <c r="Q1164" s="252">
        <f>O1164+P1164</f>
        <v>200</v>
      </c>
      <c r="S1164" s="231" t="str">
        <f>TEXT(A1164,"dddd")</f>
        <v>Thursday</v>
      </c>
    </row>
    <row r="1165" spans="1:19" x14ac:dyDescent="0.25">
      <c r="A1165" s="226">
        <v>47186</v>
      </c>
      <c r="B1165" s="227">
        <f>O1164</f>
        <v>100</v>
      </c>
      <c r="C1165" s="228">
        <f>P1164</f>
        <v>100</v>
      </c>
      <c r="D1165" s="228">
        <f>IF(OR(DAY(A1165+2)=1,DAY(A1165+2)=15),-SUM('Main Budget'!$H$26:$H$31),0)</f>
        <v>0</v>
      </c>
      <c r="E1165" s="228">
        <f>IF(DAY(A1165+2)=22,-SUM('Main Budget'!$F$26:$F$31),0)</f>
        <v>0</v>
      </c>
      <c r="F1165" s="228">
        <f>IF(D1165&gt;0,-'Main Budget'!$H$25+0.15,0)</f>
        <v>0</v>
      </c>
      <c r="G1165" s="228">
        <f>IF(E1165&gt;0,-'Main Budget'!$F$25+0.81,0)</f>
        <v>0</v>
      </c>
      <c r="H1165" s="227">
        <f>IF(DAY(A1165)='Main Budget'!$J$26,'Main Budget'!$E$26,0)</f>
        <v>0</v>
      </c>
      <c r="I1165" s="227">
        <f>IF(DAY(A1165)='Main Budget'!$J$28,'Main Budget'!$E$28,0)</f>
        <v>0</v>
      </c>
      <c r="J1165" s="227">
        <f>IF(DAY(A1165)='Main Budget'!$J$29,'Main Budget'!$E$29,0)</f>
        <v>0</v>
      </c>
      <c r="K1165" s="20">
        <f>IF(DAY(A1165)='Main Budget'!$J$30,'Main Budget'!$E$30,0)</f>
        <v>0</v>
      </c>
      <c r="L1165" s="20">
        <f>IF(DAY(A1165)='Main Budget'!$J$31,'Main Budget'!$E$31,0)</f>
        <v>0</v>
      </c>
      <c r="M1165" s="20">
        <f>IF(DAY(A1165)='Main Budget'!$J$27,'Main Budget'!$E$27,0)</f>
        <v>0</v>
      </c>
      <c r="O1165" s="228">
        <f>B1165+(SUM(H1165:M1165)+(SUM(D1165:E1165)))</f>
        <v>100</v>
      </c>
      <c r="P1165" s="228">
        <f>C1165+F1165+G1165+N1165</f>
        <v>100</v>
      </c>
      <c r="Q1165" s="252">
        <f>O1165+P1165</f>
        <v>200</v>
      </c>
      <c r="S1165" s="231" t="str">
        <f>TEXT(A1165,"dddd")</f>
        <v>Friday</v>
      </c>
    </row>
    <row r="1166" spans="1:19" x14ac:dyDescent="0.25">
      <c r="A1166" s="226">
        <v>47187</v>
      </c>
      <c r="B1166" s="227">
        <f>O1165</f>
        <v>100</v>
      </c>
      <c r="C1166" s="228">
        <f>P1165</f>
        <v>100</v>
      </c>
      <c r="D1166" s="228">
        <f>IF(OR(DAY(A1166+2)=1,DAY(A1166+2)=15),-SUM('Main Budget'!$H$26:$H$31),0)</f>
        <v>0</v>
      </c>
      <c r="E1166" s="228">
        <f>IF(DAY(A1166+2)=22,-SUM('Main Budget'!$F$26:$F$31),0)</f>
        <v>0</v>
      </c>
      <c r="F1166" s="228">
        <f>IF(D1166&gt;0,-'Main Budget'!$H$25+0.15,0)</f>
        <v>0</v>
      </c>
      <c r="G1166" s="228">
        <f>IF(E1166&gt;0,-'Main Budget'!$F$25+0.81,0)</f>
        <v>0</v>
      </c>
      <c r="H1166" s="227">
        <f>IF(DAY(A1166)='Main Budget'!$J$26,'Main Budget'!$E$26,0)</f>
        <v>0</v>
      </c>
      <c r="I1166" s="227">
        <f>IF(DAY(A1166)='Main Budget'!$J$28,'Main Budget'!$E$28,0)</f>
        <v>0</v>
      </c>
      <c r="J1166" s="227">
        <f>IF(DAY(A1166)='Main Budget'!$J$29,'Main Budget'!$E$29,0)</f>
        <v>0</v>
      </c>
      <c r="K1166" s="20">
        <f>IF(DAY(A1166)='Main Budget'!$J$30,'Main Budget'!$E$30,0)</f>
        <v>0</v>
      </c>
      <c r="L1166" s="20">
        <f>IF(DAY(A1166)='Main Budget'!$J$31,'Main Budget'!$E$31,0)</f>
        <v>0</v>
      </c>
      <c r="M1166" s="20">
        <f>IF(DAY(A1166)='Main Budget'!$J$27,'Main Budget'!$E$27,0)</f>
        <v>0</v>
      </c>
      <c r="O1166" s="228">
        <f>B1166+(SUM(H1166:M1166)+(SUM(D1166:E1166)))</f>
        <v>100</v>
      </c>
      <c r="P1166" s="228">
        <f>C1166+F1166+G1166+N1166</f>
        <v>100</v>
      </c>
      <c r="Q1166" s="252">
        <f>O1166+P1166</f>
        <v>200</v>
      </c>
      <c r="S1166" s="231" t="str">
        <f>TEXT(A1166,"dddd")</f>
        <v>Saturday</v>
      </c>
    </row>
    <row r="1167" spans="1:19" x14ac:dyDescent="0.25">
      <c r="A1167" s="226">
        <v>47188</v>
      </c>
      <c r="B1167" s="227">
        <f>O1166</f>
        <v>100</v>
      </c>
      <c r="C1167" s="228">
        <f>P1166</f>
        <v>100</v>
      </c>
      <c r="D1167" s="228">
        <f>IF(OR(DAY(A1167+2)=1,DAY(A1167+2)=15),-SUM('Main Budget'!$H$26:$H$31),0)</f>
        <v>0</v>
      </c>
      <c r="E1167" s="228">
        <f>IF(DAY(A1167+2)=22,-SUM('Main Budget'!$F$26:$F$31),0)</f>
        <v>0</v>
      </c>
      <c r="F1167" s="228">
        <f>IF(D1167&gt;0,-'Main Budget'!$H$25+0.15,0)</f>
        <v>0</v>
      </c>
      <c r="G1167" s="228">
        <f>IF(E1167&gt;0,-'Main Budget'!$F$25+0.81,0)</f>
        <v>0</v>
      </c>
      <c r="H1167" s="227">
        <f>IF(DAY(A1167)='Main Budget'!$J$26,'Main Budget'!$E$26,0)</f>
        <v>0</v>
      </c>
      <c r="I1167" s="227">
        <f>IF(DAY(A1167)='Main Budget'!$J$28,'Main Budget'!$E$28,0)</f>
        <v>0</v>
      </c>
      <c r="J1167" s="227">
        <f>IF(DAY(A1167)='Main Budget'!$J$29,'Main Budget'!$E$29,0)</f>
        <v>0</v>
      </c>
      <c r="K1167" s="20">
        <f>IF(DAY(A1167)='Main Budget'!$J$30,'Main Budget'!$E$30,0)</f>
        <v>0</v>
      </c>
      <c r="L1167" s="20">
        <f>IF(DAY(A1167)='Main Budget'!$J$31,'Main Budget'!$E$31,0)</f>
        <v>0</v>
      </c>
      <c r="M1167" s="20">
        <f>IF(DAY(A1167)='Main Budget'!$J$27,'Main Budget'!$E$27,0)</f>
        <v>0</v>
      </c>
      <c r="O1167" s="228">
        <f>B1167+(SUM(H1167:M1167)+(SUM(D1167:E1167)))</f>
        <v>100</v>
      </c>
      <c r="P1167" s="228">
        <f>C1167+F1167+G1167+N1167</f>
        <v>100</v>
      </c>
      <c r="Q1167" s="252">
        <f>O1167+P1167</f>
        <v>200</v>
      </c>
      <c r="S1167" s="231" t="str">
        <f>TEXT(A1167,"dddd")</f>
        <v>Sunday</v>
      </c>
    </row>
    <row r="1168" spans="1:19" x14ac:dyDescent="0.25">
      <c r="A1168" s="226">
        <v>47189</v>
      </c>
      <c r="B1168" s="227">
        <f>O1167</f>
        <v>100</v>
      </c>
      <c r="C1168" s="228">
        <f>P1167</f>
        <v>100</v>
      </c>
      <c r="D1168" s="228">
        <f>IF(OR(DAY(A1168+2)=1,DAY(A1168+2)=15),-SUM('Main Budget'!$H$26:$H$31),0)</f>
        <v>0</v>
      </c>
      <c r="E1168" s="228">
        <f>IF(DAY(A1168+2)=22,-SUM('Main Budget'!$F$26:$F$31),0)</f>
        <v>0</v>
      </c>
      <c r="F1168" s="228">
        <f>IF(D1168&gt;0,-'Main Budget'!$H$25+0.15,0)</f>
        <v>0</v>
      </c>
      <c r="G1168" s="228">
        <f>IF(E1168&gt;0,-'Main Budget'!$F$25+0.81,0)</f>
        <v>0</v>
      </c>
      <c r="H1168" s="227">
        <f>IF(DAY(A1168)='Main Budget'!$J$26,'Main Budget'!$E$26,0)</f>
        <v>0</v>
      </c>
      <c r="I1168" s="227">
        <f>IF(DAY(A1168)='Main Budget'!$J$28,'Main Budget'!$E$28,0)</f>
        <v>0</v>
      </c>
      <c r="J1168" s="227">
        <f>IF(DAY(A1168)='Main Budget'!$J$29,'Main Budget'!$E$29,0)</f>
        <v>0</v>
      </c>
      <c r="K1168" s="20">
        <f>IF(DAY(A1168)='Main Budget'!$J$30,'Main Budget'!$E$30,0)</f>
        <v>0</v>
      </c>
      <c r="L1168" s="20">
        <f>IF(DAY(A1168)='Main Budget'!$J$31,'Main Budget'!$E$31,0)</f>
        <v>0</v>
      </c>
      <c r="M1168" s="20">
        <f>IF(DAY(A1168)='Main Budget'!$J$27,'Main Budget'!$E$27,0)</f>
        <v>0</v>
      </c>
      <c r="O1168" s="228">
        <f>B1168+(SUM(H1168:M1168)+(SUM(D1168:E1168)))</f>
        <v>100</v>
      </c>
      <c r="P1168" s="228">
        <f>C1168+F1168+G1168+N1168</f>
        <v>100</v>
      </c>
      <c r="Q1168" s="252">
        <f>O1168+P1168</f>
        <v>200</v>
      </c>
      <c r="S1168" s="231" t="str">
        <f>TEXT(A1168,"dddd")</f>
        <v>Monday</v>
      </c>
    </row>
    <row r="1169" spans="1:19" x14ac:dyDescent="0.25">
      <c r="A1169" s="226">
        <v>47190</v>
      </c>
      <c r="B1169" s="227">
        <f>O1168</f>
        <v>100</v>
      </c>
      <c r="C1169" s="228">
        <f>P1168</f>
        <v>100</v>
      </c>
      <c r="D1169" s="228">
        <f>IF(OR(DAY(A1169+2)=1,DAY(A1169+2)=15),-SUM('Main Budget'!$H$26:$H$31),0)</f>
        <v>0</v>
      </c>
      <c r="E1169" s="228">
        <f>IF(DAY(A1169+2)=22,-SUM('Main Budget'!$F$26:$F$31),0)</f>
        <v>0</v>
      </c>
      <c r="F1169" s="228">
        <f>IF(D1169&gt;0,-'Main Budget'!$H$25+0.15,0)</f>
        <v>0</v>
      </c>
      <c r="G1169" s="228">
        <f>IF(E1169&gt;0,-'Main Budget'!$F$25+0.81,0)</f>
        <v>0</v>
      </c>
      <c r="H1169" s="227">
        <f>IF(DAY(A1169)='Main Budget'!$J$26,'Main Budget'!$E$26,0)</f>
        <v>0</v>
      </c>
      <c r="I1169" s="227">
        <f>IF(DAY(A1169)='Main Budget'!$J$28,'Main Budget'!$E$28,0)</f>
        <v>0</v>
      </c>
      <c r="J1169" s="227">
        <f>IF(DAY(A1169)='Main Budget'!$J$29,'Main Budget'!$E$29,0)</f>
        <v>0</v>
      </c>
      <c r="K1169" s="20">
        <f>IF(DAY(A1169)='Main Budget'!$J$30,'Main Budget'!$E$30,0)</f>
        <v>0</v>
      </c>
      <c r="L1169" s="20">
        <f>IF(DAY(A1169)='Main Budget'!$J$31,'Main Budget'!$E$31,0)</f>
        <v>0</v>
      </c>
      <c r="M1169" s="20">
        <f>IF(DAY(A1169)='Main Budget'!$J$27,'Main Budget'!$E$27,0)</f>
        <v>0</v>
      </c>
      <c r="O1169" s="228">
        <f>B1169+(SUM(H1169:M1169)+(SUM(D1169:E1169)))</f>
        <v>100</v>
      </c>
      <c r="P1169" s="228">
        <f>C1169+F1169+G1169+N1169</f>
        <v>100</v>
      </c>
      <c r="Q1169" s="252">
        <f>O1169+P1169</f>
        <v>200</v>
      </c>
      <c r="S1169" s="231" t="str">
        <f>TEXT(A1169,"dddd")</f>
        <v>Tuesday</v>
      </c>
    </row>
    <row r="1170" spans="1:19" x14ac:dyDescent="0.25">
      <c r="A1170" s="226">
        <v>47191</v>
      </c>
      <c r="B1170" s="227">
        <f>O1169</f>
        <v>100</v>
      </c>
      <c r="C1170" s="228">
        <f>P1169</f>
        <v>100</v>
      </c>
      <c r="D1170" s="228">
        <f>IF(OR(DAY(A1170+2)=1,DAY(A1170+2)=15),-SUM('Main Budget'!$H$26:$H$31),0)</f>
        <v>0</v>
      </c>
      <c r="E1170" s="228">
        <f>IF(DAY(A1170+2)=22,-SUM('Main Budget'!$F$26:$F$31),0)</f>
        <v>0</v>
      </c>
      <c r="F1170" s="228">
        <f>IF(D1170&gt;0,-'Main Budget'!$H$25+0.15,0)</f>
        <v>0</v>
      </c>
      <c r="G1170" s="228">
        <f>IF(E1170&gt;0,-'Main Budget'!$F$25+0.81,0)</f>
        <v>0</v>
      </c>
      <c r="H1170" s="227">
        <f>IF(DAY(A1170)='Main Budget'!$J$26,'Main Budget'!$E$26,0)</f>
        <v>0</v>
      </c>
      <c r="I1170" s="227">
        <f>IF(DAY(A1170)='Main Budget'!$J$28,'Main Budget'!$E$28,0)</f>
        <v>0</v>
      </c>
      <c r="J1170" s="227">
        <f>IF(DAY(A1170)='Main Budget'!$J$29,'Main Budget'!$E$29,0)</f>
        <v>0</v>
      </c>
      <c r="K1170" s="20">
        <f>IF(DAY(A1170)='Main Budget'!$J$30,'Main Budget'!$E$30,0)</f>
        <v>0</v>
      </c>
      <c r="L1170" s="20">
        <f>IF(DAY(A1170)='Main Budget'!$J$31,'Main Budget'!$E$31,0)</f>
        <v>0</v>
      </c>
      <c r="M1170" s="20">
        <f>IF(DAY(A1170)='Main Budget'!$J$27,'Main Budget'!$E$27,0)</f>
        <v>0</v>
      </c>
      <c r="O1170" s="228">
        <f>B1170+(SUM(H1170:M1170)+(SUM(D1170:E1170)))</f>
        <v>100</v>
      </c>
      <c r="P1170" s="228">
        <f>C1170+F1170+G1170+N1170</f>
        <v>100</v>
      </c>
      <c r="Q1170" s="252">
        <f>O1170+P1170</f>
        <v>200</v>
      </c>
      <c r="S1170" s="231" t="str">
        <f>TEXT(A1170,"dddd")</f>
        <v>Wednesday</v>
      </c>
    </row>
    <row r="1171" spans="1:19" x14ac:dyDescent="0.25">
      <c r="A1171" s="226">
        <v>47192</v>
      </c>
      <c r="B1171" s="227">
        <f>O1170</f>
        <v>100</v>
      </c>
      <c r="C1171" s="228">
        <f>P1170</f>
        <v>100</v>
      </c>
      <c r="D1171" s="228">
        <f>IF(OR(DAY(A1171+2)=1,DAY(A1171+2)=15),-SUM('Main Budget'!$H$26:$H$31),0)</f>
        <v>0</v>
      </c>
      <c r="E1171" s="228">
        <f>IF(DAY(A1171+2)=22,-SUM('Main Budget'!$F$26:$F$31),0)</f>
        <v>0</v>
      </c>
      <c r="F1171" s="228">
        <f>IF(D1171&gt;0,-'Main Budget'!$H$25+0.15,0)</f>
        <v>0</v>
      </c>
      <c r="G1171" s="228">
        <f>IF(E1171&gt;0,-'Main Budget'!$F$25+0.81,0)</f>
        <v>0</v>
      </c>
      <c r="H1171" s="227">
        <f>IF(DAY(A1171)='Main Budget'!$J$26,'Main Budget'!$E$26,0)</f>
        <v>0</v>
      </c>
      <c r="I1171" s="227">
        <f>IF(DAY(A1171)='Main Budget'!$J$28,'Main Budget'!$E$28,0)</f>
        <v>0</v>
      </c>
      <c r="J1171" s="227">
        <f>IF(DAY(A1171)='Main Budget'!$J$29,'Main Budget'!$E$29,0)</f>
        <v>0</v>
      </c>
      <c r="K1171" s="20">
        <f>IF(DAY(A1171)='Main Budget'!$J$30,'Main Budget'!$E$30,0)</f>
        <v>0</v>
      </c>
      <c r="L1171" s="20">
        <f>IF(DAY(A1171)='Main Budget'!$J$31,'Main Budget'!$E$31,0)</f>
        <v>0</v>
      </c>
      <c r="M1171" s="20">
        <f>IF(DAY(A1171)='Main Budget'!$J$27,'Main Budget'!$E$27,0)</f>
        <v>0</v>
      </c>
      <c r="O1171" s="228">
        <f>B1171+(SUM(H1171:M1171)+(SUM(D1171:E1171)))</f>
        <v>100</v>
      </c>
      <c r="P1171" s="228">
        <f>C1171+F1171+G1171+N1171</f>
        <v>100</v>
      </c>
      <c r="Q1171" s="252">
        <f>O1171+P1171</f>
        <v>200</v>
      </c>
      <c r="S1171" s="231" t="str">
        <f>TEXT(A1171,"dddd")</f>
        <v>Thursday</v>
      </c>
    </row>
    <row r="1172" spans="1:19" x14ac:dyDescent="0.25">
      <c r="A1172" s="226">
        <v>47193</v>
      </c>
      <c r="B1172" s="227">
        <f>O1171</f>
        <v>100</v>
      </c>
      <c r="C1172" s="228">
        <f>P1171</f>
        <v>100</v>
      </c>
      <c r="D1172" s="228">
        <f>IF(OR(DAY(A1172+2)=1,DAY(A1172+2)=15),-SUM('Main Budget'!$H$26:$H$31),0)</f>
        <v>0</v>
      </c>
      <c r="E1172" s="228">
        <f>IF(DAY(A1172+2)=22,-SUM('Main Budget'!$F$26:$F$31),0)</f>
        <v>0</v>
      </c>
      <c r="F1172" s="228">
        <f>IF(D1172&gt;0,-'Main Budget'!$H$25+0.15,0)</f>
        <v>0</v>
      </c>
      <c r="G1172" s="228">
        <f>IF(E1172&gt;0,-'Main Budget'!$F$25+0.81,0)</f>
        <v>0</v>
      </c>
      <c r="H1172" s="227">
        <f>IF(DAY(A1172)='Main Budget'!$J$26,'Main Budget'!$E$26,0)</f>
        <v>0</v>
      </c>
      <c r="I1172" s="227">
        <f>IF(DAY(A1172)='Main Budget'!$J$28,'Main Budget'!$E$28,0)</f>
        <v>0</v>
      </c>
      <c r="J1172" s="227">
        <f>IF(DAY(A1172)='Main Budget'!$J$29,'Main Budget'!$E$29,0)</f>
        <v>0</v>
      </c>
      <c r="K1172" s="20">
        <f>IF(DAY(A1172)='Main Budget'!$J$30,'Main Budget'!$E$30,0)</f>
        <v>0</v>
      </c>
      <c r="L1172" s="20">
        <f>IF(DAY(A1172)='Main Budget'!$J$31,'Main Budget'!$E$31,0)</f>
        <v>0</v>
      </c>
      <c r="M1172" s="20">
        <f>IF(DAY(A1172)='Main Budget'!$J$27,'Main Budget'!$E$27,0)</f>
        <v>0</v>
      </c>
      <c r="O1172" s="228">
        <f>B1172+(SUM(H1172:M1172)+(SUM(D1172:E1172)))</f>
        <v>100</v>
      </c>
      <c r="P1172" s="228">
        <f>C1172+F1172+G1172+N1172</f>
        <v>100</v>
      </c>
      <c r="Q1172" s="252">
        <f>O1172+P1172</f>
        <v>200</v>
      </c>
      <c r="S1172" s="231" t="str">
        <f>TEXT(A1172,"dddd")</f>
        <v>Friday</v>
      </c>
    </row>
    <row r="1173" spans="1:19" x14ac:dyDescent="0.25">
      <c r="A1173" s="226">
        <v>47194</v>
      </c>
      <c r="B1173" s="227">
        <f>O1172</f>
        <v>100</v>
      </c>
      <c r="C1173" s="228">
        <f>P1172</f>
        <v>100</v>
      </c>
      <c r="D1173" s="228">
        <f>IF(OR(DAY(A1173+2)=1,DAY(A1173+2)=15),-SUM('Main Budget'!$H$26:$H$31),0)</f>
        <v>0</v>
      </c>
      <c r="E1173" s="228">
        <f>IF(DAY(A1173+2)=22,-SUM('Main Budget'!$F$26:$F$31),0)</f>
        <v>0</v>
      </c>
      <c r="F1173" s="228">
        <f>IF(D1173&gt;0,-'Main Budget'!$H$25+0.15,0)</f>
        <v>0</v>
      </c>
      <c r="G1173" s="228">
        <f>IF(E1173&gt;0,-'Main Budget'!$F$25+0.81,0)</f>
        <v>0</v>
      </c>
      <c r="H1173" s="227">
        <f>IF(DAY(A1173)='Main Budget'!$J$26,'Main Budget'!$E$26,0)</f>
        <v>0</v>
      </c>
      <c r="I1173" s="227">
        <f>IF(DAY(A1173)='Main Budget'!$J$28,'Main Budget'!$E$28,0)</f>
        <v>0</v>
      </c>
      <c r="J1173" s="227">
        <f>IF(DAY(A1173)='Main Budget'!$J$29,'Main Budget'!$E$29,0)</f>
        <v>0</v>
      </c>
      <c r="K1173" s="20">
        <f>IF(DAY(A1173)='Main Budget'!$J$30,'Main Budget'!$E$30,0)</f>
        <v>0</v>
      </c>
      <c r="L1173" s="20">
        <f>IF(DAY(A1173)='Main Budget'!$J$31,'Main Budget'!$E$31,0)</f>
        <v>0</v>
      </c>
      <c r="M1173" s="20">
        <f>IF(DAY(A1173)='Main Budget'!$J$27,'Main Budget'!$E$27,0)</f>
        <v>0</v>
      </c>
      <c r="O1173" s="228">
        <f>B1173+(SUM(H1173:M1173)+(SUM(D1173:E1173)))</f>
        <v>100</v>
      </c>
      <c r="P1173" s="228">
        <f>C1173+F1173+G1173+N1173</f>
        <v>100</v>
      </c>
      <c r="Q1173" s="252">
        <f>O1173+P1173</f>
        <v>200</v>
      </c>
      <c r="S1173" s="231" t="str">
        <f>TEXT(A1173,"dddd")</f>
        <v>Saturday</v>
      </c>
    </row>
    <row r="1174" spans="1:19" x14ac:dyDescent="0.25">
      <c r="A1174" s="226">
        <v>47195</v>
      </c>
      <c r="B1174" s="227">
        <f>O1173</f>
        <v>100</v>
      </c>
      <c r="C1174" s="228">
        <f>P1173</f>
        <v>100</v>
      </c>
      <c r="D1174" s="228">
        <f>IF(OR(DAY(A1174+2)=1,DAY(A1174+2)=15),-SUM('Main Budget'!$H$26:$H$31),0)</f>
        <v>0</v>
      </c>
      <c r="E1174" s="228">
        <f>IF(DAY(A1174+2)=22,-SUM('Main Budget'!$F$26:$F$31),0)</f>
        <v>0</v>
      </c>
      <c r="F1174" s="228">
        <f>IF(D1174&gt;0,-'Main Budget'!$H$25+0.15,0)</f>
        <v>0</v>
      </c>
      <c r="G1174" s="228">
        <f>IF(E1174&gt;0,-'Main Budget'!$F$25+0.81,0)</f>
        <v>0</v>
      </c>
      <c r="H1174" s="227">
        <f>IF(DAY(A1174)='Main Budget'!$J$26,'Main Budget'!$E$26,0)</f>
        <v>0</v>
      </c>
      <c r="I1174" s="227">
        <f>IF(DAY(A1174)='Main Budget'!$J$28,'Main Budget'!$E$28,0)</f>
        <v>0</v>
      </c>
      <c r="J1174" s="227">
        <f>IF(DAY(A1174)='Main Budget'!$J$29,'Main Budget'!$E$29,0)</f>
        <v>0</v>
      </c>
      <c r="K1174" s="20">
        <f>IF(DAY(A1174)='Main Budget'!$J$30,'Main Budget'!$E$30,0)</f>
        <v>0</v>
      </c>
      <c r="L1174" s="20">
        <f>IF(DAY(A1174)='Main Budget'!$J$31,'Main Budget'!$E$31,0)</f>
        <v>0</v>
      </c>
      <c r="M1174" s="20">
        <f>IF(DAY(A1174)='Main Budget'!$J$27,'Main Budget'!$E$27,0)</f>
        <v>0</v>
      </c>
      <c r="O1174" s="228">
        <f>B1174+(SUM(H1174:M1174)+(SUM(D1174:E1174)))</f>
        <v>100</v>
      </c>
      <c r="P1174" s="228">
        <f>C1174+F1174+G1174+N1174</f>
        <v>100</v>
      </c>
      <c r="Q1174" s="252">
        <f>O1174+P1174</f>
        <v>200</v>
      </c>
      <c r="S1174" s="231" t="str">
        <f>TEXT(A1174,"dddd")</f>
        <v>Sunday</v>
      </c>
    </row>
    <row r="1175" spans="1:19" x14ac:dyDescent="0.25">
      <c r="A1175" s="226">
        <v>47196</v>
      </c>
      <c r="B1175" s="227">
        <f>O1174</f>
        <v>100</v>
      </c>
      <c r="C1175" s="228">
        <f>P1174</f>
        <v>100</v>
      </c>
      <c r="D1175" s="228">
        <f>IF(OR(DAY(A1175+2)=1,DAY(A1175+2)=15),-SUM('Main Budget'!$H$26:$H$31),0)</f>
        <v>0</v>
      </c>
      <c r="E1175" s="228">
        <f>IF(DAY(A1175+2)=22,-SUM('Main Budget'!$F$26:$F$31),0)</f>
        <v>0</v>
      </c>
      <c r="F1175" s="228">
        <f>IF(D1175&gt;0,-'Main Budget'!$H$25+0.15,0)</f>
        <v>0</v>
      </c>
      <c r="G1175" s="228">
        <f>IF(E1175&gt;0,-'Main Budget'!$F$25+0.81,0)</f>
        <v>0</v>
      </c>
      <c r="H1175" s="227">
        <f>IF(DAY(A1175)='Main Budget'!$J$26,'Main Budget'!$E$26,0)</f>
        <v>0</v>
      </c>
      <c r="I1175" s="227">
        <f>IF(DAY(A1175)='Main Budget'!$J$28,'Main Budget'!$E$28,0)</f>
        <v>0</v>
      </c>
      <c r="J1175" s="227">
        <f>IF(DAY(A1175)='Main Budget'!$J$29,'Main Budget'!$E$29,0)</f>
        <v>0</v>
      </c>
      <c r="K1175" s="20">
        <f>IF(DAY(A1175)='Main Budget'!$J$30,'Main Budget'!$E$30,0)</f>
        <v>0</v>
      </c>
      <c r="L1175" s="20">
        <f>IF(DAY(A1175)='Main Budget'!$J$31,'Main Budget'!$E$31,0)</f>
        <v>0</v>
      </c>
      <c r="M1175" s="20">
        <f>IF(DAY(A1175)='Main Budget'!$J$27,'Main Budget'!$E$27,0)</f>
        <v>0</v>
      </c>
      <c r="O1175" s="228">
        <f>B1175+(SUM(H1175:M1175)+(SUM(D1175:E1175)))</f>
        <v>100</v>
      </c>
      <c r="P1175" s="228">
        <f>C1175+F1175+G1175+N1175</f>
        <v>100</v>
      </c>
      <c r="Q1175" s="252">
        <f>O1175+P1175</f>
        <v>200</v>
      </c>
      <c r="S1175" s="231" t="str">
        <f>TEXT(A1175,"dddd")</f>
        <v>Monday</v>
      </c>
    </row>
    <row r="1176" spans="1:19" x14ac:dyDescent="0.25">
      <c r="A1176" s="226">
        <v>47197</v>
      </c>
      <c r="B1176" s="227">
        <f>O1175</f>
        <v>100</v>
      </c>
      <c r="C1176" s="228">
        <f>P1175</f>
        <v>100</v>
      </c>
      <c r="D1176" s="228">
        <f>IF(OR(DAY(A1176+2)=1,DAY(A1176+2)=15),-SUM('Main Budget'!$H$26:$H$31),0)</f>
        <v>0</v>
      </c>
      <c r="E1176" s="228">
        <f>IF(DAY(A1176+2)=22,-SUM('Main Budget'!$F$26:$F$31),0)</f>
        <v>0</v>
      </c>
      <c r="F1176" s="228">
        <f>IF(D1176&gt;0,-'Main Budget'!$H$25+0.15,0)</f>
        <v>0</v>
      </c>
      <c r="G1176" s="228">
        <f>IF(E1176&gt;0,-'Main Budget'!$F$25+0.81,0)</f>
        <v>0</v>
      </c>
      <c r="H1176" s="227">
        <f>IF(DAY(A1176)='Main Budget'!$J$26,'Main Budget'!$E$26,0)</f>
        <v>0</v>
      </c>
      <c r="I1176" s="227">
        <f>IF(DAY(A1176)='Main Budget'!$J$28,'Main Budget'!$E$28,0)</f>
        <v>0</v>
      </c>
      <c r="J1176" s="227">
        <f>IF(DAY(A1176)='Main Budget'!$J$29,'Main Budget'!$E$29,0)</f>
        <v>0</v>
      </c>
      <c r="K1176" s="20">
        <f>IF(DAY(A1176)='Main Budget'!$J$30,'Main Budget'!$E$30,0)</f>
        <v>0</v>
      </c>
      <c r="L1176" s="20">
        <f>IF(DAY(A1176)='Main Budget'!$J$31,'Main Budget'!$E$31,0)</f>
        <v>0</v>
      </c>
      <c r="M1176" s="20">
        <f>IF(DAY(A1176)='Main Budget'!$J$27,'Main Budget'!$E$27,0)</f>
        <v>0</v>
      </c>
      <c r="O1176" s="228">
        <f>B1176+(SUM(H1176:M1176)+(SUM(D1176:E1176)))</f>
        <v>100</v>
      </c>
      <c r="P1176" s="228">
        <f>C1176+F1176+G1176+N1176</f>
        <v>100</v>
      </c>
      <c r="Q1176" s="252">
        <f>O1176+P1176</f>
        <v>200</v>
      </c>
      <c r="S1176" s="231" t="str">
        <f>TEXT(A1176,"dddd")</f>
        <v>Tuesday</v>
      </c>
    </row>
    <row r="1177" spans="1:19" x14ac:dyDescent="0.25">
      <c r="A1177" s="226">
        <v>47198</v>
      </c>
      <c r="B1177" s="227">
        <f>O1176</f>
        <v>100</v>
      </c>
      <c r="C1177" s="228">
        <f>P1176</f>
        <v>100</v>
      </c>
      <c r="D1177" s="228">
        <f>IF(OR(DAY(A1177+2)=1,DAY(A1177+2)=15),-SUM('Main Budget'!$H$26:$H$31),0)</f>
        <v>0</v>
      </c>
      <c r="E1177" s="228">
        <f>IF(DAY(A1177+2)=22,-SUM('Main Budget'!$F$26:$F$31),0)</f>
        <v>0</v>
      </c>
      <c r="F1177" s="228">
        <f>IF(D1177&gt;0,-'Main Budget'!$H$25+0.15,0)</f>
        <v>0</v>
      </c>
      <c r="G1177" s="228">
        <f>IF(E1177&gt;0,-'Main Budget'!$F$25+0.81,0)</f>
        <v>0</v>
      </c>
      <c r="H1177" s="227">
        <f>IF(DAY(A1177)='Main Budget'!$J$26,'Main Budget'!$E$26,0)</f>
        <v>0</v>
      </c>
      <c r="I1177" s="227">
        <f>IF(DAY(A1177)='Main Budget'!$J$28,'Main Budget'!$E$28,0)</f>
        <v>0</v>
      </c>
      <c r="J1177" s="227">
        <f>IF(DAY(A1177)='Main Budget'!$J$29,'Main Budget'!$E$29,0)</f>
        <v>0</v>
      </c>
      <c r="K1177" s="20">
        <f>IF(DAY(A1177)='Main Budget'!$J$30,'Main Budget'!$E$30,0)</f>
        <v>0</v>
      </c>
      <c r="L1177" s="20">
        <f>IF(DAY(A1177)='Main Budget'!$J$31,'Main Budget'!$E$31,0)</f>
        <v>0</v>
      </c>
      <c r="M1177" s="20">
        <f>IF(DAY(A1177)='Main Budget'!$J$27,'Main Budget'!$E$27,0)</f>
        <v>0</v>
      </c>
      <c r="O1177" s="228">
        <f>B1177+(SUM(H1177:M1177)+(SUM(D1177:E1177)))</f>
        <v>100</v>
      </c>
      <c r="P1177" s="228">
        <f>C1177+F1177+G1177+N1177</f>
        <v>100</v>
      </c>
      <c r="Q1177" s="252">
        <f>O1177+P1177</f>
        <v>200</v>
      </c>
      <c r="S1177" s="231" t="str">
        <f>TEXT(A1177,"dddd")</f>
        <v>Wednesday</v>
      </c>
    </row>
    <row r="1178" spans="1:19" x14ac:dyDescent="0.25">
      <c r="A1178" s="226">
        <v>47199</v>
      </c>
      <c r="B1178" s="227">
        <f>O1177</f>
        <v>100</v>
      </c>
      <c r="C1178" s="228">
        <f>P1177</f>
        <v>100</v>
      </c>
      <c r="D1178" s="228">
        <f>IF(OR(DAY(A1178+2)=1,DAY(A1178+2)=15),-SUM('Main Budget'!$H$26:$H$31),0)</f>
        <v>0</v>
      </c>
      <c r="E1178" s="228">
        <f>IF(DAY(A1178+2)=22,-SUM('Main Budget'!$F$26:$F$31),0)</f>
        <v>0</v>
      </c>
      <c r="F1178" s="228">
        <f>IF(D1178&gt;0,-'Main Budget'!$H$25+0.15,0)</f>
        <v>0</v>
      </c>
      <c r="G1178" s="228">
        <f>IF(E1178&gt;0,-'Main Budget'!$F$25+0.81,0)</f>
        <v>0</v>
      </c>
      <c r="H1178" s="227">
        <f>IF(DAY(A1178)='Main Budget'!$J$26,'Main Budget'!$E$26,0)</f>
        <v>0</v>
      </c>
      <c r="I1178" s="227">
        <f>IF(DAY(A1178)='Main Budget'!$J$28,'Main Budget'!$E$28,0)</f>
        <v>0</v>
      </c>
      <c r="J1178" s="227">
        <f>IF(DAY(A1178)='Main Budget'!$J$29,'Main Budget'!$E$29,0)</f>
        <v>0</v>
      </c>
      <c r="K1178" s="20">
        <f>IF(DAY(A1178)='Main Budget'!$J$30,'Main Budget'!$E$30,0)</f>
        <v>0</v>
      </c>
      <c r="L1178" s="20">
        <f>IF(DAY(A1178)='Main Budget'!$J$31,'Main Budget'!$E$31,0)</f>
        <v>0</v>
      </c>
      <c r="M1178" s="20">
        <f>IF(DAY(A1178)='Main Budget'!$J$27,'Main Budget'!$E$27,0)</f>
        <v>0</v>
      </c>
      <c r="O1178" s="228">
        <f>B1178+(SUM(H1178:M1178)+(SUM(D1178:E1178)))</f>
        <v>100</v>
      </c>
      <c r="P1178" s="228">
        <f>C1178+F1178+G1178+N1178</f>
        <v>100</v>
      </c>
      <c r="Q1178" s="252">
        <f>O1178+P1178</f>
        <v>200</v>
      </c>
      <c r="S1178" s="231" t="str">
        <f>TEXT(A1178,"dddd")</f>
        <v>Thursday</v>
      </c>
    </row>
    <row r="1179" spans="1:19" x14ac:dyDescent="0.25">
      <c r="A1179" s="226">
        <v>47200</v>
      </c>
      <c r="B1179" s="227">
        <f>O1178</f>
        <v>100</v>
      </c>
      <c r="C1179" s="228">
        <f>P1178</f>
        <v>100</v>
      </c>
      <c r="D1179" s="228">
        <f>IF(OR(DAY(A1179+2)=1,DAY(A1179+2)=15),-SUM('Main Budget'!$H$26:$H$31),0)</f>
        <v>0</v>
      </c>
      <c r="E1179" s="228">
        <f>IF(DAY(A1179+2)=22,-SUM('Main Budget'!$F$26:$F$31),0)</f>
        <v>0</v>
      </c>
      <c r="F1179" s="228">
        <f>IF(D1179&gt;0,-'Main Budget'!$H$25+0.15,0)</f>
        <v>0</v>
      </c>
      <c r="G1179" s="228">
        <f>IF(E1179&gt;0,-'Main Budget'!$F$25+0.81,0)</f>
        <v>0</v>
      </c>
      <c r="H1179" s="227">
        <f>IF(DAY(A1179)='Main Budget'!$J$26,'Main Budget'!$E$26,0)</f>
        <v>0</v>
      </c>
      <c r="I1179" s="227">
        <f>IF(DAY(A1179)='Main Budget'!$J$28,'Main Budget'!$E$28,0)</f>
        <v>0</v>
      </c>
      <c r="J1179" s="227">
        <f>IF(DAY(A1179)='Main Budget'!$J$29,'Main Budget'!$E$29,0)</f>
        <v>0</v>
      </c>
      <c r="K1179" s="20">
        <f>IF(DAY(A1179)='Main Budget'!$J$30,'Main Budget'!$E$30,0)</f>
        <v>0</v>
      </c>
      <c r="L1179" s="20">
        <f>IF(DAY(A1179)='Main Budget'!$J$31,'Main Budget'!$E$31,0)</f>
        <v>0</v>
      </c>
      <c r="M1179" s="20">
        <f>IF(DAY(A1179)='Main Budget'!$J$27,'Main Budget'!$E$27,0)</f>
        <v>0</v>
      </c>
      <c r="O1179" s="228">
        <f>B1179+(SUM(H1179:M1179)+(SUM(D1179:E1179)))</f>
        <v>100</v>
      </c>
      <c r="P1179" s="228">
        <f>C1179+F1179+G1179+N1179</f>
        <v>100</v>
      </c>
      <c r="Q1179" s="252">
        <f>O1179+P1179</f>
        <v>200</v>
      </c>
      <c r="S1179" s="231" t="str">
        <f>TEXT(A1179,"dddd")</f>
        <v>Friday</v>
      </c>
    </row>
    <row r="1180" spans="1:19" x14ac:dyDescent="0.25">
      <c r="A1180" s="226">
        <v>47201</v>
      </c>
      <c r="B1180" s="227">
        <f>O1179</f>
        <v>100</v>
      </c>
      <c r="C1180" s="228">
        <f>P1179</f>
        <v>100</v>
      </c>
      <c r="D1180" s="228">
        <f>IF(OR(DAY(A1180+2)=1,DAY(A1180+2)=15),-SUM('Main Budget'!$H$26:$H$31),0)</f>
        <v>0</v>
      </c>
      <c r="E1180" s="228">
        <f>IF(DAY(A1180+2)=22,-SUM('Main Budget'!$F$26:$F$31),0)</f>
        <v>0</v>
      </c>
      <c r="F1180" s="228">
        <f>IF(D1180&gt;0,-'Main Budget'!$H$25+0.15,0)</f>
        <v>0</v>
      </c>
      <c r="G1180" s="228">
        <f>IF(E1180&gt;0,-'Main Budget'!$F$25+0.81,0)</f>
        <v>0</v>
      </c>
      <c r="H1180" s="227">
        <f>IF(DAY(A1180)='Main Budget'!$J$26,'Main Budget'!$E$26,0)</f>
        <v>0</v>
      </c>
      <c r="I1180" s="227">
        <f>IF(DAY(A1180)='Main Budget'!$J$28,'Main Budget'!$E$28,0)</f>
        <v>0</v>
      </c>
      <c r="J1180" s="227">
        <f>IF(DAY(A1180)='Main Budget'!$J$29,'Main Budget'!$E$29,0)</f>
        <v>0</v>
      </c>
      <c r="K1180" s="20">
        <f>IF(DAY(A1180)='Main Budget'!$J$30,'Main Budget'!$E$30,0)</f>
        <v>0</v>
      </c>
      <c r="L1180" s="20">
        <f>IF(DAY(A1180)='Main Budget'!$J$31,'Main Budget'!$E$31,0)</f>
        <v>0</v>
      </c>
      <c r="M1180" s="20">
        <f>IF(DAY(A1180)='Main Budget'!$J$27,'Main Budget'!$E$27,0)</f>
        <v>0</v>
      </c>
      <c r="O1180" s="228">
        <f>B1180+(SUM(H1180:M1180)+(SUM(D1180:E1180)))</f>
        <v>100</v>
      </c>
      <c r="P1180" s="228">
        <f>C1180+F1180+G1180+N1180</f>
        <v>100</v>
      </c>
      <c r="Q1180" s="252">
        <f>O1180+P1180</f>
        <v>200</v>
      </c>
      <c r="S1180" s="231" t="str">
        <f>TEXT(A1180,"dddd")</f>
        <v>Saturday</v>
      </c>
    </row>
    <row r="1181" spans="1:19" x14ac:dyDescent="0.25">
      <c r="A1181" s="226">
        <v>47202</v>
      </c>
      <c r="B1181" s="227">
        <f>O1180</f>
        <v>100</v>
      </c>
      <c r="C1181" s="228">
        <f>P1180</f>
        <v>100</v>
      </c>
      <c r="D1181" s="228">
        <f>IF(OR(DAY(A1181+2)=1,DAY(A1181+2)=15),-SUM('Main Budget'!$H$26:$H$31),0)</f>
        <v>0</v>
      </c>
      <c r="E1181" s="228">
        <f>IF(DAY(A1181+2)=22,-SUM('Main Budget'!$F$26:$F$31),0)</f>
        <v>0</v>
      </c>
      <c r="F1181" s="228">
        <f>IF(D1181&gt;0,-'Main Budget'!$H$25+0.15,0)</f>
        <v>0</v>
      </c>
      <c r="G1181" s="228">
        <f>IF(E1181&gt;0,-'Main Budget'!$F$25+0.81,0)</f>
        <v>0</v>
      </c>
      <c r="H1181" s="227">
        <f>IF(DAY(A1181)='Main Budget'!$J$26,'Main Budget'!$E$26,0)</f>
        <v>0</v>
      </c>
      <c r="I1181" s="227">
        <f>IF(DAY(A1181)='Main Budget'!$J$28,'Main Budget'!$E$28,0)</f>
        <v>0</v>
      </c>
      <c r="J1181" s="227">
        <f>IF(DAY(A1181)='Main Budget'!$J$29,'Main Budget'!$E$29,0)</f>
        <v>0</v>
      </c>
      <c r="K1181" s="20">
        <f>IF(DAY(A1181)='Main Budget'!$J$30,'Main Budget'!$E$30,0)</f>
        <v>0</v>
      </c>
      <c r="L1181" s="20">
        <f>IF(DAY(A1181)='Main Budget'!$J$31,'Main Budget'!$E$31,0)</f>
        <v>0</v>
      </c>
      <c r="M1181" s="20">
        <f>IF(DAY(A1181)='Main Budget'!$J$27,'Main Budget'!$E$27,0)</f>
        <v>0</v>
      </c>
      <c r="O1181" s="228">
        <f>B1181+(SUM(H1181:M1181)+(SUM(D1181:E1181)))</f>
        <v>100</v>
      </c>
      <c r="P1181" s="228">
        <f>C1181+F1181+G1181+N1181</f>
        <v>100</v>
      </c>
      <c r="Q1181" s="252">
        <f>O1181+P1181</f>
        <v>200</v>
      </c>
      <c r="S1181" s="231" t="str">
        <f>TEXT(A1181,"dddd")</f>
        <v>Sunday</v>
      </c>
    </row>
    <row r="1182" spans="1:19" x14ac:dyDescent="0.25">
      <c r="A1182" s="226">
        <v>47203</v>
      </c>
      <c r="B1182" s="227">
        <f>O1181</f>
        <v>100</v>
      </c>
      <c r="C1182" s="228">
        <f>P1181</f>
        <v>100</v>
      </c>
      <c r="D1182" s="228">
        <f>IF(OR(DAY(A1182+2)=1,DAY(A1182+2)=15),-SUM('Main Budget'!$H$26:$H$31),0)</f>
        <v>0</v>
      </c>
      <c r="E1182" s="228">
        <f>IF(DAY(A1182+2)=22,-SUM('Main Budget'!$F$26:$F$31),0)</f>
        <v>0</v>
      </c>
      <c r="F1182" s="228">
        <f>IF(D1182&gt;0,-'Main Budget'!$H$25+0.15,0)</f>
        <v>0</v>
      </c>
      <c r="G1182" s="228">
        <f>IF(E1182&gt;0,-'Main Budget'!$F$25+0.81,0)</f>
        <v>0</v>
      </c>
      <c r="H1182" s="227">
        <f>IF(DAY(A1182)='Main Budget'!$J$26,'Main Budget'!$E$26,0)</f>
        <v>0</v>
      </c>
      <c r="I1182" s="227">
        <f>IF(DAY(A1182)='Main Budget'!$J$28,'Main Budget'!$E$28,0)</f>
        <v>0</v>
      </c>
      <c r="J1182" s="227">
        <f>IF(DAY(A1182)='Main Budget'!$J$29,'Main Budget'!$E$29,0)</f>
        <v>0</v>
      </c>
      <c r="K1182" s="20">
        <f>IF(DAY(A1182)='Main Budget'!$J$30,'Main Budget'!$E$30,0)</f>
        <v>0</v>
      </c>
      <c r="L1182" s="20">
        <f>IF(DAY(A1182)='Main Budget'!$J$31,'Main Budget'!$E$31,0)</f>
        <v>0</v>
      </c>
      <c r="M1182" s="20">
        <f>IF(DAY(A1182)='Main Budget'!$J$27,'Main Budget'!$E$27,0)</f>
        <v>0</v>
      </c>
      <c r="O1182" s="228">
        <f>B1182+(SUM(H1182:M1182)+(SUM(D1182:E1182)))</f>
        <v>100</v>
      </c>
      <c r="P1182" s="228">
        <f>C1182+F1182+G1182+N1182</f>
        <v>100</v>
      </c>
      <c r="Q1182" s="252">
        <f>O1182+P1182</f>
        <v>200</v>
      </c>
      <c r="S1182" s="231" t="str">
        <f>TEXT(A1182,"dddd")</f>
        <v>Monday</v>
      </c>
    </row>
    <row r="1183" spans="1:19" x14ac:dyDescent="0.25">
      <c r="A1183" s="226">
        <v>47204</v>
      </c>
      <c r="B1183" s="227">
        <f>O1182</f>
        <v>100</v>
      </c>
      <c r="C1183" s="228">
        <f>P1182</f>
        <v>100</v>
      </c>
      <c r="D1183" s="228">
        <f>IF(OR(DAY(A1183+2)=1,DAY(A1183+2)=15),-SUM('Main Budget'!$H$26:$H$31),0)</f>
        <v>0</v>
      </c>
      <c r="E1183" s="228">
        <f>IF(DAY(A1183+2)=22,-SUM('Main Budget'!$F$26:$F$31),0)</f>
        <v>0</v>
      </c>
      <c r="F1183" s="228">
        <f>IF(D1183&gt;0,-'Main Budget'!$H$25+0.15,0)</f>
        <v>0</v>
      </c>
      <c r="G1183" s="228">
        <f>IF(E1183&gt;0,-'Main Budget'!$F$25+0.81,0)</f>
        <v>0</v>
      </c>
      <c r="H1183" s="227">
        <f>IF(DAY(A1183)='Main Budget'!$J$26,'Main Budget'!$E$26,0)</f>
        <v>0</v>
      </c>
      <c r="I1183" s="227">
        <f>IF(DAY(A1183)='Main Budget'!$J$28,'Main Budget'!$E$28,0)</f>
        <v>0</v>
      </c>
      <c r="J1183" s="227">
        <f>IF(DAY(A1183)='Main Budget'!$J$29,'Main Budget'!$E$29,0)</f>
        <v>0</v>
      </c>
      <c r="K1183" s="20">
        <f>IF(DAY(A1183)='Main Budget'!$J$30,'Main Budget'!$E$30,0)</f>
        <v>0</v>
      </c>
      <c r="L1183" s="20">
        <f>IF(DAY(A1183)='Main Budget'!$J$31,'Main Budget'!$E$31,0)</f>
        <v>0</v>
      </c>
      <c r="M1183" s="20">
        <f>IF(DAY(A1183)='Main Budget'!$J$27,'Main Budget'!$E$27,0)</f>
        <v>0</v>
      </c>
      <c r="O1183" s="228">
        <f>B1183+(SUM(H1183:M1183)+(SUM(D1183:E1183)))</f>
        <v>100</v>
      </c>
      <c r="P1183" s="228">
        <f>C1183+F1183+G1183+N1183</f>
        <v>100</v>
      </c>
      <c r="Q1183" s="252">
        <f>O1183+P1183</f>
        <v>200</v>
      </c>
      <c r="S1183" s="231" t="str">
        <f>TEXT(A1183,"dddd")</f>
        <v>Tuesday</v>
      </c>
    </row>
    <row r="1184" spans="1:19" x14ac:dyDescent="0.25">
      <c r="A1184" s="226">
        <v>47205</v>
      </c>
      <c r="B1184" s="227">
        <f>O1183</f>
        <v>100</v>
      </c>
      <c r="C1184" s="228">
        <f>P1183</f>
        <v>100</v>
      </c>
      <c r="D1184" s="228">
        <f>IF(OR(DAY(A1184+2)=1,DAY(A1184+2)=15),-SUM('Main Budget'!$H$26:$H$31),0)</f>
        <v>0</v>
      </c>
      <c r="E1184" s="228">
        <f>IF(DAY(A1184+2)=22,-SUM('Main Budget'!$F$26:$F$31),0)</f>
        <v>0</v>
      </c>
      <c r="F1184" s="228">
        <f>IF(D1184&gt;0,-'Main Budget'!$H$25+0.15,0)</f>
        <v>0</v>
      </c>
      <c r="G1184" s="228">
        <f>IF(E1184&gt;0,-'Main Budget'!$F$25+0.81,0)</f>
        <v>0</v>
      </c>
      <c r="H1184" s="227">
        <f>IF(DAY(A1184)='Main Budget'!$J$26,'Main Budget'!$E$26,0)</f>
        <v>0</v>
      </c>
      <c r="I1184" s="227">
        <f>IF(DAY(A1184)='Main Budget'!$J$28,'Main Budget'!$E$28,0)</f>
        <v>0</v>
      </c>
      <c r="J1184" s="227">
        <f>IF(DAY(A1184)='Main Budget'!$J$29,'Main Budget'!$E$29,0)</f>
        <v>0</v>
      </c>
      <c r="K1184" s="20">
        <f>IF(DAY(A1184)='Main Budget'!$J$30,'Main Budget'!$E$30,0)</f>
        <v>0</v>
      </c>
      <c r="L1184" s="20">
        <f>IF(DAY(A1184)='Main Budget'!$J$31,'Main Budget'!$E$31,0)</f>
        <v>0</v>
      </c>
      <c r="M1184" s="20">
        <f>IF(DAY(A1184)='Main Budget'!$J$27,'Main Budget'!$E$27,0)</f>
        <v>0</v>
      </c>
      <c r="O1184" s="228">
        <f>B1184+(SUM(H1184:M1184)+(SUM(D1184:E1184)))</f>
        <v>100</v>
      </c>
      <c r="P1184" s="228">
        <f>C1184+F1184+G1184+N1184</f>
        <v>100</v>
      </c>
      <c r="Q1184" s="252">
        <f>O1184+P1184</f>
        <v>200</v>
      </c>
      <c r="S1184" s="231" t="str">
        <f>TEXT(A1184,"dddd")</f>
        <v>Wednesday</v>
      </c>
    </row>
    <row r="1185" spans="1:19" x14ac:dyDescent="0.25">
      <c r="A1185" s="226">
        <v>47206</v>
      </c>
      <c r="B1185" s="227">
        <f>O1184</f>
        <v>100</v>
      </c>
      <c r="C1185" s="228">
        <f>P1184</f>
        <v>100</v>
      </c>
      <c r="D1185" s="228">
        <f>IF(OR(DAY(A1185+2)=1,DAY(A1185+2)=15),-SUM('Main Budget'!$H$26:$H$31),0)</f>
        <v>0</v>
      </c>
      <c r="E1185" s="228">
        <f>IF(DAY(A1185+2)=22,-SUM('Main Budget'!$F$26:$F$31),0)</f>
        <v>0</v>
      </c>
      <c r="F1185" s="228">
        <f>IF(D1185&gt;0,-'Main Budget'!$H$25+0.15,0)</f>
        <v>0</v>
      </c>
      <c r="G1185" s="228">
        <f>IF(E1185&gt;0,-'Main Budget'!$F$25+0.81,0)</f>
        <v>0</v>
      </c>
      <c r="H1185" s="227">
        <f>IF(DAY(A1185)='Main Budget'!$J$26,'Main Budget'!$E$26,0)</f>
        <v>0</v>
      </c>
      <c r="I1185" s="227">
        <f>IF(DAY(A1185)='Main Budget'!$J$28,'Main Budget'!$E$28,0)</f>
        <v>0</v>
      </c>
      <c r="J1185" s="227">
        <f>IF(DAY(A1185)='Main Budget'!$J$29,'Main Budget'!$E$29,0)</f>
        <v>0</v>
      </c>
      <c r="K1185" s="20">
        <f>IF(DAY(A1185)='Main Budget'!$J$30,'Main Budget'!$E$30,0)</f>
        <v>0</v>
      </c>
      <c r="L1185" s="20">
        <f>IF(DAY(A1185)='Main Budget'!$J$31,'Main Budget'!$E$31,0)</f>
        <v>0</v>
      </c>
      <c r="M1185" s="20">
        <f>IF(DAY(A1185)='Main Budget'!$J$27,'Main Budget'!$E$27,0)</f>
        <v>0</v>
      </c>
      <c r="O1185" s="228">
        <f>B1185+(SUM(H1185:M1185)+(SUM(D1185:E1185)))</f>
        <v>100</v>
      </c>
      <c r="P1185" s="228">
        <f>C1185+F1185+G1185+N1185</f>
        <v>100</v>
      </c>
      <c r="Q1185" s="252">
        <f>O1185+P1185</f>
        <v>200</v>
      </c>
      <c r="S1185" s="231" t="str">
        <f>TEXT(A1185,"dddd")</f>
        <v>Thursday</v>
      </c>
    </row>
    <row r="1186" spans="1:19" x14ac:dyDescent="0.25">
      <c r="A1186" s="226">
        <v>47207</v>
      </c>
      <c r="B1186" s="227">
        <f>O1185</f>
        <v>100</v>
      </c>
      <c r="C1186" s="228">
        <f>P1185</f>
        <v>100</v>
      </c>
      <c r="D1186" s="228">
        <f>IF(OR(DAY(A1186+2)=1,DAY(A1186+2)=15),-SUM('Main Budget'!$H$26:$H$31),0)</f>
        <v>0</v>
      </c>
      <c r="E1186" s="228">
        <f>IF(DAY(A1186+2)=22,-SUM('Main Budget'!$F$26:$F$31),0)</f>
        <v>0</v>
      </c>
      <c r="F1186" s="228">
        <f>IF(D1186&gt;0,-'Main Budget'!$H$25+0.15,0)</f>
        <v>0</v>
      </c>
      <c r="G1186" s="228">
        <f>IF(E1186&gt;0,-'Main Budget'!$F$25+0.81,0)</f>
        <v>0</v>
      </c>
      <c r="H1186" s="227">
        <f>IF(DAY(A1186)='Main Budget'!$J$26,'Main Budget'!$E$26,0)</f>
        <v>0</v>
      </c>
      <c r="I1186" s="227">
        <f>IF(DAY(A1186)='Main Budget'!$J$28,'Main Budget'!$E$28,0)</f>
        <v>0</v>
      </c>
      <c r="J1186" s="227">
        <f>IF(DAY(A1186)='Main Budget'!$J$29,'Main Budget'!$E$29,0)</f>
        <v>0</v>
      </c>
      <c r="K1186" s="20">
        <f>IF(DAY(A1186)='Main Budget'!$J$30,'Main Budget'!$E$30,0)</f>
        <v>0</v>
      </c>
      <c r="L1186" s="20">
        <f>IF(DAY(A1186)='Main Budget'!$J$31,'Main Budget'!$E$31,0)</f>
        <v>0</v>
      </c>
      <c r="M1186" s="20">
        <f>IF(DAY(A1186)='Main Budget'!$J$27,'Main Budget'!$E$27,0)</f>
        <v>0</v>
      </c>
      <c r="O1186" s="228">
        <f>B1186+(SUM(H1186:M1186)+(SUM(D1186:E1186)))</f>
        <v>100</v>
      </c>
      <c r="P1186" s="228">
        <f>C1186+F1186+G1186+N1186</f>
        <v>100</v>
      </c>
      <c r="Q1186" s="252">
        <f>O1186+P1186</f>
        <v>200</v>
      </c>
      <c r="S1186" s="231" t="str">
        <f>TEXT(A1186,"dddd")</f>
        <v>Friday</v>
      </c>
    </row>
    <row r="1187" spans="1:19" x14ac:dyDescent="0.25">
      <c r="A1187" s="226">
        <v>47208</v>
      </c>
      <c r="B1187" s="227">
        <f>O1186</f>
        <v>100</v>
      </c>
      <c r="C1187" s="228">
        <f>P1186</f>
        <v>100</v>
      </c>
      <c r="D1187" s="228">
        <f>IF(OR(DAY(A1187+2)=1,DAY(A1187+2)=15),-SUM('Main Budget'!$H$26:$H$31),0)</f>
        <v>0</v>
      </c>
      <c r="E1187" s="228">
        <f>IF(DAY(A1187+2)=22,-SUM('Main Budget'!$F$26:$F$31),0)</f>
        <v>0</v>
      </c>
      <c r="F1187" s="228">
        <f>IF(D1187&gt;0,-'Main Budget'!$H$25+0.15,0)</f>
        <v>0</v>
      </c>
      <c r="G1187" s="228">
        <f>IF(E1187&gt;0,-'Main Budget'!$F$25+0.81,0)</f>
        <v>0</v>
      </c>
      <c r="H1187" s="227">
        <f>IF(DAY(A1187)='Main Budget'!$J$26,'Main Budget'!$E$26,0)</f>
        <v>0</v>
      </c>
      <c r="I1187" s="227">
        <f>IF(DAY(A1187)='Main Budget'!$J$28,'Main Budget'!$E$28,0)</f>
        <v>0</v>
      </c>
      <c r="J1187" s="227">
        <f>IF(DAY(A1187)='Main Budget'!$J$29,'Main Budget'!$E$29,0)</f>
        <v>0</v>
      </c>
      <c r="K1187" s="20">
        <f>IF(DAY(A1187)='Main Budget'!$J$30,'Main Budget'!$E$30,0)</f>
        <v>0</v>
      </c>
      <c r="L1187" s="20">
        <f>IF(DAY(A1187)='Main Budget'!$J$31,'Main Budget'!$E$31,0)</f>
        <v>0</v>
      </c>
      <c r="M1187" s="20">
        <f>IF(DAY(A1187)='Main Budget'!$J$27,'Main Budget'!$E$27,0)</f>
        <v>0</v>
      </c>
      <c r="O1187" s="228">
        <f>B1187+(SUM(H1187:M1187)+(SUM(D1187:E1187)))</f>
        <v>100</v>
      </c>
      <c r="P1187" s="228">
        <f>C1187+F1187+G1187+N1187</f>
        <v>100</v>
      </c>
      <c r="Q1187" s="252">
        <f>O1187+P1187</f>
        <v>200</v>
      </c>
      <c r="S1187" s="231" t="str">
        <f>TEXT(A1187,"dddd")</f>
        <v>Saturday</v>
      </c>
    </row>
    <row r="1188" spans="1:19" x14ac:dyDescent="0.25">
      <c r="A1188" s="226">
        <v>47209</v>
      </c>
      <c r="B1188" s="227">
        <f>O1187</f>
        <v>100</v>
      </c>
      <c r="C1188" s="228">
        <f>P1187</f>
        <v>100</v>
      </c>
      <c r="D1188" s="228">
        <f>IF(OR(DAY(A1188+2)=1,DAY(A1188+2)=15),-SUM('Main Budget'!$H$26:$H$31),0)</f>
        <v>0</v>
      </c>
      <c r="E1188" s="228">
        <f>IF(DAY(A1188+2)=22,-SUM('Main Budget'!$F$26:$F$31),0)</f>
        <v>0</v>
      </c>
      <c r="F1188" s="228">
        <f>IF(D1188&gt;0,-'Main Budget'!$H$25+0.15,0)</f>
        <v>0</v>
      </c>
      <c r="G1188" s="228">
        <f>IF(E1188&gt;0,-'Main Budget'!$F$25+0.81,0)</f>
        <v>0</v>
      </c>
      <c r="H1188" s="227">
        <f>IF(DAY(A1188)='Main Budget'!$J$26,'Main Budget'!$E$26,0)</f>
        <v>0</v>
      </c>
      <c r="I1188" s="227">
        <f>IF(DAY(A1188)='Main Budget'!$J$28,'Main Budget'!$E$28,0)</f>
        <v>0</v>
      </c>
      <c r="J1188" s="227">
        <f>IF(DAY(A1188)='Main Budget'!$J$29,'Main Budget'!$E$29,0)</f>
        <v>0</v>
      </c>
      <c r="K1188" s="20">
        <f>IF(DAY(A1188)='Main Budget'!$J$30,'Main Budget'!$E$30,0)</f>
        <v>0</v>
      </c>
      <c r="L1188" s="20">
        <f>IF(DAY(A1188)='Main Budget'!$J$31,'Main Budget'!$E$31,0)</f>
        <v>0</v>
      </c>
      <c r="M1188" s="20">
        <f>IF(DAY(A1188)='Main Budget'!$J$27,'Main Budget'!$E$27,0)</f>
        <v>0</v>
      </c>
      <c r="O1188" s="228">
        <f>B1188+(SUM(H1188:M1188)+(SUM(D1188:E1188)))</f>
        <v>100</v>
      </c>
      <c r="P1188" s="228">
        <f>C1188+F1188+G1188+N1188</f>
        <v>100</v>
      </c>
      <c r="Q1188" s="252">
        <f>O1188+P1188</f>
        <v>200</v>
      </c>
      <c r="S1188" s="231" t="str">
        <f>TEXT(A1188,"dddd")</f>
        <v>Sunday</v>
      </c>
    </row>
    <row r="1189" spans="1:19" x14ac:dyDescent="0.25">
      <c r="A1189" s="226">
        <v>47210</v>
      </c>
      <c r="B1189" s="227">
        <f>O1188</f>
        <v>100</v>
      </c>
      <c r="C1189" s="228">
        <f>P1188</f>
        <v>100</v>
      </c>
      <c r="D1189" s="228">
        <f>IF(OR(DAY(A1189+2)=1,DAY(A1189+2)=15),-SUM('Main Budget'!$H$26:$H$31),0)</f>
        <v>0</v>
      </c>
      <c r="E1189" s="228">
        <f>IF(DAY(A1189+2)=22,-SUM('Main Budget'!$F$26:$F$31),0)</f>
        <v>0</v>
      </c>
      <c r="F1189" s="228">
        <f>IF(D1189&gt;0,-'Main Budget'!$H$25+0.15,0)</f>
        <v>0</v>
      </c>
      <c r="G1189" s="228">
        <f>IF(E1189&gt;0,-'Main Budget'!$F$25+0.81,0)</f>
        <v>0</v>
      </c>
      <c r="H1189" s="227">
        <f>IF(DAY(A1189)='Main Budget'!$J$26,'Main Budget'!$E$26,0)</f>
        <v>0</v>
      </c>
      <c r="I1189" s="227">
        <f>IF(DAY(A1189)='Main Budget'!$J$28,'Main Budget'!$E$28,0)</f>
        <v>0</v>
      </c>
      <c r="J1189" s="227">
        <f>IF(DAY(A1189)='Main Budget'!$J$29,'Main Budget'!$E$29,0)</f>
        <v>0</v>
      </c>
      <c r="K1189" s="20">
        <f>IF(DAY(A1189)='Main Budget'!$J$30,'Main Budget'!$E$30,0)</f>
        <v>0</v>
      </c>
      <c r="L1189" s="20">
        <f>IF(DAY(A1189)='Main Budget'!$J$31,'Main Budget'!$E$31,0)</f>
        <v>0</v>
      </c>
      <c r="M1189" s="20">
        <f>IF(DAY(A1189)='Main Budget'!$J$27,'Main Budget'!$E$27,0)</f>
        <v>0</v>
      </c>
      <c r="O1189" s="228">
        <f>B1189+(SUM(H1189:M1189)+(SUM(D1189:E1189)))</f>
        <v>100</v>
      </c>
      <c r="P1189" s="228">
        <f>C1189+F1189+G1189+N1189</f>
        <v>100</v>
      </c>
      <c r="Q1189" s="252">
        <f>O1189+P1189</f>
        <v>200</v>
      </c>
      <c r="S1189" s="231" t="str">
        <f>TEXT(A1189,"dddd")</f>
        <v>Monday</v>
      </c>
    </row>
    <row r="1190" spans="1:19" x14ac:dyDescent="0.25">
      <c r="A1190" s="226">
        <v>47211</v>
      </c>
      <c r="B1190" s="227">
        <f>O1189</f>
        <v>100</v>
      </c>
      <c r="C1190" s="228">
        <f>P1189</f>
        <v>100</v>
      </c>
      <c r="D1190" s="228">
        <f>IF(OR(DAY(A1190+2)=1,DAY(A1190+2)=15),-SUM('Main Budget'!$H$26:$H$31),0)</f>
        <v>0</v>
      </c>
      <c r="E1190" s="228">
        <f>IF(DAY(A1190+2)=22,-SUM('Main Budget'!$F$26:$F$31),0)</f>
        <v>0</v>
      </c>
      <c r="F1190" s="228">
        <f>IF(D1190&gt;0,-'Main Budget'!$H$25+0.15,0)</f>
        <v>0</v>
      </c>
      <c r="G1190" s="228">
        <f>IF(E1190&gt;0,-'Main Budget'!$F$25+0.81,0)</f>
        <v>0</v>
      </c>
      <c r="H1190" s="227">
        <f>IF(DAY(A1190)='Main Budget'!$J$26,'Main Budget'!$E$26,0)</f>
        <v>0</v>
      </c>
      <c r="I1190" s="227">
        <f>IF(DAY(A1190)='Main Budget'!$J$28,'Main Budget'!$E$28,0)</f>
        <v>0</v>
      </c>
      <c r="J1190" s="227">
        <f>IF(DAY(A1190)='Main Budget'!$J$29,'Main Budget'!$E$29,0)</f>
        <v>0</v>
      </c>
      <c r="K1190" s="20">
        <f>IF(DAY(A1190)='Main Budget'!$J$30,'Main Budget'!$E$30,0)</f>
        <v>0</v>
      </c>
      <c r="L1190" s="20">
        <f>IF(DAY(A1190)='Main Budget'!$J$31,'Main Budget'!$E$31,0)</f>
        <v>0</v>
      </c>
      <c r="M1190" s="20">
        <f>IF(DAY(A1190)='Main Budget'!$J$27,'Main Budget'!$E$27,0)</f>
        <v>0</v>
      </c>
      <c r="O1190" s="228">
        <f>B1190+(SUM(H1190:M1190)+(SUM(D1190:E1190)))</f>
        <v>100</v>
      </c>
      <c r="P1190" s="228">
        <f>C1190+F1190+G1190+N1190</f>
        <v>100</v>
      </c>
      <c r="Q1190" s="252">
        <f>O1190+P1190</f>
        <v>200</v>
      </c>
      <c r="S1190" s="231" t="str">
        <f>TEXT(A1190,"dddd")</f>
        <v>Tuesday</v>
      </c>
    </row>
    <row r="1191" spans="1:19" x14ac:dyDescent="0.25">
      <c r="A1191" s="226">
        <v>47212</v>
      </c>
      <c r="B1191" s="227">
        <f>O1190</f>
        <v>100</v>
      </c>
      <c r="C1191" s="228">
        <f>P1190</f>
        <v>100</v>
      </c>
      <c r="D1191" s="228">
        <f>IF(OR(DAY(A1191+2)=1,DAY(A1191+2)=15),-SUM('Main Budget'!$H$26:$H$31),0)</f>
        <v>0</v>
      </c>
      <c r="E1191" s="228">
        <f>IF(DAY(A1191+2)=22,-SUM('Main Budget'!$F$26:$F$31),0)</f>
        <v>0</v>
      </c>
      <c r="F1191" s="228">
        <f>IF(D1191&gt;0,-'Main Budget'!$H$25+0.15,0)</f>
        <v>0</v>
      </c>
      <c r="G1191" s="228">
        <f>IF(E1191&gt;0,-'Main Budget'!$F$25+0.81,0)</f>
        <v>0</v>
      </c>
      <c r="H1191" s="227">
        <f>IF(DAY(A1191)='Main Budget'!$J$26,'Main Budget'!$E$26,0)</f>
        <v>0</v>
      </c>
      <c r="I1191" s="227">
        <f>IF(DAY(A1191)='Main Budget'!$J$28,'Main Budget'!$E$28,0)</f>
        <v>0</v>
      </c>
      <c r="J1191" s="227">
        <f>IF(DAY(A1191)='Main Budget'!$J$29,'Main Budget'!$E$29,0)</f>
        <v>0</v>
      </c>
      <c r="K1191" s="20">
        <f>IF(DAY(A1191)='Main Budget'!$J$30,'Main Budget'!$E$30,0)</f>
        <v>0</v>
      </c>
      <c r="L1191" s="20">
        <f>IF(DAY(A1191)='Main Budget'!$J$31,'Main Budget'!$E$31,0)</f>
        <v>0</v>
      </c>
      <c r="M1191" s="20">
        <f>IF(DAY(A1191)='Main Budget'!$J$27,'Main Budget'!$E$27,0)</f>
        <v>0</v>
      </c>
      <c r="O1191" s="228">
        <f>B1191+(SUM(H1191:M1191)+(SUM(D1191:E1191)))</f>
        <v>100</v>
      </c>
      <c r="P1191" s="228">
        <f>C1191+F1191+G1191+N1191</f>
        <v>100</v>
      </c>
      <c r="Q1191" s="252">
        <f>O1191+P1191</f>
        <v>200</v>
      </c>
      <c r="S1191" s="231" t="str">
        <f>TEXT(A1191,"dddd")</f>
        <v>Wednesday</v>
      </c>
    </row>
    <row r="1192" spans="1:19" x14ac:dyDescent="0.25">
      <c r="A1192" s="226">
        <v>47213</v>
      </c>
      <c r="B1192" s="227">
        <f>O1191</f>
        <v>100</v>
      </c>
      <c r="C1192" s="228">
        <f>P1191</f>
        <v>100</v>
      </c>
      <c r="D1192" s="228">
        <f>IF(OR(DAY(A1192+2)=1,DAY(A1192+2)=15),-SUM('Main Budget'!$H$26:$H$31),0)</f>
        <v>0</v>
      </c>
      <c r="E1192" s="228">
        <f>IF(DAY(A1192+2)=22,-SUM('Main Budget'!$F$26:$F$31),0)</f>
        <v>0</v>
      </c>
      <c r="F1192" s="228">
        <f>IF(D1192&gt;0,-'Main Budget'!$H$25+0.15,0)</f>
        <v>0</v>
      </c>
      <c r="G1192" s="228">
        <f>IF(E1192&gt;0,-'Main Budget'!$F$25+0.81,0)</f>
        <v>0</v>
      </c>
      <c r="H1192" s="227">
        <f>IF(DAY(A1192)='Main Budget'!$J$26,'Main Budget'!$E$26,0)</f>
        <v>0</v>
      </c>
      <c r="I1192" s="227">
        <f>IF(DAY(A1192)='Main Budget'!$J$28,'Main Budget'!$E$28,0)</f>
        <v>0</v>
      </c>
      <c r="J1192" s="227">
        <f>IF(DAY(A1192)='Main Budget'!$J$29,'Main Budget'!$E$29,0)</f>
        <v>0</v>
      </c>
      <c r="K1192" s="20">
        <f>IF(DAY(A1192)='Main Budget'!$J$30,'Main Budget'!$E$30,0)</f>
        <v>0</v>
      </c>
      <c r="L1192" s="20">
        <f>IF(DAY(A1192)='Main Budget'!$J$31,'Main Budget'!$E$31,0)</f>
        <v>0</v>
      </c>
      <c r="M1192" s="20">
        <f>IF(DAY(A1192)='Main Budget'!$J$27,'Main Budget'!$E$27,0)</f>
        <v>0</v>
      </c>
      <c r="O1192" s="228">
        <f>B1192+(SUM(H1192:M1192)+(SUM(D1192:E1192)))</f>
        <v>100</v>
      </c>
      <c r="P1192" s="228">
        <f>C1192+F1192+G1192+N1192</f>
        <v>100</v>
      </c>
      <c r="Q1192" s="252">
        <f>O1192+P1192</f>
        <v>200</v>
      </c>
      <c r="S1192" s="231" t="str">
        <f>TEXT(A1192,"dddd")</f>
        <v>Thursday</v>
      </c>
    </row>
    <row r="1193" spans="1:19" x14ac:dyDescent="0.25">
      <c r="A1193" s="226">
        <v>47214</v>
      </c>
      <c r="B1193" s="227">
        <f>O1192</f>
        <v>100</v>
      </c>
      <c r="C1193" s="228">
        <f>P1192</f>
        <v>100</v>
      </c>
      <c r="D1193" s="228">
        <f>IF(OR(DAY(A1193+2)=1,DAY(A1193+2)=15),-SUM('Main Budget'!$H$26:$H$31),0)</f>
        <v>0</v>
      </c>
      <c r="E1193" s="228">
        <f>IF(DAY(A1193+2)=22,-SUM('Main Budget'!$F$26:$F$31),0)</f>
        <v>0</v>
      </c>
      <c r="F1193" s="228">
        <f>IF(D1193&gt;0,-'Main Budget'!$H$25+0.15,0)</f>
        <v>0</v>
      </c>
      <c r="G1193" s="228">
        <f>IF(E1193&gt;0,-'Main Budget'!$F$25+0.81,0)</f>
        <v>0</v>
      </c>
      <c r="H1193" s="227">
        <f>IF(DAY(A1193)='Main Budget'!$J$26,'Main Budget'!$E$26,0)</f>
        <v>0</v>
      </c>
      <c r="I1193" s="227">
        <f>IF(DAY(A1193)='Main Budget'!$J$28,'Main Budget'!$E$28,0)</f>
        <v>0</v>
      </c>
      <c r="J1193" s="227">
        <f>IF(DAY(A1193)='Main Budget'!$J$29,'Main Budget'!$E$29,0)</f>
        <v>0</v>
      </c>
      <c r="K1193" s="20">
        <f>IF(DAY(A1193)='Main Budget'!$J$30,'Main Budget'!$E$30,0)</f>
        <v>0</v>
      </c>
      <c r="L1193" s="20">
        <f>IF(DAY(A1193)='Main Budget'!$J$31,'Main Budget'!$E$31,0)</f>
        <v>0</v>
      </c>
      <c r="M1193" s="20">
        <f>IF(DAY(A1193)='Main Budget'!$J$27,'Main Budget'!$E$27,0)</f>
        <v>0</v>
      </c>
      <c r="O1193" s="228">
        <f>B1193+(SUM(H1193:M1193)+(SUM(D1193:E1193)))</f>
        <v>100</v>
      </c>
      <c r="P1193" s="228">
        <f>C1193+F1193+G1193+N1193</f>
        <v>100</v>
      </c>
      <c r="Q1193" s="252">
        <f>O1193+P1193</f>
        <v>200</v>
      </c>
      <c r="S1193" s="231" t="str">
        <f>TEXT(A1193,"dddd")</f>
        <v>Friday</v>
      </c>
    </row>
    <row r="1194" spans="1:19" x14ac:dyDescent="0.25">
      <c r="A1194" s="226">
        <v>47215</v>
      </c>
      <c r="B1194" s="227">
        <f>O1193</f>
        <v>100</v>
      </c>
      <c r="C1194" s="228">
        <f>P1193</f>
        <v>100</v>
      </c>
      <c r="D1194" s="228">
        <f>IF(OR(DAY(A1194+2)=1,DAY(A1194+2)=15),-SUM('Main Budget'!$H$26:$H$31),0)</f>
        <v>0</v>
      </c>
      <c r="E1194" s="228">
        <f>IF(DAY(A1194+2)=22,-SUM('Main Budget'!$F$26:$F$31),0)</f>
        <v>0</v>
      </c>
      <c r="F1194" s="228">
        <f>IF(D1194&gt;0,-'Main Budget'!$H$25+0.15,0)</f>
        <v>0</v>
      </c>
      <c r="G1194" s="228">
        <f>IF(E1194&gt;0,-'Main Budget'!$F$25+0.81,0)</f>
        <v>0</v>
      </c>
      <c r="H1194" s="227">
        <f>IF(DAY(A1194)='Main Budget'!$J$26,'Main Budget'!$E$26,0)</f>
        <v>0</v>
      </c>
      <c r="I1194" s="227">
        <f>IF(DAY(A1194)='Main Budget'!$J$28,'Main Budget'!$E$28,0)</f>
        <v>0</v>
      </c>
      <c r="J1194" s="227">
        <f>IF(DAY(A1194)='Main Budget'!$J$29,'Main Budget'!$E$29,0)</f>
        <v>0</v>
      </c>
      <c r="K1194" s="20">
        <f>IF(DAY(A1194)='Main Budget'!$J$30,'Main Budget'!$E$30,0)</f>
        <v>0</v>
      </c>
      <c r="L1194" s="20">
        <f>IF(DAY(A1194)='Main Budget'!$J$31,'Main Budget'!$E$31,0)</f>
        <v>0</v>
      </c>
      <c r="M1194" s="20">
        <f>IF(DAY(A1194)='Main Budget'!$J$27,'Main Budget'!$E$27,0)</f>
        <v>0</v>
      </c>
      <c r="O1194" s="228">
        <f>B1194+(SUM(H1194:M1194)+(SUM(D1194:E1194)))</f>
        <v>100</v>
      </c>
      <c r="P1194" s="228">
        <f>C1194+F1194+G1194+N1194</f>
        <v>100</v>
      </c>
      <c r="Q1194" s="252">
        <f>O1194+P1194</f>
        <v>200</v>
      </c>
      <c r="S1194" s="231" t="str">
        <f>TEXT(A1194,"dddd")</f>
        <v>Saturday</v>
      </c>
    </row>
    <row r="1195" spans="1:19" x14ac:dyDescent="0.25">
      <c r="A1195" s="226">
        <v>47216</v>
      </c>
      <c r="B1195" s="227">
        <f>O1194</f>
        <v>100</v>
      </c>
      <c r="C1195" s="228">
        <f>P1194</f>
        <v>100</v>
      </c>
      <c r="D1195" s="228">
        <f>IF(OR(DAY(A1195+2)=1,DAY(A1195+2)=15),-SUM('Main Budget'!$H$26:$H$31),0)</f>
        <v>0</v>
      </c>
      <c r="E1195" s="228">
        <f>IF(DAY(A1195+2)=22,-SUM('Main Budget'!$F$26:$F$31),0)</f>
        <v>0</v>
      </c>
      <c r="F1195" s="228">
        <f>IF(D1195&gt;0,-'Main Budget'!$H$25+0.15,0)</f>
        <v>0</v>
      </c>
      <c r="G1195" s="228">
        <f>IF(E1195&gt;0,-'Main Budget'!$F$25+0.81,0)</f>
        <v>0</v>
      </c>
      <c r="H1195" s="227">
        <f>IF(DAY(A1195)='Main Budget'!$J$26,'Main Budget'!$E$26,0)</f>
        <v>0</v>
      </c>
      <c r="I1195" s="227">
        <f>IF(DAY(A1195)='Main Budget'!$J$28,'Main Budget'!$E$28,0)</f>
        <v>0</v>
      </c>
      <c r="J1195" s="227">
        <f>IF(DAY(A1195)='Main Budget'!$J$29,'Main Budget'!$E$29,0)</f>
        <v>0</v>
      </c>
      <c r="K1195" s="20">
        <f>IF(DAY(A1195)='Main Budget'!$J$30,'Main Budget'!$E$30,0)</f>
        <v>0</v>
      </c>
      <c r="L1195" s="20">
        <f>IF(DAY(A1195)='Main Budget'!$J$31,'Main Budget'!$E$31,0)</f>
        <v>0</v>
      </c>
      <c r="M1195" s="20">
        <f>IF(DAY(A1195)='Main Budget'!$J$27,'Main Budget'!$E$27,0)</f>
        <v>0</v>
      </c>
      <c r="O1195" s="228">
        <f>B1195+(SUM(H1195:M1195)+(SUM(D1195:E1195)))</f>
        <v>100</v>
      </c>
      <c r="P1195" s="228">
        <f>C1195+F1195+G1195+N1195</f>
        <v>100</v>
      </c>
      <c r="Q1195" s="252">
        <f>O1195+P1195</f>
        <v>200</v>
      </c>
      <c r="S1195" s="231" t="str">
        <f>TEXT(A1195,"dddd")</f>
        <v>Sunday</v>
      </c>
    </row>
    <row r="1196" spans="1:19" x14ac:dyDescent="0.25">
      <c r="A1196" s="226">
        <v>47217</v>
      </c>
      <c r="B1196" s="227">
        <f>O1195</f>
        <v>100</v>
      </c>
      <c r="C1196" s="228">
        <f>P1195</f>
        <v>100</v>
      </c>
      <c r="D1196" s="228">
        <f>IF(OR(DAY(A1196+2)=1,DAY(A1196+2)=15),-SUM('Main Budget'!$H$26:$H$31),0)</f>
        <v>0</v>
      </c>
      <c r="E1196" s="228">
        <f>IF(DAY(A1196+2)=22,-SUM('Main Budget'!$F$26:$F$31),0)</f>
        <v>0</v>
      </c>
      <c r="F1196" s="228">
        <f>IF(D1196&gt;0,-'Main Budget'!$H$25+0.15,0)</f>
        <v>0</v>
      </c>
      <c r="G1196" s="228">
        <f>IF(E1196&gt;0,-'Main Budget'!$F$25+0.81,0)</f>
        <v>0</v>
      </c>
      <c r="H1196" s="227">
        <f>IF(DAY(A1196)='Main Budget'!$J$26,'Main Budget'!$E$26,0)</f>
        <v>0</v>
      </c>
      <c r="I1196" s="227">
        <f>IF(DAY(A1196)='Main Budget'!$J$28,'Main Budget'!$E$28,0)</f>
        <v>0</v>
      </c>
      <c r="J1196" s="227">
        <f>IF(DAY(A1196)='Main Budget'!$J$29,'Main Budget'!$E$29,0)</f>
        <v>0</v>
      </c>
      <c r="K1196" s="20">
        <f>IF(DAY(A1196)='Main Budget'!$J$30,'Main Budget'!$E$30,0)</f>
        <v>0</v>
      </c>
      <c r="L1196" s="20">
        <f>IF(DAY(A1196)='Main Budget'!$J$31,'Main Budget'!$E$31,0)</f>
        <v>0</v>
      </c>
      <c r="M1196" s="20">
        <f>IF(DAY(A1196)='Main Budget'!$J$27,'Main Budget'!$E$27,0)</f>
        <v>0</v>
      </c>
      <c r="O1196" s="228">
        <f>B1196+(SUM(H1196:M1196)+(SUM(D1196:E1196)))</f>
        <v>100</v>
      </c>
      <c r="P1196" s="228">
        <f>C1196+F1196+G1196+N1196</f>
        <v>100</v>
      </c>
      <c r="Q1196" s="252">
        <f>O1196+P1196</f>
        <v>200</v>
      </c>
      <c r="S1196" s="231" t="str">
        <f>TEXT(A1196,"dddd")</f>
        <v>Monday</v>
      </c>
    </row>
    <row r="1197" spans="1:19" x14ac:dyDescent="0.25">
      <c r="A1197" s="226">
        <v>47218</v>
      </c>
      <c r="B1197" s="227">
        <f>O1196</f>
        <v>100</v>
      </c>
      <c r="C1197" s="228">
        <f>P1196</f>
        <v>100</v>
      </c>
      <c r="D1197" s="228">
        <f>IF(OR(DAY(A1197+2)=1,DAY(A1197+2)=15),-SUM('Main Budget'!$H$26:$H$31),0)</f>
        <v>0</v>
      </c>
      <c r="E1197" s="228">
        <f>IF(DAY(A1197+2)=22,-SUM('Main Budget'!$F$26:$F$31),0)</f>
        <v>0</v>
      </c>
      <c r="F1197" s="228">
        <f>IF(D1197&gt;0,-'Main Budget'!$H$25+0.15,0)</f>
        <v>0</v>
      </c>
      <c r="G1197" s="228">
        <f>IF(E1197&gt;0,-'Main Budget'!$F$25+0.81,0)</f>
        <v>0</v>
      </c>
      <c r="H1197" s="227">
        <f>IF(DAY(A1197)='Main Budget'!$J$26,'Main Budget'!$E$26,0)</f>
        <v>0</v>
      </c>
      <c r="I1197" s="227">
        <f>IF(DAY(A1197)='Main Budget'!$J$28,'Main Budget'!$E$28,0)</f>
        <v>0</v>
      </c>
      <c r="J1197" s="227">
        <f>IF(DAY(A1197)='Main Budget'!$J$29,'Main Budget'!$E$29,0)</f>
        <v>0</v>
      </c>
      <c r="K1197" s="20">
        <f>IF(DAY(A1197)='Main Budget'!$J$30,'Main Budget'!$E$30,0)</f>
        <v>0</v>
      </c>
      <c r="L1197" s="20">
        <f>IF(DAY(A1197)='Main Budget'!$J$31,'Main Budget'!$E$31,0)</f>
        <v>0</v>
      </c>
      <c r="M1197" s="20">
        <f>IF(DAY(A1197)='Main Budget'!$J$27,'Main Budget'!$E$27,0)</f>
        <v>0</v>
      </c>
      <c r="O1197" s="228">
        <f>B1197+(SUM(H1197:M1197)+(SUM(D1197:E1197)))</f>
        <v>100</v>
      </c>
      <c r="P1197" s="228">
        <f>C1197+F1197+G1197+N1197</f>
        <v>100</v>
      </c>
      <c r="Q1197" s="252">
        <f>O1197+P1197</f>
        <v>200</v>
      </c>
      <c r="S1197" s="231" t="str">
        <f>TEXT(A1197,"dddd")</f>
        <v>Tuesday</v>
      </c>
    </row>
    <row r="1198" spans="1:19" x14ac:dyDescent="0.25">
      <c r="A1198" s="226">
        <v>47219</v>
      </c>
      <c r="B1198" s="227">
        <f>O1197</f>
        <v>100</v>
      </c>
      <c r="C1198" s="228">
        <f>P1197</f>
        <v>100</v>
      </c>
      <c r="D1198" s="228">
        <f>IF(OR(DAY(A1198+2)=1,DAY(A1198+2)=15),-SUM('Main Budget'!$H$26:$H$31),0)</f>
        <v>0</v>
      </c>
      <c r="E1198" s="228">
        <f>IF(DAY(A1198+2)=22,-SUM('Main Budget'!$F$26:$F$31),0)</f>
        <v>0</v>
      </c>
      <c r="F1198" s="228">
        <f>IF(D1198&gt;0,-'Main Budget'!$H$25+0.15,0)</f>
        <v>0</v>
      </c>
      <c r="G1198" s="228">
        <f>IF(E1198&gt;0,-'Main Budget'!$F$25+0.81,0)</f>
        <v>0</v>
      </c>
      <c r="H1198" s="227">
        <f>IF(DAY(A1198)='Main Budget'!$J$26,'Main Budget'!$E$26,0)</f>
        <v>0</v>
      </c>
      <c r="I1198" s="227">
        <f>IF(DAY(A1198)='Main Budget'!$J$28,'Main Budget'!$E$28,0)</f>
        <v>0</v>
      </c>
      <c r="J1198" s="227">
        <f>IF(DAY(A1198)='Main Budget'!$J$29,'Main Budget'!$E$29,0)</f>
        <v>0</v>
      </c>
      <c r="K1198" s="20">
        <f>IF(DAY(A1198)='Main Budget'!$J$30,'Main Budget'!$E$30,0)</f>
        <v>0</v>
      </c>
      <c r="L1198" s="20">
        <f>IF(DAY(A1198)='Main Budget'!$J$31,'Main Budget'!$E$31,0)</f>
        <v>0</v>
      </c>
      <c r="M1198" s="20">
        <f>IF(DAY(A1198)='Main Budget'!$J$27,'Main Budget'!$E$27,0)</f>
        <v>0</v>
      </c>
      <c r="O1198" s="228">
        <f>B1198+(SUM(H1198:M1198)+(SUM(D1198:E1198)))</f>
        <v>100</v>
      </c>
      <c r="P1198" s="228">
        <f>C1198+F1198+G1198+N1198</f>
        <v>100</v>
      </c>
      <c r="Q1198" s="252">
        <f>O1198+P1198</f>
        <v>200</v>
      </c>
      <c r="S1198" s="231" t="str">
        <f>TEXT(A1198,"dddd")</f>
        <v>Wednesday</v>
      </c>
    </row>
    <row r="1199" spans="1:19" x14ac:dyDescent="0.25">
      <c r="A1199" s="226">
        <v>47220</v>
      </c>
      <c r="B1199" s="227">
        <f>O1198</f>
        <v>100</v>
      </c>
      <c r="C1199" s="228">
        <f>P1198</f>
        <v>100</v>
      </c>
      <c r="D1199" s="228">
        <f>IF(OR(DAY(A1199+2)=1,DAY(A1199+2)=15),-SUM('Main Budget'!$H$26:$H$31),0)</f>
        <v>0</v>
      </c>
      <c r="E1199" s="228">
        <f>IF(DAY(A1199+2)=22,-SUM('Main Budget'!$F$26:$F$31),0)</f>
        <v>0</v>
      </c>
      <c r="F1199" s="228">
        <f>IF(D1199&gt;0,-'Main Budget'!$H$25+0.15,0)</f>
        <v>0</v>
      </c>
      <c r="G1199" s="228">
        <f>IF(E1199&gt;0,-'Main Budget'!$F$25+0.81,0)</f>
        <v>0</v>
      </c>
      <c r="H1199" s="227">
        <f>IF(DAY(A1199)='Main Budget'!$J$26,'Main Budget'!$E$26,0)</f>
        <v>0</v>
      </c>
      <c r="I1199" s="227">
        <f>IF(DAY(A1199)='Main Budget'!$J$28,'Main Budget'!$E$28,0)</f>
        <v>0</v>
      </c>
      <c r="J1199" s="227">
        <f>IF(DAY(A1199)='Main Budget'!$J$29,'Main Budget'!$E$29,0)</f>
        <v>0</v>
      </c>
      <c r="K1199" s="20">
        <f>IF(DAY(A1199)='Main Budget'!$J$30,'Main Budget'!$E$30,0)</f>
        <v>0</v>
      </c>
      <c r="L1199" s="20">
        <f>IF(DAY(A1199)='Main Budget'!$J$31,'Main Budget'!$E$31,0)</f>
        <v>0</v>
      </c>
      <c r="M1199" s="20">
        <f>IF(DAY(A1199)='Main Budget'!$J$27,'Main Budget'!$E$27,0)</f>
        <v>0</v>
      </c>
      <c r="O1199" s="228">
        <f>B1199+(SUM(H1199:M1199)+(SUM(D1199:E1199)))</f>
        <v>100</v>
      </c>
      <c r="P1199" s="228">
        <f>C1199+F1199+G1199+N1199</f>
        <v>100</v>
      </c>
      <c r="Q1199" s="252">
        <f>O1199+P1199</f>
        <v>200</v>
      </c>
      <c r="S1199" s="231" t="str">
        <f>TEXT(A1199,"dddd")</f>
        <v>Thursday</v>
      </c>
    </row>
    <row r="1200" spans="1:19" x14ac:dyDescent="0.25">
      <c r="A1200" s="226">
        <v>47221</v>
      </c>
      <c r="B1200" s="227">
        <f>O1199</f>
        <v>100</v>
      </c>
      <c r="C1200" s="228">
        <f>P1199</f>
        <v>100</v>
      </c>
      <c r="D1200" s="228">
        <f>IF(OR(DAY(A1200+2)=1,DAY(A1200+2)=15),-SUM('Main Budget'!$H$26:$H$31),0)</f>
        <v>0</v>
      </c>
      <c r="E1200" s="228">
        <f>IF(DAY(A1200+2)=22,-SUM('Main Budget'!$F$26:$F$31),0)</f>
        <v>0</v>
      </c>
      <c r="F1200" s="228">
        <f>IF(D1200&gt;0,-'Main Budget'!$H$25+0.15,0)</f>
        <v>0</v>
      </c>
      <c r="G1200" s="228">
        <f>IF(E1200&gt;0,-'Main Budget'!$F$25+0.81,0)</f>
        <v>0</v>
      </c>
      <c r="H1200" s="227">
        <f>IF(DAY(A1200)='Main Budget'!$J$26,'Main Budget'!$E$26,0)</f>
        <v>0</v>
      </c>
      <c r="I1200" s="227">
        <f>IF(DAY(A1200)='Main Budget'!$J$28,'Main Budget'!$E$28,0)</f>
        <v>0</v>
      </c>
      <c r="J1200" s="227">
        <f>IF(DAY(A1200)='Main Budget'!$J$29,'Main Budget'!$E$29,0)</f>
        <v>0</v>
      </c>
      <c r="K1200" s="20">
        <f>IF(DAY(A1200)='Main Budget'!$J$30,'Main Budget'!$E$30,0)</f>
        <v>0</v>
      </c>
      <c r="L1200" s="20">
        <f>IF(DAY(A1200)='Main Budget'!$J$31,'Main Budget'!$E$31,0)</f>
        <v>0</v>
      </c>
      <c r="M1200" s="20">
        <f>IF(DAY(A1200)='Main Budget'!$J$27,'Main Budget'!$E$27,0)</f>
        <v>0</v>
      </c>
      <c r="O1200" s="228">
        <f>B1200+(SUM(H1200:M1200)+(SUM(D1200:E1200)))</f>
        <v>100</v>
      </c>
      <c r="P1200" s="228">
        <f>C1200+F1200+G1200+N1200</f>
        <v>100</v>
      </c>
      <c r="Q1200" s="252">
        <f>O1200+P1200</f>
        <v>200</v>
      </c>
      <c r="S1200" s="231" t="str">
        <f>TEXT(A1200,"dddd")</f>
        <v>Friday</v>
      </c>
    </row>
    <row r="1201" spans="1:19" x14ac:dyDescent="0.25">
      <c r="A1201" s="226">
        <v>47222</v>
      </c>
      <c r="B1201" s="227">
        <f>O1200</f>
        <v>100</v>
      </c>
      <c r="C1201" s="228">
        <f>P1200</f>
        <v>100</v>
      </c>
      <c r="D1201" s="228">
        <f>IF(OR(DAY(A1201+2)=1,DAY(A1201+2)=15),-SUM('Main Budget'!$H$26:$H$31),0)</f>
        <v>0</v>
      </c>
      <c r="E1201" s="228">
        <f>IF(DAY(A1201+2)=22,-SUM('Main Budget'!$F$26:$F$31),0)</f>
        <v>0</v>
      </c>
      <c r="F1201" s="228">
        <f>IF(D1201&gt;0,-'Main Budget'!$H$25+0.15,0)</f>
        <v>0</v>
      </c>
      <c r="G1201" s="228">
        <f>IF(E1201&gt;0,-'Main Budget'!$F$25+0.81,0)</f>
        <v>0</v>
      </c>
      <c r="H1201" s="227">
        <f>IF(DAY(A1201)='Main Budget'!$J$26,'Main Budget'!$E$26,0)</f>
        <v>0</v>
      </c>
      <c r="I1201" s="227">
        <f>IF(DAY(A1201)='Main Budget'!$J$28,'Main Budget'!$E$28,0)</f>
        <v>0</v>
      </c>
      <c r="J1201" s="227">
        <f>IF(DAY(A1201)='Main Budget'!$J$29,'Main Budget'!$E$29,0)</f>
        <v>0</v>
      </c>
      <c r="K1201" s="20">
        <f>IF(DAY(A1201)='Main Budget'!$J$30,'Main Budget'!$E$30,0)</f>
        <v>0</v>
      </c>
      <c r="L1201" s="20">
        <f>IF(DAY(A1201)='Main Budget'!$J$31,'Main Budget'!$E$31,0)</f>
        <v>0</v>
      </c>
      <c r="M1201" s="20">
        <f>IF(DAY(A1201)='Main Budget'!$J$27,'Main Budget'!$E$27,0)</f>
        <v>0</v>
      </c>
      <c r="O1201" s="228">
        <f>B1201+(SUM(H1201:M1201)+(SUM(D1201:E1201)))</f>
        <v>100</v>
      </c>
      <c r="P1201" s="228">
        <f>C1201+F1201+G1201+N1201</f>
        <v>100</v>
      </c>
      <c r="Q1201" s="252">
        <f>O1201+P1201</f>
        <v>200</v>
      </c>
      <c r="S1201" s="231" t="str">
        <f>TEXT(A1201,"dddd")</f>
        <v>Saturday</v>
      </c>
    </row>
    <row r="1202" spans="1:19" x14ac:dyDescent="0.25">
      <c r="A1202" s="226">
        <v>47223</v>
      </c>
      <c r="B1202" s="227">
        <f>O1201</f>
        <v>100</v>
      </c>
      <c r="C1202" s="228">
        <f>P1201</f>
        <v>100</v>
      </c>
      <c r="D1202" s="228">
        <f>IF(OR(DAY(A1202+2)=1,DAY(A1202+2)=15),-SUM('Main Budget'!$H$26:$H$31),0)</f>
        <v>0</v>
      </c>
      <c r="E1202" s="228">
        <f>IF(DAY(A1202+2)=22,-SUM('Main Budget'!$F$26:$F$31),0)</f>
        <v>0</v>
      </c>
      <c r="F1202" s="228">
        <f>IF(D1202&gt;0,-'Main Budget'!$H$25+0.15,0)</f>
        <v>0</v>
      </c>
      <c r="G1202" s="228">
        <f>IF(E1202&gt;0,-'Main Budget'!$F$25+0.81,0)</f>
        <v>0</v>
      </c>
      <c r="H1202" s="227">
        <f>IF(DAY(A1202)='Main Budget'!$J$26,'Main Budget'!$E$26,0)</f>
        <v>0</v>
      </c>
      <c r="I1202" s="227">
        <f>IF(DAY(A1202)='Main Budget'!$J$28,'Main Budget'!$E$28,0)</f>
        <v>0</v>
      </c>
      <c r="J1202" s="227">
        <f>IF(DAY(A1202)='Main Budget'!$J$29,'Main Budget'!$E$29,0)</f>
        <v>0</v>
      </c>
      <c r="K1202" s="20">
        <f>IF(DAY(A1202)='Main Budget'!$J$30,'Main Budget'!$E$30,0)</f>
        <v>0</v>
      </c>
      <c r="L1202" s="20">
        <f>IF(DAY(A1202)='Main Budget'!$J$31,'Main Budget'!$E$31,0)</f>
        <v>0</v>
      </c>
      <c r="M1202" s="20">
        <f>IF(DAY(A1202)='Main Budget'!$J$27,'Main Budget'!$E$27,0)</f>
        <v>0</v>
      </c>
      <c r="O1202" s="228">
        <f>B1202+(SUM(H1202:M1202)+(SUM(D1202:E1202)))</f>
        <v>100</v>
      </c>
      <c r="P1202" s="228">
        <f>C1202+F1202+G1202+N1202</f>
        <v>100</v>
      </c>
      <c r="Q1202" s="252">
        <f>O1202+P1202</f>
        <v>200</v>
      </c>
      <c r="S1202" s="231" t="str">
        <f>TEXT(A1202,"dddd")</f>
        <v>Sunday</v>
      </c>
    </row>
    <row r="1203" spans="1:19" x14ac:dyDescent="0.25">
      <c r="A1203" s="226">
        <v>47224</v>
      </c>
      <c r="B1203" s="227">
        <f>O1202</f>
        <v>100</v>
      </c>
      <c r="C1203" s="228">
        <f>P1202</f>
        <v>100</v>
      </c>
      <c r="D1203" s="228">
        <f>IF(OR(DAY(A1203+2)=1,DAY(A1203+2)=15),-SUM('Main Budget'!$H$26:$H$31),0)</f>
        <v>0</v>
      </c>
      <c r="E1203" s="228">
        <f>IF(DAY(A1203+2)=22,-SUM('Main Budget'!$F$26:$F$31),0)</f>
        <v>0</v>
      </c>
      <c r="F1203" s="228">
        <f>IF(D1203&gt;0,-'Main Budget'!$H$25+0.15,0)</f>
        <v>0</v>
      </c>
      <c r="G1203" s="228">
        <f>IF(E1203&gt;0,-'Main Budget'!$F$25+0.81,0)</f>
        <v>0</v>
      </c>
      <c r="H1203" s="227">
        <f>IF(DAY(A1203)='Main Budget'!$J$26,'Main Budget'!$E$26,0)</f>
        <v>0</v>
      </c>
      <c r="I1203" s="227">
        <f>IF(DAY(A1203)='Main Budget'!$J$28,'Main Budget'!$E$28,0)</f>
        <v>0</v>
      </c>
      <c r="J1203" s="227">
        <f>IF(DAY(A1203)='Main Budget'!$J$29,'Main Budget'!$E$29,0)</f>
        <v>0</v>
      </c>
      <c r="K1203" s="20">
        <f>IF(DAY(A1203)='Main Budget'!$J$30,'Main Budget'!$E$30,0)</f>
        <v>0</v>
      </c>
      <c r="L1203" s="20">
        <f>IF(DAY(A1203)='Main Budget'!$J$31,'Main Budget'!$E$31,0)</f>
        <v>0</v>
      </c>
      <c r="M1203" s="20">
        <f>IF(DAY(A1203)='Main Budget'!$J$27,'Main Budget'!$E$27,0)</f>
        <v>0</v>
      </c>
      <c r="O1203" s="228">
        <f>B1203+(SUM(H1203:M1203)+(SUM(D1203:E1203)))</f>
        <v>100</v>
      </c>
      <c r="P1203" s="228">
        <f>C1203+F1203+G1203+N1203</f>
        <v>100</v>
      </c>
      <c r="Q1203" s="252">
        <f>O1203+P1203</f>
        <v>200</v>
      </c>
      <c r="S1203" s="231" t="str">
        <f>TEXT(A1203,"dddd")</f>
        <v>Monday</v>
      </c>
    </row>
    <row r="1204" spans="1:19" x14ac:dyDescent="0.25">
      <c r="A1204" s="226">
        <v>47225</v>
      </c>
      <c r="B1204" s="227">
        <f>O1203</f>
        <v>100</v>
      </c>
      <c r="C1204" s="228">
        <f>P1203</f>
        <v>100</v>
      </c>
      <c r="D1204" s="228">
        <f>IF(OR(DAY(A1204+2)=1,DAY(A1204+2)=15),-SUM('Main Budget'!$H$26:$H$31),0)</f>
        <v>0</v>
      </c>
      <c r="E1204" s="228">
        <f>IF(DAY(A1204+2)=22,-SUM('Main Budget'!$F$26:$F$31),0)</f>
        <v>0</v>
      </c>
      <c r="F1204" s="228">
        <f>IF(D1204&gt;0,-'Main Budget'!$H$25+0.15,0)</f>
        <v>0</v>
      </c>
      <c r="G1204" s="228">
        <f>IF(E1204&gt;0,-'Main Budget'!$F$25+0.81,0)</f>
        <v>0</v>
      </c>
      <c r="H1204" s="227">
        <f>IF(DAY(A1204)='Main Budget'!$J$26,'Main Budget'!$E$26,0)</f>
        <v>0</v>
      </c>
      <c r="I1204" s="227">
        <f>IF(DAY(A1204)='Main Budget'!$J$28,'Main Budget'!$E$28,0)</f>
        <v>0</v>
      </c>
      <c r="J1204" s="227">
        <f>IF(DAY(A1204)='Main Budget'!$J$29,'Main Budget'!$E$29,0)</f>
        <v>0</v>
      </c>
      <c r="K1204" s="20">
        <f>IF(DAY(A1204)='Main Budget'!$J$30,'Main Budget'!$E$30,0)</f>
        <v>0</v>
      </c>
      <c r="L1204" s="20">
        <f>IF(DAY(A1204)='Main Budget'!$J$31,'Main Budget'!$E$31,0)</f>
        <v>0</v>
      </c>
      <c r="M1204" s="20">
        <f>IF(DAY(A1204)='Main Budget'!$J$27,'Main Budget'!$E$27,0)</f>
        <v>0</v>
      </c>
      <c r="O1204" s="228">
        <f>B1204+(SUM(H1204:M1204)+(SUM(D1204:E1204)))</f>
        <v>100</v>
      </c>
      <c r="P1204" s="228">
        <f>C1204+F1204+G1204+N1204</f>
        <v>100</v>
      </c>
      <c r="Q1204" s="252">
        <f>O1204+P1204</f>
        <v>200</v>
      </c>
      <c r="S1204" s="231" t="str">
        <f>TEXT(A1204,"dddd")</f>
        <v>Tuesday</v>
      </c>
    </row>
    <row r="1205" spans="1:19" x14ac:dyDescent="0.25">
      <c r="A1205" s="226">
        <v>47226</v>
      </c>
      <c r="B1205" s="227">
        <f>O1204</f>
        <v>100</v>
      </c>
      <c r="C1205" s="228">
        <f>P1204</f>
        <v>100</v>
      </c>
      <c r="D1205" s="228">
        <f>IF(OR(DAY(A1205+2)=1,DAY(A1205+2)=15),-SUM('Main Budget'!$H$26:$H$31),0)</f>
        <v>0</v>
      </c>
      <c r="E1205" s="228">
        <f>IF(DAY(A1205+2)=22,-SUM('Main Budget'!$F$26:$F$31),0)</f>
        <v>0</v>
      </c>
      <c r="F1205" s="228">
        <f>IF(D1205&gt;0,-'Main Budget'!$H$25+0.15,0)</f>
        <v>0</v>
      </c>
      <c r="G1205" s="228">
        <f>IF(E1205&gt;0,-'Main Budget'!$F$25+0.81,0)</f>
        <v>0</v>
      </c>
      <c r="H1205" s="227">
        <f>IF(DAY(A1205)='Main Budget'!$J$26,'Main Budget'!$E$26,0)</f>
        <v>0</v>
      </c>
      <c r="I1205" s="227">
        <f>IF(DAY(A1205)='Main Budget'!$J$28,'Main Budget'!$E$28,0)</f>
        <v>0</v>
      </c>
      <c r="J1205" s="227">
        <f>IF(DAY(A1205)='Main Budget'!$J$29,'Main Budget'!$E$29,0)</f>
        <v>0</v>
      </c>
      <c r="K1205" s="20">
        <f>IF(DAY(A1205)='Main Budget'!$J$30,'Main Budget'!$E$30,0)</f>
        <v>0</v>
      </c>
      <c r="L1205" s="20">
        <f>IF(DAY(A1205)='Main Budget'!$J$31,'Main Budget'!$E$31,0)</f>
        <v>0</v>
      </c>
      <c r="M1205" s="20">
        <f>IF(DAY(A1205)='Main Budget'!$J$27,'Main Budget'!$E$27,0)</f>
        <v>0</v>
      </c>
      <c r="O1205" s="228">
        <f>B1205+(SUM(H1205:M1205)+(SUM(D1205:E1205)))</f>
        <v>100</v>
      </c>
      <c r="P1205" s="228">
        <f>C1205+F1205+G1205+N1205</f>
        <v>100</v>
      </c>
      <c r="Q1205" s="252">
        <f>O1205+P1205</f>
        <v>200</v>
      </c>
      <c r="S1205" s="231" t="str">
        <f>TEXT(A1205,"dddd")</f>
        <v>Wednesday</v>
      </c>
    </row>
    <row r="1206" spans="1:19" x14ac:dyDescent="0.25">
      <c r="A1206" s="226">
        <v>47227</v>
      </c>
      <c r="B1206" s="227">
        <f>O1205</f>
        <v>100</v>
      </c>
      <c r="C1206" s="228">
        <f>P1205</f>
        <v>100</v>
      </c>
      <c r="D1206" s="228">
        <f>IF(OR(DAY(A1206+2)=1,DAY(A1206+2)=15),-SUM('Main Budget'!$H$26:$H$31),0)</f>
        <v>0</v>
      </c>
      <c r="E1206" s="228">
        <f>IF(DAY(A1206+2)=22,-SUM('Main Budget'!$F$26:$F$31),0)</f>
        <v>0</v>
      </c>
      <c r="F1206" s="228">
        <f>IF(D1206&gt;0,-'Main Budget'!$H$25+0.15,0)</f>
        <v>0</v>
      </c>
      <c r="G1206" s="228">
        <f>IF(E1206&gt;0,-'Main Budget'!$F$25+0.81,0)</f>
        <v>0</v>
      </c>
      <c r="H1206" s="227">
        <f>IF(DAY(A1206)='Main Budget'!$J$26,'Main Budget'!$E$26,0)</f>
        <v>0</v>
      </c>
      <c r="I1206" s="227">
        <f>IF(DAY(A1206)='Main Budget'!$J$28,'Main Budget'!$E$28,0)</f>
        <v>0</v>
      </c>
      <c r="J1206" s="227">
        <f>IF(DAY(A1206)='Main Budget'!$J$29,'Main Budget'!$E$29,0)</f>
        <v>0</v>
      </c>
      <c r="K1206" s="20">
        <f>IF(DAY(A1206)='Main Budget'!$J$30,'Main Budget'!$E$30,0)</f>
        <v>0</v>
      </c>
      <c r="L1206" s="20">
        <f>IF(DAY(A1206)='Main Budget'!$J$31,'Main Budget'!$E$31,0)</f>
        <v>0</v>
      </c>
      <c r="M1206" s="20">
        <f>IF(DAY(A1206)='Main Budget'!$J$27,'Main Budget'!$E$27,0)</f>
        <v>0</v>
      </c>
      <c r="O1206" s="228">
        <f>B1206+(SUM(H1206:M1206)+(SUM(D1206:E1206)))</f>
        <v>100</v>
      </c>
      <c r="P1206" s="228">
        <f>C1206+F1206+G1206+N1206</f>
        <v>100</v>
      </c>
      <c r="Q1206" s="252">
        <f>O1206+P1206</f>
        <v>200</v>
      </c>
      <c r="S1206" s="231" t="str">
        <f>TEXT(A1206,"dddd")</f>
        <v>Thursday</v>
      </c>
    </row>
    <row r="1207" spans="1:19" x14ac:dyDescent="0.25">
      <c r="A1207" s="226">
        <v>47228</v>
      </c>
      <c r="B1207" s="227">
        <f>O1206</f>
        <v>100</v>
      </c>
      <c r="C1207" s="228">
        <f>P1206</f>
        <v>100</v>
      </c>
      <c r="D1207" s="228">
        <f>IF(OR(DAY(A1207+2)=1,DAY(A1207+2)=15),-SUM('Main Budget'!$H$26:$H$31),0)</f>
        <v>0</v>
      </c>
      <c r="E1207" s="228">
        <f>IF(DAY(A1207+2)=22,-SUM('Main Budget'!$F$26:$F$31),0)</f>
        <v>0</v>
      </c>
      <c r="F1207" s="228">
        <f>IF(D1207&gt;0,-'Main Budget'!$H$25+0.15,0)</f>
        <v>0</v>
      </c>
      <c r="G1207" s="228">
        <f>IF(E1207&gt;0,-'Main Budget'!$F$25+0.81,0)</f>
        <v>0</v>
      </c>
      <c r="H1207" s="227">
        <f>IF(DAY(A1207)='Main Budget'!$J$26,'Main Budget'!$E$26,0)</f>
        <v>0</v>
      </c>
      <c r="I1207" s="227">
        <f>IF(DAY(A1207)='Main Budget'!$J$28,'Main Budget'!$E$28,0)</f>
        <v>0</v>
      </c>
      <c r="J1207" s="227">
        <f>IF(DAY(A1207)='Main Budget'!$J$29,'Main Budget'!$E$29,0)</f>
        <v>0</v>
      </c>
      <c r="K1207" s="20">
        <f>IF(DAY(A1207)='Main Budget'!$J$30,'Main Budget'!$E$30,0)</f>
        <v>0</v>
      </c>
      <c r="L1207" s="20">
        <f>IF(DAY(A1207)='Main Budget'!$J$31,'Main Budget'!$E$31,0)</f>
        <v>0</v>
      </c>
      <c r="M1207" s="20">
        <f>IF(DAY(A1207)='Main Budget'!$J$27,'Main Budget'!$E$27,0)</f>
        <v>0</v>
      </c>
      <c r="O1207" s="228">
        <f>B1207+(SUM(H1207:M1207)+(SUM(D1207:E1207)))</f>
        <v>100</v>
      </c>
      <c r="P1207" s="228">
        <f>C1207+F1207+G1207+N1207</f>
        <v>100</v>
      </c>
      <c r="Q1207" s="252">
        <f>O1207+P1207</f>
        <v>200</v>
      </c>
      <c r="S1207" s="231" t="str">
        <f>TEXT(A1207,"dddd")</f>
        <v>Friday</v>
      </c>
    </row>
    <row r="1208" spans="1:19" x14ac:dyDescent="0.25">
      <c r="A1208" s="226">
        <v>47229</v>
      </c>
      <c r="B1208" s="227">
        <f>O1207</f>
        <v>100</v>
      </c>
      <c r="C1208" s="228">
        <f>P1207</f>
        <v>100</v>
      </c>
      <c r="D1208" s="228">
        <f>IF(OR(DAY(A1208+2)=1,DAY(A1208+2)=15),-SUM('Main Budget'!$H$26:$H$31),0)</f>
        <v>0</v>
      </c>
      <c r="E1208" s="228">
        <f>IF(DAY(A1208+2)=22,-SUM('Main Budget'!$F$26:$F$31),0)</f>
        <v>0</v>
      </c>
      <c r="F1208" s="228">
        <f>IF(D1208&gt;0,-'Main Budget'!$H$25+0.15,0)</f>
        <v>0</v>
      </c>
      <c r="G1208" s="228">
        <f>IF(E1208&gt;0,-'Main Budget'!$F$25+0.81,0)</f>
        <v>0</v>
      </c>
      <c r="H1208" s="227">
        <f>IF(DAY(A1208)='Main Budget'!$J$26,'Main Budget'!$E$26,0)</f>
        <v>0</v>
      </c>
      <c r="I1208" s="227">
        <f>IF(DAY(A1208)='Main Budget'!$J$28,'Main Budget'!$E$28,0)</f>
        <v>0</v>
      </c>
      <c r="J1208" s="227">
        <f>IF(DAY(A1208)='Main Budget'!$J$29,'Main Budget'!$E$29,0)</f>
        <v>0</v>
      </c>
      <c r="K1208" s="20">
        <f>IF(DAY(A1208)='Main Budget'!$J$30,'Main Budget'!$E$30,0)</f>
        <v>0</v>
      </c>
      <c r="L1208" s="20">
        <f>IF(DAY(A1208)='Main Budget'!$J$31,'Main Budget'!$E$31,0)</f>
        <v>0</v>
      </c>
      <c r="M1208" s="20">
        <f>IF(DAY(A1208)='Main Budget'!$J$27,'Main Budget'!$E$27,0)</f>
        <v>0</v>
      </c>
      <c r="O1208" s="228">
        <f>B1208+(SUM(H1208:M1208)+(SUM(D1208:E1208)))</f>
        <v>100</v>
      </c>
      <c r="P1208" s="228">
        <f>C1208+F1208+G1208+N1208</f>
        <v>100</v>
      </c>
      <c r="Q1208" s="252">
        <f>O1208+P1208</f>
        <v>200</v>
      </c>
      <c r="S1208" s="231" t="str">
        <f>TEXT(A1208,"dddd")</f>
        <v>Saturday</v>
      </c>
    </row>
    <row r="1209" spans="1:19" x14ac:dyDescent="0.25">
      <c r="A1209" s="226">
        <v>47230</v>
      </c>
      <c r="B1209" s="227">
        <f>O1208</f>
        <v>100</v>
      </c>
      <c r="C1209" s="228">
        <f>P1208</f>
        <v>100</v>
      </c>
      <c r="D1209" s="228">
        <f>IF(OR(DAY(A1209+2)=1,DAY(A1209+2)=15),-SUM('Main Budget'!$H$26:$H$31),0)</f>
        <v>0</v>
      </c>
      <c r="E1209" s="228">
        <f>IF(DAY(A1209+2)=22,-SUM('Main Budget'!$F$26:$F$31),0)</f>
        <v>0</v>
      </c>
      <c r="F1209" s="228">
        <f>IF(D1209&gt;0,-'Main Budget'!$H$25+0.15,0)</f>
        <v>0</v>
      </c>
      <c r="G1209" s="228">
        <f>IF(E1209&gt;0,-'Main Budget'!$F$25+0.81,0)</f>
        <v>0</v>
      </c>
      <c r="H1209" s="227">
        <f>IF(DAY(A1209)='Main Budget'!$J$26,'Main Budget'!$E$26,0)</f>
        <v>0</v>
      </c>
      <c r="I1209" s="227">
        <f>IF(DAY(A1209)='Main Budget'!$J$28,'Main Budget'!$E$28,0)</f>
        <v>0</v>
      </c>
      <c r="J1209" s="227">
        <f>IF(DAY(A1209)='Main Budget'!$J$29,'Main Budget'!$E$29,0)</f>
        <v>0</v>
      </c>
      <c r="K1209" s="20">
        <f>IF(DAY(A1209)='Main Budget'!$J$30,'Main Budget'!$E$30,0)</f>
        <v>0</v>
      </c>
      <c r="L1209" s="20">
        <f>IF(DAY(A1209)='Main Budget'!$J$31,'Main Budget'!$E$31,0)</f>
        <v>0</v>
      </c>
      <c r="M1209" s="20">
        <f>IF(DAY(A1209)='Main Budget'!$J$27,'Main Budget'!$E$27,0)</f>
        <v>0</v>
      </c>
      <c r="O1209" s="228">
        <f>B1209+(SUM(H1209:M1209)+(SUM(D1209:E1209)))</f>
        <v>100</v>
      </c>
      <c r="P1209" s="228">
        <f>C1209+F1209+G1209+N1209</f>
        <v>100</v>
      </c>
      <c r="Q1209" s="252">
        <f>O1209+P1209</f>
        <v>200</v>
      </c>
      <c r="S1209" s="231" t="str">
        <f>TEXT(A1209,"dddd")</f>
        <v>Sunday</v>
      </c>
    </row>
    <row r="1210" spans="1:19" x14ac:dyDescent="0.25">
      <c r="A1210" s="226">
        <v>47231</v>
      </c>
      <c r="B1210" s="227">
        <f>O1209</f>
        <v>100</v>
      </c>
      <c r="C1210" s="228">
        <f>P1209</f>
        <v>100</v>
      </c>
      <c r="D1210" s="228">
        <f>IF(OR(DAY(A1210+2)=1,DAY(A1210+2)=15),-SUM('Main Budget'!$H$26:$H$31),0)</f>
        <v>0</v>
      </c>
      <c r="E1210" s="228">
        <f>IF(DAY(A1210+2)=22,-SUM('Main Budget'!$F$26:$F$31),0)</f>
        <v>0</v>
      </c>
      <c r="F1210" s="228">
        <f>IF(D1210&gt;0,-'Main Budget'!$H$25+0.15,0)</f>
        <v>0</v>
      </c>
      <c r="G1210" s="228">
        <f>IF(E1210&gt;0,-'Main Budget'!$F$25+0.81,0)</f>
        <v>0</v>
      </c>
      <c r="H1210" s="227">
        <f>IF(DAY(A1210)='Main Budget'!$J$26,'Main Budget'!$E$26,0)</f>
        <v>0</v>
      </c>
      <c r="I1210" s="227">
        <f>IF(DAY(A1210)='Main Budget'!$J$28,'Main Budget'!$E$28,0)</f>
        <v>0</v>
      </c>
      <c r="J1210" s="227">
        <f>IF(DAY(A1210)='Main Budget'!$J$29,'Main Budget'!$E$29,0)</f>
        <v>0</v>
      </c>
      <c r="K1210" s="20">
        <f>IF(DAY(A1210)='Main Budget'!$J$30,'Main Budget'!$E$30,0)</f>
        <v>0</v>
      </c>
      <c r="L1210" s="20">
        <f>IF(DAY(A1210)='Main Budget'!$J$31,'Main Budget'!$E$31,0)</f>
        <v>0</v>
      </c>
      <c r="M1210" s="20">
        <f>IF(DAY(A1210)='Main Budget'!$J$27,'Main Budget'!$E$27,0)</f>
        <v>0</v>
      </c>
      <c r="O1210" s="228">
        <f>B1210+(SUM(H1210:M1210)+(SUM(D1210:E1210)))</f>
        <v>100</v>
      </c>
      <c r="P1210" s="228">
        <f>C1210+F1210+G1210+N1210</f>
        <v>100</v>
      </c>
      <c r="Q1210" s="252">
        <f>O1210+P1210</f>
        <v>200</v>
      </c>
      <c r="S1210" s="231" t="str">
        <f>TEXT(A1210,"dddd")</f>
        <v>Monday</v>
      </c>
    </row>
    <row r="1211" spans="1:19" x14ac:dyDescent="0.25">
      <c r="A1211" s="226">
        <v>47232</v>
      </c>
      <c r="B1211" s="227">
        <f>O1210</f>
        <v>100</v>
      </c>
      <c r="C1211" s="228">
        <f>P1210</f>
        <v>100</v>
      </c>
      <c r="D1211" s="228">
        <f>IF(OR(DAY(A1211+2)=1,DAY(A1211+2)=15),-SUM('Main Budget'!$H$26:$H$31),0)</f>
        <v>0</v>
      </c>
      <c r="E1211" s="228">
        <f>IF(DAY(A1211+2)=22,-SUM('Main Budget'!$F$26:$F$31),0)</f>
        <v>0</v>
      </c>
      <c r="F1211" s="228">
        <f>IF(D1211&gt;0,-'Main Budget'!$H$25+0.15,0)</f>
        <v>0</v>
      </c>
      <c r="G1211" s="228">
        <f>IF(E1211&gt;0,-'Main Budget'!$F$25+0.81,0)</f>
        <v>0</v>
      </c>
      <c r="H1211" s="227">
        <f>IF(DAY(A1211)='Main Budget'!$J$26,'Main Budget'!$E$26,0)</f>
        <v>0</v>
      </c>
      <c r="I1211" s="227">
        <f>IF(DAY(A1211)='Main Budget'!$J$28,'Main Budget'!$E$28,0)</f>
        <v>0</v>
      </c>
      <c r="J1211" s="227">
        <f>IF(DAY(A1211)='Main Budget'!$J$29,'Main Budget'!$E$29,0)</f>
        <v>0</v>
      </c>
      <c r="K1211" s="20">
        <f>IF(DAY(A1211)='Main Budget'!$J$30,'Main Budget'!$E$30,0)</f>
        <v>0</v>
      </c>
      <c r="L1211" s="20">
        <f>IF(DAY(A1211)='Main Budget'!$J$31,'Main Budget'!$E$31,0)</f>
        <v>0</v>
      </c>
      <c r="M1211" s="20">
        <f>IF(DAY(A1211)='Main Budget'!$J$27,'Main Budget'!$E$27,0)</f>
        <v>0</v>
      </c>
      <c r="O1211" s="228">
        <f>B1211+(SUM(H1211:M1211)+(SUM(D1211:E1211)))</f>
        <v>100</v>
      </c>
      <c r="P1211" s="228">
        <f>C1211+F1211+G1211+N1211</f>
        <v>100</v>
      </c>
      <c r="Q1211" s="252">
        <f>O1211+P1211</f>
        <v>200</v>
      </c>
      <c r="S1211" s="231" t="str">
        <f>TEXT(A1211,"dddd")</f>
        <v>Tuesday</v>
      </c>
    </row>
    <row r="1212" spans="1:19" x14ac:dyDescent="0.25">
      <c r="A1212" s="226">
        <v>47233</v>
      </c>
      <c r="B1212" s="227">
        <f>O1211</f>
        <v>100</v>
      </c>
      <c r="C1212" s="228">
        <f>P1211</f>
        <v>100</v>
      </c>
      <c r="D1212" s="228">
        <f>IF(OR(DAY(A1212+2)=1,DAY(A1212+2)=15),-SUM('Main Budget'!$H$26:$H$31),0)</f>
        <v>0</v>
      </c>
      <c r="E1212" s="228">
        <f>IF(DAY(A1212+2)=22,-SUM('Main Budget'!$F$26:$F$31),0)</f>
        <v>0</v>
      </c>
      <c r="F1212" s="228">
        <f>IF(D1212&gt;0,-'Main Budget'!$H$25+0.15,0)</f>
        <v>0</v>
      </c>
      <c r="G1212" s="228">
        <f>IF(E1212&gt;0,-'Main Budget'!$F$25+0.81,0)</f>
        <v>0</v>
      </c>
      <c r="H1212" s="227">
        <f>IF(DAY(A1212)='Main Budget'!$J$26,'Main Budget'!$E$26,0)</f>
        <v>0</v>
      </c>
      <c r="I1212" s="227">
        <f>IF(DAY(A1212)='Main Budget'!$J$28,'Main Budget'!$E$28,0)</f>
        <v>0</v>
      </c>
      <c r="J1212" s="227">
        <f>IF(DAY(A1212)='Main Budget'!$J$29,'Main Budget'!$E$29,0)</f>
        <v>0</v>
      </c>
      <c r="K1212" s="20">
        <f>IF(DAY(A1212)='Main Budget'!$J$30,'Main Budget'!$E$30,0)</f>
        <v>0</v>
      </c>
      <c r="L1212" s="20">
        <f>IF(DAY(A1212)='Main Budget'!$J$31,'Main Budget'!$E$31,0)</f>
        <v>0</v>
      </c>
      <c r="M1212" s="20">
        <f>IF(DAY(A1212)='Main Budget'!$J$27,'Main Budget'!$E$27,0)</f>
        <v>0</v>
      </c>
      <c r="O1212" s="228">
        <f>B1212+(SUM(H1212:M1212)+(SUM(D1212:E1212)))</f>
        <v>100</v>
      </c>
      <c r="P1212" s="228">
        <f>C1212+F1212+G1212+N1212</f>
        <v>100</v>
      </c>
      <c r="Q1212" s="252">
        <f>O1212+P1212</f>
        <v>200</v>
      </c>
      <c r="S1212" s="231" t="str">
        <f>TEXT(A1212,"dddd")</f>
        <v>Wednesday</v>
      </c>
    </row>
    <row r="1213" spans="1:19" x14ac:dyDescent="0.25">
      <c r="A1213" s="226">
        <v>47234</v>
      </c>
      <c r="B1213" s="227">
        <f>O1212</f>
        <v>100</v>
      </c>
      <c r="C1213" s="228">
        <f>P1212</f>
        <v>100</v>
      </c>
      <c r="D1213" s="228">
        <f>IF(OR(DAY(A1213+2)=1,DAY(A1213+2)=15),-SUM('Main Budget'!$H$26:$H$31),0)</f>
        <v>0</v>
      </c>
      <c r="E1213" s="228">
        <f>IF(DAY(A1213+2)=22,-SUM('Main Budget'!$F$26:$F$31),0)</f>
        <v>0</v>
      </c>
      <c r="F1213" s="228">
        <f>IF(D1213&gt;0,-'Main Budget'!$H$25+0.15,0)</f>
        <v>0</v>
      </c>
      <c r="G1213" s="228">
        <f>IF(E1213&gt;0,-'Main Budget'!$F$25+0.81,0)</f>
        <v>0</v>
      </c>
      <c r="H1213" s="227">
        <f>IF(DAY(A1213)='Main Budget'!$J$26,'Main Budget'!$E$26,0)</f>
        <v>0</v>
      </c>
      <c r="I1213" s="227">
        <f>IF(DAY(A1213)='Main Budget'!$J$28,'Main Budget'!$E$28,0)</f>
        <v>0</v>
      </c>
      <c r="J1213" s="227">
        <f>IF(DAY(A1213)='Main Budget'!$J$29,'Main Budget'!$E$29,0)</f>
        <v>0</v>
      </c>
      <c r="K1213" s="20">
        <f>IF(DAY(A1213)='Main Budget'!$J$30,'Main Budget'!$E$30,0)</f>
        <v>0</v>
      </c>
      <c r="L1213" s="20">
        <f>IF(DAY(A1213)='Main Budget'!$J$31,'Main Budget'!$E$31,0)</f>
        <v>0</v>
      </c>
      <c r="M1213" s="20">
        <f>IF(DAY(A1213)='Main Budget'!$J$27,'Main Budget'!$E$27,0)</f>
        <v>0</v>
      </c>
      <c r="O1213" s="228">
        <f>B1213+(SUM(H1213:M1213)+(SUM(D1213:E1213)))</f>
        <v>100</v>
      </c>
      <c r="P1213" s="228">
        <f>C1213+F1213+G1213+N1213</f>
        <v>100</v>
      </c>
      <c r="Q1213" s="252">
        <f>O1213+P1213</f>
        <v>200</v>
      </c>
      <c r="S1213" s="231" t="str">
        <f>TEXT(A1213,"dddd")</f>
        <v>Thursday</v>
      </c>
    </row>
    <row r="1214" spans="1:19" x14ac:dyDescent="0.25">
      <c r="A1214" s="226">
        <v>47235</v>
      </c>
      <c r="B1214" s="227">
        <f>O1213</f>
        <v>100</v>
      </c>
      <c r="C1214" s="228">
        <f>P1213</f>
        <v>100</v>
      </c>
      <c r="D1214" s="228">
        <f>IF(OR(DAY(A1214+2)=1,DAY(A1214+2)=15),-SUM('Main Budget'!$H$26:$H$31),0)</f>
        <v>0</v>
      </c>
      <c r="E1214" s="228">
        <f>IF(DAY(A1214+2)=22,-SUM('Main Budget'!$F$26:$F$31),0)</f>
        <v>0</v>
      </c>
      <c r="F1214" s="228">
        <f>IF(D1214&gt;0,-'Main Budget'!$H$25+0.15,0)</f>
        <v>0</v>
      </c>
      <c r="G1214" s="228">
        <f>IF(E1214&gt;0,-'Main Budget'!$F$25+0.81,0)</f>
        <v>0</v>
      </c>
      <c r="H1214" s="227">
        <f>IF(DAY(A1214)='Main Budget'!$J$26,'Main Budget'!$E$26,0)</f>
        <v>0</v>
      </c>
      <c r="I1214" s="227">
        <f>IF(DAY(A1214)='Main Budget'!$J$28,'Main Budget'!$E$28,0)</f>
        <v>0</v>
      </c>
      <c r="J1214" s="227">
        <f>IF(DAY(A1214)='Main Budget'!$J$29,'Main Budget'!$E$29,0)</f>
        <v>0</v>
      </c>
      <c r="K1214" s="20">
        <f>IF(DAY(A1214)='Main Budget'!$J$30,'Main Budget'!$E$30,0)</f>
        <v>0</v>
      </c>
      <c r="L1214" s="20">
        <f>IF(DAY(A1214)='Main Budget'!$J$31,'Main Budget'!$E$31,0)</f>
        <v>0</v>
      </c>
      <c r="M1214" s="20">
        <f>IF(DAY(A1214)='Main Budget'!$J$27,'Main Budget'!$E$27,0)</f>
        <v>0</v>
      </c>
      <c r="O1214" s="228">
        <f>B1214+(SUM(H1214:M1214)+(SUM(D1214:E1214)))</f>
        <v>100</v>
      </c>
      <c r="P1214" s="228">
        <f>C1214+F1214+G1214+N1214</f>
        <v>100</v>
      </c>
      <c r="Q1214" s="252">
        <f>O1214+P1214</f>
        <v>200</v>
      </c>
      <c r="S1214" s="231" t="str">
        <f>TEXT(A1214,"dddd")</f>
        <v>Friday</v>
      </c>
    </row>
    <row r="1215" spans="1:19" x14ac:dyDescent="0.25">
      <c r="A1215" s="226">
        <v>47236</v>
      </c>
      <c r="B1215" s="227">
        <f>O1214</f>
        <v>100</v>
      </c>
      <c r="C1215" s="228">
        <f>P1214</f>
        <v>100</v>
      </c>
      <c r="D1215" s="228">
        <f>IF(OR(DAY(A1215+2)=1,DAY(A1215+2)=15),-SUM('Main Budget'!$H$26:$H$31),0)</f>
        <v>0</v>
      </c>
      <c r="E1215" s="228">
        <f>IF(DAY(A1215+2)=22,-SUM('Main Budget'!$F$26:$F$31),0)</f>
        <v>0</v>
      </c>
      <c r="F1215" s="228">
        <f>IF(D1215&gt;0,-'Main Budget'!$H$25+0.15,0)</f>
        <v>0</v>
      </c>
      <c r="G1215" s="228">
        <f>IF(E1215&gt;0,-'Main Budget'!$F$25+0.81,0)</f>
        <v>0</v>
      </c>
      <c r="H1215" s="227">
        <f>IF(DAY(A1215)='Main Budget'!$J$26,'Main Budget'!$E$26,0)</f>
        <v>0</v>
      </c>
      <c r="I1215" s="227">
        <f>IF(DAY(A1215)='Main Budget'!$J$28,'Main Budget'!$E$28,0)</f>
        <v>0</v>
      </c>
      <c r="J1215" s="227">
        <f>IF(DAY(A1215)='Main Budget'!$J$29,'Main Budget'!$E$29,0)</f>
        <v>0</v>
      </c>
      <c r="K1215" s="20">
        <f>IF(DAY(A1215)='Main Budget'!$J$30,'Main Budget'!$E$30,0)</f>
        <v>0</v>
      </c>
      <c r="L1215" s="20">
        <f>IF(DAY(A1215)='Main Budget'!$J$31,'Main Budget'!$E$31,0)</f>
        <v>0</v>
      </c>
      <c r="M1215" s="20">
        <f>IF(DAY(A1215)='Main Budget'!$J$27,'Main Budget'!$E$27,0)</f>
        <v>0</v>
      </c>
      <c r="O1215" s="228">
        <f>B1215+(SUM(H1215:M1215)+(SUM(D1215:E1215)))</f>
        <v>100</v>
      </c>
      <c r="P1215" s="228">
        <f>C1215+F1215+G1215+N1215</f>
        <v>100</v>
      </c>
      <c r="Q1215" s="252">
        <f>O1215+P1215</f>
        <v>200</v>
      </c>
      <c r="S1215" s="231" t="str">
        <f>TEXT(A1215,"dddd")</f>
        <v>Saturday</v>
      </c>
    </row>
    <row r="1216" spans="1:19" x14ac:dyDescent="0.25">
      <c r="A1216" s="226">
        <v>47237</v>
      </c>
      <c r="B1216" s="227">
        <f>O1215</f>
        <v>100</v>
      </c>
      <c r="C1216" s="228">
        <f>P1215</f>
        <v>100</v>
      </c>
      <c r="D1216" s="228">
        <f>IF(OR(DAY(A1216+2)=1,DAY(A1216+2)=15),-SUM('Main Budget'!$H$26:$H$31),0)</f>
        <v>0</v>
      </c>
      <c r="E1216" s="228">
        <f>IF(DAY(A1216+2)=22,-SUM('Main Budget'!$F$26:$F$31),0)</f>
        <v>0</v>
      </c>
      <c r="F1216" s="228">
        <f>IF(D1216&gt;0,-'Main Budget'!$H$25+0.15,0)</f>
        <v>0</v>
      </c>
      <c r="G1216" s="228">
        <f>IF(E1216&gt;0,-'Main Budget'!$F$25+0.81,0)</f>
        <v>0</v>
      </c>
      <c r="H1216" s="227">
        <f>IF(DAY(A1216)='Main Budget'!$J$26,'Main Budget'!$E$26,0)</f>
        <v>0</v>
      </c>
      <c r="I1216" s="227">
        <f>IF(DAY(A1216)='Main Budget'!$J$28,'Main Budget'!$E$28,0)</f>
        <v>0</v>
      </c>
      <c r="J1216" s="227">
        <f>IF(DAY(A1216)='Main Budget'!$J$29,'Main Budget'!$E$29,0)</f>
        <v>0</v>
      </c>
      <c r="K1216" s="20">
        <f>IF(DAY(A1216)='Main Budget'!$J$30,'Main Budget'!$E$30,0)</f>
        <v>0</v>
      </c>
      <c r="L1216" s="20">
        <f>IF(DAY(A1216)='Main Budget'!$J$31,'Main Budget'!$E$31,0)</f>
        <v>0</v>
      </c>
      <c r="M1216" s="20">
        <f>IF(DAY(A1216)='Main Budget'!$J$27,'Main Budget'!$E$27,0)</f>
        <v>0</v>
      </c>
      <c r="O1216" s="228">
        <f>B1216+(SUM(H1216:M1216)+(SUM(D1216:E1216)))</f>
        <v>100</v>
      </c>
      <c r="P1216" s="228">
        <f>C1216+F1216+G1216+N1216</f>
        <v>100</v>
      </c>
      <c r="Q1216" s="252">
        <f>O1216+P1216</f>
        <v>200</v>
      </c>
      <c r="S1216" s="231" t="str">
        <f>TEXT(A1216,"dddd")</f>
        <v>Sunday</v>
      </c>
    </row>
    <row r="1217" spans="1:19" x14ac:dyDescent="0.25">
      <c r="A1217" s="226">
        <v>47238</v>
      </c>
      <c r="B1217" s="227">
        <f>O1216</f>
        <v>100</v>
      </c>
      <c r="C1217" s="228">
        <f>P1216</f>
        <v>100</v>
      </c>
      <c r="D1217" s="228">
        <f>IF(OR(DAY(A1217+2)=1,DAY(A1217+2)=15),-SUM('Main Budget'!$H$26:$H$31),0)</f>
        <v>0</v>
      </c>
      <c r="E1217" s="228">
        <f>IF(DAY(A1217+2)=22,-SUM('Main Budget'!$F$26:$F$31),0)</f>
        <v>0</v>
      </c>
      <c r="F1217" s="228">
        <f>IF(D1217&gt;0,-'Main Budget'!$H$25+0.15,0)</f>
        <v>0</v>
      </c>
      <c r="G1217" s="228">
        <f>IF(E1217&gt;0,-'Main Budget'!$F$25+0.81,0)</f>
        <v>0</v>
      </c>
      <c r="H1217" s="227">
        <f>IF(DAY(A1217)='Main Budget'!$J$26,'Main Budget'!$E$26,0)</f>
        <v>0</v>
      </c>
      <c r="I1217" s="227">
        <f>IF(DAY(A1217)='Main Budget'!$J$28,'Main Budget'!$E$28,0)</f>
        <v>0</v>
      </c>
      <c r="J1217" s="227">
        <f>IF(DAY(A1217)='Main Budget'!$J$29,'Main Budget'!$E$29,0)</f>
        <v>0</v>
      </c>
      <c r="K1217" s="20">
        <f>IF(DAY(A1217)='Main Budget'!$J$30,'Main Budget'!$E$30,0)</f>
        <v>0</v>
      </c>
      <c r="L1217" s="20">
        <f>IF(DAY(A1217)='Main Budget'!$J$31,'Main Budget'!$E$31,0)</f>
        <v>0</v>
      </c>
      <c r="M1217" s="20">
        <f>IF(DAY(A1217)='Main Budget'!$J$27,'Main Budget'!$E$27,0)</f>
        <v>0</v>
      </c>
      <c r="O1217" s="228">
        <f>B1217+(SUM(H1217:M1217)+(SUM(D1217:E1217)))</f>
        <v>100</v>
      </c>
      <c r="P1217" s="228">
        <f>C1217+F1217+G1217+N1217</f>
        <v>100</v>
      </c>
      <c r="Q1217" s="252">
        <f>O1217+P1217</f>
        <v>200</v>
      </c>
      <c r="S1217" s="231" t="str">
        <f>TEXT(A1217,"dddd")</f>
        <v>Monday</v>
      </c>
    </row>
    <row r="1218" spans="1:19" x14ac:dyDescent="0.25">
      <c r="A1218" s="226">
        <v>47239</v>
      </c>
      <c r="B1218" s="227">
        <f>O1217</f>
        <v>100</v>
      </c>
      <c r="C1218" s="228">
        <f>P1217</f>
        <v>100</v>
      </c>
      <c r="D1218" s="228">
        <f>IF(OR(DAY(A1218+2)=1,DAY(A1218+2)=15),-SUM('Main Budget'!$H$26:$H$31),0)</f>
        <v>0</v>
      </c>
      <c r="E1218" s="228">
        <f>IF(DAY(A1218+2)=22,-SUM('Main Budget'!$F$26:$F$31),0)</f>
        <v>0</v>
      </c>
      <c r="F1218" s="228">
        <f>IF(D1218&gt;0,-'Main Budget'!$H$25+0.15,0)</f>
        <v>0</v>
      </c>
      <c r="G1218" s="228">
        <f>IF(E1218&gt;0,-'Main Budget'!$F$25+0.81,0)</f>
        <v>0</v>
      </c>
      <c r="H1218" s="227">
        <f>IF(DAY(A1218)='Main Budget'!$J$26,'Main Budget'!$E$26,0)</f>
        <v>0</v>
      </c>
      <c r="I1218" s="227">
        <f>IF(DAY(A1218)='Main Budget'!$J$28,'Main Budget'!$E$28,0)</f>
        <v>0</v>
      </c>
      <c r="J1218" s="227">
        <f>IF(DAY(A1218)='Main Budget'!$J$29,'Main Budget'!$E$29,0)</f>
        <v>0</v>
      </c>
      <c r="K1218" s="20">
        <f>IF(DAY(A1218)='Main Budget'!$J$30,'Main Budget'!$E$30,0)</f>
        <v>0</v>
      </c>
      <c r="L1218" s="20">
        <f>IF(DAY(A1218)='Main Budget'!$J$31,'Main Budget'!$E$31,0)</f>
        <v>0</v>
      </c>
      <c r="M1218" s="20">
        <f>IF(DAY(A1218)='Main Budget'!$J$27,'Main Budget'!$E$27,0)</f>
        <v>0</v>
      </c>
      <c r="O1218" s="228">
        <f>B1218+(SUM(H1218:M1218)+(SUM(D1218:E1218)))</f>
        <v>100</v>
      </c>
      <c r="P1218" s="228">
        <f>C1218+F1218+G1218+N1218</f>
        <v>100</v>
      </c>
      <c r="Q1218" s="252">
        <f>O1218+P1218</f>
        <v>200</v>
      </c>
      <c r="S1218" s="231" t="str">
        <f>TEXT(A1218,"dddd")</f>
        <v>Tuesday</v>
      </c>
    </row>
    <row r="1219" spans="1:19" x14ac:dyDescent="0.25">
      <c r="A1219" s="226">
        <v>47240</v>
      </c>
      <c r="B1219" s="227">
        <f>O1218</f>
        <v>100</v>
      </c>
      <c r="C1219" s="228">
        <f>P1218</f>
        <v>100</v>
      </c>
      <c r="D1219" s="228">
        <f>IF(OR(DAY(A1219+2)=1,DAY(A1219+2)=15),-SUM('Main Budget'!$H$26:$H$31),0)</f>
        <v>0</v>
      </c>
      <c r="E1219" s="228">
        <f>IF(DAY(A1219+2)=22,-SUM('Main Budget'!$F$26:$F$31),0)</f>
        <v>0</v>
      </c>
      <c r="F1219" s="228">
        <f>IF(D1219&gt;0,-'Main Budget'!$H$25+0.15,0)</f>
        <v>0</v>
      </c>
      <c r="G1219" s="228">
        <f>IF(E1219&gt;0,-'Main Budget'!$F$25+0.81,0)</f>
        <v>0</v>
      </c>
      <c r="H1219" s="227">
        <f>IF(DAY(A1219)='Main Budget'!$J$26,'Main Budget'!$E$26,0)</f>
        <v>0</v>
      </c>
      <c r="I1219" s="227">
        <f>IF(DAY(A1219)='Main Budget'!$J$28,'Main Budget'!$E$28,0)</f>
        <v>0</v>
      </c>
      <c r="J1219" s="227">
        <f>IF(DAY(A1219)='Main Budget'!$J$29,'Main Budget'!$E$29,0)</f>
        <v>0</v>
      </c>
      <c r="K1219" s="20">
        <f>IF(DAY(A1219)='Main Budget'!$J$30,'Main Budget'!$E$30,0)</f>
        <v>0</v>
      </c>
      <c r="L1219" s="20">
        <f>IF(DAY(A1219)='Main Budget'!$J$31,'Main Budget'!$E$31,0)</f>
        <v>0</v>
      </c>
      <c r="M1219" s="20">
        <f>IF(DAY(A1219)='Main Budget'!$J$27,'Main Budget'!$E$27,0)</f>
        <v>0</v>
      </c>
      <c r="O1219" s="228">
        <f>B1219+(SUM(H1219:M1219)+(SUM(D1219:E1219)))</f>
        <v>100</v>
      </c>
      <c r="P1219" s="228">
        <f>C1219+F1219+G1219+N1219</f>
        <v>100</v>
      </c>
      <c r="Q1219" s="252">
        <f>O1219+P1219</f>
        <v>200</v>
      </c>
      <c r="S1219" s="231" t="str">
        <f>TEXT(A1219,"dddd")</f>
        <v>Wednesday</v>
      </c>
    </row>
    <row r="1220" spans="1:19" x14ac:dyDescent="0.25">
      <c r="A1220" s="226">
        <v>47241</v>
      </c>
      <c r="B1220" s="227">
        <f>O1219</f>
        <v>100</v>
      </c>
      <c r="C1220" s="228">
        <f>P1219</f>
        <v>100</v>
      </c>
      <c r="D1220" s="228">
        <f>IF(OR(DAY(A1220+2)=1,DAY(A1220+2)=15),-SUM('Main Budget'!$H$26:$H$31),0)</f>
        <v>0</v>
      </c>
      <c r="E1220" s="228">
        <f>IF(DAY(A1220+2)=22,-SUM('Main Budget'!$F$26:$F$31),0)</f>
        <v>0</v>
      </c>
      <c r="F1220" s="228">
        <f>IF(D1220&gt;0,-'Main Budget'!$H$25+0.15,0)</f>
        <v>0</v>
      </c>
      <c r="G1220" s="228">
        <f>IF(E1220&gt;0,-'Main Budget'!$F$25+0.81,0)</f>
        <v>0</v>
      </c>
      <c r="H1220" s="227">
        <f>IF(DAY(A1220)='Main Budget'!$J$26,'Main Budget'!$E$26,0)</f>
        <v>0</v>
      </c>
      <c r="I1220" s="227">
        <f>IF(DAY(A1220)='Main Budget'!$J$28,'Main Budget'!$E$28,0)</f>
        <v>0</v>
      </c>
      <c r="J1220" s="227">
        <f>IF(DAY(A1220)='Main Budget'!$J$29,'Main Budget'!$E$29,0)</f>
        <v>0</v>
      </c>
      <c r="K1220" s="20">
        <f>IF(DAY(A1220)='Main Budget'!$J$30,'Main Budget'!$E$30,0)</f>
        <v>0</v>
      </c>
      <c r="L1220" s="20">
        <f>IF(DAY(A1220)='Main Budget'!$J$31,'Main Budget'!$E$31,0)</f>
        <v>0</v>
      </c>
      <c r="M1220" s="20">
        <f>IF(DAY(A1220)='Main Budget'!$J$27,'Main Budget'!$E$27,0)</f>
        <v>0</v>
      </c>
      <c r="O1220" s="228">
        <f>B1220+(SUM(H1220:M1220)+(SUM(D1220:E1220)))</f>
        <v>100</v>
      </c>
      <c r="P1220" s="228">
        <f>C1220+F1220+G1220+N1220</f>
        <v>100</v>
      </c>
      <c r="Q1220" s="252">
        <f>O1220+P1220</f>
        <v>200</v>
      </c>
      <c r="S1220" s="231" t="str">
        <f>TEXT(A1220,"dddd")</f>
        <v>Thursday</v>
      </c>
    </row>
    <row r="1221" spans="1:19" x14ac:dyDescent="0.25">
      <c r="A1221" s="226">
        <v>47242</v>
      </c>
      <c r="B1221" s="227">
        <f>O1220</f>
        <v>100</v>
      </c>
      <c r="C1221" s="228">
        <f>P1220</f>
        <v>100</v>
      </c>
      <c r="D1221" s="228">
        <f>IF(OR(DAY(A1221+2)=1,DAY(A1221+2)=15),-SUM('Main Budget'!$H$26:$H$31),0)</f>
        <v>0</v>
      </c>
      <c r="E1221" s="228">
        <f>IF(DAY(A1221+2)=22,-SUM('Main Budget'!$F$26:$F$31),0)</f>
        <v>0</v>
      </c>
      <c r="F1221" s="228">
        <f>IF(D1221&gt;0,-'Main Budget'!$H$25+0.15,0)</f>
        <v>0</v>
      </c>
      <c r="G1221" s="228">
        <f>IF(E1221&gt;0,-'Main Budget'!$F$25+0.81,0)</f>
        <v>0</v>
      </c>
      <c r="H1221" s="227">
        <f>IF(DAY(A1221)='Main Budget'!$J$26,'Main Budget'!$E$26,0)</f>
        <v>0</v>
      </c>
      <c r="I1221" s="227">
        <f>IF(DAY(A1221)='Main Budget'!$J$28,'Main Budget'!$E$28,0)</f>
        <v>0</v>
      </c>
      <c r="J1221" s="227">
        <f>IF(DAY(A1221)='Main Budget'!$J$29,'Main Budget'!$E$29,0)</f>
        <v>0</v>
      </c>
      <c r="K1221" s="20">
        <f>IF(DAY(A1221)='Main Budget'!$J$30,'Main Budget'!$E$30,0)</f>
        <v>0</v>
      </c>
      <c r="L1221" s="20">
        <f>IF(DAY(A1221)='Main Budget'!$J$31,'Main Budget'!$E$31,0)</f>
        <v>0</v>
      </c>
      <c r="M1221" s="20">
        <f>IF(DAY(A1221)='Main Budget'!$J$27,'Main Budget'!$E$27,0)</f>
        <v>0</v>
      </c>
      <c r="O1221" s="228">
        <f>B1221+(SUM(H1221:M1221)+(SUM(D1221:E1221)))</f>
        <v>100</v>
      </c>
      <c r="P1221" s="228">
        <f>C1221+F1221+G1221+N1221</f>
        <v>100</v>
      </c>
      <c r="Q1221" s="252">
        <f>O1221+P1221</f>
        <v>200</v>
      </c>
      <c r="S1221" s="231" t="str">
        <f>TEXT(A1221,"dddd")</f>
        <v>Friday</v>
      </c>
    </row>
    <row r="1222" spans="1:19" x14ac:dyDescent="0.25">
      <c r="A1222" s="226">
        <v>47243</v>
      </c>
      <c r="B1222" s="227">
        <f>O1221</f>
        <v>100</v>
      </c>
      <c r="C1222" s="228">
        <f>P1221</f>
        <v>100</v>
      </c>
      <c r="D1222" s="228">
        <f>IF(OR(DAY(A1222+2)=1,DAY(A1222+2)=15),-SUM('Main Budget'!$H$26:$H$31),0)</f>
        <v>0</v>
      </c>
      <c r="E1222" s="228">
        <f>IF(DAY(A1222+2)=22,-SUM('Main Budget'!$F$26:$F$31),0)</f>
        <v>0</v>
      </c>
      <c r="F1222" s="228">
        <f>IF(D1222&gt;0,-'Main Budget'!$H$25+0.15,0)</f>
        <v>0</v>
      </c>
      <c r="G1222" s="228">
        <f>IF(E1222&gt;0,-'Main Budget'!$F$25+0.81,0)</f>
        <v>0</v>
      </c>
      <c r="H1222" s="227">
        <f>IF(DAY(A1222)='Main Budget'!$J$26,'Main Budget'!$E$26,0)</f>
        <v>0</v>
      </c>
      <c r="I1222" s="227">
        <f>IF(DAY(A1222)='Main Budget'!$J$28,'Main Budget'!$E$28,0)</f>
        <v>0</v>
      </c>
      <c r="J1222" s="227">
        <f>IF(DAY(A1222)='Main Budget'!$J$29,'Main Budget'!$E$29,0)</f>
        <v>0</v>
      </c>
      <c r="K1222" s="20">
        <f>IF(DAY(A1222)='Main Budget'!$J$30,'Main Budget'!$E$30,0)</f>
        <v>0</v>
      </c>
      <c r="L1222" s="20">
        <f>IF(DAY(A1222)='Main Budget'!$J$31,'Main Budget'!$E$31,0)</f>
        <v>0</v>
      </c>
      <c r="M1222" s="20">
        <f>IF(DAY(A1222)='Main Budget'!$J$27,'Main Budget'!$E$27,0)</f>
        <v>0</v>
      </c>
      <c r="O1222" s="228">
        <f>B1222+(SUM(H1222:M1222)+(SUM(D1222:E1222)))</f>
        <v>100</v>
      </c>
      <c r="P1222" s="228">
        <f>C1222+F1222+G1222+N1222</f>
        <v>100</v>
      </c>
      <c r="Q1222" s="252">
        <f>O1222+P1222</f>
        <v>200</v>
      </c>
      <c r="S1222" s="231" t="str">
        <f>TEXT(A1222,"dddd")</f>
        <v>Saturday</v>
      </c>
    </row>
    <row r="1223" spans="1:19" x14ac:dyDescent="0.25">
      <c r="A1223" s="226">
        <v>47244</v>
      </c>
      <c r="B1223" s="227">
        <f>O1222</f>
        <v>100</v>
      </c>
      <c r="C1223" s="228">
        <f>P1222</f>
        <v>100</v>
      </c>
      <c r="D1223" s="228">
        <f>IF(OR(DAY(A1223+2)=1,DAY(A1223+2)=15),-SUM('Main Budget'!$H$26:$H$31),0)</f>
        <v>0</v>
      </c>
      <c r="E1223" s="228">
        <f>IF(DAY(A1223+2)=22,-SUM('Main Budget'!$F$26:$F$31),0)</f>
        <v>0</v>
      </c>
      <c r="F1223" s="228">
        <f>IF(D1223&gt;0,-'Main Budget'!$H$25+0.15,0)</f>
        <v>0</v>
      </c>
      <c r="G1223" s="228">
        <f>IF(E1223&gt;0,-'Main Budget'!$F$25+0.81,0)</f>
        <v>0</v>
      </c>
      <c r="H1223" s="227">
        <f>IF(DAY(A1223)='Main Budget'!$J$26,'Main Budget'!$E$26,0)</f>
        <v>0</v>
      </c>
      <c r="I1223" s="227">
        <f>IF(DAY(A1223)='Main Budget'!$J$28,'Main Budget'!$E$28,0)</f>
        <v>0</v>
      </c>
      <c r="J1223" s="227">
        <f>IF(DAY(A1223)='Main Budget'!$J$29,'Main Budget'!$E$29,0)</f>
        <v>0</v>
      </c>
      <c r="K1223" s="20">
        <f>IF(DAY(A1223)='Main Budget'!$J$30,'Main Budget'!$E$30,0)</f>
        <v>0</v>
      </c>
      <c r="L1223" s="20">
        <f>IF(DAY(A1223)='Main Budget'!$J$31,'Main Budget'!$E$31,0)</f>
        <v>0</v>
      </c>
      <c r="M1223" s="20">
        <f>IF(DAY(A1223)='Main Budget'!$J$27,'Main Budget'!$E$27,0)</f>
        <v>0</v>
      </c>
      <c r="O1223" s="228">
        <f>B1223+(SUM(H1223:M1223)+(SUM(D1223:E1223)))</f>
        <v>100</v>
      </c>
      <c r="P1223" s="228">
        <f>C1223+F1223+G1223+N1223</f>
        <v>100</v>
      </c>
      <c r="Q1223" s="252">
        <f>O1223+P1223</f>
        <v>200</v>
      </c>
      <c r="S1223" s="231" t="str">
        <f>TEXT(A1223,"dddd")</f>
        <v>Sunday</v>
      </c>
    </row>
    <row r="1224" spans="1:19" x14ac:dyDescent="0.25">
      <c r="A1224" s="226">
        <v>47245</v>
      </c>
      <c r="B1224" s="227">
        <f>O1223</f>
        <v>100</v>
      </c>
      <c r="C1224" s="228">
        <f>P1223</f>
        <v>100</v>
      </c>
      <c r="D1224" s="228">
        <f>IF(OR(DAY(A1224+2)=1,DAY(A1224+2)=15),-SUM('Main Budget'!$H$26:$H$31),0)</f>
        <v>0</v>
      </c>
      <c r="E1224" s="228">
        <f>IF(DAY(A1224+2)=22,-SUM('Main Budget'!$F$26:$F$31),0)</f>
        <v>0</v>
      </c>
      <c r="F1224" s="228">
        <f>IF(D1224&gt;0,-'Main Budget'!$H$25+0.15,0)</f>
        <v>0</v>
      </c>
      <c r="G1224" s="228">
        <f>IF(E1224&gt;0,-'Main Budget'!$F$25+0.81,0)</f>
        <v>0</v>
      </c>
      <c r="H1224" s="227">
        <f>IF(DAY(A1224)='Main Budget'!$J$26,'Main Budget'!$E$26,0)</f>
        <v>0</v>
      </c>
      <c r="I1224" s="227">
        <f>IF(DAY(A1224)='Main Budget'!$J$28,'Main Budget'!$E$28,0)</f>
        <v>0</v>
      </c>
      <c r="J1224" s="227">
        <f>IF(DAY(A1224)='Main Budget'!$J$29,'Main Budget'!$E$29,0)</f>
        <v>0</v>
      </c>
      <c r="K1224" s="20">
        <f>IF(DAY(A1224)='Main Budget'!$J$30,'Main Budget'!$E$30,0)</f>
        <v>0</v>
      </c>
      <c r="L1224" s="20">
        <f>IF(DAY(A1224)='Main Budget'!$J$31,'Main Budget'!$E$31,0)</f>
        <v>0</v>
      </c>
      <c r="M1224" s="20">
        <f>IF(DAY(A1224)='Main Budget'!$J$27,'Main Budget'!$E$27,0)</f>
        <v>0</v>
      </c>
      <c r="O1224" s="228">
        <f>B1224+(SUM(H1224:M1224)+(SUM(D1224:E1224)))</f>
        <v>100</v>
      </c>
      <c r="P1224" s="228">
        <f>C1224+F1224+G1224+N1224</f>
        <v>100</v>
      </c>
      <c r="Q1224" s="252">
        <f>O1224+P1224</f>
        <v>200</v>
      </c>
      <c r="S1224" s="231" t="str">
        <f>TEXT(A1224,"dddd")</f>
        <v>Monday</v>
      </c>
    </row>
    <row r="1225" spans="1:19" x14ac:dyDescent="0.25">
      <c r="A1225" s="226">
        <v>47246</v>
      </c>
      <c r="B1225" s="227">
        <f>O1224</f>
        <v>100</v>
      </c>
      <c r="C1225" s="228">
        <f>P1224</f>
        <v>100</v>
      </c>
      <c r="D1225" s="228">
        <f>IF(OR(DAY(A1225+2)=1,DAY(A1225+2)=15),-SUM('Main Budget'!$H$26:$H$31),0)</f>
        <v>0</v>
      </c>
      <c r="E1225" s="228">
        <f>IF(DAY(A1225+2)=22,-SUM('Main Budget'!$F$26:$F$31),0)</f>
        <v>0</v>
      </c>
      <c r="F1225" s="228">
        <f>IF(D1225&gt;0,-'Main Budget'!$H$25+0.15,0)</f>
        <v>0</v>
      </c>
      <c r="G1225" s="228">
        <f>IF(E1225&gt;0,-'Main Budget'!$F$25+0.81,0)</f>
        <v>0</v>
      </c>
      <c r="H1225" s="227">
        <f>IF(DAY(A1225)='Main Budget'!$J$26,'Main Budget'!$E$26,0)</f>
        <v>0</v>
      </c>
      <c r="I1225" s="227">
        <f>IF(DAY(A1225)='Main Budget'!$J$28,'Main Budget'!$E$28,0)</f>
        <v>0</v>
      </c>
      <c r="J1225" s="227">
        <f>IF(DAY(A1225)='Main Budget'!$J$29,'Main Budget'!$E$29,0)</f>
        <v>0</v>
      </c>
      <c r="K1225" s="20">
        <f>IF(DAY(A1225)='Main Budget'!$J$30,'Main Budget'!$E$30,0)</f>
        <v>0</v>
      </c>
      <c r="L1225" s="20">
        <f>IF(DAY(A1225)='Main Budget'!$J$31,'Main Budget'!$E$31,0)</f>
        <v>0</v>
      </c>
      <c r="M1225" s="20">
        <f>IF(DAY(A1225)='Main Budget'!$J$27,'Main Budget'!$E$27,0)</f>
        <v>0</v>
      </c>
      <c r="O1225" s="228">
        <f>B1225+(SUM(H1225:M1225)+(SUM(D1225:E1225)))</f>
        <v>100</v>
      </c>
      <c r="P1225" s="228">
        <f>C1225+F1225+G1225+N1225</f>
        <v>100</v>
      </c>
      <c r="Q1225" s="252">
        <f>O1225+P1225</f>
        <v>200</v>
      </c>
      <c r="S1225" s="231" t="str">
        <f>TEXT(A1225,"dddd")</f>
        <v>Tuesday</v>
      </c>
    </row>
    <row r="1226" spans="1:19" x14ac:dyDescent="0.25">
      <c r="A1226" s="226">
        <v>47247</v>
      </c>
      <c r="B1226" s="227">
        <f>O1225</f>
        <v>100</v>
      </c>
      <c r="C1226" s="228">
        <f>P1225</f>
        <v>100</v>
      </c>
      <c r="D1226" s="228">
        <f>IF(OR(DAY(A1226+2)=1,DAY(A1226+2)=15),-SUM('Main Budget'!$H$26:$H$31),0)</f>
        <v>0</v>
      </c>
      <c r="E1226" s="228">
        <f>IF(DAY(A1226+2)=22,-SUM('Main Budget'!$F$26:$F$31),0)</f>
        <v>0</v>
      </c>
      <c r="F1226" s="228">
        <f>IF(D1226&gt;0,-'Main Budget'!$H$25+0.15,0)</f>
        <v>0</v>
      </c>
      <c r="G1226" s="228">
        <f>IF(E1226&gt;0,-'Main Budget'!$F$25+0.81,0)</f>
        <v>0</v>
      </c>
      <c r="H1226" s="227">
        <f>IF(DAY(A1226)='Main Budget'!$J$26,'Main Budget'!$E$26,0)</f>
        <v>0</v>
      </c>
      <c r="I1226" s="227">
        <f>IF(DAY(A1226)='Main Budget'!$J$28,'Main Budget'!$E$28,0)</f>
        <v>0</v>
      </c>
      <c r="J1226" s="227">
        <f>IF(DAY(A1226)='Main Budget'!$J$29,'Main Budget'!$E$29,0)</f>
        <v>0</v>
      </c>
      <c r="K1226" s="20">
        <f>IF(DAY(A1226)='Main Budget'!$J$30,'Main Budget'!$E$30,0)</f>
        <v>0</v>
      </c>
      <c r="L1226" s="20">
        <f>IF(DAY(A1226)='Main Budget'!$J$31,'Main Budget'!$E$31,0)</f>
        <v>0</v>
      </c>
      <c r="M1226" s="20">
        <f>IF(DAY(A1226)='Main Budget'!$J$27,'Main Budget'!$E$27,0)</f>
        <v>0</v>
      </c>
      <c r="O1226" s="228">
        <f>B1226+(SUM(H1226:M1226)+(SUM(D1226:E1226)))</f>
        <v>100</v>
      </c>
      <c r="P1226" s="228">
        <f>C1226+F1226+G1226+N1226</f>
        <v>100</v>
      </c>
      <c r="Q1226" s="252">
        <f>O1226+P1226</f>
        <v>200</v>
      </c>
      <c r="S1226" s="231" t="str">
        <f>TEXT(A1226,"dddd")</f>
        <v>Wednesday</v>
      </c>
    </row>
    <row r="1227" spans="1:19" x14ac:dyDescent="0.25">
      <c r="A1227" s="226">
        <v>47248</v>
      </c>
      <c r="B1227" s="227">
        <f>O1226</f>
        <v>100</v>
      </c>
      <c r="C1227" s="228">
        <f>P1226</f>
        <v>100</v>
      </c>
      <c r="D1227" s="228">
        <f>IF(OR(DAY(A1227+2)=1,DAY(A1227+2)=15),-SUM('Main Budget'!$H$26:$H$31),0)</f>
        <v>0</v>
      </c>
      <c r="E1227" s="228">
        <f>IF(DAY(A1227+2)=22,-SUM('Main Budget'!$F$26:$F$31),0)</f>
        <v>0</v>
      </c>
      <c r="F1227" s="228">
        <f>IF(D1227&gt;0,-'Main Budget'!$H$25+0.15,0)</f>
        <v>0</v>
      </c>
      <c r="G1227" s="228">
        <f>IF(E1227&gt;0,-'Main Budget'!$F$25+0.81,0)</f>
        <v>0</v>
      </c>
      <c r="H1227" s="227">
        <f>IF(DAY(A1227)='Main Budget'!$J$26,'Main Budget'!$E$26,0)</f>
        <v>0</v>
      </c>
      <c r="I1227" s="227">
        <f>IF(DAY(A1227)='Main Budget'!$J$28,'Main Budget'!$E$28,0)</f>
        <v>0</v>
      </c>
      <c r="J1227" s="227">
        <f>IF(DAY(A1227)='Main Budget'!$J$29,'Main Budget'!$E$29,0)</f>
        <v>0</v>
      </c>
      <c r="K1227" s="20">
        <f>IF(DAY(A1227)='Main Budget'!$J$30,'Main Budget'!$E$30,0)</f>
        <v>0</v>
      </c>
      <c r="L1227" s="20">
        <f>IF(DAY(A1227)='Main Budget'!$J$31,'Main Budget'!$E$31,0)</f>
        <v>0</v>
      </c>
      <c r="M1227" s="20">
        <f>IF(DAY(A1227)='Main Budget'!$J$27,'Main Budget'!$E$27,0)</f>
        <v>0</v>
      </c>
      <c r="O1227" s="228">
        <f>B1227+(SUM(H1227:M1227)+(SUM(D1227:E1227)))</f>
        <v>100</v>
      </c>
      <c r="P1227" s="228">
        <f>C1227+F1227+G1227+N1227</f>
        <v>100</v>
      </c>
      <c r="Q1227" s="252">
        <f>O1227+P1227</f>
        <v>200</v>
      </c>
      <c r="S1227" s="231" t="str">
        <f>TEXT(A1227,"dddd")</f>
        <v>Thursday</v>
      </c>
    </row>
    <row r="1228" spans="1:19" x14ac:dyDescent="0.25">
      <c r="A1228" s="226">
        <v>47249</v>
      </c>
      <c r="B1228" s="227">
        <f>O1227</f>
        <v>100</v>
      </c>
      <c r="C1228" s="228">
        <f>P1227</f>
        <v>100</v>
      </c>
      <c r="D1228" s="228">
        <f>IF(OR(DAY(A1228+2)=1,DAY(A1228+2)=15),-SUM('Main Budget'!$H$26:$H$31),0)</f>
        <v>0</v>
      </c>
      <c r="E1228" s="228">
        <f>IF(DAY(A1228+2)=22,-SUM('Main Budget'!$F$26:$F$31),0)</f>
        <v>0</v>
      </c>
      <c r="F1228" s="228">
        <f>IF(D1228&gt;0,-'Main Budget'!$H$25+0.15,0)</f>
        <v>0</v>
      </c>
      <c r="G1228" s="228">
        <f>IF(E1228&gt;0,-'Main Budget'!$F$25+0.81,0)</f>
        <v>0</v>
      </c>
      <c r="H1228" s="227">
        <f>IF(DAY(A1228)='Main Budget'!$J$26,'Main Budget'!$E$26,0)</f>
        <v>0</v>
      </c>
      <c r="I1228" s="227">
        <f>IF(DAY(A1228)='Main Budget'!$J$28,'Main Budget'!$E$28,0)</f>
        <v>0</v>
      </c>
      <c r="J1228" s="227">
        <f>IF(DAY(A1228)='Main Budget'!$J$29,'Main Budget'!$E$29,0)</f>
        <v>0</v>
      </c>
      <c r="K1228" s="20">
        <f>IF(DAY(A1228)='Main Budget'!$J$30,'Main Budget'!$E$30,0)</f>
        <v>0</v>
      </c>
      <c r="L1228" s="20">
        <f>IF(DAY(A1228)='Main Budget'!$J$31,'Main Budget'!$E$31,0)</f>
        <v>0</v>
      </c>
      <c r="M1228" s="20">
        <f>IF(DAY(A1228)='Main Budget'!$J$27,'Main Budget'!$E$27,0)</f>
        <v>0</v>
      </c>
      <c r="O1228" s="228">
        <f>B1228+(SUM(H1228:M1228)+(SUM(D1228:E1228)))</f>
        <v>100</v>
      </c>
      <c r="P1228" s="228">
        <f>C1228+F1228+G1228+N1228</f>
        <v>100</v>
      </c>
      <c r="Q1228" s="252">
        <f>O1228+P1228</f>
        <v>200</v>
      </c>
      <c r="S1228" s="231" t="str">
        <f>TEXT(A1228,"dddd")</f>
        <v>Friday</v>
      </c>
    </row>
    <row r="1229" spans="1:19" x14ac:dyDescent="0.25">
      <c r="A1229" s="226">
        <v>47250</v>
      </c>
      <c r="B1229" s="227">
        <f>O1228</f>
        <v>100</v>
      </c>
      <c r="C1229" s="228">
        <f>P1228</f>
        <v>100</v>
      </c>
      <c r="D1229" s="228">
        <f>IF(OR(DAY(A1229+2)=1,DAY(A1229+2)=15),-SUM('Main Budget'!$H$26:$H$31),0)</f>
        <v>0</v>
      </c>
      <c r="E1229" s="228">
        <f>IF(DAY(A1229+2)=22,-SUM('Main Budget'!$F$26:$F$31),0)</f>
        <v>0</v>
      </c>
      <c r="F1229" s="228">
        <f>IF(D1229&gt;0,-'Main Budget'!$H$25+0.15,0)</f>
        <v>0</v>
      </c>
      <c r="G1229" s="228">
        <f>IF(E1229&gt;0,-'Main Budget'!$F$25+0.81,0)</f>
        <v>0</v>
      </c>
      <c r="H1229" s="227">
        <f>IF(DAY(A1229)='Main Budget'!$J$26,'Main Budget'!$E$26,0)</f>
        <v>0</v>
      </c>
      <c r="I1229" s="227">
        <f>IF(DAY(A1229)='Main Budget'!$J$28,'Main Budget'!$E$28,0)</f>
        <v>0</v>
      </c>
      <c r="J1229" s="227">
        <f>IF(DAY(A1229)='Main Budget'!$J$29,'Main Budget'!$E$29,0)</f>
        <v>0</v>
      </c>
      <c r="K1229" s="20">
        <f>IF(DAY(A1229)='Main Budget'!$J$30,'Main Budget'!$E$30,0)</f>
        <v>0</v>
      </c>
      <c r="L1229" s="20">
        <f>IF(DAY(A1229)='Main Budget'!$J$31,'Main Budget'!$E$31,0)</f>
        <v>0</v>
      </c>
      <c r="M1229" s="20">
        <f>IF(DAY(A1229)='Main Budget'!$J$27,'Main Budget'!$E$27,0)</f>
        <v>0</v>
      </c>
      <c r="O1229" s="228">
        <f>B1229+(SUM(H1229:M1229)+(SUM(D1229:E1229)))</f>
        <v>100</v>
      </c>
      <c r="P1229" s="228">
        <f>C1229+F1229+G1229+N1229</f>
        <v>100</v>
      </c>
      <c r="Q1229" s="252">
        <f>O1229+P1229</f>
        <v>200</v>
      </c>
      <c r="S1229" s="231" t="str">
        <f>TEXT(A1229,"dddd")</f>
        <v>Saturday</v>
      </c>
    </row>
    <row r="1230" spans="1:19" x14ac:dyDescent="0.25">
      <c r="A1230" s="226">
        <v>47251</v>
      </c>
      <c r="B1230" s="227">
        <f>O1229</f>
        <v>100</v>
      </c>
      <c r="C1230" s="228">
        <f>P1229</f>
        <v>100</v>
      </c>
      <c r="D1230" s="228">
        <f>IF(OR(DAY(A1230+2)=1,DAY(A1230+2)=15),-SUM('Main Budget'!$H$26:$H$31),0)</f>
        <v>0</v>
      </c>
      <c r="E1230" s="228">
        <f>IF(DAY(A1230+2)=22,-SUM('Main Budget'!$F$26:$F$31),0)</f>
        <v>0</v>
      </c>
      <c r="F1230" s="228">
        <f>IF(D1230&gt;0,-'Main Budget'!$H$25+0.15,0)</f>
        <v>0</v>
      </c>
      <c r="G1230" s="228">
        <f>IF(E1230&gt;0,-'Main Budget'!$F$25+0.81,0)</f>
        <v>0</v>
      </c>
      <c r="H1230" s="227">
        <f>IF(DAY(A1230)='Main Budget'!$J$26,'Main Budget'!$E$26,0)</f>
        <v>0</v>
      </c>
      <c r="I1230" s="227">
        <f>IF(DAY(A1230)='Main Budget'!$J$28,'Main Budget'!$E$28,0)</f>
        <v>0</v>
      </c>
      <c r="J1230" s="227">
        <f>IF(DAY(A1230)='Main Budget'!$J$29,'Main Budget'!$E$29,0)</f>
        <v>0</v>
      </c>
      <c r="K1230" s="20">
        <f>IF(DAY(A1230)='Main Budget'!$J$30,'Main Budget'!$E$30,0)</f>
        <v>0</v>
      </c>
      <c r="L1230" s="20">
        <f>IF(DAY(A1230)='Main Budget'!$J$31,'Main Budget'!$E$31,0)</f>
        <v>0</v>
      </c>
      <c r="M1230" s="20">
        <f>IF(DAY(A1230)='Main Budget'!$J$27,'Main Budget'!$E$27,0)</f>
        <v>0</v>
      </c>
      <c r="O1230" s="228">
        <f>B1230+(SUM(H1230:M1230)+(SUM(D1230:E1230)))</f>
        <v>100</v>
      </c>
      <c r="P1230" s="228">
        <f>C1230+F1230+G1230+N1230</f>
        <v>100</v>
      </c>
      <c r="Q1230" s="252">
        <f>O1230+P1230</f>
        <v>200</v>
      </c>
      <c r="S1230" s="231" t="str">
        <f>TEXT(A1230,"dddd")</f>
        <v>Sunday</v>
      </c>
    </row>
    <row r="1231" spans="1:19" x14ac:dyDescent="0.25">
      <c r="A1231" s="226">
        <v>47252</v>
      </c>
      <c r="B1231" s="227">
        <f>O1230</f>
        <v>100</v>
      </c>
      <c r="C1231" s="228">
        <f>P1230</f>
        <v>100</v>
      </c>
      <c r="D1231" s="228">
        <f>IF(OR(DAY(A1231+2)=1,DAY(A1231+2)=15),-SUM('Main Budget'!$H$26:$H$31),0)</f>
        <v>0</v>
      </c>
      <c r="E1231" s="228">
        <f>IF(DAY(A1231+2)=22,-SUM('Main Budget'!$F$26:$F$31),0)</f>
        <v>0</v>
      </c>
      <c r="F1231" s="228">
        <f>IF(D1231&gt;0,-'Main Budget'!$H$25+0.15,0)</f>
        <v>0</v>
      </c>
      <c r="G1231" s="228">
        <f>IF(E1231&gt;0,-'Main Budget'!$F$25+0.81,0)</f>
        <v>0</v>
      </c>
      <c r="H1231" s="227">
        <f>IF(DAY(A1231)='Main Budget'!$J$26,'Main Budget'!$E$26,0)</f>
        <v>0</v>
      </c>
      <c r="I1231" s="227">
        <f>IF(DAY(A1231)='Main Budget'!$J$28,'Main Budget'!$E$28,0)</f>
        <v>0</v>
      </c>
      <c r="J1231" s="227">
        <f>IF(DAY(A1231)='Main Budget'!$J$29,'Main Budget'!$E$29,0)</f>
        <v>0</v>
      </c>
      <c r="K1231" s="20">
        <f>IF(DAY(A1231)='Main Budget'!$J$30,'Main Budget'!$E$30,0)</f>
        <v>0</v>
      </c>
      <c r="L1231" s="20">
        <f>IF(DAY(A1231)='Main Budget'!$J$31,'Main Budget'!$E$31,0)</f>
        <v>0</v>
      </c>
      <c r="M1231" s="20">
        <f>IF(DAY(A1231)='Main Budget'!$J$27,'Main Budget'!$E$27,0)</f>
        <v>0</v>
      </c>
      <c r="O1231" s="228">
        <f>B1231+(SUM(H1231:M1231)+(SUM(D1231:E1231)))</f>
        <v>100</v>
      </c>
      <c r="P1231" s="228">
        <f>C1231+F1231+G1231+N1231</f>
        <v>100</v>
      </c>
      <c r="Q1231" s="252">
        <f>O1231+P1231</f>
        <v>200</v>
      </c>
      <c r="S1231" s="231" t="str">
        <f>TEXT(A1231,"dddd")</f>
        <v>Monday</v>
      </c>
    </row>
    <row r="1232" spans="1:19" x14ac:dyDescent="0.25">
      <c r="A1232" s="226">
        <v>47253</v>
      </c>
      <c r="B1232" s="227">
        <f>O1231</f>
        <v>100</v>
      </c>
      <c r="C1232" s="228">
        <f>P1231</f>
        <v>100</v>
      </c>
      <c r="D1232" s="228">
        <f>IF(OR(DAY(A1232+2)=1,DAY(A1232+2)=15),-SUM('Main Budget'!$H$26:$H$31),0)</f>
        <v>0</v>
      </c>
      <c r="E1232" s="228">
        <f>IF(DAY(A1232+2)=22,-SUM('Main Budget'!$F$26:$F$31),0)</f>
        <v>0</v>
      </c>
      <c r="F1232" s="228">
        <f>IF(D1232&gt;0,-'Main Budget'!$H$25+0.15,0)</f>
        <v>0</v>
      </c>
      <c r="G1232" s="228">
        <f>IF(E1232&gt;0,-'Main Budget'!$F$25+0.81,0)</f>
        <v>0</v>
      </c>
      <c r="H1232" s="227">
        <f>IF(DAY(A1232)='Main Budget'!$J$26,'Main Budget'!$E$26,0)</f>
        <v>0</v>
      </c>
      <c r="I1232" s="227">
        <f>IF(DAY(A1232)='Main Budget'!$J$28,'Main Budget'!$E$28,0)</f>
        <v>0</v>
      </c>
      <c r="J1232" s="227">
        <f>IF(DAY(A1232)='Main Budget'!$J$29,'Main Budget'!$E$29,0)</f>
        <v>0</v>
      </c>
      <c r="K1232" s="20">
        <f>IF(DAY(A1232)='Main Budget'!$J$30,'Main Budget'!$E$30,0)</f>
        <v>0</v>
      </c>
      <c r="L1232" s="20">
        <f>IF(DAY(A1232)='Main Budget'!$J$31,'Main Budget'!$E$31,0)</f>
        <v>0</v>
      </c>
      <c r="M1232" s="20">
        <f>IF(DAY(A1232)='Main Budget'!$J$27,'Main Budget'!$E$27,0)</f>
        <v>0</v>
      </c>
      <c r="O1232" s="228">
        <f>B1232+(SUM(H1232:M1232)+(SUM(D1232:E1232)))</f>
        <v>100</v>
      </c>
      <c r="P1232" s="228">
        <f>C1232+F1232+G1232+N1232</f>
        <v>100</v>
      </c>
      <c r="Q1232" s="252">
        <f>O1232+P1232</f>
        <v>200</v>
      </c>
      <c r="S1232" s="231" t="str">
        <f>TEXT(A1232,"dddd")</f>
        <v>Tuesday</v>
      </c>
    </row>
    <row r="1233" spans="1:19" x14ac:dyDescent="0.25">
      <c r="A1233" s="226">
        <v>47254</v>
      </c>
      <c r="B1233" s="227">
        <f>O1232</f>
        <v>100</v>
      </c>
      <c r="C1233" s="228">
        <f>P1232</f>
        <v>100</v>
      </c>
      <c r="D1233" s="228">
        <f>IF(OR(DAY(A1233+2)=1,DAY(A1233+2)=15),-SUM('Main Budget'!$H$26:$H$31),0)</f>
        <v>0</v>
      </c>
      <c r="E1233" s="228">
        <f>IF(DAY(A1233+2)=22,-SUM('Main Budget'!$F$26:$F$31),0)</f>
        <v>0</v>
      </c>
      <c r="F1233" s="228">
        <f>IF(D1233&gt;0,-'Main Budget'!$H$25+0.15,0)</f>
        <v>0</v>
      </c>
      <c r="G1233" s="228">
        <f>IF(E1233&gt;0,-'Main Budget'!$F$25+0.81,0)</f>
        <v>0</v>
      </c>
      <c r="H1233" s="227">
        <f>IF(DAY(A1233)='Main Budget'!$J$26,'Main Budget'!$E$26,0)</f>
        <v>0</v>
      </c>
      <c r="I1233" s="227">
        <f>IF(DAY(A1233)='Main Budget'!$J$28,'Main Budget'!$E$28,0)</f>
        <v>0</v>
      </c>
      <c r="J1233" s="227">
        <f>IF(DAY(A1233)='Main Budget'!$J$29,'Main Budget'!$E$29,0)</f>
        <v>0</v>
      </c>
      <c r="K1233" s="20">
        <f>IF(DAY(A1233)='Main Budget'!$J$30,'Main Budget'!$E$30,0)</f>
        <v>0</v>
      </c>
      <c r="L1233" s="20">
        <f>IF(DAY(A1233)='Main Budget'!$J$31,'Main Budget'!$E$31,0)</f>
        <v>0</v>
      </c>
      <c r="M1233" s="20">
        <f>IF(DAY(A1233)='Main Budget'!$J$27,'Main Budget'!$E$27,0)</f>
        <v>0</v>
      </c>
      <c r="O1233" s="228">
        <f>B1233+(SUM(H1233:M1233)+(SUM(D1233:E1233)))</f>
        <v>100</v>
      </c>
      <c r="P1233" s="228">
        <f>C1233+F1233+G1233+N1233</f>
        <v>100</v>
      </c>
      <c r="Q1233" s="252">
        <f>O1233+P1233</f>
        <v>200</v>
      </c>
      <c r="S1233" s="231" t="str">
        <f>TEXT(A1233,"dddd")</f>
        <v>Wednesday</v>
      </c>
    </row>
    <row r="1234" spans="1:19" x14ac:dyDescent="0.25">
      <c r="A1234" s="226">
        <v>47255</v>
      </c>
      <c r="B1234" s="227">
        <f>O1233</f>
        <v>100</v>
      </c>
      <c r="C1234" s="228">
        <f>P1233</f>
        <v>100</v>
      </c>
      <c r="D1234" s="228">
        <f>IF(OR(DAY(A1234+2)=1,DAY(A1234+2)=15),-SUM('Main Budget'!$H$26:$H$31),0)</f>
        <v>0</v>
      </c>
      <c r="E1234" s="228">
        <f>IF(DAY(A1234+2)=22,-SUM('Main Budget'!$F$26:$F$31),0)</f>
        <v>0</v>
      </c>
      <c r="F1234" s="228">
        <f>IF(D1234&gt;0,-'Main Budget'!$H$25+0.15,0)</f>
        <v>0</v>
      </c>
      <c r="G1234" s="228">
        <f>IF(E1234&gt;0,-'Main Budget'!$F$25+0.81,0)</f>
        <v>0</v>
      </c>
      <c r="H1234" s="227">
        <f>IF(DAY(A1234)='Main Budget'!$J$26,'Main Budget'!$E$26,0)</f>
        <v>0</v>
      </c>
      <c r="I1234" s="227">
        <f>IF(DAY(A1234)='Main Budget'!$J$28,'Main Budget'!$E$28,0)</f>
        <v>0</v>
      </c>
      <c r="J1234" s="227">
        <f>IF(DAY(A1234)='Main Budget'!$J$29,'Main Budget'!$E$29,0)</f>
        <v>0</v>
      </c>
      <c r="K1234" s="20">
        <f>IF(DAY(A1234)='Main Budget'!$J$30,'Main Budget'!$E$30,0)</f>
        <v>0</v>
      </c>
      <c r="L1234" s="20">
        <f>IF(DAY(A1234)='Main Budget'!$J$31,'Main Budget'!$E$31,0)</f>
        <v>0</v>
      </c>
      <c r="M1234" s="20">
        <f>IF(DAY(A1234)='Main Budget'!$J$27,'Main Budget'!$E$27,0)</f>
        <v>0</v>
      </c>
      <c r="O1234" s="228">
        <f>B1234+(SUM(H1234:M1234)+(SUM(D1234:E1234)))</f>
        <v>100</v>
      </c>
      <c r="P1234" s="228">
        <f>C1234+F1234+G1234+N1234</f>
        <v>100</v>
      </c>
      <c r="Q1234" s="252">
        <f>O1234+P1234</f>
        <v>200</v>
      </c>
      <c r="S1234" s="231" t="str">
        <f>TEXT(A1234,"dddd")</f>
        <v>Thursday</v>
      </c>
    </row>
    <row r="1235" spans="1:19" x14ac:dyDescent="0.25">
      <c r="A1235" s="226">
        <v>47256</v>
      </c>
      <c r="B1235" s="227">
        <f>O1234</f>
        <v>100</v>
      </c>
      <c r="C1235" s="228">
        <f>P1234</f>
        <v>100</v>
      </c>
      <c r="D1235" s="228">
        <f>IF(OR(DAY(A1235+2)=1,DAY(A1235+2)=15),-SUM('Main Budget'!$H$26:$H$31),0)</f>
        <v>0</v>
      </c>
      <c r="E1235" s="228">
        <f>IF(DAY(A1235+2)=22,-SUM('Main Budget'!$F$26:$F$31),0)</f>
        <v>0</v>
      </c>
      <c r="F1235" s="228">
        <f>IF(D1235&gt;0,-'Main Budget'!$H$25+0.15,0)</f>
        <v>0</v>
      </c>
      <c r="G1235" s="228">
        <f>IF(E1235&gt;0,-'Main Budget'!$F$25+0.81,0)</f>
        <v>0</v>
      </c>
      <c r="H1235" s="227">
        <f>IF(DAY(A1235)='Main Budget'!$J$26,'Main Budget'!$E$26,0)</f>
        <v>0</v>
      </c>
      <c r="I1235" s="227">
        <f>IF(DAY(A1235)='Main Budget'!$J$28,'Main Budget'!$E$28,0)</f>
        <v>0</v>
      </c>
      <c r="J1235" s="227">
        <f>IF(DAY(A1235)='Main Budget'!$J$29,'Main Budget'!$E$29,0)</f>
        <v>0</v>
      </c>
      <c r="K1235" s="20">
        <f>IF(DAY(A1235)='Main Budget'!$J$30,'Main Budget'!$E$30,0)</f>
        <v>0</v>
      </c>
      <c r="L1235" s="20">
        <f>IF(DAY(A1235)='Main Budget'!$J$31,'Main Budget'!$E$31,0)</f>
        <v>0</v>
      </c>
      <c r="M1235" s="20">
        <f>IF(DAY(A1235)='Main Budget'!$J$27,'Main Budget'!$E$27,0)</f>
        <v>0</v>
      </c>
      <c r="O1235" s="228">
        <f>B1235+(SUM(H1235:M1235)+(SUM(D1235:E1235)))</f>
        <v>100</v>
      </c>
      <c r="P1235" s="228">
        <f>C1235+F1235+G1235+N1235</f>
        <v>100</v>
      </c>
      <c r="Q1235" s="252">
        <f>O1235+P1235</f>
        <v>200</v>
      </c>
      <c r="S1235" s="231" t="str">
        <f>TEXT(A1235,"dddd")</f>
        <v>Friday</v>
      </c>
    </row>
    <row r="1236" spans="1:19" x14ac:dyDescent="0.25">
      <c r="A1236" s="226">
        <v>47257</v>
      </c>
      <c r="B1236" s="227">
        <f>O1235</f>
        <v>100</v>
      </c>
      <c r="C1236" s="228">
        <f>P1235</f>
        <v>100</v>
      </c>
      <c r="D1236" s="228">
        <f>IF(OR(DAY(A1236+2)=1,DAY(A1236+2)=15),-SUM('Main Budget'!$H$26:$H$31),0)</f>
        <v>0</v>
      </c>
      <c r="E1236" s="228">
        <f>IF(DAY(A1236+2)=22,-SUM('Main Budget'!$F$26:$F$31),0)</f>
        <v>0</v>
      </c>
      <c r="F1236" s="228">
        <f>IF(D1236&gt;0,-'Main Budget'!$H$25+0.15,0)</f>
        <v>0</v>
      </c>
      <c r="G1236" s="228">
        <f>IF(E1236&gt;0,-'Main Budget'!$F$25+0.81,0)</f>
        <v>0</v>
      </c>
      <c r="H1236" s="227">
        <f>IF(DAY(A1236)='Main Budget'!$J$26,'Main Budget'!$E$26,0)</f>
        <v>0</v>
      </c>
      <c r="I1236" s="227">
        <f>IF(DAY(A1236)='Main Budget'!$J$28,'Main Budget'!$E$28,0)</f>
        <v>0</v>
      </c>
      <c r="J1236" s="227">
        <f>IF(DAY(A1236)='Main Budget'!$J$29,'Main Budget'!$E$29,0)</f>
        <v>0</v>
      </c>
      <c r="K1236" s="20">
        <f>IF(DAY(A1236)='Main Budget'!$J$30,'Main Budget'!$E$30,0)</f>
        <v>0</v>
      </c>
      <c r="L1236" s="20">
        <f>IF(DAY(A1236)='Main Budget'!$J$31,'Main Budget'!$E$31,0)</f>
        <v>0</v>
      </c>
      <c r="M1236" s="20">
        <f>IF(DAY(A1236)='Main Budget'!$J$27,'Main Budget'!$E$27,0)</f>
        <v>0</v>
      </c>
      <c r="O1236" s="228">
        <f>B1236+(SUM(H1236:M1236)+(SUM(D1236:E1236)))</f>
        <v>100</v>
      </c>
      <c r="P1236" s="228">
        <f>C1236+F1236+G1236+N1236</f>
        <v>100</v>
      </c>
      <c r="Q1236" s="252">
        <f>O1236+P1236</f>
        <v>200</v>
      </c>
      <c r="S1236" s="231" t="str">
        <f>TEXT(A1236,"dddd")</f>
        <v>Saturday</v>
      </c>
    </row>
    <row r="1237" spans="1:19" x14ac:dyDescent="0.25">
      <c r="A1237" s="226">
        <v>47258</v>
      </c>
      <c r="B1237" s="227">
        <f>O1236</f>
        <v>100</v>
      </c>
      <c r="C1237" s="228">
        <f>P1236</f>
        <v>100</v>
      </c>
      <c r="D1237" s="228">
        <f>IF(OR(DAY(A1237+2)=1,DAY(A1237+2)=15),-SUM('Main Budget'!$H$26:$H$31),0)</f>
        <v>0</v>
      </c>
      <c r="E1237" s="228">
        <f>IF(DAY(A1237+2)=22,-SUM('Main Budget'!$F$26:$F$31),0)</f>
        <v>0</v>
      </c>
      <c r="F1237" s="228">
        <f>IF(D1237&gt;0,-'Main Budget'!$H$25+0.15,0)</f>
        <v>0</v>
      </c>
      <c r="G1237" s="228">
        <f>IF(E1237&gt;0,-'Main Budget'!$F$25+0.81,0)</f>
        <v>0</v>
      </c>
      <c r="H1237" s="227">
        <f>IF(DAY(A1237)='Main Budget'!$J$26,'Main Budget'!$E$26,0)</f>
        <v>0</v>
      </c>
      <c r="I1237" s="227">
        <f>IF(DAY(A1237)='Main Budget'!$J$28,'Main Budget'!$E$28,0)</f>
        <v>0</v>
      </c>
      <c r="J1237" s="227">
        <f>IF(DAY(A1237)='Main Budget'!$J$29,'Main Budget'!$E$29,0)</f>
        <v>0</v>
      </c>
      <c r="K1237" s="20">
        <f>IF(DAY(A1237)='Main Budget'!$J$30,'Main Budget'!$E$30,0)</f>
        <v>0</v>
      </c>
      <c r="L1237" s="20">
        <f>IF(DAY(A1237)='Main Budget'!$J$31,'Main Budget'!$E$31,0)</f>
        <v>0</v>
      </c>
      <c r="M1237" s="20">
        <f>IF(DAY(A1237)='Main Budget'!$J$27,'Main Budget'!$E$27,0)</f>
        <v>0</v>
      </c>
      <c r="O1237" s="228">
        <f>B1237+(SUM(H1237:M1237)+(SUM(D1237:E1237)))</f>
        <v>100</v>
      </c>
      <c r="P1237" s="228">
        <f>C1237+F1237+G1237+N1237</f>
        <v>100</v>
      </c>
      <c r="Q1237" s="252">
        <f>O1237+P1237</f>
        <v>200</v>
      </c>
      <c r="S1237" s="231" t="str">
        <f>TEXT(A1237,"dddd")</f>
        <v>Sunday</v>
      </c>
    </row>
    <row r="1238" spans="1:19" x14ac:dyDescent="0.25">
      <c r="A1238" s="226">
        <v>47259</v>
      </c>
      <c r="B1238" s="227">
        <f>O1237</f>
        <v>100</v>
      </c>
      <c r="C1238" s="228">
        <f>P1237</f>
        <v>100</v>
      </c>
      <c r="D1238" s="228">
        <f>IF(OR(DAY(A1238+2)=1,DAY(A1238+2)=15),-SUM('Main Budget'!$H$26:$H$31),0)</f>
        <v>0</v>
      </c>
      <c r="E1238" s="228">
        <f>IF(DAY(A1238+2)=22,-SUM('Main Budget'!$F$26:$F$31),0)</f>
        <v>0</v>
      </c>
      <c r="F1238" s="228">
        <f>IF(D1238&gt;0,-'Main Budget'!$H$25+0.15,0)</f>
        <v>0</v>
      </c>
      <c r="G1238" s="228">
        <f>IF(E1238&gt;0,-'Main Budget'!$F$25+0.81,0)</f>
        <v>0</v>
      </c>
      <c r="H1238" s="227">
        <f>IF(DAY(A1238)='Main Budget'!$J$26,'Main Budget'!$E$26,0)</f>
        <v>0</v>
      </c>
      <c r="I1238" s="227">
        <f>IF(DAY(A1238)='Main Budget'!$J$28,'Main Budget'!$E$28,0)</f>
        <v>0</v>
      </c>
      <c r="J1238" s="227">
        <f>IF(DAY(A1238)='Main Budget'!$J$29,'Main Budget'!$E$29,0)</f>
        <v>0</v>
      </c>
      <c r="K1238" s="20">
        <f>IF(DAY(A1238)='Main Budget'!$J$30,'Main Budget'!$E$30,0)</f>
        <v>0</v>
      </c>
      <c r="L1238" s="20">
        <f>IF(DAY(A1238)='Main Budget'!$J$31,'Main Budget'!$E$31,0)</f>
        <v>0</v>
      </c>
      <c r="M1238" s="20">
        <f>IF(DAY(A1238)='Main Budget'!$J$27,'Main Budget'!$E$27,0)</f>
        <v>0</v>
      </c>
      <c r="O1238" s="228">
        <f>B1238+(SUM(H1238:M1238)+(SUM(D1238:E1238)))</f>
        <v>100</v>
      </c>
      <c r="P1238" s="228">
        <f>C1238+F1238+G1238+N1238</f>
        <v>100</v>
      </c>
      <c r="Q1238" s="252">
        <f>O1238+P1238</f>
        <v>200</v>
      </c>
      <c r="S1238" s="231" t="str">
        <f>TEXT(A1238,"dddd")</f>
        <v>Monday</v>
      </c>
    </row>
    <row r="1239" spans="1:19" x14ac:dyDescent="0.25">
      <c r="A1239" s="226">
        <v>47260</v>
      </c>
      <c r="B1239" s="227">
        <f>O1238</f>
        <v>100</v>
      </c>
      <c r="C1239" s="228">
        <f>P1238</f>
        <v>100</v>
      </c>
      <c r="D1239" s="228">
        <f>IF(OR(DAY(A1239+2)=1,DAY(A1239+2)=15),-SUM('Main Budget'!$H$26:$H$31),0)</f>
        <v>0</v>
      </c>
      <c r="E1239" s="228">
        <f>IF(DAY(A1239+2)=22,-SUM('Main Budget'!$F$26:$F$31),0)</f>
        <v>0</v>
      </c>
      <c r="F1239" s="228">
        <f>IF(D1239&gt;0,-'Main Budget'!$H$25+0.15,0)</f>
        <v>0</v>
      </c>
      <c r="G1239" s="228">
        <f>IF(E1239&gt;0,-'Main Budget'!$F$25+0.81,0)</f>
        <v>0</v>
      </c>
      <c r="H1239" s="227">
        <f>IF(DAY(A1239)='Main Budget'!$J$26,'Main Budget'!$E$26,0)</f>
        <v>0</v>
      </c>
      <c r="I1239" s="227">
        <f>IF(DAY(A1239)='Main Budget'!$J$28,'Main Budget'!$E$28,0)</f>
        <v>0</v>
      </c>
      <c r="J1239" s="227">
        <f>IF(DAY(A1239)='Main Budget'!$J$29,'Main Budget'!$E$29,0)</f>
        <v>0</v>
      </c>
      <c r="K1239" s="20">
        <f>IF(DAY(A1239)='Main Budget'!$J$30,'Main Budget'!$E$30,0)</f>
        <v>0</v>
      </c>
      <c r="L1239" s="20">
        <f>IF(DAY(A1239)='Main Budget'!$J$31,'Main Budget'!$E$31,0)</f>
        <v>0</v>
      </c>
      <c r="M1239" s="20">
        <f>IF(DAY(A1239)='Main Budget'!$J$27,'Main Budget'!$E$27,0)</f>
        <v>0</v>
      </c>
      <c r="O1239" s="228">
        <f>B1239+(SUM(H1239:M1239)+(SUM(D1239:E1239)))</f>
        <v>100</v>
      </c>
      <c r="P1239" s="228">
        <f>C1239+F1239+G1239+N1239</f>
        <v>100</v>
      </c>
      <c r="Q1239" s="252">
        <f>O1239+P1239</f>
        <v>200</v>
      </c>
      <c r="S1239" s="231" t="str">
        <f>TEXT(A1239,"dddd")</f>
        <v>Tuesday</v>
      </c>
    </row>
    <row r="1240" spans="1:19" x14ac:dyDescent="0.25">
      <c r="A1240" s="226">
        <v>47261</v>
      </c>
      <c r="B1240" s="227">
        <f>O1239</f>
        <v>100</v>
      </c>
      <c r="C1240" s="228">
        <f>P1239</f>
        <v>100</v>
      </c>
      <c r="D1240" s="228">
        <f>IF(OR(DAY(A1240+2)=1,DAY(A1240+2)=15),-SUM('Main Budget'!$H$26:$H$31),0)</f>
        <v>0</v>
      </c>
      <c r="E1240" s="228">
        <f>IF(DAY(A1240+2)=22,-SUM('Main Budget'!$F$26:$F$31),0)</f>
        <v>0</v>
      </c>
      <c r="F1240" s="228">
        <f>IF(D1240&gt;0,-'Main Budget'!$H$25+0.15,0)</f>
        <v>0</v>
      </c>
      <c r="G1240" s="228">
        <f>IF(E1240&gt;0,-'Main Budget'!$F$25+0.81,0)</f>
        <v>0</v>
      </c>
      <c r="H1240" s="227">
        <f>IF(DAY(A1240)='Main Budget'!$J$26,'Main Budget'!$E$26,0)</f>
        <v>0</v>
      </c>
      <c r="I1240" s="227">
        <f>IF(DAY(A1240)='Main Budget'!$J$28,'Main Budget'!$E$28,0)</f>
        <v>0</v>
      </c>
      <c r="J1240" s="227">
        <f>IF(DAY(A1240)='Main Budget'!$J$29,'Main Budget'!$E$29,0)</f>
        <v>0</v>
      </c>
      <c r="K1240" s="20">
        <f>IF(DAY(A1240)='Main Budget'!$J$30,'Main Budget'!$E$30,0)</f>
        <v>0</v>
      </c>
      <c r="L1240" s="20">
        <f>IF(DAY(A1240)='Main Budget'!$J$31,'Main Budget'!$E$31,0)</f>
        <v>0</v>
      </c>
      <c r="M1240" s="20">
        <f>IF(DAY(A1240)='Main Budget'!$J$27,'Main Budget'!$E$27,0)</f>
        <v>0</v>
      </c>
      <c r="O1240" s="228">
        <f>B1240+(SUM(H1240:M1240)+(SUM(D1240:E1240)))</f>
        <v>100</v>
      </c>
      <c r="P1240" s="228">
        <f>C1240+F1240+G1240+N1240</f>
        <v>100</v>
      </c>
      <c r="Q1240" s="252">
        <f>O1240+P1240</f>
        <v>200</v>
      </c>
      <c r="S1240" s="231" t="str">
        <f>TEXT(A1240,"dddd")</f>
        <v>Wednesday</v>
      </c>
    </row>
    <row r="1241" spans="1:19" x14ac:dyDescent="0.25">
      <c r="A1241" s="226">
        <v>47262</v>
      </c>
      <c r="B1241" s="227">
        <f>O1240</f>
        <v>100</v>
      </c>
      <c r="C1241" s="228">
        <f>P1240</f>
        <v>100</v>
      </c>
      <c r="D1241" s="228">
        <f>IF(OR(DAY(A1241+2)=1,DAY(A1241+2)=15),-SUM('Main Budget'!$H$26:$H$31),0)</f>
        <v>0</v>
      </c>
      <c r="E1241" s="228">
        <f>IF(DAY(A1241+2)=22,-SUM('Main Budget'!$F$26:$F$31),0)</f>
        <v>0</v>
      </c>
      <c r="F1241" s="228">
        <f>IF(D1241&gt;0,-'Main Budget'!$H$25+0.15,0)</f>
        <v>0</v>
      </c>
      <c r="G1241" s="228">
        <f>IF(E1241&gt;0,-'Main Budget'!$F$25+0.81,0)</f>
        <v>0</v>
      </c>
      <c r="H1241" s="227">
        <f>IF(DAY(A1241)='Main Budget'!$J$26,'Main Budget'!$E$26,0)</f>
        <v>0</v>
      </c>
      <c r="I1241" s="227">
        <f>IF(DAY(A1241)='Main Budget'!$J$28,'Main Budget'!$E$28,0)</f>
        <v>0</v>
      </c>
      <c r="J1241" s="227">
        <f>IF(DAY(A1241)='Main Budget'!$J$29,'Main Budget'!$E$29,0)</f>
        <v>0</v>
      </c>
      <c r="K1241" s="20">
        <f>IF(DAY(A1241)='Main Budget'!$J$30,'Main Budget'!$E$30,0)</f>
        <v>0</v>
      </c>
      <c r="L1241" s="20">
        <f>IF(DAY(A1241)='Main Budget'!$J$31,'Main Budget'!$E$31,0)</f>
        <v>0</v>
      </c>
      <c r="M1241" s="20">
        <f>IF(DAY(A1241)='Main Budget'!$J$27,'Main Budget'!$E$27,0)</f>
        <v>0</v>
      </c>
      <c r="O1241" s="228">
        <f>B1241+(SUM(H1241:M1241)+(SUM(D1241:E1241)))</f>
        <v>100</v>
      </c>
      <c r="P1241" s="228">
        <f>C1241+F1241+G1241+N1241</f>
        <v>100</v>
      </c>
      <c r="Q1241" s="252">
        <f>O1241+P1241</f>
        <v>200</v>
      </c>
      <c r="S1241" s="231" t="str">
        <f>TEXT(A1241,"dddd")</f>
        <v>Thursday</v>
      </c>
    </row>
    <row r="1242" spans="1:19" x14ac:dyDescent="0.25">
      <c r="A1242" s="226">
        <v>47263</v>
      </c>
      <c r="B1242" s="227">
        <f>O1241</f>
        <v>100</v>
      </c>
      <c r="C1242" s="228">
        <f>P1241</f>
        <v>100</v>
      </c>
      <c r="D1242" s="228">
        <f>IF(OR(DAY(A1242+2)=1,DAY(A1242+2)=15),-SUM('Main Budget'!$H$26:$H$31),0)</f>
        <v>0</v>
      </c>
      <c r="E1242" s="228">
        <f>IF(DAY(A1242+2)=22,-SUM('Main Budget'!$F$26:$F$31),0)</f>
        <v>0</v>
      </c>
      <c r="F1242" s="228">
        <f>IF(D1242&gt;0,-'Main Budget'!$H$25+0.15,0)</f>
        <v>0</v>
      </c>
      <c r="G1242" s="228">
        <f>IF(E1242&gt;0,-'Main Budget'!$F$25+0.81,0)</f>
        <v>0</v>
      </c>
      <c r="H1242" s="227">
        <f>IF(DAY(A1242)='Main Budget'!$J$26,'Main Budget'!$E$26,0)</f>
        <v>0</v>
      </c>
      <c r="I1242" s="227">
        <f>IF(DAY(A1242)='Main Budget'!$J$28,'Main Budget'!$E$28,0)</f>
        <v>0</v>
      </c>
      <c r="J1242" s="227">
        <f>IF(DAY(A1242)='Main Budget'!$J$29,'Main Budget'!$E$29,0)</f>
        <v>0</v>
      </c>
      <c r="K1242" s="20">
        <f>IF(DAY(A1242)='Main Budget'!$J$30,'Main Budget'!$E$30,0)</f>
        <v>0</v>
      </c>
      <c r="L1242" s="20">
        <f>IF(DAY(A1242)='Main Budget'!$J$31,'Main Budget'!$E$31,0)</f>
        <v>0</v>
      </c>
      <c r="M1242" s="20">
        <f>IF(DAY(A1242)='Main Budget'!$J$27,'Main Budget'!$E$27,0)</f>
        <v>0</v>
      </c>
      <c r="O1242" s="228">
        <f>B1242+(SUM(H1242:M1242)+(SUM(D1242:E1242)))</f>
        <v>100</v>
      </c>
      <c r="P1242" s="228">
        <f>C1242+F1242+G1242+N1242</f>
        <v>100</v>
      </c>
      <c r="Q1242" s="252">
        <f>O1242+P1242</f>
        <v>200</v>
      </c>
      <c r="S1242" s="231" t="str">
        <f>TEXT(A1242,"dddd")</f>
        <v>Friday</v>
      </c>
    </row>
    <row r="1243" spans="1:19" x14ac:dyDescent="0.25">
      <c r="A1243" s="226">
        <v>47264</v>
      </c>
      <c r="B1243" s="227">
        <f>O1242</f>
        <v>100</v>
      </c>
      <c r="C1243" s="228">
        <f>P1242</f>
        <v>100</v>
      </c>
      <c r="D1243" s="228">
        <f>IF(OR(DAY(A1243+2)=1,DAY(A1243+2)=15),-SUM('Main Budget'!$H$26:$H$31),0)</f>
        <v>0</v>
      </c>
      <c r="E1243" s="228">
        <f>IF(DAY(A1243+2)=22,-SUM('Main Budget'!$F$26:$F$31),0)</f>
        <v>0</v>
      </c>
      <c r="F1243" s="228">
        <f>IF(D1243&gt;0,-'Main Budget'!$H$25+0.15,0)</f>
        <v>0</v>
      </c>
      <c r="G1243" s="228">
        <f>IF(E1243&gt;0,-'Main Budget'!$F$25+0.81,0)</f>
        <v>0</v>
      </c>
      <c r="H1243" s="227">
        <f>IF(DAY(A1243)='Main Budget'!$J$26,'Main Budget'!$E$26,0)</f>
        <v>0</v>
      </c>
      <c r="I1243" s="227">
        <f>IF(DAY(A1243)='Main Budget'!$J$28,'Main Budget'!$E$28,0)</f>
        <v>0</v>
      </c>
      <c r="J1243" s="227">
        <f>IF(DAY(A1243)='Main Budget'!$J$29,'Main Budget'!$E$29,0)</f>
        <v>0</v>
      </c>
      <c r="K1243" s="20">
        <f>IF(DAY(A1243)='Main Budget'!$J$30,'Main Budget'!$E$30,0)</f>
        <v>0</v>
      </c>
      <c r="L1243" s="20">
        <f>IF(DAY(A1243)='Main Budget'!$J$31,'Main Budget'!$E$31,0)</f>
        <v>0</v>
      </c>
      <c r="M1243" s="20">
        <f>IF(DAY(A1243)='Main Budget'!$J$27,'Main Budget'!$E$27,0)</f>
        <v>0</v>
      </c>
      <c r="O1243" s="228">
        <f>B1243+(SUM(H1243:M1243)+(SUM(D1243:E1243)))</f>
        <v>100</v>
      </c>
      <c r="P1243" s="228">
        <f>C1243+F1243+G1243+N1243</f>
        <v>100</v>
      </c>
      <c r="Q1243" s="252">
        <f>O1243+P1243</f>
        <v>200</v>
      </c>
      <c r="S1243" s="231" t="str">
        <f>TEXT(A1243,"dddd")</f>
        <v>Saturday</v>
      </c>
    </row>
    <row r="1244" spans="1:19" x14ac:dyDescent="0.25">
      <c r="A1244" s="226">
        <v>47265</v>
      </c>
      <c r="B1244" s="227">
        <f>O1243</f>
        <v>100</v>
      </c>
      <c r="C1244" s="228">
        <f>P1243</f>
        <v>100</v>
      </c>
      <c r="D1244" s="228">
        <f>IF(OR(DAY(A1244+2)=1,DAY(A1244+2)=15),-SUM('Main Budget'!$H$26:$H$31),0)</f>
        <v>0</v>
      </c>
      <c r="E1244" s="228">
        <f>IF(DAY(A1244+2)=22,-SUM('Main Budget'!$F$26:$F$31),0)</f>
        <v>0</v>
      </c>
      <c r="F1244" s="228">
        <f>IF(D1244&gt;0,-'Main Budget'!$H$25+0.15,0)</f>
        <v>0</v>
      </c>
      <c r="G1244" s="228">
        <f>IF(E1244&gt;0,-'Main Budget'!$F$25+0.81,0)</f>
        <v>0</v>
      </c>
      <c r="H1244" s="227">
        <f>IF(DAY(A1244)='Main Budget'!$J$26,'Main Budget'!$E$26,0)</f>
        <v>0</v>
      </c>
      <c r="I1244" s="227">
        <f>IF(DAY(A1244)='Main Budget'!$J$28,'Main Budget'!$E$28,0)</f>
        <v>0</v>
      </c>
      <c r="J1244" s="227">
        <f>IF(DAY(A1244)='Main Budget'!$J$29,'Main Budget'!$E$29,0)</f>
        <v>0</v>
      </c>
      <c r="K1244" s="20">
        <f>IF(DAY(A1244)='Main Budget'!$J$30,'Main Budget'!$E$30,0)</f>
        <v>0</v>
      </c>
      <c r="L1244" s="20">
        <f>IF(DAY(A1244)='Main Budget'!$J$31,'Main Budget'!$E$31,0)</f>
        <v>0</v>
      </c>
      <c r="M1244" s="20">
        <f>IF(DAY(A1244)='Main Budget'!$J$27,'Main Budget'!$E$27,0)</f>
        <v>0</v>
      </c>
      <c r="O1244" s="228">
        <f>B1244+(SUM(H1244:M1244)+(SUM(D1244:E1244)))</f>
        <v>100</v>
      </c>
      <c r="P1244" s="228">
        <f>C1244+F1244+G1244+N1244</f>
        <v>100</v>
      </c>
      <c r="Q1244" s="252">
        <f>O1244+P1244</f>
        <v>200</v>
      </c>
      <c r="S1244" s="231" t="str">
        <f>TEXT(A1244,"dddd")</f>
        <v>Sunday</v>
      </c>
    </row>
    <row r="1245" spans="1:19" x14ac:dyDescent="0.25">
      <c r="A1245" s="226">
        <v>47266</v>
      </c>
      <c r="B1245" s="227">
        <f>O1244</f>
        <v>100</v>
      </c>
      <c r="C1245" s="228">
        <f>P1244</f>
        <v>100</v>
      </c>
      <c r="D1245" s="228">
        <f>IF(OR(DAY(A1245+2)=1,DAY(A1245+2)=15),-SUM('Main Budget'!$H$26:$H$31),0)</f>
        <v>0</v>
      </c>
      <c r="E1245" s="228">
        <f>IF(DAY(A1245+2)=22,-SUM('Main Budget'!$F$26:$F$31),0)</f>
        <v>0</v>
      </c>
      <c r="F1245" s="228">
        <f>IF(D1245&gt;0,-'Main Budget'!$H$25+0.15,0)</f>
        <v>0</v>
      </c>
      <c r="G1245" s="228">
        <f>IF(E1245&gt;0,-'Main Budget'!$F$25+0.81,0)</f>
        <v>0</v>
      </c>
      <c r="H1245" s="227">
        <f>IF(DAY(A1245)='Main Budget'!$J$26,'Main Budget'!$E$26,0)</f>
        <v>0</v>
      </c>
      <c r="I1245" s="227">
        <f>IF(DAY(A1245)='Main Budget'!$J$28,'Main Budget'!$E$28,0)</f>
        <v>0</v>
      </c>
      <c r="J1245" s="227">
        <f>IF(DAY(A1245)='Main Budget'!$J$29,'Main Budget'!$E$29,0)</f>
        <v>0</v>
      </c>
      <c r="K1245" s="20">
        <f>IF(DAY(A1245)='Main Budget'!$J$30,'Main Budget'!$E$30,0)</f>
        <v>0</v>
      </c>
      <c r="L1245" s="20">
        <f>IF(DAY(A1245)='Main Budget'!$J$31,'Main Budget'!$E$31,0)</f>
        <v>0</v>
      </c>
      <c r="M1245" s="20">
        <f>IF(DAY(A1245)='Main Budget'!$J$27,'Main Budget'!$E$27,0)</f>
        <v>0</v>
      </c>
      <c r="O1245" s="228">
        <f>B1245+(SUM(H1245:M1245)+(SUM(D1245:E1245)))</f>
        <v>100</v>
      </c>
      <c r="P1245" s="228">
        <f>C1245+F1245+G1245+N1245</f>
        <v>100</v>
      </c>
      <c r="Q1245" s="252">
        <f>O1245+P1245</f>
        <v>200</v>
      </c>
      <c r="S1245" s="231" t="str">
        <f>TEXT(A1245,"dddd")</f>
        <v>Monday</v>
      </c>
    </row>
    <row r="1246" spans="1:19" x14ac:dyDescent="0.25">
      <c r="A1246" s="226">
        <v>47267</v>
      </c>
      <c r="B1246" s="227">
        <f>O1245</f>
        <v>100</v>
      </c>
      <c r="C1246" s="228">
        <f>P1245</f>
        <v>100</v>
      </c>
      <c r="D1246" s="228">
        <f>IF(OR(DAY(A1246+2)=1,DAY(A1246+2)=15),-SUM('Main Budget'!$H$26:$H$31),0)</f>
        <v>0</v>
      </c>
      <c r="E1246" s="228">
        <f>IF(DAY(A1246+2)=22,-SUM('Main Budget'!$F$26:$F$31),0)</f>
        <v>0</v>
      </c>
      <c r="F1246" s="228">
        <f>IF(D1246&gt;0,-'Main Budget'!$H$25+0.15,0)</f>
        <v>0</v>
      </c>
      <c r="G1246" s="228">
        <f>IF(E1246&gt;0,-'Main Budget'!$F$25+0.81,0)</f>
        <v>0</v>
      </c>
      <c r="H1246" s="227">
        <f>IF(DAY(A1246)='Main Budget'!$J$26,'Main Budget'!$E$26,0)</f>
        <v>0</v>
      </c>
      <c r="I1246" s="227">
        <f>IF(DAY(A1246)='Main Budget'!$J$28,'Main Budget'!$E$28,0)</f>
        <v>0</v>
      </c>
      <c r="J1246" s="227">
        <f>IF(DAY(A1246)='Main Budget'!$J$29,'Main Budget'!$E$29,0)</f>
        <v>0</v>
      </c>
      <c r="K1246" s="20">
        <f>IF(DAY(A1246)='Main Budget'!$J$30,'Main Budget'!$E$30,0)</f>
        <v>0</v>
      </c>
      <c r="L1246" s="20">
        <f>IF(DAY(A1246)='Main Budget'!$J$31,'Main Budget'!$E$31,0)</f>
        <v>0</v>
      </c>
      <c r="M1246" s="20">
        <f>IF(DAY(A1246)='Main Budget'!$J$27,'Main Budget'!$E$27,0)</f>
        <v>0</v>
      </c>
      <c r="O1246" s="228">
        <f>B1246+(SUM(H1246:M1246)+(SUM(D1246:E1246)))</f>
        <v>100</v>
      </c>
      <c r="P1246" s="228">
        <f>C1246+F1246+G1246+N1246</f>
        <v>100</v>
      </c>
      <c r="Q1246" s="252">
        <f>O1246+P1246</f>
        <v>200</v>
      </c>
      <c r="S1246" s="231" t="str">
        <f>TEXT(A1246,"dddd")</f>
        <v>Tuesday</v>
      </c>
    </row>
    <row r="1247" spans="1:19" x14ac:dyDescent="0.25">
      <c r="A1247" s="226">
        <v>47268</v>
      </c>
      <c r="B1247" s="227">
        <f>O1246</f>
        <v>100</v>
      </c>
      <c r="C1247" s="228">
        <f>P1246</f>
        <v>100</v>
      </c>
      <c r="D1247" s="228">
        <f>IF(OR(DAY(A1247+2)=1,DAY(A1247+2)=15),-SUM('Main Budget'!$H$26:$H$31),0)</f>
        <v>0</v>
      </c>
      <c r="E1247" s="228">
        <f>IF(DAY(A1247+2)=22,-SUM('Main Budget'!$F$26:$F$31),0)</f>
        <v>0</v>
      </c>
      <c r="F1247" s="228">
        <f>IF(D1247&gt;0,-'Main Budget'!$H$25+0.15,0)</f>
        <v>0</v>
      </c>
      <c r="G1247" s="228">
        <f>IF(E1247&gt;0,-'Main Budget'!$F$25+0.81,0)</f>
        <v>0</v>
      </c>
      <c r="H1247" s="227">
        <f>IF(DAY(A1247)='Main Budget'!$J$26,'Main Budget'!$E$26,0)</f>
        <v>0</v>
      </c>
      <c r="I1247" s="227">
        <f>IF(DAY(A1247)='Main Budget'!$J$28,'Main Budget'!$E$28,0)</f>
        <v>0</v>
      </c>
      <c r="J1247" s="227">
        <f>IF(DAY(A1247)='Main Budget'!$J$29,'Main Budget'!$E$29,0)</f>
        <v>0</v>
      </c>
      <c r="K1247" s="20">
        <f>IF(DAY(A1247)='Main Budget'!$J$30,'Main Budget'!$E$30,0)</f>
        <v>0</v>
      </c>
      <c r="L1247" s="20">
        <f>IF(DAY(A1247)='Main Budget'!$J$31,'Main Budget'!$E$31,0)</f>
        <v>0</v>
      </c>
      <c r="M1247" s="20">
        <f>IF(DAY(A1247)='Main Budget'!$J$27,'Main Budget'!$E$27,0)</f>
        <v>0</v>
      </c>
      <c r="O1247" s="228">
        <f>B1247+(SUM(H1247:M1247)+(SUM(D1247:E1247)))</f>
        <v>100</v>
      </c>
      <c r="P1247" s="228">
        <f>C1247+F1247+G1247+N1247</f>
        <v>100</v>
      </c>
      <c r="Q1247" s="252">
        <f>O1247+P1247</f>
        <v>200</v>
      </c>
      <c r="S1247" s="231" t="str">
        <f>TEXT(A1247,"dddd")</f>
        <v>Wednesday</v>
      </c>
    </row>
    <row r="1248" spans="1:19" x14ac:dyDescent="0.25">
      <c r="A1248" s="226">
        <v>47269</v>
      </c>
      <c r="B1248" s="227">
        <f>O1247</f>
        <v>100</v>
      </c>
      <c r="C1248" s="228">
        <f>P1247</f>
        <v>100</v>
      </c>
      <c r="D1248" s="228">
        <f>IF(OR(DAY(A1248+2)=1,DAY(A1248+2)=15),-SUM('Main Budget'!$H$26:$H$31),0)</f>
        <v>0</v>
      </c>
      <c r="E1248" s="228">
        <f>IF(DAY(A1248+2)=22,-SUM('Main Budget'!$F$26:$F$31),0)</f>
        <v>0</v>
      </c>
      <c r="F1248" s="228">
        <f>IF(D1248&gt;0,-'Main Budget'!$H$25+0.15,0)</f>
        <v>0</v>
      </c>
      <c r="G1248" s="228">
        <f>IF(E1248&gt;0,-'Main Budget'!$F$25+0.81,0)</f>
        <v>0</v>
      </c>
      <c r="H1248" s="227">
        <f>IF(DAY(A1248)='Main Budget'!$J$26,'Main Budget'!$E$26,0)</f>
        <v>0</v>
      </c>
      <c r="I1248" s="227">
        <f>IF(DAY(A1248)='Main Budget'!$J$28,'Main Budget'!$E$28,0)</f>
        <v>0</v>
      </c>
      <c r="J1248" s="227">
        <f>IF(DAY(A1248)='Main Budget'!$J$29,'Main Budget'!$E$29,0)</f>
        <v>0</v>
      </c>
      <c r="K1248" s="20">
        <f>IF(DAY(A1248)='Main Budget'!$J$30,'Main Budget'!$E$30,0)</f>
        <v>0</v>
      </c>
      <c r="L1248" s="20">
        <f>IF(DAY(A1248)='Main Budget'!$J$31,'Main Budget'!$E$31,0)</f>
        <v>0</v>
      </c>
      <c r="M1248" s="20">
        <f>IF(DAY(A1248)='Main Budget'!$J$27,'Main Budget'!$E$27,0)</f>
        <v>0</v>
      </c>
      <c r="O1248" s="228">
        <f>B1248+(SUM(H1248:M1248)+(SUM(D1248:E1248)))</f>
        <v>100</v>
      </c>
      <c r="P1248" s="228">
        <f>C1248+F1248+G1248+N1248</f>
        <v>100</v>
      </c>
      <c r="Q1248" s="252">
        <f>O1248+P1248</f>
        <v>200</v>
      </c>
      <c r="S1248" s="231" t="str">
        <f>TEXT(A1248,"dddd")</f>
        <v>Thursday</v>
      </c>
    </row>
    <row r="1249" spans="1:19" x14ac:dyDescent="0.25">
      <c r="A1249" s="226">
        <v>47270</v>
      </c>
      <c r="B1249" s="227">
        <f>O1248</f>
        <v>100</v>
      </c>
      <c r="C1249" s="228">
        <f>P1248</f>
        <v>100</v>
      </c>
      <c r="D1249" s="228">
        <f>IF(OR(DAY(A1249+2)=1,DAY(A1249+2)=15),-SUM('Main Budget'!$H$26:$H$31),0)</f>
        <v>0</v>
      </c>
      <c r="E1249" s="228">
        <f>IF(DAY(A1249+2)=22,-SUM('Main Budget'!$F$26:$F$31),0)</f>
        <v>0</v>
      </c>
      <c r="F1249" s="228">
        <f>IF(D1249&gt;0,-'Main Budget'!$H$25+0.15,0)</f>
        <v>0</v>
      </c>
      <c r="G1249" s="228">
        <f>IF(E1249&gt;0,-'Main Budget'!$F$25+0.81,0)</f>
        <v>0</v>
      </c>
      <c r="H1249" s="227">
        <f>IF(DAY(A1249)='Main Budget'!$J$26,'Main Budget'!$E$26,0)</f>
        <v>0</v>
      </c>
      <c r="I1249" s="227">
        <f>IF(DAY(A1249)='Main Budget'!$J$28,'Main Budget'!$E$28,0)</f>
        <v>0</v>
      </c>
      <c r="J1249" s="227">
        <f>IF(DAY(A1249)='Main Budget'!$J$29,'Main Budget'!$E$29,0)</f>
        <v>0</v>
      </c>
      <c r="K1249" s="20">
        <f>IF(DAY(A1249)='Main Budget'!$J$30,'Main Budget'!$E$30,0)</f>
        <v>0</v>
      </c>
      <c r="L1249" s="20">
        <f>IF(DAY(A1249)='Main Budget'!$J$31,'Main Budget'!$E$31,0)</f>
        <v>0</v>
      </c>
      <c r="M1249" s="20">
        <f>IF(DAY(A1249)='Main Budget'!$J$27,'Main Budget'!$E$27,0)</f>
        <v>0</v>
      </c>
      <c r="O1249" s="228">
        <f>B1249+(SUM(H1249:M1249)+(SUM(D1249:E1249)))</f>
        <v>100</v>
      </c>
      <c r="P1249" s="228">
        <f>C1249+F1249+G1249+N1249</f>
        <v>100</v>
      </c>
      <c r="Q1249" s="252">
        <f>O1249+P1249</f>
        <v>200</v>
      </c>
      <c r="S1249" s="231" t="str">
        <f>TEXT(A1249,"dddd")</f>
        <v>Friday</v>
      </c>
    </row>
    <row r="1250" spans="1:19" x14ac:dyDescent="0.25">
      <c r="A1250" s="226">
        <v>47271</v>
      </c>
      <c r="B1250" s="227">
        <f>O1249</f>
        <v>100</v>
      </c>
      <c r="C1250" s="228">
        <f>P1249</f>
        <v>100</v>
      </c>
      <c r="D1250" s="228">
        <f>IF(OR(DAY(A1250+2)=1,DAY(A1250+2)=15),-SUM('Main Budget'!$H$26:$H$31),0)</f>
        <v>0</v>
      </c>
      <c r="E1250" s="228">
        <f>IF(DAY(A1250+2)=22,-SUM('Main Budget'!$F$26:$F$31),0)</f>
        <v>0</v>
      </c>
      <c r="F1250" s="228">
        <f>IF(D1250&gt;0,-'Main Budget'!$H$25+0.15,0)</f>
        <v>0</v>
      </c>
      <c r="G1250" s="228">
        <f>IF(E1250&gt;0,-'Main Budget'!$F$25+0.81,0)</f>
        <v>0</v>
      </c>
      <c r="H1250" s="227">
        <f>IF(DAY(A1250)='Main Budget'!$J$26,'Main Budget'!$E$26,0)</f>
        <v>0</v>
      </c>
      <c r="I1250" s="227">
        <f>IF(DAY(A1250)='Main Budget'!$J$28,'Main Budget'!$E$28,0)</f>
        <v>0</v>
      </c>
      <c r="J1250" s="227">
        <f>IF(DAY(A1250)='Main Budget'!$J$29,'Main Budget'!$E$29,0)</f>
        <v>0</v>
      </c>
      <c r="K1250" s="20">
        <f>IF(DAY(A1250)='Main Budget'!$J$30,'Main Budget'!$E$30,0)</f>
        <v>0</v>
      </c>
      <c r="L1250" s="20">
        <f>IF(DAY(A1250)='Main Budget'!$J$31,'Main Budget'!$E$31,0)</f>
        <v>0</v>
      </c>
      <c r="M1250" s="20">
        <f>IF(DAY(A1250)='Main Budget'!$J$27,'Main Budget'!$E$27,0)</f>
        <v>0</v>
      </c>
      <c r="O1250" s="228">
        <f>B1250+(SUM(H1250:M1250)+(SUM(D1250:E1250)))</f>
        <v>100</v>
      </c>
      <c r="P1250" s="228">
        <f>C1250+F1250+G1250+N1250</f>
        <v>100</v>
      </c>
      <c r="Q1250" s="252">
        <f>O1250+P1250</f>
        <v>200</v>
      </c>
      <c r="S1250" s="231" t="str">
        <f>TEXT(A1250,"dddd")</f>
        <v>Saturday</v>
      </c>
    </row>
    <row r="1251" spans="1:19" x14ac:dyDescent="0.25">
      <c r="A1251" s="226">
        <v>47272</v>
      </c>
      <c r="B1251" s="227">
        <f>O1250</f>
        <v>100</v>
      </c>
      <c r="C1251" s="228">
        <f>P1250</f>
        <v>100</v>
      </c>
      <c r="D1251" s="228">
        <f>IF(OR(DAY(A1251+2)=1,DAY(A1251+2)=15),-SUM('Main Budget'!$H$26:$H$31),0)</f>
        <v>0</v>
      </c>
      <c r="E1251" s="228">
        <f>IF(DAY(A1251+2)=22,-SUM('Main Budget'!$F$26:$F$31),0)</f>
        <v>0</v>
      </c>
      <c r="F1251" s="228">
        <f>IF(D1251&gt;0,-'Main Budget'!$H$25+0.15,0)</f>
        <v>0</v>
      </c>
      <c r="G1251" s="228">
        <f>IF(E1251&gt;0,-'Main Budget'!$F$25+0.81,0)</f>
        <v>0</v>
      </c>
      <c r="H1251" s="227">
        <f>IF(DAY(A1251)='Main Budget'!$J$26,'Main Budget'!$E$26,0)</f>
        <v>0</v>
      </c>
      <c r="I1251" s="227">
        <f>IF(DAY(A1251)='Main Budget'!$J$28,'Main Budget'!$E$28,0)</f>
        <v>0</v>
      </c>
      <c r="J1251" s="227">
        <f>IF(DAY(A1251)='Main Budget'!$J$29,'Main Budget'!$E$29,0)</f>
        <v>0</v>
      </c>
      <c r="K1251" s="20">
        <f>IF(DAY(A1251)='Main Budget'!$J$30,'Main Budget'!$E$30,0)</f>
        <v>0</v>
      </c>
      <c r="L1251" s="20">
        <f>IF(DAY(A1251)='Main Budget'!$J$31,'Main Budget'!$E$31,0)</f>
        <v>0</v>
      </c>
      <c r="M1251" s="20">
        <f>IF(DAY(A1251)='Main Budget'!$J$27,'Main Budget'!$E$27,0)</f>
        <v>0</v>
      </c>
      <c r="O1251" s="228">
        <f>B1251+(SUM(H1251:M1251)+(SUM(D1251:E1251)))</f>
        <v>100</v>
      </c>
      <c r="P1251" s="228">
        <f>C1251+F1251+G1251+N1251</f>
        <v>100</v>
      </c>
      <c r="Q1251" s="252">
        <f>O1251+P1251</f>
        <v>200</v>
      </c>
      <c r="S1251" s="231" t="str">
        <f>TEXT(A1251,"dddd")</f>
        <v>Sunday</v>
      </c>
    </row>
    <row r="1252" spans="1:19" x14ac:dyDescent="0.25">
      <c r="A1252" s="226">
        <v>47273</v>
      </c>
      <c r="B1252" s="227">
        <f>O1251</f>
        <v>100</v>
      </c>
      <c r="C1252" s="228">
        <f>P1251</f>
        <v>100</v>
      </c>
      <c r="D1252" s="228">
        <f>IF(OR(DAY(A1252+2)=1,DAY(A1252+2)=15),-SUM('Main Budget'!$H$26:$H$31),0)</f>
        <v>0</v>
      </c>
      <c r="E1252" s="228">
        <f>IF(DAY(A1252+2)=22,-SUM('Main Budget'!$F$26:$F$31),0)</f>
        <v>0</v>
      </c>
      <c r="F1252" s="228">
        <f>IF(D1252&gt;0,-'Main Budget'!$H$25+0.15,0)</f>
        <v>0</v>
      </c>
      <c r="G1252" s="228">
        <f>IF(E1252&gt;0,-'Main Budget'!$F$25+0.81,0)</f>
        <v>0</v>
      </c>
      <c r="H1252" s="227">
        <f>IF(DAY(A1252)='Main Budget'!$J$26,'Main Budget'!$E$26,0)</f>
        <v>0</v>
      </c>
      <c r="I1252" s="227">
        <f>IF(DAY(A1252)='Main Budget'!$J$28,'Main Budget'!$E$28,0)</f>
        <v>0</v>
      </c>
      <c r="J1252" s="227">
        <f>IF(DAY(A1252)='Main Budget'!$J$29,'Main Budget'!$E$29,0)</f>
        <v>0</v>
      </c>
      <c r="K1252" s="20">
        <f>IF(DAY(A1252)='Main Budget'!$J$30,'Main Budget'!$E$30,0)</f>
        <v>0</v>
      </c>
      <c r="L1252" s="20">
        <f>IF(DAY(A1252)='Main Budget'!$J$31,'Main Budget'!$E$31,0)</f>
        <v>0</v>
      </c>
      <c r="M1252" s="20">
        <f>IF(DAY(A1252)='Main Budget'!$J$27,'Main Budget'!$E$27,0)</f>
        <v>0</v>
      </c>
      <c r="O1252" s="228">
        <f>B1252+(SUM(H1252:M1252)+(SUM(D1252:E1252)))</f>
        <v>100</v>
      </c>
      <c r="P1252" s="228">
        <f>C1252+F1252+G1252+N1252</f>
        <v>100</v>
      </c>
      <c r="Q1252" s="252">
        <f>O1252+P1252</f>
        <v>200</v>
      </c>
      <c r="S1252" s="231" t="str">
        <f>TEXT(A1252,"dddd")</f>
        <v>Monday</v>
      </c>
    </row>
    <row r="1253" spans="1:19" x14ac:dyDescent="0.25">
      <c r="A1253" s="226">
        <v>47274</v>
      </c>
      <c r="B1253" s="227">
        <f>O1252</f>
        <v>100</v>
      </c>
      <c r="C1253" s="228">
        <f>P1252</f>
        <v>100</v>
      </c>
      <c r="D1253" s="228">
        <f>IF(OR(DAY(A1253+2)=1,DAY(A1253+2)=15),-SUM('Main Budget'!$H$26:$H$31),0)</f>
        <v>0</v>
      </c>
      <c r="E1253" s="228">
        <f>IF(DAY(A1253+2)=22,-SUM('Main Budget'!$F$26:$F$31),0)</f>
        <v>0</v>
      </c>
      <c r="F1253" s="228">
        <f>IF(D1253&gt;0,-'Main Budget'!$H$25+0.15,0)</f>
        <v>0</v>
      </c>
      <c r="G1253" s="228">
        <f>IF(E1253&gt;0,-'Main Budget'!$F$25+0.81,0)</f>
        <v>0</v>
      </c>
      <c r="H1253" s="227">
        <f>IF(DAY(A1253)='Main Budget'!$J$26,'Main Budget'!$E$26,0)</f>
        <v>0</v>
      </c>
      <c r="I1253" s="227">
        <f>IF(DAY(A1253)='Main Budget'!$J$28,'Main Budget'!$E$28,0)</f>
        <v>0</v>
      </c>
      <c r="J1253" s="227">
        <f>IF(DAY(A1253)='Main Budget'!$J$29,'Main Budget'!$E$29,0)</f>
        <v>0</v>
      </c>
      <c r="K1253" s="20">
        <f>IF(DAY(A1253)='Main Budget'!$J$30,'Main Budget'!$E$30,0)</f>
        <v>0</v>
      </c>
      <c r="L1253" s="20">
        <f>IF(DAY(A1253)='Main Budget'!$J$31,'Main Budget'!$E$31,0)</f>
        <v>0</v>
      </c>
      <c r="M1253" s="20">
        <f>IF(DAY(A1253)='Main Budget'!$J$27,'Main Budget'!$E$27,0)</f>
        <v>0</v>
      </c>
      <c r="O1253" s="228">
        <f>B1253+(SUM(H1253:M1253)+(SUM(D1253:E1253)))</f>
        <v>100</v>
      </c>
      <c r="P1253" s="228">
        <f>C1253+F1253+G1253+N1253</f>
        <v>100</v>
      </c>
      <c r="Q1253" s="252">
        <f>O1253+P1253</f>
        <v>200</v>
      </c>
      <c r="S1253" s="231" t="str">
        <f>TEXT(A1253,"dddd")</f>
        <v>Tuesday</v>
      </c>
    </row>
    <row r="1254" spans="1:19" x14ac:dyDescent="0.25">
      <c r="A1254" s="226">
        <v>47275</v>
      </c>
      <c r="B1254" s="227">
        <f>O1253</f>
        <v>100</v>
      </c>
      <c r="C1254" s="228">
        <f>P1253</f>
        <v>100</v>
      </c>
      <c r="D1254" s="228">
        <f>IF(OR(DAY(A1254+2)=1,DAY(A1254+2)=15),-SUM('Main Budget'!$H$26:$H$31),0)</f>
        <v>0</v>
      </c>
      <c r="E1254" s="228">
        <f>IF(DAY(A1254+2)=22,-SUM('Main Budget'!$F$26:$F$31),0)</f>
        <v>0</v>
      </c>
      <c r="F1254" s="228">
        <f>IF(D1254&gt;0,-'Main Budget'!$H$25+0.15,0)</f>
        <v>0</v>
      </c>
      <c r="G1254" s="228">
        <f>IF(E1254&gt;0,-'Main Budget'!$F$25+0.81,0)</f>
        <v>0</v>
      </c>
      <c r="H1254" s="227">
        <f>IF(DAY(A1254)='Main Budget'!$J$26,'Main Budget'!$E$26,0)</f>
        <v>0</v>
      </c>
      <c r="I1254" s="227">
        <f>IF(DAY(A1254)='Main Budget'!$J$28,'Main Budget'!$E$28,0)</f>
        <v>0</v>
      </c>
      <c r="J1254" s="227">
        <f>IF(DAY(A1254)='Main Budget'!$J$29,'Main Budget'!$E$29,0)</f>
        <v>0</v>
      </c>
      <c r="K1254" s="20">
        <f>IF(DAY(A1254)='Main Budget'!$J$30,'Main Budget'!$E$30,0)</f>
        <v>0</v>
      </c>
      <c r="L1254" s="20">
        <f>IF(DAY(A1254)='Main Budget'!$J$31,'Main Budget'!$E$31,0)</f>
        <v>0</v>
      </c>
      <c r="M1254" s="20">
        <f>IF(DAY(A1254)='Main Budget'!$J$27,'Main Budget'!$E$27,0)</f>
        <v>0</v>
      </c>
      <c r="O1254" s="228">
        <f>B1254+(SUM(H1254:M1254)+(SUM(D1254:E1254)))</f>
        <v>100</v>
      </c>
      <c r="P1254" s="228">
        <f>C1254+F1254+G1254+N1254</f>
        <v>100</v>
      </c>
      <c r="Q1254" s="252">
        <f>O1254+P1254</f>
        <v>200</v>
      </c>
      <c r="S1254" s="231" t="str">
        <f>TEXT(A1254,"dddd")</f>
        <v>Wednesday</v>
      </c>
    </row>
    <row r="1255" spans="1:19" x14ac:dyDescent="0.25">
      <c r="A1255" s="226">
        <v>47276</v>
      </c>
      <c r="B1255" s="227">
        <f>O1254</f>
        <v>100</v>
      </c>
      <c r="C1255" s="228">
        <f>P1254</f>
        <v>100</v>
      </c>
      <c r="D1255" s="228">
        <f>IF(OR(DAY(A1255+2)=1,DAY(A1255+2)=15),-SUM('Main Budget'!$H$26:$H$31),0)</f>
        <v>0</v>
      </c>
      <c r="E1255" s="228">
        <f>IF(DAY(A1255+2)=22,-SUM('Main Budget'!$F$26:$F$31),0)</f>
        <v>0</v>
      </c>
      <c r="F1255" s="228">
        <f>IF(D1255&gt;0,-'Main Budget'!$H$25+0.15,0)</f>
        <v>0</v>
      </c>
      <c r="G1255" s="228">
        <f>IF(E1255&gt;0,-'Main Budget'!$F$25+0.81,0)</f>
        <v>0</v>
      </c>
      <c r="H1255" s="227">
        <f>IF(DAY(A1255)='Main Budget'!$J$26,'Main Budget'!$E$26,0)</f>
        <v>0</v>
      </c>
      <c r="I1255" s="227">
        <f>IF(DAY(A1255)='Main Budget'!$J$28,'Main Budget'!$E$28,0)</f>
        <v>0</v>
      </c>
      <c r="J1255" s="227">
        <f>IF(DAY(A1255)='Main Budget'!$J$29,'Main Budget'!$E$29,0)</f>
        <v>0</v>
      </c>
      <c r="K1255" s="20">
        <f>IF(DAY(A1255)='Main Budget'!$J$30,'Main Budget'!$E$30,0)</f>
        <v>0</v>
      </c>
      <c r="L1255" s="20">
        <f>IF(DAY(A1255)='Main Budget'!$J$31,'Main Budget'!$E$31,0)</f>
        <v>0</v>
      </c>
      <c r="M1255" s="20">
        <f>IF(DAY(A1255)='Main Budget'!$J$27,'Main Budget'!$E$27,0)</f>
        <v>0</v>
      </c>
      <c r="O1255" s="228">
        <f>B1255+(SUM(H1255:M1255)+(SUM(D1255:E1255)))</f>
        <v>100</v>
      </c>
      <c r="P1255" s="228">
        <f>C1255+F1255+G1255+N1255</f>
        <v>100</v>
      </c>
      <c r="Q1255" s="252">
        <f>O1255+P1255</f>
        <v>200</v>
      </c>
      <c r="S1255" s="231" t="str">
        <f>TEXT(A1255,"dddd")</f>
        <v>Thursday</v>
      </c>
    </row>
    <row r="1256" spans="1:19" x14ac:dyDescent="0.25">
      <c r="A1256" s="226">
        <v>47277</v>
      </c>
      <c r="B1256" s="227">
        <f>O1255</f>
        <v>100</v>
      </c>
      <c r="C1256" s="228">
        <f>P1255</f>
        <v>100</v>
      </c>
      <c r="D1256" s="228">
        <f>IF(OR(DAY(A1256+2)=1,DAY(A1256+2)=15),-SUM('Main Budget'!$H$26:$H$31),0)</f>
        <v>0</v>
      </c>
      <c r="E1256" s="228">
        <f>IF(DAY(A1256+2)=22,-SUM('Main Budget'!$F$26:$F$31),0)</f>
        <v>0</v>
      </c>
      <c r="F1256" s="228">
        <f>IF(D1256&gt;0,-'Main Budget'!$H$25+0.15,0)</f>
        <v>0</v>
      </c>
      <c r="G1256" s="228">
        <f>IF(E1256&gt;0,-'Main Budget'!$F$25+0.81,0)</f>
        <v>0</v>
      </c>
      <c r="H1256" s="227">
        <f>IF(DAY(A1256)='Main Budget'!$J$26,'Main Budget'!$E$26,0)</f>
        <v>0</v>
      </c>
      <c r="I1256" s="227">
        <f>IF(DAY(A1256)='Main Budget'!$J$28,'Main Budget'!$E$28,0)</f>
        <v>0</v>
      </c>
      <c r="J1256" s="227">
        <f>IF(DAY(A1256)='Main Budget'!$J$29,'Main Budget'!$E$29,0)</f>
        <v>0</v>
      </c>
      <c r="K1256" s="20">
        <f>IF(DAY(A1256)='Main Budget'!$J$30,'Main Budget'!$E$30,0)</f>
        <v>0</v>
      </c>
      <c r="L1256" s="20">
        <f>IF(DAY(A1256)='Main Budget'!$J$31,'Main Budget'!$E$31,0)</f>
        <v>0</v>
      </c>
      <c r="M1256" s="20">
        <f>IF(DAY(A1256)='Main Budget'!$J$27,'Main Budget'!$E$27,0)</f>
        <v>0</v>
      </c>
      <c r="O1256" s="228">
        <f>B1256+(SUM(H1256:M1256)+(SUM(D1256:E1256)))</f>
        <v>100</v>
      </c>
      <c r="P1256" s="228">
        <f>C1256+F1256+G1256+N1256</f>
        <v>100</v>
      </c>
      <c r="Q1256" s="252">
        <f>O1256+P1256</f>
        <v>200</v>
      </c>
      <c r="S1256" s="231" t="str">
        <f>TEXT(A1256,"dddd")</f>
        <v>Friday</v>
      </c>
    </row>
    <row r="1257" spans="1:19" x14ac:dyDescent="0.25">
      <c r="A1257" s="226">
        <v>47278</v>
      </c>
      <c r="B1257" s="227">
        <f>O1256</f>
        <v>100</v>
      </c>
      <c r="C1257" s="228">
        <f>P1256</f>
        <v>100</v>
      </c>
      <c r="D1257" s="228">
        <f>IF(OR(DAY(A1257+2)=1,DAY(A1257+2)=15),-SUM('Main Budget'!$H$26:$H$31),0)</f>
        <v>0</v>
      </c>
      <c r="E1257" s="228">
        <f>IF(DAY(A1257+2)=22,-SUM('Main Budget'!$F$26:$F$31),0)</f>
        <v>0</v>
      </c>
      <c r="F1257" s="228">
        <f>IF(D1257&gt;0,-'Main Budget'!$H$25+0.15,0)</f>
        <v>0</v>
      </c>
      <c r="G1257" s="228">
        <f>IF(E1257&gt;0,-'Main Budget'!$F$25+0.81,0)</f>
        <v>0</v>
      </c>
      <c r="H1257" s="227">
        <f>IF(DAY(A1257)='Main Budget'!$J$26,'Main Budget'!$E$26,0)</f>
        <v>0</v>
      </c>
      <c r="I1257" s="227">
        <f>IF(DAY(A1257)='Main Budget'!$J$28,'Main Budget'!$E$28,0)</f>
        <v>0</v>
      </c>
      <c r="J1257" s="227">
        <f>IF(DAY(A1257)='Main Budget'!$J$29,'Main Budget'!$E$29,0)</f>
        <v>0</v>
      </c>
      <c r="K1257" s="20">
        <f>IF(DAY(A1257)='Main Budget'!$J$30,'Main Budget'!$E$30,0)</f>
        <v>0</v>
      </c>
      <c r="L1257" s="20">
        <f>IF(DAY(A1257)='Main Budget'!$J$31,'Main Budget'!$E$31,0)</f>
        <v>0</v>
      </c>
      <c r="M1257" s="20">
        <f>IF(DAY(A1257)='Main Budget'!$J$27,'Main Budget'!$E$27,0)</f>
        <v>0</v>
      </c>
      <c r="O1257" s="228">
        <f>B1257+(SUM(H1257:M1257)+(SUM(D1257:E1257)))</f>
        <v>100</v>
      </c>
      <c r="P1257" s="228">
        <f>C1257+F1257+G1257+N1257</f>
        <v>100</v>
      </c>
      <c r="Q1257" s="252">
        <f>O1257+P1257</f>
        <v>200</v>
      </c>
      <c r="S1257" s="231" t="str">
        <f>TEXT(A1257,"dddd")</f>
        <v>Saturday</v>
      </c>
    </row>
    <row r="1258" spans="1:19" x14ac:dyDescent="0.25">
      <c r="A1258" s="226">
        <v>47279</v>
      </c>
      <c r="B1258" s="227">
        <f>O1257</f>
        <v>100</v>
      </c>
      <c r="C1258" s="228">
        <f>P1257</f>
        <v>100</v>
      </c>
      <c r="D1258" s="228">
        <f>IF(OR(DAY(A1258+2)=1,DAY(A1258+2)=15),-SUM('Main Budget'!$H$26:$H$31),0)</f>
        <v>0</v>
      </c>
      <c r="E1258" s="228">
        <f>IF(DAY(A1258+2)=22,-SUM('Main Budget'!$F$26:$F$31),0)</f>
        <v>0</v>
      </c>
      <c r="F1258" s="228">
        <f>IF(D1258&gt;0,-'Main Budget'!$H$25+0.15,0)</f>
        <v>0</v>
      </c>
      <c r="G1258" s="228">
        <f>IF(E1258&gt;0,-'Main Budget'!$F$25+0.81,0)</f>
        <v>0</v>
      </c>
      <c r="H1258" s="227">
        <f>IF(DAY(A1258)='Main Budget'!$J$26,'Main Budget'!$E$26,0)</f>
        <v>0</v>
      </c>
      <c r="I1258" s="227">
        <f>IF(DAY(A1258)='Main Budget'!$J$28,'Main Budget'!$E$28,0)</f>
        <v>0</v>
      </c>
      <c r="J1258" s="227">
        <f>IF(DAY(A1258)='Main Budget'!$J$29,'Main Budget'!$E$29,0)</f>
        <v>0</v>
      </c>
      <c r="K1258" s="20">
        <f>IF(DAY(A1258)='Main Budget'!$J$30,'Main Budget'!$E$30,0)</f>
        <v>0</v>
      </c>
      <c r="L1258" s="20">
        <f>IF(DAY(A1258)='Main Budget'!$J$31,'Main Budget'!$E$31,0)</f>
        <v>0</v>
      </c>
      <c r="M1258" s="20">
        <f>IF(DAY(A1258)='Main Budget'!$J$27,'Main Budget'!$E$27,0)</f>
        <v>0</v>
      </c>
      <c r="O1258" s="228">
        <f>B1258+(SUM(H1258:M1258)+(SUM(D1258:E1258)))</f>
        <v>100</v>
      </c>
      <c r="P1258" s="228">
        <f>C1258+F1258+G1258+N1258</f>
        <v>100</v>
      </c>
      <c r="Q1258" s="252">
        <f>O1258+P1258</f>
        <v>200</v>
      </c>
      <c r="S1258" s="231" t="str">
        <f>TEXT(A1258,"dddd")</f>
        <v>Sunday</v>
      </c>
    </row>
    <row r="1259" spans="1:19" x14ac:dyDescent="0.25">
      <c r="A1259" s="226">
        <v>47280</v>
      </c>
      <c r="B1259" s="227">
        <f>O1258</f>
        <v>100</v>
      </c>
      <c r="C1259" s="228">
        <f>P1258</f>
        <v>100</v>
      </c>
      <c r="D1259" s="228">
        <f>IF(OR(DAY(A1259+2)=1,DAY(A1259+2)=15),-SUM('Main Budget'!$H$26:$H$31),0)</f>
        <v>0</v>
      </c>
      <c r="E1259" s="228">
        <f>IF(DAY(A1259+2)=22,-SUM('Main Budget'!$F$26:$F$31),0)</f>
        <v>0</v>
      </c>
      <c r="F1259" s="228">
        <f>IF(D1259&gt;0,-'Main Budget'!$H$25+0.15,0)</f>
        <v>0</v>
      </c>
      <c r="G1259" s="228">
        <f>IF(E1259&gt;0,-'Main Budget'!$F$25+0.81,0)</f>
        <v>0</v>
      </c>
      <c r="H1259" s="227">
        <f>IF(DAY(A1259)='Main Budget'!$J$26,'Main Budget'!$E$26,0)</f>
        <v>0</v>
      </c>
      <c r="I1259" s="227">
        <f>IF(DAY(A1259)='Main Budget'!$J$28,'Main Budget'!$E$28,0)</f>
        <v>0</v>
      </c>
      <c r="J1259" s="227">
        <f>IF(DAY(A1259)='Main Budget'!$J$29,'Main Budget'!$E$29,0)</f>
        <v>0</v>
      </c>
      <c r="K1259" s="20">
        <f>IF(DAY(A1259)='Main Budget'!$J$30,'Main Budget'!$E$30,0)</f>
        <v>0</v>
      </c>
      <c r="L1259" s="20">
        <f>IF(DAY(A1259)='Main Budget'!$J$31,'Main Budget'!$E$31,0)</f>
        <v>0</v>
      </c>
      <c r="M1259" s="20">
        <f>IF(DAY(A1259)='Main Budget'!$J$27,'Main Budget'!$E$27,0)</f>
        <v>0</v>
      </c>
      <c r="O1259" s="228">
        <f>B1259+(SUM(H1259:M1259)+(SUM(D1259:E1259)))</f>
        <v>100</v>
      </c>
      <c r="P1259" s="228">
        <f>C1259+F1259+G1259+N1259</f>
        <v>100</v>
      </c>
      <c r="Q1259" s="252">
        <f>O1259+P1259</f>
        <v>200</v>
      </c>
      <c r="S1259" s="231" t="str">
        <f>TEXT(A1259,"dddd")</f>
        <v>Monday</v>
      </c>
    </row>
    <row r="1260" spans="1:19" x14ac:dyDescent="0.25">
      <c r="A1260" s="226">
        <v>47281</v>
      </c>
      <c r="B1260" s="227">
        <f>O1259</f>
        <v>100</v>
      </c>
      <c r="C1260" s="228">
        <f>P1259</f>
        <v>100</v>
      </c>
      <c r="D1260" s="228">
        <f>IF(OR(DAY(A1260+2)=1,DAY(A1260+2)=15),-SUM('Main Budget'!$H$26:$H$31),0)</f>
        <v>0</v>
      </c>
      <c r="E1260" s="228">
        <f>IF(DAY(A1260+2)=22,-SUM('Main Budget'!$F$26:$F$31),0)</f>
        <v>0</v>
      </c>
      <c r="F1260" s="228">
        <f>IF(D1260&gt;0,-'Main Budget'!$H$25+0.15,0)</f>
        <v>0</v>
      </c>
      <c r="G1260" s="228">
        <f>IF(E1260&gt;0,-'Main Budget'!$F$25+0.81,0)</f>
        <v>0</v>
      </c>
      <c r="H1260" s="227">
        <f>IF(DAY(A1260)='Main Budget'!$J$26,'Main Budget'!$E$26,0)</f>
        <v>0</v>
      </c>
      <c r="I1260" s="227">
        <f>IF(DAY(A1260)='Main Budget'!$J$28,'Main Budget'!$E$28,0)</f>
        <v>0</v>
      </c>
      <c r="J1260" s="227">
        <f>IF(DAY(A1260)='Main Budget'!$J$29,'Main Budget'!$E$29,0)</f>
        <v>0</v>
      </c>
      <c r="K1260" s="20">
        <f>IF(DAY(A1260)='Main Budget'!$J$30,'Main Budget'!$E$30,0)</f>
        <v>0</v>
      </c>
      <c r="L1260" s="20">
        <f>IF(DAY(A1260)='Main Budget'!$J$31,'Main Budget'!$E$31,0)</f>
        <v>0</v>
      </c>
      <c r="M1260" s="20">
        <f>IF(DAY(A1260)='Main Budget'!$J$27,'Main Budget'!$E$27,0)</f>
        <v>0</v>
      </c>
      <c r="O1260" s="228">
        <f>B1260+(SUM(H1260:M1260)+(SUM(D1260:E1260)))</f>
        <v>100</v>
      </c>
      <c r="P1260" s="228">
        <f>C1260+F1260+G1260+N1260</f>
        <v>100</v>
      </c>
      <c r="Q1260" s="252">
        <f>O1260+P1260</f>
        <v>200</v>
      </c>
      <c r="S1260" s="231" t="str">
        <f>TEXT(A1260,"dddd")</f>
        <v>Tuesday</v>
      </c>
    </row>
    <row r="1261" spans="1:19" x14ac:dyDescent="0.25">
      <c r="A1261" s="226">
        <v>47282</v>
      </c>
      <c r="B1261" s="227">
        <f>O1260</f>
        <v>100</v>
      </c>
      <c r="C1261" s="228">
        <f>P1260</f>
        <v>100</v>
      </c>
      <c r="D1261" s="228">
        <f>IF(OR(DAY(A1261+2)=1,DAY(A1261+2)=15),-SUM('Main Budget'!$H$26:$H$31),0)</f>
        <v>0</v>
      </c>
      <c r="E1261" s="228">
        <f>IF(DAY(A1261+2)=22,-SUM('Main Budget'!$F$26:$F$31),0)</f>
        <v>0</v>
      </c>
      <c r="F1261" s="228">
        <f>IF(D1261&gt;0,-'Main Budget'!$H$25+0.15,0)</f>
        <v>0</v>
      </c>
      <c r="G1261" s="228">
        <f>IF(E1261&gt;0,-'Main Budget'!$F$25+0.81,0)</f>
        <v>0</v>
      </c>
      <c r="H1261" s="227">
        <f>IF(DAY(A1261)='Main Budget'!$J$26,'Main Budget'!$E$26,0)</f>
        <v>0</v>
      </c>
      <c r="I1261" s="227">
        <f>IF(DAY(A1261)='Main Budget'!$J$28,'Main Budget'!$E$28,0)</f>
        <v>0</v>
      </c>
      <c r="J1261" s="227">
        <f>IF(DAY(A1261)='Main Budget'!$J$29,'Main Budget'!$E$29,0)</f>
        <v>0</v>
      </c>
      <c r="K1261" s="20">
        <f>IF(DAY(A1261)='Main Budget'!$J$30,'Main Budget'!$E$30,0)</f>
        <v>0</v>
      </c>
      <c r="L1261" s="20">
        <f>IF(DAY(A1261)='Main Budget'!$J$31,'Main Budget'!$E$31,0)</f>
        <v>0</v>
      </c>
      <c r="M1261" s="20">
        <f>IF(DAY(A1261)='Main Budget'!$J$27,'Main Budget'!$E$27,0)</f>
        <v>0</v>
      </c>
      <c r="O1261" s="228">
        <f>B1261+(SUM(H1261:M1261)+(SUM(D1261:E1261)))</f>
        <v>100</v>
      </c>
      <c r="P1261" s="228">
        <f>C1261+F1261+G1261+N1261</f>
        <v>100</v>
      </c>
      <c r="Q1261" s="252">
        <f>O1261+P1261</f>
        <v>200</v>
      </c>
      <c r="S1261" s="231" t="str">
        <f>TEXT(A1261,"dddd")</f>
        <v>Wednesday</v>
      </c>
    </row>
    <row r="1262" spans="1:19" x14ac:dyDescent="0.25">
      <c r="A1262" s="226">
        <v>47283</v>
      </c>
      <c r="B1262" s="227">
        <f>O1261</f>
        <v>100</v>
      </c>
      <c r="C1262" s="228">
        <f>P1261</f>
        <v>100</v>
      </c>
      <c r="D1262" s="228">
        <f>IF(OR(DAY(A1262+2)=1,DAY(A1262+2)=15),-SUM('Main Budget'!$H$26:$H$31),0)</f>
        <v>0</v>
      </c>
      <c r="E1262" s="228">
        <f>IF(DAY(A1262+2)=22,-SUM('Main Budget'!$F$26:$F$31),0)</f>
        <v>0</v>
      </c>
      <c r="F1262" s="228">
        <f>IF(D1262&gt;0,-'Main Budget'!$H$25+0.15,0)</f>
        <v>0</v>
      </c>
      <c r="G1262" s="228">
        <f>IF(E1262&gt;0,-'Main Budget'!$F$25+0.81,0)</f>
        <v>0</v>
      </c>
      <c r="H1262" s="227">
        <f>IF(DAY(A1262)='Main Budget'!$J$26,'Main Budget'!$E$26,0)</f>
        <v>0</v>
      </c>
      <c r="I1262" s="227">
        <f>IF(DAY(A1262)='Main Budget'!$J$28,'Main Budget'!$E$28,0)</f>
        <v>0</v>
      </c>
      <c r="J1262" s="227">
        <f>IF(DAY(A1262)='Main Budget'!$J$29,'Main Budget'!$E$29,0)</f>
        <v>0</v>
      </c>
      <c r="K1262" s="20">
        <f>IF(DAY(A1262)='Main Budget'!$J$30,'Main Budget'!$E$30,0)</f>
        <v>0</v>
      </c>
      <c r="L1262" s="20">
        <f>IF(DAY(A1262)='Main Budget'!$J$31,'Main Budget'!$E$31,0)</f>
        <v>0</v>
      </c>
      <c r="M1262" s="20">
        <f>IF(DAY(A1262)='Main Budget'!$J$27,'Main Budget'!$E$27,0)</f>
        <v>0</v>
      </c>
      <c r="O1262" s="228">
        <f>B1262+(SUM(H1262:M1262)+(SUM(D1262:E1262)))</f>
        <v>100</v>
      </c>
      <c r="P1262" s="228">
        <f>C1262+F1262+G1262+N1262</f>
        <v>100</v>
      </c>
      <c r="Q1262" s="252">
        <f>O1262+P1262</f>
        <v>200</v>
      </c>
      <c r="S1262" s="231" t="str">
        <f>TEXT(A1262,"dddd")</f>
        <v>Thursday</v>
      </c>
    </row>
    <row r="1263" spans="1:19" x14ac:dyDescent="0.25">
      <c r="A1263" s="226">
        <v>47284</v>
      </c>
      <c r="B1263" s="227">
        <f>O1262</f>
        <v>100</v>
      </c>
      <c r="C1263" s="228">
        <f>P1262</f>
        <v>100</v>
      </c>
      <c r="D1263" s="228">
        <f>IF(OR(DAY(A1263+2)=1,DAY(A1263+2)=15),-SUM('Main Budget'!$H$26:$H$31),0)</f>
        <v>0</v>
      </c>
      <c r="E1263" s="228">
        <f>IF(DAY(A1263+2)=22,-SUM('Main Budget'!$F$26:$F$31),0)</f>
        <v>0</v>
      </c>
      <c r="F1263" s="228">
        <f>IF(D1263&gt;0,-'Main Budget'!$H$25+0.15,0)</f>
        <v>0</v>
      </c>
      <c r="G1263" s="228">
        <f>IF(E1263&gt;0,-'Main Budget'!$F$25+0.81,0)</f>
        <v>0</v>
      </c>
      <c r="H1263" s="227">
        <f>IF(DAY(A1263)='Main Budget'!$J$26,'Main Budget'!$E$26,0)</f>
        <v>0</v>
      </c>
      <c r="I1263" s="227">
        <f>IF(DAY(A1263)='Main Budget'!$J$28,'Main Budget'!$E$28,0)</f>
        <v>0</v>
      </c>
      <c r="J1263" s="227">
        <f>IF(DAY(A1263)='Main Budget'!$J$29,'Main Budget'!$E$29,0)</f>
        <v>0</v>
      </c>
      <c r="K1263" s="20">
        <f>IF(DAY(A1263)='Main Budget'!$J$30,'Main Budget'!$E$30,0)</f>
        <v>0</v>
      </c>
      <c r="L1263" s="20">
        <f>IF(DAY(A1263)='Main Budget'!$J$31,'Main Budget'!$E$31,0)</f>
        <v>0</v>
      </c>
      <c r="M1263" s="20">
        <f>IF(DAY(A1263)='Main Budget'!$J$27,'Main Budget'!$E$27,0)</f>
        <v>0</v>
      </c>
      <c r="O1263" s="228">
        <f>B1263+(SUM(H1263:M1263)+(SUM(D1263:E1263)))</f>
        <v>100</v>
      </c>
      <c r="P1263" s="228">
        <f>C1263+F1263+G1263+N1263</f>
        <v>100</v>
      </c>
      <c r="Q1263" s="252">
        <f>O1263+P1263</f>
        <v>200</v>
      </c>
      <c r="S1263" s="231" t="str">
        <f>TEXT(A1263,"dddd")</f>
        <v>Friday</v>
      </c>
    </row>
    <row r="1264" spans="1:19" x14ac:dyDescent="0.25">
      <c r="A1264" s="226">
        <v>47285</v>
      </c>
      <c r="B1264" s="227">
        <f>O1263</f>
        <v>100</v>
      </c>
      <c r="C1264" s="228">
        <f>P1263</f>
        <v>100</v>
      </c>
      <c r="D1264" s="228">
        <f>IF(OR(DAY(A1264+2)=1,DAY(A1264+2)=15),-SUM('Main Budget'!$H$26:$H$31),0)</f>
        <v>0</v>
      </c>
      <c r="E1264" s="228">
        <f>IF(DAY(A1264+2)=22,-SUM('Main Budget'!$F$26:$F$31),0)</f>
        <v>0</v>
      </c>
      <c r="F1264" s="228">
        <f>IF(D1264&gt;0,-'Main Budget'!$H$25+0.15,0)</f>
        <v>0</v>
      </c>
      <c r="G1264" s="228">
        <f>IF(E1264&gt;0,-'Main Budget'!$F$25+0.81,0)</f>
        <v>0</v>
      </c>
      <c r="H1264" s="227">
        <f>IF(DAY(A1264)='Main Budget'!$J$26,'Main Budget'!$E$26,0)</f>
        <v>0</v>
      </c>
      <c r="I1264" s="227">
        <f>IF(DAY(A1264)='Main Budget'!$J$28,'Main Budget'!$E$28,0)</f>
        <v>0</v>
      </c>
      <c r="J1264" s="227">
        <f>IF(DAY(A1264)='Main Budget'!$J$29,'Main Budget'!$E$29,0)</f>
        <v>0</v>
      </c>
      <c r="K1264" s="20">
        <f>IF(DAY(A1264)='Main Budget'!$J$30,'Main Budget'!$E$30,0)</f>
        <v>0</v>
      </c>
      <c r="L1264" s="20">
        <f>IF(DAY(A1264)='Main Budget'!$J$31,'Main Budget'!$E$31,0)</f>
        <v>0</v>
      </c>
      <c r="M1264" s="20">
        <f>IF(DAY(A1264)='Main Budget'!$J$27,'Main Budget'!$E$27,0)</f>
        <v>0</v>
      </c>
      <c r="O1264" s="228">
        <f>B1264+(SUM(H1264:M1264)+(SUM(D1264:E1264)))</f>
        <v>100</v>
      </c>
      <c r="P1264" s="228">
        <f>C1264+F1264+G1264+N1264</f>
        <v>100</v>
      </c>
      <c r="Q1264" s="252">
        <f>O1264+P1264</f>
        <v>200</v>
      </c>
      <c r="S1264" s="231" t="str">
        <f>TEXT(A1264,"dddd")</f>
        <v>Saturday</v>
      </c>
    </row>
    <row r="1265" spans="1:19" x14ac:dyDescent="0.25">
      <c r="A1265" s="226">
        <v>47286</v>
      </c>
      <c r="B1265" s="227">
        <f>O1264</f>
        <v>100</v>
      </c>
      <c r="C1265" s="228">
        <f>P1264</f>
        <v>100</v>
      </c>
      <c r="D1265" s="228">
        <f>IF(OR(DAY(A1265+2)=1,DAY(A1265+2)=15),-SUM('Main Budget'!$H$26:$H$31),0)</f>
        <v>0</v>
      </c>
      <c r="E1265" s="228">
        <f>IF(DAY(A1265+2)=22,-SUM('Main Budget'!$F$26:$F$31),0)</f>
        <v>0</v>
      </c>
      <c r="F1265" s="228">
        <f>IF(D1265&gt;0,-'Main Budget'!$H$25+0.15,0)</f>
        <v>0</v>
      </c>
      <c r="G1265" s="228">
        <f>IF(E1265&gt;0,-'Main Budget'!$F$25+0.81,0)</f>
        <v>0</v>
      </c>
      <c r="H1265" s="227">
        <f>IF(DAY(A1265)='Main Budget'!$J$26,'Main Budget'!$E$26,0)</f>
        <v>0</v>
      </c>
      <c r="I1265" s="227">
        <f>IF(DAY(A1265)='Main Budget'!$J$28,'Main Budget'!$E$28,0)</f>
        <v>0</v>
      </c>
      <c r="J1265" s="227">
        <f>IF(DAY(A1265)='Main Budget'!$J$29,'Main Budget'!$E$29,0)</f>
        <v>0</v>
      </c>
      <c r="K1265" s="20">
        <f>IF(DAY(A1265)='Main Budget'!$J$30,'Main Budget'!$E$30,0)</f>
        <v>0</v>
      </c>
      <c r="L1265" s="20">
        <f>IF(DAY(A1265)='Main Budget'!$J$31,'Main Budget'!$E$31,0)</f>
        <v>0</v>
      </c>
      <c r="M1265" s="20">
        <f>IF(DAY(A1265)='Main Budget'!$J$27,'Main Budget'!$E$27,0)</f>
        <v>0</v>
      </c>
      <c r="O1265" s="228">
        <f>B1265+(SUM(H1265:M1265)+(SUM(D1265:E1265)))</f>
        <v>100</v>
      </c>
      <c r="P1265" s="228">
        <f>C1265+F1265+G1265+N1265</f>
        <v>100</v>
      </c>
      <c r="Q1265" s="252">
        <f>O1265+P1265</f>
        <v>200</v>
      </c>
      <c r="S1265" s="231" t="str">
        <f>TEXT(A1265,"dddd")</f>
        <v>Sunday</v>
      </c>
    </row>
    <row r="1266" spans="1:19" x14ac:dyDescent="0.25">
      <c r="A1266" s="226">
        <v>47287</v>
      </c>
      <c r="B1266" s="227">
        <f>O1265</f>
        <v>100</v>
      </c>
      <c r="C1266" s="228">
        <f>P1265</f>
        <v>100</v>
      </c>
      <c r="D1266" s="228">
        <f>IF(OR(DAY(A1266+2)=1,DAY(A1266+2)=15),-SUM('Main Budget'!$H$26:$H$31),0)</f>
        <v>0</v>
      </c>
      <c r="E1266" s="228">
        <f>IF(DAY(A1266+2)=22,-SUM('Main Budget'!$F$26:$F$31),0)</f>
        <v>0</v>
      </c>
      <c r="F1266" s="228">
        <f>IF(D1266&gt;0,-'Main Budget'!$H$25+0.15,0)</f>
        <v>0</v>
      </c>
      <c r="G1266" s="228">
        <f>IF(E1266&gt;0,-'Main Budget'!$F$25+0.81,0)</f>
        <v>0</v>
      </c>
      <c r="H1266" s="227">
        <f>IF(DAY(A1266)='Main Budget'!$J$26,'Main Budget'!$E$26,0)</f>
        <v>0</v>
      </c>
      <c r="I1266" s="227">
        <f>IF(DAY(A1266)='Main Budget'!$J$28,'Main Budget'!$E$28,0)</f>
        <v>0</v>
      </c>
      <c r="J1266" s="227">
        <f>IF(DAY(A1266)='Main Budget'!$J$29,'Main Budget'!$E$29,0)</f>
        <v>0</v>
      </c>
      <c r="K1266" s="20">
        <f>IF(DAY(A1266)='Main Budget'!$J$30,'Main Budget'!$E$30,0)</f>
        <v>0</v>
      </c>
      <c r="L1266" s="20">
        <f>IF(DAY(A1266)='Main Budget'!$J$31,'Main Budget'!$E$31,0)</f>
        <v>0</v>
      </c>
      <c r="M1266" s="20">
        <f>IF(DAY(A1266)='Main Budget'!$J$27,'Main Budget'!$E$27,0)</f>
        <v>0</v>
      </c>
      <c r="O1266" s="228">
        <f>B1266+(SUM(H1266:M1266)+(SUM(D1266:E1266)))</f>
        <v>100</v>
      </c>
      <c r="P1266" s="228">
        <f>C1266+F1266+G1266+N1266</f>
        <v>100</v>
      </c>
      <c r="Q1266" s="252">
        <f>O1266+P1266</f>
        <v>200</v>
      </c>
      <c r="S1266" s="231" t="str">
        <f>TEXT(A1266,"dddd")</f>
        <v>Monday</v>
      </c>
    </row>
    <row r="1267" spans="1:19" x14ac:dyDescent="0.25">
      <c r="A1267" s="226">
        <v>47288</v>
      </c>
      <c r="B1267" s="227">
        <f>O1266</f>
        <v>100</v>
      </c>
      <c r="C1267" s="228">
        <f>P1266</f>
        <v>100</v>
      </c>
      <c r="D1267" s="228">
        <f>IF(OR(DAY(A1267+2)=1,DAY(A1267+2)=15),-SUM('Main Budget'!$H$26:$H$31),0)</f>
        <v>0</v>
      </c>
      <c r="E1267" s="228">
        <f>IF(DAY(A1267+2)=22,-SUM('Main Budget'!$F$26:$F$31),0)</f>
        <v>0</v>
      </c>
      <c r="F1267" s="228">
        <f>IF(D1267&gt;0,-'Main Budget'!$H$25+0.15,0)</f>
        <v>0</v>
      </c>
      <c r="G1267" s="228">
        <f>IF(E1267&gt;0,-'Main Budget'!$F$25+0.81,0)</f>
        <v>0</v>
      </c>
      <c r="H1267" s="227">
        <f>IF(DAY(A1267)='Main Budget'!$J$26,'Main Budget'!$E$26,0)</f>
        <v>0</v>
      </c>
      <c r="I1267" s="227">
        <f>IF(DAY(A1267)='Main Budget'!$J$28,'Main Budget'!$E$28,0)</f>
        <v>0</v>
      </c>
      <c r="J1267" s="227">
        <f>IF(DAY(A1267)='Main Budget'!$J$29,'Main Budget'!$E$29,0)</f>
        <v>0</v>
      </c>
      <c r="K1267" s="20">
        <f>IF(DAY(A1267)='Main Budget'!$J$30,'Main Budget'!$E$30,0)</f>
        <v>0</v>
      </c>
      <c r="L1267" s="20">
        <f>IF(DAY(A1267)='Main Budget'!$J$31,'Main Budget'!$E$31,0)</f>
        <v>0</v>
      </c>
      <c r="M1267" s="20">
        <f>IF(DAY(A1267)='Main Budget'!$J$27,'Main Budget'!$E$27,0)</f>
        <v>0</v>
      </c>
      <c r="O1267" s="228">
        <f>B1267+(SUM(H1267:M1267)+(SUM(D1267:E1267)))</f>
        <v>100</v>
      </c>
      <c r="P1267" s="228">
        <f>C1267+F1267+G1267+N1267</f>
        <v>100</v>
      </c>
      <c r="Q1267" s="252">
        <f>O1267+P1267</f>
        <v>200</v>
      </c>
      <c r="S1267" s="231" t="str">
        <f>TEXT(A1267,"dddd")</f>
        <v>Tuesday</v>
      </c>
    </row>
    <row r="1268" spans="1:19" x14ac:dyDescent="0.25">
      <c r="A1268" s="226">
        <v>47289</v>
      </c>
      <c r="B1268" s="227">
        <f>O1267</f>
        <v>100</v>
      </c>
      <c r="C1268" s="228">
        <f>P1267</f>
        <v>100</v>
      </c>
      <c r="D1268" s="228">
        <f>IF(OR(DAY(A1268+2)=1,DAY(A1268+2)=15),-SUM('Main Budget'!$H$26:$H$31),0)</f>
        <v>0</v>
      </c>
      <c r="E1268" s="228">
        <f>IF(DAY(A1268+2)=22,-SUM('Main Budget'!$F$26:$F$31),0)</f>
        <v>0</v>
      </c>
      <c r="F1268" s="228">
        <f>IF(D1268&gt;0,-'Main Budget'!$H$25+0.15,0)</f>
        <v>0</v>
      </c>
      <c r="G1268" s="228">
        <f>IF(E1268&gt;0,-'Main Budget'!$F$25+0.81,0)</f>
        <v>0</v>
      </c>
      <c r="H1268" s="227">
        <f>IF(DAY(A1268)='Main Budget'!$J$26,'Main Budget'!$E$26,0)</f>
        <v>0</v>
      </c>
      <c r="I1268" s="227">
        <f>IF(DAY(A1268)='Main Budget'!$J$28,'Main Budget'!$E$28,0)</f>
        <v>0</v>
      </c>
      <c r="J1268" s="227">
        <f>IF(DAY(A1268)='Main Budget'!$J$29,'Main Budget'!$E$29,0)</f>
        <v>0</v>
      </c>
      <c r="K1268" s="20">
        <f>IF(DAY(A1268)='Main Budget'!$J$30,'Main Budget'!$E$30,0)</f>
        <v>0</v>
      </c>
      <c r="L1268" s="20">
        <f>IF(DAY(A1268)='Main Budget'!$J$31,'Main Budget'!$E$31,0)</f>
        <v>0</v>
      </c>
      <c r="M1268" s="20">
        <f>IF(DAY(A1268)='Main Budget'!$J$27,'Main Budget'!$E$27,0)</f>
        <v>0</v>
      </c>
      <c r="O1268" s="228">
        <f>B1268+(SUM(H1268:M1268)+(SUM(D1268:E1268)))</f>
        <v>100</v>
      </c>
      <c r="P1268" s="228">
        <f>C1268+F1268+G1268+N1268</f>
        <v>100</v>
      </c>
      <c r="Q1268" s="252">
        <f>O1268+P1268</f>
        <v>200</v>
      </c>
      <c r="S1268" s="231" t="str">
        <f>TEXT(A1268,"dddd")</f>
        <v>Wednesday</v>
      </c>
    </row>
    <row r="1269" spans="1:19" x14ac:dyDescent="0.25">
      <c r="A1269" s="226">
        <v>47290</v>
      </c>
      <c r="B1269" s="227">
        <f>O1268</f>
        <v>100</v>
      </c>
      <c r="C1269" s="228">
        <f>P1268</f>
        <v>100</v>
      </c>
      <c r="D1269" s="228">
        <f>IF(OR(DAY(A1269+2)=1,DAY(A1269+2)=15),-SUM('Main Budget'!$H$26:$H$31),0)</f>
        <v>0</v>
      </c>
      <c r="E1269" s="228">
        <f>IF(DAY(A1269+2)=22,-SUM('Main Budget'!$F$26:$F$31),0)</f>
        <v>0</v>
      </c>
      <c r="F1269" s="228">
        <f>IF(D1269&gt;0,-'Main Budget'!$H$25+0.15,0)</f>
        <v>0</v>
      </c>
      <c r="G1269" s="228">
        <f>IF(E1269&gt;0,-'Main Budget'!$F$25+0.81,0)</f>
        <v>0</v>
      </c>
      <c r="H1269" s="227">
        <f>IF(DAY(A1269)='Main Budget'!$J$26,'Main Budget'!$E$26,0)</f>
        <v>0</v>
      </c>
      <c r="I1269" s="227">
        <f>IF(DAY(A1269)='Main Budget'!$J$28,'Main Budget'!$E$28,0)</f>
        <v>0</v>
      </c>
      <c r="J1269" s="227">
        <f>IF(DAY(A1269)='Main Budget'!$J$29,'Main Budget'!$E$29,0)</f>
        <v>0</v>
      </c>
      <c r="K1269" s="20">
        <f>IF(DAY(A1269)='Main Budget'!$J$30,'Main Budget'!$E$30,0)</f>
        <v>0</v>
      </c>
      <c r="L1269" s="20">
        <f>IF(DAY(A1269)='Main Budget'!$J$31,'Main Budget'!$E$31,0)</f>
        <v>0</v>
      </c>
      <c r="M1269" s="20">
        <f>IF(DAY(A1269)='Main Budget'!$J$27,'Main Budget'!$E$27,0)</f>
        <v>0</v>
      </c>
      <c r="O1269" s="228">
        <f>B1269+(SUM(H1269:M1269)+(SUM(D1269:E1269)))</f>
        <v>100</v>
      </c>
      <c r="P1269" s="228">
        <f>C1269+F1269+G1269+N1269</f>
        <v>100</v>
      </c>
      <c r="Q1269" s="252">
        <f>O1269+P1269</f>
        <v>200</v>
      </c>
      <c r="S1269" s="231" t="str">
        <f>TEXT(A1269,"dddd")</f>
        <v>Thursday</v>
      </c>
    </row>
    <row r="1270" spans="1:19" x14ac:dyDescent="0.25">
      <c r="A1270" s="226">
        <v>47291</v>
      </c>
      <c r="B1270" s="227">
        <f>O1269</f>
        <v>100</v>
      </c>
      <c r="C1270" s="228">
        <f>P1269</f>
        <v>100</v>
      </c>
      <c r="D1270" s="228">
        <f>IF(OR(DAY(A1270+2)=1,DAY(A1270+2)=15),-SUM('Main Budget'!$H$26:$H$31),0)</f>
        <v>0</v>
      </c>
      <c r="E1270" s="228">
        <f>IF(DAY(A1270+2)=22,-SUM('Main Budget'!$F$26:$F$31),0)</f>
        <v>0</v>
      </c>
      <c r="F1270" s="228">
        <f>IF(D1270&gt;0,-'Main Budget'!$H$25+0.15,0)</f>
        <v>0</v>
      </c>
      <c r="G1270" s="228">
        <f>IF(E1270&gt;0,-'Main Budget'!$F$25+0.81,0)</f>
        <v>0</v>
      </c>
      <c r="H1270" s="227">
        <f>IF(DAY(A1270)='Main Budget'!$J$26,'Main Budget'!$E$26,0)</f>
        <v>0</v>
      </c>
      <c r="I1270" s="227">
        <f>IF(DAY(A1270)='Main Budget'!$J$28,'Main Budget'!$E$28,0)</f>
        <v>0</v>
      </c>
      <c r="J1270" s="227">
        <f>IF(DAY(A1270)='Main Budget'!$J$29,'Main Budget'!$E$29,0)</f>
        <v>0</v>
      </c>
      <c r="K1270" s="20">
        <f>IF(DAY(A1270)='Main Budget'!$J$30,'Main Budget'!$E$30,0)</f>
        <v>0</v>
      </c>
      <c r="L1270" s="20">
        <f>IF(DAY(A1270)='Main Budget'!$J$31,'Main Budget'!$E$31,0)</f>
        <v>0</v>
      </c>
      <c r="M1270" s="20">
        <f>IF(DAY(A1270)='Main Budget'!$J$27,'Main Budget'!$E$27,0)</f>
        <v>0</v>
      </c>
      <c r="O1270" s="228">
        <f>B1270+(SUM(H1270:M1270)+(SUM(D1270:E1270)))</f>
        <v>100</v>
      </c>
      <c r="P1270" s="228">
        <f>C1270+F1270+G1270+N1270</f>
        <v>100</v>
      </c>
      <c r="Q1270" s="252">
        <f>O1270+P1270</f>
        <v>200</v>
      </c>
      <c r="S1270" s="231" t="str">
        <f>TEXT(A1270,"dddd")</f>
        <v>Friday</v>
      </c>
    </row>
    <row r="1271" spans="1:19" x14ac:dyDescent="0.25">
      <c r="A1271" s="226">
        <v>47292</v>
      </c>
      <c r="B1271" s="227">
        <f>O1270</f>
        <v>100</v>
      </c>
      <c r="C1271" s="228">
        <f>P1270</f>
        <v>100</v>
      </c>
      <c r="D1271" s="228">
        <f>IF(OR(DAY(A1271+2)=1,DAY(A1271+2)=15),-SUM('Main Budget'!$H$26:$H$31),0)</f>
        <v>0</v>
      </c>
      <c r="E1271" s="228">
        <f>IF(DAY(A1271+2)=22,-SUM('Main Budget'!$F$26:$F$31),0)</f>
        <v>0</v>
      </c>
      <c r="F1271" s="228">
        <f>IF(D1271&gt;0,-'Main Budget'!$H$25+0.15,0)</f>
        <v>0</v>
      </c>
      <c r="G1271" s="228">
        <f>IF(E1271&gt;0,-'Main Budget'!$F$25+0.81,0)</f>
        <v>0</v>
      </c>
      <c r="H1271" s="227">
        <f>IF(DAY(A1271)='Main Budget'!$J$26,'Main Budget'!$E$26,0)</f>
        <v>0</v>
      </c>
      <c r="I1271" s="227">
        <f>IF(DAY(A1271)='Main Budget'!$J$28,'Main Budget'!$E$28,0)</f>
        <v>0</v>
      </c>
      <c r="J1271" s="227">
        <f>IF(DAY(A1271)='Main Budget'!$J$29,'Main Budget'!$E$29,0)</f>
        <v>0</v>
      </c>
      <c r="K1271" s="20">
        <f>IF(DAY(A1271)='Main Budget'!$J$30,'Main Budget'!$E$30,0)</f>
        <v>0</v>
      </c>
      <c r="L1271" s="20">
        <f>IF(DAY(A1271)='Main Budget'!$J$31,'Main Budget'!$E$31,0)</f>
        <v>0</v>
      </c>
      <c r="M1271" s="20">
        <f>IF(DAY(A1271)='Main Budget'!$J$27,'Main Budget'!$E$27,0)</f>
        <v>0</v>
      </c>
      <c r="O1271" s="228">
        <f>B1271+(SUM(H1271:M1271)+(SUM(D1271:E1271)))</f>
        <v>100</v>
      </c>
      <c r="P1271" s="228">
        <f>C1271+F1271+G1271+N1271</f>
        <v>100</v>
      </c>
      <c r="Q1271" s="252">
        <f>O1271+P1271</f>
        <v>200</v>
      </c>
      <c r="S1271" s="231" t="str">
        <f>TEXT(A1271,"dddd")</f>
        <v>Saturday</v>
      </c>
    </row>
    <row r="1272" spans="1:19" x14ac:dyDescent="0.25">
      <c r="A1272" s="226">
        <v>47293</v>
      </c>
      <c r="B1272" s="227">
        <f>O1271</f>
        <v>100</v>
      </c>
      <c r="C1272" s="228">
        <f>P1271</f>
        <v>100</v>
      </c>
      <c r="D1272" s="228">
        <f>IF(OR(DAY(A1272+2)=1,DAY(A1272+2)=15),-SUM('Main Budget'!$H$26:$H$31),0)</f>
        <v>0</v>
      </c>
      <c r="E1272" s="228">
        <f>IF(DAY(A1272+2)=22,-SUM('Main Budget'!$F$26:$F$31),0)</f>
        <v>0</v>
      </c>
      <c r="F1272" s="228">
        <f>IF(D1272&gt;0,-'Main Budget'!$H$25+0.15,0)</f>
        <v>0</v>
      </c>
      <c r="G1272" s="228">
        <f>IF(E1272&gt;0,-'Main Budget'!$F$25+0.81,0)</f>
        <v>0</v>
      </c>
      <c r="H1272" s="227">
        <f>IF(DAY(A1272)='Main Budget'!$J$26,'Main Budget'!$E$26,0)</f>
        <v>0</v>
      </c>
      <c r="I1272" s="227">
        <f>IF(DAY(A1272)='Main Budget'!$J$28,'Main Budget'!$E$28,0)</f>
        <v>0</v>
      </c>
      <c r="J1272" s="227">
        <f>IF(DAY(A1272)='Main Budget'!$J$29,'Main Budget'!$E$29,0)</f>
        <v>0</v>
      </c>
      <c r="K1272" s="20">
        <f>IF(DAY(A1272)='Main Budget'!$J$30,'Main Budget'!$E$30,0)</f>
        <v>0</v>
      </c>
      <c r="L1272" s="20">
        <f>IF(DAY(A1272)='Main Budget'!$J$31,'Main Budget'!$E$31,0)</f>
        <v>0</v>
      </c>
      <c r="M1272" s="20">
        <f>IF(DAY(A1272)='Main Budget'!$J$27,'Main Budget'!$E$27,0)</f>
        <v>0</v>
      </c>
      <c r="O1272" s="228">
        <f>B1272+(SUM(H1272:M1272)+(SUM(D1272:E1272)))</f>
        <v>100</v>
      </c>
      <c r="P1272" s="228">
        <f>C1272+F1272+G1272+N1272</f>
        <v>100</v>
      </c>
      <c r="Q1272" s="252">
        <f>O1272+P1272</f>
        <v>200</v>
      </c>
      <c r="S1272" s="231" t="str">
        <f>TEXT(A1272,"dddd")</f>
        <v>Sunday</v>
      </c>
    </row>
    <row r="1273" spans="1:19" x14ac:dyDescent="0.25">
      <c r="A1273" s="226">
        <v>47294</v>
      </c>
      <c r="B1273" s="227">
        <f>O1272</f>
        <v>100</v>
      </c>
      <c r="C1273" s="228">
        <f>P1272</f>
        <v>100</v>
      </c>
      <c r="D1273" s="228">
        <f>IF(OR(DAY(A1273+2)=1,DAY(A1273+2)=15),-SUM('Main Budget'!$H$26:$H$31),0)</f>
        <v>0</v>
      </c>
      <c r="E1273" s="228">
        <f>IF(DAY(A1273+2)=22,-SUM('Main Budget'!$F$26:$F$31),0)</f>
        <v>0</v>
      </c>
      <c r="F1273" s="228">
        <f>IF(D1273&gt;0,-'Main Budget'!$H$25+0.15,0)</f>
        <v>0</v>
      </c>
      <c r="G1273" s="228">
        <f>IF(E1273&gt;0,-'Main Budget'!$F$25+0.81,0)</f>
        <v>0</v>
      </c>
      <c r="H1273" s="227">
        <f>IF(DAY(A1273)='Main Budget'!$J$26,'Main Budget'!$E$26,0)</f>
        <v>0</v>
      </c>
      <c r="I1273" s="227">
        <f>IF(DAY(A1273)='Main Budget'!$J$28,'Main Budget'!$E$28,0)</f>
        <v>0</v>
      </c>
      <c r="J1273" s="227">
        <f>IF(DAY(A1273)='Main Budget'!$J$29,'Main Budget'!$E$29,0)</f>
        <v>0</v>
      </c>
      <c r="K1273" s="20">
        <f>IF(DAY(A1273)='Main Budget'!$J$30,'Main Budget'!$E$30,0)</f>
        <v>0</v>
      </c>
      <c r="L1273" s="20">
        <f>IF(DAY(A1273)='Main Budget'!$J$31,'Main Budget'!$E$31,0)</f>
        <v>0</v>
      </c>
      <c r="M1273" s="20">
        <f>IF(DAY(A1273)='Main Budget'!$J$27,'Main Budget'!$E$27,0)</f>
        <v>0</v>
      </c>
      <c r="O1273" s="228">
        <f>B1273+(SUM(H1273:M1273)+(SUM(D1273:E1273)))</f>
        <v>100</v>
      </c>
      <c r="P1273" s="228">
        <f>C1273+F1273+G1273+N1273</f>
        <v>100</v>
      </c>
      <c r="Q1273" s="252">
        <f>O1273+P1273</f>
        <v>200</v>
      </c>
      <c r="S1273" s="231" t="str">
        <f>TEXT(A1273,"dddd")</f>
        <v>Monday</v>
      </c>
    </row>
    <row r="1274" spans="1:19" x14ac:dyDescent="0.25">
      <c r="A1274" s="226">
        <v>47295</v>
      </c>
      <c r="B1274" s="227">
        <f>O1273</f>
        <v>100</v>
      </c>
      <c r="C1274" s="228">
        <f>P1273</f>
        <v>100</v>
      </c>
      <c r="D1274" s="228">
        <f>IF(OR(DAY(A1274+2)=1,DAY(A1274+2)=15),-SUM('Main Budget'!$H$26:$H$31),0)</f>
        <v>0</v>
      </c>
      <c r="E1274" s="228">
        <f>IF(DAY(A1274+2)=22,-SUM('Main Budget'!$F$26:$F$31),0)</f>
        <v>0</v>
      </c>
      <c r="F1274" s="228">
        <f>IF(D1274&gt;0,-'Main Budget'!$H$25+0.15,0)</f>
        <v>0</v>
      </c>
      <c r="G1274" s="228">
        <f>IF(E1274&gt;0,-'Main Budget'!$F$25+0.81,0)</f>
        <v>0</v>
      </c>
      <c r="H1274" s="227">
        <f>IF(DAY(A1274)='Main Budget'!$J$26,'Main Budget'!$E$26,0)</f>
        <v>0</v>
      </c>
      <c r="I1274" s="227">
        <f>IF(DAY(A1274)='Main Budget'!$J$28,'Main Budget'!$E$28,0)</f>
        <v>0</v>
      </c>
      <c r="J1274" s="227">
        <f>IF(DAY(A1274)='Main Budget'!$J$29,'Main Budget'!$E$29,0)</f>
        <v>0</v>
      </c>
      <c r="K1274" s="20">
        <f>IF(DAY(A1274)='Main Budget'!$J$30,'Main Budget'!$E$30,0)</f>
        <v>0</v>
      </c>
      <c r="L1274" s="20">
        <f>IF(DAY(A1274)='Main Budget'!$J$31,'Main Budget'!$E$31,0)</f>
        <v>0</v>
      </c>
      <c r="M1274" s="20">
        <f>IF(DAY(A1274)='Main Budget'!$J$27,'Main Budget'!$E$27,0)</f>
        <v>0</v>
      </c>
      <c r="O1274" s="228">
        <f>B1274+(SUM(H1274:M1274)+(SUM(D1274:E1274)))</f>
        <v>100</v>
      </c>
      <c r="P1274" s="228">
        <f>C1274+F1274+G1274+N1274</f>
        <v>100</v>
      </c>
      <c r="Q1274" s="252">
        <f>O1274+P1274</f>
        <v>200</v>
      </c>
      <c r="S1274" s="231" t="str">
        <f>TEXT(A1274,"dddd")</f>
        <v>Tuesday</v>
      </c>
    </row>
    <row r="1275" spans="1:19" x14ac:dyDescent="0.25">
      <c r="A1275" s="226">
        <v>47296</v>
      </c>
      <c r="B1275" s="227">
        <f>O1274</f>
        <v>100</v>
      </c>
      <c r="C1275" s="228">
        <f>P1274</f>
        <v>100</v>
      </c>
      <c r="D1275" s="228">
        <f>IF(OR(DAY(A1275+2)=1,DAY(A1275+2)=15),-SUM('Main Budget'!$H$26:$H$31),0)</f>
        <v>0</v>
      </c>
      <c r="E1275" s="228">
        <f>IF(DAY(A1275+2)=22,-SUM('Main Budget'!$F$26:$F$31),0)</f>
        <v>0</v>
      </c>
      <c r="F1275" s="228">
        <f>IF(D1275&gt;0,-'Main Budget'!$H$25+0.15,0)</f>
        <v>0</v>
      </c>
      <c r="G1275" s="228">
        <f>IF(E1275&gt;0,-'Main Budget'!$F$25+0.81,0)</f>
        <v>0</v>
      </c>
      <c r="H1275" s="227">
        <f>IF(DAY(A1275)='Main Budget'!$J$26,'Main Budget'!$E$26,0)</f>
        <v>0</v>
      </c>
      <c r="I1275" s="227">
        <f>IF(DAY(A1275)='Main Budget'!$J$28,'Main Budget'!$E$28,0)</f>
        <v>0</v>
      </c>
      <c r="J1275" s="227">
        <f>IF(DAY(A1275)='Main Budget'!$J$29,'Main Budget'!$E$29,0)</f>
        <v>0</v>
      </c>
      <c r="K1275" s="20">
        <f>IF(DAY(A1275)='Main Budget'!$J$30,'Main Budget'!$E$30,0)</f>
        <v>0</v>
      </c>
      <c r="L1275" s="20">
        <f>IF(DAY(A1275)='Main Budget'!$J$31,'Main Budget'!$E$31,0)</f>
        <v>0</v>
      </c>
      <c r="M1275" s="20">
        <f>IF(DAY(A1275)='Main Budget'!$J$27,'Main Budget'!$E$27,0)</f>
        <v>0</v>
      </c>
      <c r="O1275" s="228">
        <f>B1275+(SUM(H1275:M1275)+(SUM(D1275:E1275)))</f>
        <v>100</v>
      </c>
      <c r="P1275" s="228">
        <f>C1275+F1275+G1275+N1275</f>
        <v>100</v>
      </c>
      <c r="Q1275" s="252">
        <f>O1275+P1275</f>
        <v>200</v>
      </c>
      <c r="S1275" s="231" t="str">
        <f>TEXT(A1275,"dddd")</f>
        <v>Wednesday</v>
      </c>
    </row>
    <row r="1276" spans="1:19" x14ac:dyDescent="0.25">
      <c r="A1276" s="226">
        <v>47297</v>
      </c>
      <c r="B1276" s="227">
        <f>O1275</f>
        <v>100</v>
      </c>
      <c r="C1276" s="228">
        <f>P1275</f>
        <v>100</v>
      </c>
      <c r="D1276" s="228">
        <f>IF(OR(DAY(A1276+2)=1,DAY(A1276+2)=15),-SUM('Main Budget'!$H$26:$H$31),0)</f>
        <v>0</v>
      </c>
      <c r="E1276" s="228">
        <f>IF(DAY(A1276+2)=22,-SUM('Main Budget'!$F$26:$F$31),0)</f>
        <v>0</v>
      </c>
      <c r="F1276" s="228">
        <f>IF(D1276&gt;0,-'Main Budget'!$H$25+0.15,0)</f>
        <v>0</v>
      </c>
      <c r="G1276" s="228">
        <f>IF(E1276&gt;0,-'Main Budget'!$F$25+0.81,0)</f>
        <v>0</v>
      </c>
      <c r="H1276" s="227">
        <f>IF(DAY(A1276)='Main Budget'!$J$26,'Main Budget'!$E$26,0)</f>
        <v>0</v>
      </c>
      <c r="I1276" s="227">
        <f>IF(DAY(A1276)='Main Budget'!$J$28,'Main Budget'!$E$28,0)</f>
        <v>0</v>
      </c>
      <c r="J1276" s="227">
        <f>IF(DAY(A1276)='Main Budget'!$J$29,'Main Budget'!$E$29,0)</f>
        <v>0</v>
      </c>
      <c r="K1276" s="20">
        <f>IF(DAY(A1276)='Main Budget'!$J$30,'Main Budget'!$E$30,0)</f>
        <v>0</v>
      </c>
      <c r="L1276" s="20">
        <f>IF(DAY(A1276)='Main Budget'!$J$31,'Main Budget'!$E$31,0)</f>
        <v>0</v>
      </c>
      <c r="M1276" s="20">
        <f>IF(DAY(A1276)='Main Budget'!$J$27,'Main Budget'!$E$27,0)</f>
        <v>0</v>
      </c>
      <c r="O1276" s="228">
        <f>B1276+(SUM(H1276:M1276)+(SUM(D1276:E1276)))</f>
        <v>100</v>
      </c>
      <c r="P1276" s="228">
        <f>C1276+F1276+G1276+N1276</f>
        <v>100</v>
      </c>
      <c r="Q1276" s="252">
        <f>O1276+P1276</f>
        <v>200</v>
      </c>
      <c r="S1276" s="231" t="str">
        <f>TEXT(A1276,"dddd")</f>
        <v>Thursday</v>
      </c>
    </row>
    <row r="1277" spans="1:19" x14ac:dyDescent="0.25">
      <c r="A1277" s="226">
        <v>47298</v>
      </c>
      <c r="B1277" s="227">
        <f>O1276</f>
        <v>100</v>
      </c>
      <c r="C1277" s="228">
        <f>P1276</f>
        <v>100</v>
      </c>
      <c r="D1277" s="228">
        <f>IF(OR(DAY(A1277+2)=1,DAY(A1277+2)=15),-SUM('Main Budget'!$H$26:$H$31),0)</f>
        <v>0</v>
      </c>
      <c r="E1277" s="228">
        <f>IF(DAY(A1277+2)=22,-SUM('Main Budget'!$F$26:$F$31),0)</f>
        <v>0</v>
      </c>
      <c r="F1277" s="228">
        <f>IF(D1277&gt;0,-'Main Budget'!$H$25+0.15,0)</f>
        <v>0</v>
      </c>
      <c r="G1277" s="228">
        <f>IF(E1277&gt;0,-'Main Budget'!$F$25+0.81,0)</f>
        <v>0</v>
      </c>
      <c r="H1277" s="227">
        <f>IF(DAY(A1277)='Main Budget'!$J$26,'Main Budget'!$E$26,0)</f>
        <v>0</v>
      </c>
      <c r="I1277" s="227">
        <f>IF(DAY(A1277)='Main Budget'!$J$28,'Main Budget'!$E$28,0)</f>
        <v>0</v>
      </c>
      <c r="J1277" s="227">
        <f>IF(DAY(A1277)='Main Budget'!$J$29,'Main Budget'!$E$29,0)</f>
        <v>0</v>
      </c>
      <c r="K1277" s="20">
        <f>IF(DAY(A1277)='Main Budget'!$J$30,'Main Budget'!$E$30,0)</f>
        <v>0</v>
      </c>
      <c r="L1277" s="20">
        <f>IF(DAY(A1277)='Main Budget'!$J$31,'Main Budget'!$E$31,0)</f>
        <v>0</v>
      </c>
      <c r="M1277" s="20">
        <f>IF(DAY(A1277)='Main Budget'!$J$27,'Main Budget'!$E$27,0)</f>
        <v>0</v>
      </c>
      <c r="O1277" s="228">
        <f>B1277+(SUM(H1277:M1277)+(SUM(D1277:E1277)))</f>
        <v>100</v>
      </c>
      <c r="P1277" s="228">
        <f>C1277+F1277+G1277+N1277</f>
        <v>100</v>
      </c>
      <c r="Q1277" s="252">
        <f>O1277+P1277</f>
        <v>200</v>
      </c>
      <c r="S1277" s="231" t="str">
        <f>TEXT(A1277,"dddd")</f>
        <v>Friday</v>
      </c>
    </row>
    <row r="1278" spans="1:19" x14ac:dyDescent="0.25">
      <c r="A1278" s="226">
        <v>47299</v>
      </c>
      <c r="B1278" s="227">
        <f>O1277</f>
        <v>100</v>
      </c>
      <c r="C1278" s="228">
        <f>P1277</f>
        <v>100</v>
      </c>
      <c r="D1278" s="228">
        <f>IF(OR(DAY(A1278+2)=1,DAY(A1278+2)=15),-SUM('Main Budget'!$H$26:$H$31),0)</f>
        <v>0</v>
      </c>
      <c r="E1278" s="228">
        <f>IF(DAY(A1278+2)=22,-SUM('Main Budget'!$F$26:$F$31),0)</f>
        <v>0</v>
      </c>
      <c r="F1278" s="228">
        <f>IF(D1278&gt;0,-'Main Budget'!$H$25+0.15,0)</f>
        <v>0</v>
      </c>
      <c r="G1278" s="228">
        <f>IF(E1278&gt;0,-'Main Budget'!$F$25+0.81,0)</f>
        <v>0</v>
      </c>
      <c r="H1278" s="227">
        <f>IF(DAY(A1278)='Main Budget'!$J$26,'Main Budget'!$E$26,0)</f>
        <v>0</v>
      </c>
      <c r="I1278" s="227">
        <f>IF(DAY(A1278)='Main Budget'!$J$28,'Main Budget'!$E$28,0)</f>
        <v>0</v>
      </c>
      <c r="J1278" s="227">
        <f>IF(DAY(A1278)='Main Budget'!$J$29,'Main Budget'!$E$29,0)</f>
        <v>0</v>
      </c>
      <c r="K1278" s="20">
        <f>IF(DAY(A1278)='Main Budget'!$J$30,'Main Budget'!$E$30,0)</f>
        <v>0</v>
      </c>
      <c r="L1278" s="20">
        <f>IF(DAY(A1278)='Main Budget'!$J$31,'Main Budget'!$E$31,0)</f>
        <v>0</v>
      </c>
      <c r="M1278" s="20">
        <f>IF(DAY(A1278)='Main Budget'!$J$27,'Main Budget'!$E$27,0)</f>
        <v>0</v>
      </c>
      <c r="O1278" s="228">
        <f>B1278+(SUM(H1278:M1278)+(SUM(D1278:E1278)))</f>
        <v>100</v>
      </c>
      <c r="P1278" s="228">
        <f>C1278+F1278+G1278+N1278</f>
        <v>100</v>
      </c>
      <c r="Q1278" s="252">
        <f>O1278+P1278</f>
        <v>200</v>
      </c>
      <c r="S1278" s="231" t="str">
        <f>TEXT(A1278,"dddd")</f>
        <v>Saturday</v>
      </c>
    </row>
    <row r="1279" spans="1:19" x14ac:dyDescent="0.25">
      <c r="A1279" s="226">
        <v>47300</v>
      </c>
      <c r="B1279" s="227">
        <f>O1278</f>
        <v>100</v>
      </c>
      <c r="C1279" s="228">
        <f>P1278</f>
        <v>100</v>
      </c>
      <c r="D1279" s="228">
        <f>IF(OR(DAY(A1279+2)=1,DAY(A1279+2)=15),-SUM('Main Budget'!$H$26:$H$31),0)</f>
        <v>0</v>
      </c>
      <c r="E1279" s="228">
        <f>IF(DAY(A1279+2)=22,-SUM('Main Budget'!$F$26:$F$31),0)</f>
        <v>0</v>
      </c>
      <c r="F1279" s="228">
        <f>IF(D1279&gt;0,-'Main Budget'!$H$25+0.15,0)</f>
        <v>0</v>
      </c>
      <c r="G1279" s="228">
        <f>IF(E1279&gt;0,-'Main Budget'!$F$25+0.81,0)</f>
        <v>0</v>
      </c>
      <c r="H1279" s="227">
        <f>IF(DAY(A1279)='Main Budget'!$J$26,'Main Budget'!$E$26,0)</f>
        <v>0</v>
      </c>
      <c r="I1279" s="227">
        <f>IF(DAY(A1279)='Main Budget'!$J$28,'Main Budget'!$E$28,0)</f>
        <v>0</v>
      </c>
      <c r="J1279" s="227">
        <f>IF(DAY(A1279)='Main Budget'!$J$29,'Main Budget'!$E$29,0)</f>
        <v>0</v>
      </c>
      <c r="K1279" s="20">
        <f>IF(DAY(A1279)='Main Budget'!$J$30,'Main Budget'!$E$30,0)</f>
        <v>0</v>
      </c>
      <c r="L1279" s="20">
        <f>IF(DAY(A1279)='Main Budget'!$J$31,'Main Budget'!$E$31,0)</f>
        <v>0</v>
      </c>
      <c r="M1279" s="20">
        <f>IF(DAY(A1279)='Main Budget'!$J$27,'Main Budget'!$E$27,0)</f>
        <v>0</v>
      </c>
      <c r="O1279" s="228">
        <f>B1279+(SUM(H1279:M1279)+(SUM(D1279:E1279)))</f>
        <v>100</v>
      </c>
      <c r="P1279" s="228">
        <f>C1279+F1279+G1279+N1279</f>
        <v>100</v>
      </c>
      <c r="Q1279" s="252">
        <f>O1279+P1279</f>
        <v>200</v>
      </c>
      <c r="S1279" s="231" t="str">
        <f>TEXT(A1279,"dddd")</f>
        <v>Sunday</v>
      </c>
    </row>
    <row r="1280" spans="1:19" x14ac:dyDescent="0.25">
      <c r="A1280" s="226">
        <v>47301</v>
      </c>
      <c r="B1280" s="227">
        <f>O1279</f>
        <v>100</v>
      </c>
      <c r="C1280" s="228">
        <f>P1279</f>
        <v>100</v>
      </c>
      <c r="D1280" s="228">
        <f>IF(OR(DAY(A1280+2)=1,DAY(A1280+2)=15),-SUM('Main Budget'!$H$26:$H$31),0)</f>
        <v>0</v>
      </c>
      <c r="E1280" s="228">
        <f>IF(DAY(A1280+2)=22,-SUM('Main Budget'!$F$26:$F$31),0)</f>
        <v>0</v>
      </c>
      <c r="F1280" s="228">
        <f>IF(D1280&gt;0,-'Main Budget'!$H$25+0.15,0)</f>
        <v>0</v>
      </c>
      <c r="G1280" s="228">
        <f>IF(E1280&gt;0,-'Main Budget'!$F$25+0.81,0)</f>
        <v>0</v>
      </c>
      <c r="H1280" s="227">
        <f>IF(DAY(A1280)='Main Budget'!$J$26,'Main Budget'!$E$26,0)</f>
        <v>0</v>
      </c>
      <c r="I1280" s="227">
        <f>IF(DAY(A1280)='Main Budget'!$J$28,'Main Budget'!$E$28,0)</f>
        <v>0</v>
      </c>
      <c r="J1280" s="227">
        <f>IF(DAY(A1280)='Main Budget'!$J$29,'Main Budget'!$E$29,0)</f>
        <v>0</v>
      </c>
      <c r="K1280" s="20">
        <f>IF(DAY(A1280)='Main Budget'!$J$30,'Main Budget'!$E$30,0)</f>
        <v>0</v>
      </c>
      <c r="L1280" s="20">
        <f>IF(DAY(A1280)='Main Budget'!$J$31,'Main Budget'!$E$31,0)</f>
        <v>0</v>
      </c>
      <c r="M1280" s="20">
        <f>IF(DAY(A1280)='Main Budget'!$J$27,'Main Budget'!$E$27,0)</f>
        <v>0</v>
      </c>
      <c r="O1280" s="228">
        <f>B1280+(SUM(H1280:M1280)+(SUM(D1280:E1280)))</f>
        <v>100</v>
      </c>
      <c r="P1280" s="228">
        <f>C1280+F1280+G1280+N1280</f>
        <v>100</v>
      </c>
      <c r="Q1280" s="252">
        <f>O1280+P1280</f>
        <v>200</v>
      </c>
      <c r="S1280" s="231" t="str">
        <f>TEXT(A1280,"dddd")</f>
        <v>Monday</v>
      </c>
    </row>
    <row r="1281" spans="1:19" x14ac:dyDescent="0.25">
      <c r="A1281" s="226">
        <v>47302</v>
      </c>
      <c r="B1281" s="227">
        <f>O1280</f>
        <v>100</v>
      </c>
      <c r="C1281" s="228">
        <f>P1280</f>
        <v>100</v>
      </c>
      <c r="D1281" s="228">
        <f>IF(OR(DAY(A1281+2)=1,DAY(A1281+2)=15),-SUM('Main Budget'!$H$26:$H$31),0)</f>
        <v>0</v>
      </c>
      <c r="E1281" s="228">
        <f>IF(DAY(A1281+2)=22,-SUM('Main Budget'!$F$26:$F$31),0)</f>
        <v>0</v>
      </c>
      <c r="F1281" s="228">
        <f>IF(D1281&gt;0,-'Main Budget'!$H$25+0.15,0)</f>
        <v>0</v>
      </c>
      <c r="G1281" s="228">
        <f>IF(E1281&gt;0,-'Main Budget'!$F$25+0.81,0)</f>
        <v>0</v>
      </c>
      <c r="H1281" s="227">
        <f>IF(DAY(A1281)='Main Budget'!$J$26,'Main Budget'!$E$26,0)</f>
        <v>0</v>
      </c>
      <c r="I1281" s="227">
        <f>IF(DAY(A1281)='Main Budget'!$J$28,'Main Budget'!$E$28,0)</f>
        <v>0</v>
      </c>
      <c r="J1281" s="227">
        <f>IF(DAY(A1281)='Main Budget'!$J$29,'Main Budget'!$E$29,0)</f>
        <v>0</v>
      </c>
      <c r="K1281" s="20">
        <f>IF(DAY(A1281)='Main Budget'!$J$30,'Main Budget'!$E$30,0)</f>
        <v>0</v>
      </c>
      <c r="L1281" s="20">
        <f>IF(DAY(A1281)='Main Budget'!$J$31,'Main Budget'!$E$31,0)</f>
        <v>0</v>
      </c>
      <c r="M1281" s="20">
        <f>IF(DAY(A1281)='Main Budget'!$J$27,'Main Budget'!$E$27,0)</f>
        <v>0</v>
      </c>
      <c r="O1281" s="228">
        <f>B1281+(SUM(H1281:M1281)+(SUM(D1281:E1281)))</f>
        <v>100</v>
      </c>
      <c r="P1281" s="228">
        <f>C1281+F1281+G1281+N1281</f>
        <v>100</v>
      </c>
      <c r="Q1281" s="252">
        <f>O1281+P1281</f>
        <v>200</v>
      </c>
      <c r="S1281" s="231" t="str">
        <f>TEXT(A1281,"dddd")</f>
        <v>Tuesday</v>
      </c>
    </row>
    <row r="1282" spans="1:19" x14ac:dyDescent="0.25">
      <c r="A1282" s="226">
        <v>47303</v>
      </c>
      <c r="B1282" s="227">
        <f>O1281</f>
        <v>100</v>
      </c>
      <c r="C1282" s="228">
        <f>P1281</f>
        <v>100</v>
      </c>
      <c r="D1282" s="228">
        <f>IF(OR(DAY(A1282+2)=1,DAY(A1282+2)=15),-SUM('Main Budget'!$H$26:$H$31),0)</f>
        <v>0</v>
      </c>
      <c r="E1282" s="228">
        <f>IF(DAY(A1282+2)=22,-SUM('Main Budget'!$F$26:$F$31),0)</f>
        <v>0</v>
      </c>
      <c r="F1282" s="228">
        <f>IF(D1282&gt;0,-'Main Budget'!$H$25+0.15,0)</f>
        <v>0</v>
      </c>
      <c r="G1282" s="228">
        <f>IF(E1282&gt;0,-'Main Budget'!$F$25+0.81,0)</f>
        <v>0</v>
      </c>
      <c r="H1282" s="227">
        <f>IF(DAY(A1282)='Main Budget'!$J$26,'Main Budget'!$E$26,0)</f>
        <v>0</v>
      </c>
      <c r="I1282" s="227">
        <f>IF(DAY(A1282)='Main Budget'!$J$28,'Main Budget'!$E$28,0)</f>
        <v>0</v>
      </c>
      <c r="J1282" s="227">
        <f>IF(DAY(A1282)='Main Budget'!$J$29,'Main Budget'!$E$29,0)</f>
        <v>0</v>
      </c>
      <c r="K1282" s="20">
        <f>IF(DAY(A1282)='Main Budget'!$J$30,'Main Budget'!$E$30,0)</f>
        <v>0</v>
      </c>
      <c r="L1282" s="20">
        <f>IF(DAY(A1282)='Main Budget'!$J$31,'Main Budget'!$E$31,0)</f>
        <v>0</v>
      </c>
      <c r="M1282" s="20">
        <f>IF(DAY(A1282)='Main Budget'!$J$27,'Main Budget'!$E$27,0)</f>
        <v>0</v>
      </c>
      <c r="O1282" s="228">
        <f>B1282+(SUM(H1282:M1282)+(SUM(D1282:E1282)))</f>
        <v>100</v>
      </c>
      <c r="P1282" s="228">
        <f>C1282+F1282+G1282+N1282</f>
        <v>100</v>
      </c>
      <c r="Q1282" s="252">
        <f>O1282+P1282</f>
        <v>200</v>
      </c>
      <c r="S1282" s="231" t="str">
        <f>TEXT(A1282,"dddd")</f>
        <v>Wednesday</v>
      </c>
    </row>
    <row r="1283" spans="1:19" x14ac:dyDescent="0.25">
      <c r="A1283" s="226">
        <v>47304</v>
      </c>
      <c r="B1283" s="227">
        <f>O1282</f>
        <v>100</v>
      </c>
      <c r="C1283" s="228">
        <f>P1282</f>
        <v>100</v>
      </c>
      <c r="D1283" s="228">
        <f>IF(OR(DAY(A1283+2)=1,DAY(A1283+2)=15),-SUM('Main Budget'!$H$26:$H$31),0)</f>
        <v>0</v>
      </c>
      <c r="E1283" s="228">
        <f>IF(DAY(A1283+2)=22,-SUM('Main Budget'!$F$26:$F$31),0)</f>
        <v>0</v>
      </c>
      <c r="F1283" s="228">
        <f>IF(D1283&gt;0,-'Main Budget'!$H$25+0.15,0)</f>
        <v>0</v>
      </c>
      <c r="G1283" s="228">
        <f>IF(E1283&gt;0,-'Main Budget'!$F$25+0.81,0)</f>
        <v>0</v>
      </c>
      <c r="H1283" s="227">
        <f>IF(DAY(A1283)='Main Budget'!$J$26,'Main Budget'!$E$26,0)</f>
        <v>0</v>
      </c>
      <c r="I1283" s="227">
        <f>IF(DAY(A1283)='Main Budget'!$J$28,'Main Budget'!$E$28,0)</f>
        <v>0</v>
      </c>
      <c r="J1283" s="227">
        <f>IF(DAY(A1283)='Main Budget'!$J$29,'Main Budget'!$E$29,0)</f>
        <v>0</v>
      </c>
      <c r="K1283" s="20">
        <f>IF(DAY(A1283)='Main Budget'!$J$30,'Main Budget'!$E$30,0)</f>
        <v>0</v>
      </c>
      <c r="L1283" s="20">
        <f>IF(DAY(A1283)='Main Budget'!$J$31,'Main Budget'!$E$31,0)</f>
        <v>0</v>
      </c>
      <c r="M1283" s="20">
        <f>IF(DAY(A1283)='Main Budget'!$J$27,'Main Budget'!$E$27,0)</f>
        <v>0</v>
      </c>
      <c r="O1283" s="228">
        <f>B1283+(SUM(H1283:M1283)+(SUM(D1283:E1283)))</f>
        <v>100</v>
      </c>
      <c r="P1283" s="228">
        <f>C1283+F1283+G1283+N1283</f>
        <v>100</v>
      </c>
      <c r="Q1283" s="252">
        <f>O1283+P1283</f>
        <v>200</v>
      </c>
      <c r="S1283" s="231" t="str">
        <f>TEXT(A1283,"dddd")</f>
        <v>Thursday</v>
      </c>
    </row>
    <row r="1284" spans="1:19" x14ac:dyDescent="0.25">
      <c r="A1284" s="226">
        <v>47305</v>
      </c>
      <c r="B1284" s="227">
        <f>O1283</f>
        <v>100</v>
      </c>
      <c r="C1284" s="228">
        <f>P1283</f>
        <v>100</v>
      </c>
      <c r="D1284" s="228">
        <f>IF(OR(DAY(A1284+2)=1,DAY(A1284+2)=15),-SUM('Main Budget'!$H$26:$H$31),0)</f>
        <v>0</v>
      </c>
      <c r="E1284" s="228">
        <f>IF(DAY(A1284+2)=22,-SUM('Main Budget'!$F$26:$F$31),0)</f>
        <v>0</v>
      </c>
      <c r="F1284" s="228">
        <f>IF(D1284&gt;0,-'Main Budget'!$H$25+0.15,0)</f>
        <v>0</v>
      </c>
      <c r="G1284" s="228">
        <f>IF(E1284&gt;0,-'Main Budget'!$F$25+0.81,0)</f>
        <v>0</v>
      </c>
      <c r="H1284" s="227">
        <f>IF(DAY(A1284)='Main Budget'!$J$26,'Main Budget'!$E$26,0)</f>
        <v>0</v>
      </c>
      <c r="I1284" s="227">
        <f>IF(DAY(A1284)='Main Budget'!$J$28,'Main Budget'!$E$28,0)</f>
        <v>0</v>
      </c>
      <c r="J1284" s="227">
        <f>IF(DAY(A1284)='Main Budget'!$J$29,'Main Budget'!$E$29,0)</f>
        <v>0</v>
      </c>
      <c r="K1284" s="20">
        <f>IF(DAY(A1284)='Main Budget'!$J$30,'Main Budget'!$E$30,0)</f>
        <v>0</v>
      </c>
      <c r="L1284" s="20">
        <f>IF(DAY(A1284)='Main Budget'!$J$31,'Main Budget'!$E$31,0)</f>
        <v>0</v>
      </c>
      <c r="M1284" s="20">
        <f>IF(DAY(A1284)='Main Budget'!$J$27,'Main Budget'!$E$27,0)</f>
        <v>0</v>
      </c>
      <c r="O1284" s="228">
        <f>B1284+(SUM(H1284:M1284)+(SUM(D1284:E1284)))</f>
        <v>100</v>
      </c>
      <c r="P1284" s="228">
        <f>C1284+F1284+G1284+N1284</f>
        <v>100</v>
      </c>
      <c r="Q1284" s="252">
        <f>O1284+P1284</f>
        <v>200</v>
      </c>
      <c r="S1284" s="231" t="str">
        <f>TEXT(A1284,"dddd")</f>
        <v>Friday</v>
      </c>
    </row>
    <row r="1285" spans="1:19" x14ac:dyDescent="0.25">
      <c r="A1285" s="226">
        <v>47306</v>
      </c>
      <c r="B1285" s="227">
        <f>O1284</f>
        <v>100</v>
      </c>
      <c r="C1285" s="228">
        <f>P1284</f>
        <v>100</v>
      </c>
      <c r="D1285" s="228">
        <f>IF(OR(DAY(A1285+2)=1,DAY(A1285+2)=15),-SUM('Main Budget'!$H$26:$H$31),0)</f>
        <v>0</v>
      </c>
      <c r="E1285" s="228">
        <f>IF(DAY(A1285+2)=22,-SUM('Main Budget'!$F$26:$F$31),0)</f>
        <v>0</v>
      </c>
      <c r="F1285" s="228">
        <f>IF(D1285&gt;0,-'Main Budget'!$H$25+0.15,0)</f>
        <v>0</v>
      </c>
      <c r="G1285" s="228">
        <f>IF(E1285&gt;0,-'Main Budget'!$F$25+0.81,0)</f>
        <v>0</v>
      </c>
      <c r="H1285" s="227">
        <f>IF(DAY(A1285)='Main Budget'!$J$26,'Main Budget'!$E$26,0)</f>
        <v>0</v>
      </c>
      <c r="I1285" s="227">
        <f>IF(DAY(A1285)='Main Budget'!$J$28,'Main Budget'!$E$28,0)</f>
        <v>0</v>
      </c>
      <c r="J1285" s="227">
        <f>IF(DAY(A1285)='Main Budget'!$J$29,'Main Budget'!$E$29,0)</f>
        <v>0</v>
      </c>
      <c r="K1285" s="20">
        <f>IF(DAY(A1285)='Main Budget'!$J$30,'Main Budget'!$E$30,0)</f>
        <v>0</v>
      </c>
      <c r="L1285" s="20">
        <f>IF(DAY(A1285)='Main Budget'!$J$31,'Main Budget'!$E$31,0)</f>
        <v>0</v>
      </c>
      <c r="M1285" s="20">
        <f>IF(DAY(A1285)='Main Budget'!$J$27,'Main Budget'!$E$27,0)</f>
        <v>0</v>
      </c>
      <c r="O1285" s="228">
        <f>B1285+(SUM(H1285:M1285)+(SUM(D1285:E1285)))</f>
        <v>100</v>
      </c>
      <c r="P1285" s="228">
        <f>C1285+F1285+G1285+N1285</f>
        <v>100</v>
      </c>
      <c r="Q1285" s="252">
        <f>O1285+P1285</f>
        <v>200</v>
      </c>
      <c r="S1285" s="231" t="str">
        <f>TEXT(A1285,"dddd")</f>
        <v>Saturday</v>
      </c>
    </row>
    <row r="1286" spans="1:19" x14ac:dyDescent="0.25">
      <c r="A1286" s="226">
        <v>47307</v>
      </c>
      <c r="B1286" s="227">
        <f>O1285</f>
        <v>100</v>
      </c>
      <c r="C1286" s="228">
        <f>P1285</f>
        <v>100</v>
      </c>
      <c r="D1286" s="228">
        <f>IF(OR(DAY(A1286+2)=1,DAY(A1286+2)=15),-SUM('Main Budget'!$H$26:$H$31),0)</f>
        <v>0</v>
      </c>
      <c r="E1286" s="228">
        <f>IF(DAY(A1286+2)=22,-SUM('Main Budget'!$F$26:$F$31),0)</f>
        <v>0</v>
      </c>
      <c r="F1286" s="228">
        <f>IF(D1286&gt;0,-'Main Budget'!$H$25+0.15,0)</f>
        <v>0</v>
      </c>
      <c r="G1286" s="228">
        <f>IF(E1286&gt;0,-'Main Budget'!$F$25+0.81,0)</f>
        <v>0</v>
      </c>
      <c r="H1286" s="227">
        <f>IF(DAY(A1286)='Main Budget'!$J$26,'Main Budget'!$E$26,0)</f>
        <v>0</v>
      </c>
      <c r="I1286" s="227">
        <f>IF(DAY(A1286)='Main Budget'!$J$28,'Main Budget'!$E$28,0)</f>
        <v>0</v>
      </c>
      <c r="J1286" s="227">
        <f>IF(DAY(A1286)='Main Budget'!$J$29,'Main Budget'!$E$29,0)</f>
        <v>0</v>
      </c>
      <c r="K1286" s="20">
        <f>IF(DAY(A1286)='Main Budget'!$J$30,'Main Budget'!$E$30,0)</f>
        <v>0</v>
      </c>
      <c r="L1286" s="20">
        <f>IF(DAY(A1286)='Main Budget'!$J$31,'Main Budget'!$E$31,0)</f>
        <v>0</v>
      </c>
      <c r="M1286" s="20">
        <f>IF(DAY(A1286)='Main Budget'!$J$27,'Main Budget'!$E$27,0)</f>
        <v>0</v>
      </c>
      <c r="O1286" s="228">
        <f>B1286+(SUM(H1286:M1286)+(SUM(D1286:E1286)))</f>
        <v>100</v>
      </c>
      <c r="P1286" s="228">
        <f>C1286+F1286+G1286+N1286</f>
        <v>100</v>
      </c>
      <c r="Q1286" s="252">
        <f>O1286+P1286</f>
        <v>200</v>
      </c>
      <c r="S1286" s="231" t="str">
        <f>TEXT(A1286,"dddd")</f>
        <v>Sunday</v>
      </c>
    </row>
    <row r="1287" spans="1:19" x14ac:dyDescent="0.25">
      <c r="A1287" s="226">
        <v>47308</v>
      </c>
      <c r="B1287" s="227">
        <f>O1286</f>
        <v>100</v>
      </c>
      <c r="C1287" s="228">
        <f>P1286</f>
        <v>100</v>
      </c>
      <c r="D1287" s="228">
        <f>IF(OR(DAY(A1287+2)=1,DAY(A1287+2)=15),-SUM('Main Budget'!$H$26:$H$31),0)</f>
        <v>0</v>
      </c>
      <c r="E1287" s="228">
        <f>IF(DAY(A1287+2)=22,-SUM('Main Budget'!$F$26:$F$31),0)</f>
        <v>0</v>
      </c>
      <c r="F1287" s="228">
        <f>IF(D1287&gt;0,-'Main Budget'!$H$25+0.15,0)</f>
        <v>0</v>
      </c>
      <c r="G1287" s="228">
        <f>IF(E1287&gt;0,-'Main Budget'!$F$25+0.81,0)</f>
        <v>0</v>
      </c>
      <c r="H1287" s="227">
        <f>IF(DAY(A1287)='Main Budget'!$J$26,'Main Budget'!$E$26,0)</f>
        <v>0</v>
      </c>
      <c r="I1287" s="227">
        <f>IF(DAY(A1287)='Main Budget'!$J$28,'Main Budget'!$E$28,0)</f>
        <v>0</v>
      </c>
      <c r="J1287" s="227">
        <f>IF(DAY(A1287)='Main Budget'!$J$29,'Main Budget'!$E$29,0)</f>
        <v>0</v>
      </c>
      <c r="K1287" s="20">
        <f>IF(DAY(A1287)='Main Budget'!$J$30,'Main Budget'!$E$30,0)</f>
        <v>0</v>
      </c>
      <c r="L1287" s="20">
        <f>IF(DAY(A1287)='Main Budget'!$J$31,'Main Budget'!$E$31,0)</f>
        <v>0</v>
      </c>
      <c r="M1287" s="20">
        <f>IF(DAY(A1287)='Main Budget'!$J$27,'Main Budget'!$E$27,0)</f>
        <v>0</v>
      </c>
      <c r="O1287" s="228">
        <f>B1287+(SUM(H1287:M1287)+(SUM(D1287:E1287)))</f>
        <v>100</v>
      </c>
      <c r="P1287" s="228">
        <f>C1287+F1287+G1287+N1287</f>
        <v>100</v>
      </c>
      <c r="Q1287" s="252">
        <f>O1287+P1287</f>
        <v>200</v>
      </c>
      <c r="S1287" s="231" t="str">
        <f>TEXT(A1287,"dddd")</f>
        <v>Monday</v>
      </c>
    </row>
    <row r="1288" spans="1:19" x14ac:dyDescent="0.25">
      <c r="A1288" s="226">
        <v>47309</v>
      </c>
      <c r="B1288" s="227">
        <f>O1287</f>
        <v>100</v>
      </c>
      <c r="C1288" s="228">
        <f>P1287</f>
        <v>100</v>
      </c>
      <c r="D1288" s="228">
        <f>IF(OR(DAY(A1288+2)=1,DAY(A1288+2)=15),-SUM('Main Budget'!$H$26:$H$31),0)</f>
        <v>0</v>
      </c>
      <c r="E1288" s="228">
        <f>IF(DAY(A1288+2)=22,-SUM('Main Budget'!$F$26:$F$31),0)</f>
        <v>0</v>
      </c>
      <c r="F1288" s="228">
        <f>IF(D1288&gt;0,-'Main Budget'!$H$25+0.15,0)</f>
        <v>0</v>
      </c>
      <c r="G1288" s="228">
        <f>IF(E1288&gt;0,-'Main Budget'!$F$25+0.81,0)</f>
        <v>0</v>
      </c>
      <c r="H1288" s="227">
        <f>IF(DAY(A1288)='Main Budget'!$J$26,'Main Budget'!$E$26,0)</f>
        <v>0</v>
      </c>
      <c r="I1288" s="227">
        <f>IF(DAY(A1288)='Main Budget'!$J$28,'Main Budget'!$E$28,0)</f>
        <v>0</v>
      </c>
      <c r="J1288" s="227">
        <f>IF(DAY(A1288)='Main Budget'!$J$29,'Main Budget'!$E$29,0)</f>
        <v>0</v>
      </c>
      <c r="K1288" s="20">
        <f>IF(DAY(A1288)='Main Budget'!$J$30,'Main Budget'!$E$30,0)</f>
        <v>0</v>
      </c>
      <c r="L1288" s="20">
        <f>IF(DAY(A1288)='Main Budget'!$J$31,'Main Budget'!$E$31,0)</f>
        <v>0</v>
      </c>
      <c r="M1288" s="20">
        <f>IF(DAY(A1288)='Main Budget'!$J$27,'Main Budget'!$E$27,0)</f>
        <v>0</v>
      </c>
      <c r="O1288" s="228">
        <f>B1288+(SUM(H1288:M1288)+(SUM(D1288:E1288)))</f>
        <v>100</v>
      </c>
      <c r="P1288" s="228">
        <f>C1288+F1288+G1288+N1288</f>
        <v>100</v>
      </c>
      <c r="Q1288" s="252">
        <f>O1288+P1288</f>
        <v>200</v>
      </c>
      <c r="S1288" s="231" t="str">
        <f>TEXT(A1288,"dddd")</f>
        <v>Tuesday</v>
      </c>
    </row>
    <row r="1289" spans="1:19" x14ac:dyDescent="0.25">
      <c r="A1289" s="226">
        <v>47310</v>
      </c>
      <c r="B1289" s="227">
        <f>O1288</f>
        <v>100</v>
      </c>
      <c r="C1289" s="228">
        <f>P1288</f>
        <v>100</v>
      </c>
      <c r="D1289" s="228">
        <f>IF(OR(DAY(A1289+2)=1,DAY(A1289+2)=15),-SUM('Main Budget'!$H$26:$H$31),0)</f>
        <v>0</v>
      </c>
      <c r="E1289" s="228">
        <f>IF(DAY(A1289+2)=22,-SUM('Main Budget'!$F$26:$F$31),0)</f>
        <v>0</v>
      </c>
      <c r="F1289" s="228">
        <f>IF(D1289&gt;0,-'Main Budget'!$H$25+0.15,0)</f>
        <v>0</v>
      </c>
      <c r="G1289" s="228">
        <f>IF(E1289&gt;0,-'Main Budget'!$F$25+0.81,0)</f>
        <v>0</v>
      </c>
      <c r="H1289" s="227">
        <f>IF(DAY(A1289)='Main Budget'!$J$26,'Main Budget'!$E$26,0)</f>
        <v>0</v>
      </c>
      <c r="I1289" s="227">
        <f>IF(DAY(A1289)='Main Budget'!$J$28,'Main Budget'!$E$28,0)</f>
        <v>0</v>
      </c>
      <c r="J1289" s="227">
        <f>IF(DAY(A1289)='Main Budget'!$J$29,'Main Budget'!$E$29,0)</f>
        <v>0</v>
      </c>
      <c r="K1289" s="20">
        <f>IF(DAY(A1289)='Main Budget'!$J$30,'Main Budget'!$E$30,0)</f>
        <v>0</v>
      </c>
      <c r="L1289" s="20">
        <f>IF(DAY(A1289)='Main Budget'!$J$31,'Main Budget'!$E$31,0)</f>
        <v>0</v>
      </c>
      <c r="M1289" s="20">
        <f>IF(DAY(A1289)='Main Budget'!$J$27,'Main Budget'!$E$27,0)</f>
        <v>0</v>
      </c>
      <c r="O1289" s="228">
        <f>B1289+(SUM(H1289:M1289)+(SUM(D1289:E1289)))</f>
        <v>100</v>
      </c>
      <c r="P1289" s="228">
        <f>C1289+F1289+G1289+N1289</f>
        <v>100</v>
      </c>
      <c r="Q1289" s="252">
        <f>O1289+P1289</f>
        <v>200</v>
      </c>
      <c r="S1289" s="231" t="str">
        <f>TEXT(A1289,"dddd")</f>
        <v>Wednesday</v>
      </c>
    </row>
    <row r="1290" spans="1:19" x14ac:dyDescent="0.25">
      <c r="A1290" s="226">
        <v>47311</v>
      </c>
      <c r="B1290" s="227">
        <f>O1289</f>
        <v>100</v>
      </c>
      <c r="C1290" s="228">
        <f>P1289</f>
        <v>100</v>
      </c>
      <c r="D1290" s="228">
        <f>IF(OR(DAY(A1290+2)=1,DAY(A1290+2)=15),-SUM('Main Budget'!$H$26:$H$31),0)</f>
        <v>0</v>
      </c>
      <c r="E1290" s="228">
        <f>IF(DAY(A1290+2)=22,-SUM('Main Budget'!$F$26:$F$31),0)</f>
        <v>0</v>
      </c>
      <c r="F1290" s="228">
        <f>IF(D1290&gt;0,-'Main Budget'!$H$25+0.15,0)</f>
        <v>0</v>
      </c>
      <c r="G1290" s="228">
        <f>IF(E1290&gt;0,-'Main Budget'!$F$25+0.81,0)</f>
        <v>0</v>
      </c>
      <c r="H1290" s="227">
        <f>IF(DAY(A1290)='Main Budget'!$J$26,'Main Budget'!$E$26,0)</f>
        <v>0</v>
      </c>
      <c r="I1290" s="227">
        <f>IF(DAY(A1290)='Main Budget'!$J$28,'Main Budget'!$E$28,0)</f>
        <v>0</v>
      </c>
      <c r="J1290" s="227">
        <f>IF(DAY(A1290)='Main Budget'!$J$29,'Main Budget'!$E$29,0)</f>
        <v>0</v>
      </c>
      <c r="K1290" s="20">
        <f>IF(DAY(A1290)='Main Budget'!$J$30,'Main Budget'!$E$30,0)</f>
        <v>0</v>
      </c>
      <c r="L1290" s="20">
        <f>IF(DAY(A1290)='Main Budget'!$J$31,'Main Budget'!$E$31,0)</f>
        <v>0</v>
      </c>
      <c r="M1290" s="20">
        <f>IF(DAY(A1290)='Main Budget'!$J$27,'Main Budget'!$E$27,0)</f>
        <v>0</v>
      </c>
      <c r="O1290" s="228">
        <f>B1290+(SUM(H1290:M1290)+(SUM(D1290:E1290)))</f>
        <v>100</v>
      </c>
      <c r="P1290" s="228">
        <f>C1290+F1290+G1290+N1290</f>
        <v>100</v>
      </c>
      <c r="Q1290" s="252">
        <f>O1290+P1290</f>
        <v>200</v>
      </c>
      <c r="S1290" s="231" t="str">
        <f>TEXT(A1290,"dddd")</f>
        <v>Thursday</v>
      </c>
    </row>
    <row r="1291" spans="1:19" x14ac:dyDescent="0.25">
      <c r="A1291" s="226">
        <v>47312</v>
      </c>
      <c r="B1291" s="227">
        <f>O1290</f>
        <v>100</v>
      </c>
      <c r="C1291" s="228">
        <f>P1290</f>
        <v>100</v>
      </c>
      <c r="D1291" s="228">
        <f>IF(OR(DAY(A1291+2)=1,DAY(A1291+2)=15),-SUM('Main Budget'!$H$26:$H$31),0)</f>
        <v>0</v>
      </c>
      <c r="E1291" s="228">
        <f>IF(DAY(A1291+2)=22,-SUM('Main Budget'!$F$26:$F$31),0)</f>
        <v>0</v>
      </c>
      <c r="F1291" s="228">
        <f>IF(D1291&gt;0,-'Main Budget'!$H$25+0.15,0)</f>
        <v>0</v>
      </c>
      <c r="G1291" s="228">
        <f>IF(E1291&gt;0,-'Main Budget'!$F$25+0.81,0)</f>
        <v>0</v>
      </c>
      <c r="H1291" s="227">
        <f>IF(DAY(A1291)='Main Budget'!$J$26,'Main Budget'!$E$26,0)</f>
        <v>0</v>
      </c>
      <c r="I1291" s="227">
        <f>IF(DAY(A1291)='Main Budget'!$J$28,'Main Budget'!$E$28,0)</f>
        <v>0</v>
      </c>
      <c r="J1291" s="227">
        <f>IF(DAY(A1291)='Main Budget'!$J$29,'Main Budget'!$E$29,0)</f>
        <v>0</v>
      </c>
      <c r="K1291" s="20">
        <f>IF(DAY(A1291)='Main Budget'!$J$30,'Main Budget'!$E$30,0)</f>
        <v>0</v>
      </c>
      <c r="L1291" s="20">
        <f>IF(DAY(A1291)='Main Budget'!$J$31,'Main Budget'!$E$31,0)</f>
        <v>0</v>
      </c>
      <c r="M1291" s="20">
        <f>IF(DAY(A1291)='Main Budget'!$J$27,'Main Budget'!$E$27,0)</f>
        <v>0</v>
      </c>
      <c r="O1291" s="228">
        <f>B1291+(SUM(H1291:M1291)+(SUM(D1291:E1291)))</f>
        <v>100</v>
      </c>
      <c r="P1291" s="228">
        <f>C1291+F1291+G1291+N1291</f>
        <v>100</v>
      </c>
      <c r="Q1291" s="252">
        <f>O1291+P1291</f>
        <v>200</v>
      </c>
      <c r="S1291" s="231" t="str">
        <f>TEXT(A1291,"dddd")</f>
        <v>Friday</v>
      </c>
    </row>
    <row r="1292" spans="1:19" x14ac:dyDescent="0.25">
      <c r="A1292" s="226">
        <v>47313</v>
      </c>
      <c r="B1292" s="227">
        <f>O1291</f>
        <v>100</v>
      </c>
      <c r="C1292" s="228">
        <f>P1291</f>
        <v>100</v>
      </c>
      <c r="D1292" s="228">
        <f>IF(OR(DAY(A1292+2)=1,DAY(A1292+2)=15),-SUM('Main Budget'!$H$26:$H$31),0)</f>
        <v>0</v>
      </c>
      <c r="E1292" s="228">
        <f>IF(DAY(A1292+2)=22,-SUM('Main Budget'!$F$26:$F$31),0)</f>
        <v>0</v>
      </c>
      <c r="F1292" s="228">
        <f>IF(D1292&gt;0,-'Main Budget'!$H$25+0.15,0)</f>
        <v>0</v>
      </c>
      <c r="G1292" s="228">
        <f>IF(E1292&gt;0,-'Main Budget'!$F$25+0.81,0)</f>
        <v>0</v>
      </c>
      <c r="H1292" s="227">
        <f>IF(DAY(A1292)='Main Budget'!$J$26,'Main Budget'!$E$26,0)</f>
        <v>0</v>
      </c>
      <c r="I1292" s="227">
        <f>IF(DAY(A1292)='Main Budget'!$J$28,'Main Budget'!$E$28,0)</f>
        <v>0</v>
      </c>
      <c r="J1292" s="227">
        <f>IF(DAY(A1292)='Main Budget'!$J$29,'Main Budget'!$E$29,0)</f>
        <v>0</v>
      </c>
      <c r="K1292" s="20">
        <f>IF(DAY(A1292)='Main Budget'!$J$30,'Main Budget'!$E$30,0)</f>
        <v>0</v>
      </c>
      <c r="L1292" s="20">
        <f>IF(DAY(A1292)='Main Budget'!$J$31,'Main Budget'!$E$31,0)</f>
        <v>0</v>
      </c>
      <c r="M1292" s="20">
        <f>IF(DAY(A1292)='Main Budget'!$J$27,'Main Budget'!$E$27,0)</f>
        <v>0</v>
      </c>
      <c r="O1292" s="228">
        <f>B1292+(SUM(H1292:M1292)+(SUM(D1292:E1292)))</f>
        <v>100</v>
      </c>
      <c r="P1292" s="228">
        <f>C1292+F1292+G1292+N1292</f>
        <v>100</v>
      </c>
      <c r="Q1292" s="252">
        <f>O1292+P1292</f>
        <v>200</v>
      </c>
      <c r="S1292" s="231" t="str">
        <f>TEXT(A1292,"dddd")</f>
        <v>Saturday</v>
      </c>
    </row>
    <row r="1293" spans="1:19" x14ac:dyDescent="0.25">
      <c r="A1293" s="226">
        <v>47314</v>
      </c>
      <c r="B1293" s="227">
        <f>O1292</f>
        <v>100</v>
      </c>
      <c r="C1293" s="228">
        <f>P1292</f>
        <v>100</v>
      </c>
      <c r="D1293" s="228">
        <f>IF(OR(DAY(A1293+2)=1,DAY(A1293+2)=15),-SUM('Main Budget'!$H$26:$H$31),0)</f>
        <v>0</v>
      </c>
      <c r="E1293" s="228">
        <f>IF(DAY(A1293+2)=22,-SUM('Main Budget'!$F$26:$F$31),0)</f>
        <v>0</v>
      </c>
      <c r="F1293" s="228">
        <f>IF(D1293&gt;0,-'Main Budget'!$H$25+0.15,0)</f>
        <v>0</v>
      </c>
      <c r="G1293" s="228">
        <f>IF(E1293&gt;0,-'Main Budget'!$F$25+0.81,0)</f>
        <v>0</v>
      </c>
      <c r="H1293" s="227">
        <f>IF(DAY(A1293)='Main Budget'!$J$26,'Main Budget'!$E$26,0)</f>
        <v>0</v>
      </c>
      <c r="I1293" s="227">
        <f>IF(DAY(A1293)='Main Budget'!$J$28,'Main Budget'!$E$28,0)</f>
        <v>0</v>
      </c>
      <c r="J1293" s="227">
        <f>IF(DAY(A1293)='Main Budget'!$J$29,'Main Budget'!$E$29,0)</f>
        <v>0</v>
      </c>
      <c r="K1293" s="20">
        <f>IF(DAY(A1293)='Main Budget'!$J$30,'Main Budget'!$E$30,0)</f>
        <v>0</v>
      </c>
      <c r="L1293" s="20">
        <f>IF(DAY(A1293)='Main Budget'!$J$31,'Main Budget'!$E$31,0)</f>
        <v>0</v>
      </c>
      <c r="M1293" s="20">
        <f>IF(DAY(A1293)='Main Budget'!$J$27,'Main Budget'!$E$27,0)</f>
        <v>0</v>
      </c>
      <c r="O1293" s="228">
        <f>B1293+(SUM(H1293:M1293)+(SUM(D1293:E1293)))</f>
        <v>100</v>
      </c>
      <c r="P1293" s="228">
        <f>C1293+F1293+G1293+N1293</f>
        <v>100</v>
      </c>
      <c r="Q1293" s="252">
        <f>O1293+P1293</f>
        <v>200</v>
      </c>
      <c r="S1293" s="231" t="str">
        <f>TEXT(A1293,"dddd")</f>
        <v>Sunday</v>
      </c>
    </row>
    <row r="1294" spans="1:19" x14ac:dyDescent="0.25">
      <c r="A1294" s="226">
        <v>47315</v>
      </c>
      <c r="B1294" s="227">
        <f>O1293</f>
        <v>100</v>
      </c>
      <c r="C1294" s="228">
        <f>P1293</f>
        <v>100</v>
      </c>
      <c r="D1294" s="228">
        <f>IF(OR(DAY(A1294+2)=1,DAY(A1294+2)=15),-SUM('Main Budget'!$H$26:$H$31),0)</f>
        <v>0</v>
      </c>
      <c r="E1294" s="228">
        <f>IF(DAY(A1294+2)=22,-SUM('Main Budget'!$F$26:$F$31),0)</f>
        <v>0</v>
      </c>
      <c r="F1294" s="228">
        <f>IF(D1294&gt;0,-'Main Budget'!$H$25+0.15,0)</f>
        <v>0</v>
      </c>
      <c r="G1294" s="228">
        <f>IF(E1294&gt;0,-'Main Budget'!$F$25+0.81,0)</f>
        <v>0</v>
      </c>
      <c r="H1294" s="227">
        <f>IF(DAY(A1294)='Main Budget'!$J$26,'Main Budget'!$E$26,0)</f>
        <v>0</v>
      </c>
      <c r="I1294" s="227">
        <f>IF(DAY(A1294)='Main Budget'!$J$28,'Main Budget'!$E$28,0)</f>
        <v>0</v>
      </c>
      <c r="J1294" s="227">
        <f>IF(DAY(A1294)='Main Budget'!$J$29,'Main Budget'!$E$29,0)</f>
        <v>0</v>
      </c>
      <c r="K1294" s="20">
        <f>IF(DAY(A1294)='Main Budget'!$J$30,'Main Budget'!$E$30,0)</f>
        <v>0</v>
      </c>
      <c r="L1294" s="20">
        <f>IF(DAY(A1294)='Main Budget'!$J$31,'Main Budget'!$E$31,0)</f>
        <v>0</v>
      </c>
      <c r="M1294" s="20">
        <f>IF(DAY(A1294)='Main Budget'!$J$27,'Main Budget'!$E$27,0)</f>
        <v>0</v>
      </c>
      <c r="O1294" s="228">
        <f>B1294+(SUM(H1294:M1294)+(SUM(D1294:E1294)))</f>
        <v>100</v>
      </c>
      <c r="P1294" s="228">
        <f>C1294+F1294+G1294+N1294</f>
        <v>100</v>
      </c>
      <c r="Q1294" s="252">
        <f>O1294+P1294</f>
        <v>200</v>
      </c>
      <c r="S1294" s="231" t="str">
        <f>TEXT(A1294,"dddd")</f>
        <v>Monday</v>
      </c>
    </row>
    <row r="1295" spans="1:19" x14ac:dyDescent="0.25">
      <c r="A1295" s="226">
        <v>47316</v>
      </c>
      <c r="B1295" s="227">
        <f>O1294</f>
        <v>100</v>
      </c>
      <c r="C1295" s="228">
        <f>P1294</f>
        <v>100</v>
      </c>
      <c r="D1295" s="228">
        <f>IF(OR(DAY(A1295+2)=1,DAY(A1295+2)=15),-SUM('Main Budget'!$H$26:$H$31),0)</f>
        <v>0</v>
      </c>
      <c r="E1295" s="228">
        <f>IF(DAY(A1295+2)=22,-SUM('Main Budget'!$F$26:$F$31),0)</f>
        <v>0</v>
      </c>
      <c r="F1295" s="228">
        <f>IF(D1295&gt;0,-'Main Budget'!$H$25+0.15,0)</f>
        <v>0</v>
      </c>
      <c r="G1295" s="228">
        <f>IF(E1295&gt;0,-'Main Budget'!$F$25+0.81,0)</f>
        <v>0</v>
      </c>
      <c r="H1295" s="227">
        <f>IF(DAY(A1295)='Main Budget'!$J$26,'Main Budget'!$E$26,0)</f>
        <v>0</v>
      </c>
      <c r="I1295" s="227">
        <f>IF(DAY(A1295)='Main Budget'!$J$28,'Main Budget'!$E$28,0)</f>
        <v>0</v>
      </c>
      <c r="J1295" s="227">
        <f>IF(DAY(A1295)='Main Budget'!$J$29,'Main Budget'!$E$29,0)</f>
        <v>0</v>
      </c>
      <c r="K1295" s="20">
        <f>IF(DAY(A1295)='Main Budget'!$J$30,'Main Budget'!$E$30,0)</f>
        <v>0</v>
      </c>
      <c r="L1295" s="20">
        <f>IF(DAY(A1295)='Main Budget'!$J$31,'Main Budget'!$E$31,0)</f>
        <v>0</v>
      </c>
      <c r="M1295" s="20">
        <f>IF(DAY(A1295)='Main Budget'!$J$27,'Main Budget'!$E$27,0)</f>
        <v>0</v>
      </c>
      <c r="O1295" s="228">
        <f>B1295+(SUM(H1295:M1295)+(SUM(D1295:E1295)))</f>
        <v>100</v>
      </c>
      <c r="P1295" s="228">
        <f>C1295+F1295+G1295+N1295</f>
        <v>100</v>
      </c>
      <c r="Q1295" s="252">
        <f>O1295+P1295</f>
        <v>200</v>
      </c>
      <c r="S1295" s="231" t="str">
        <f>TEXT(A1295,"dddd")</f>
        <v>Tuesday</v>
      </c>
    </row>
    <row r="1296" spans="1:19" x14ac:dyDescent="0.25">
      <c r="A1296" s="226">
        <v>47317</v>
      </c>
      <c r="B1296" s="227">
        <f>O1295</f>
        <v>100</v>
      </c>
      <c r="C1296" s="228">
        <f>P1295</f>
        <v>100</v>
      </c>
      <c r="D1296" s="228">
        <f>IF(OR(DAY(A1296+2)=1,DAY(A1296+2)=15),-SUM('Main Budget'!$H$26:$H$31),0)</f>
        <v>0</v>
      </c>
      <c r="E1296" s="228">
        <f>IF(DAY(A1296+2)=22,-SUM('Main Budget'!$F$26:$F$31),0)</f>
        <v>0</v>
      </c>
      <c r="F1296" s="228">
        <f>IF(D1296&gt;0,-'Main Budget'!$H$25+0.15,0)</f>
        <v>0</v>
      </c>
      <c r="G1296" s="228">
        <f>IF(E1296&gt;0,-'Main Budget'!$F$25+0.81,0)</f>
        <v>0</v>
      </c>
      <c r="H1296" s="227">
        <f>IF(DAY(A1296)='Main Budget'!$J$26,'Main Budget'!$E$26,0)</f>
        <v>0</v>
      </c>
      <c r="I1296" s="227">
        <f>IF(DAY(A1296)='Main Budget'!$J$28,'Main Budget'!$E$28,0)</f>
        <v>0</v>
      </c>
      <c r="J1296" s="227">
        <f>IF(DAY(A1296)='Main Budget'!$J$29,'Main Budget'!$E$29,0)</f>
        <v>0</v>
      </c>
      <c r="K1296" s="20">
        <f>IF(DAY(A1296)='Main Budget'!$J$30,'Main Budget'!$E$30,0)</f>
        <v>0</v>
      </c>
      <c r="L1296" s="20">
        <f>IF(DAY(A1296)='Main Budget'!$J$31,'Main Budget'!$E$31,0)</f>
        <v>0</v>
      </c>
      <c r="M1296" s="20">
        <f>IF(DAY(A1296)='Main Budget'!$J$27,'Main Budget'!$E$27,0)</f>
        <v>0</v>
      </c>
      <c r="O1296" s="228">
        <f>B1296+(SUM(H1296:M1296)+(SUM(D1296:E1296)))</f>
        <v>100</v>
      </c>
      <c r="P1296" s="228">
        <f>C1296+F1296+G1296+N1296</f>
        <v>100</v>
      </c>
      <c r="Q1296" s="252">
        <f>O1296+P1296</f>
        <v>200</v>
      </c>
      <c r="S1296" s="231" t="str">
        <f>TEXT(A1296,"dddd")</f>
        <v>Wednesday</v>
      </c>
    </row>
    <row r="1297" spans="1:19" x14ac:dyDescent="0.25">
      <c r="A1297" s="226">
        <v>47318</v>
      </c>
      <c r="B1297" s="227">
        <f>O1296</f>
        <v>100</v>
      </c>
      <c r="C1297" s="228">
        <f>P1296</f>
        <v>100</v>
      </c>
      <c r="D1297" s="228">
        <f>IF(OR(DAY(A1297+2)=1,DAY(A1297+2)=15),-SUM('Main Budget'!$H$26:$H$31),0)</f>
        <v>0</v>
      </c>
      <c r="E1297" s="228">
        <f>IF(DAY(A1297+2)=22,-SUM('Main Budget'!$F$26:$F$31),0)</f>
        <v>0</v>
      </c>
      <c r="F1297" s="228">
        <f>IF(D1297&gt;0,-'Main Budget'!$H$25+0.15,0)</f>
        <v>0</v>
      </c>
      <c r="G1297" s="228">
        <f>IF(E1297&gt;0,-'Main Budget'!$F$25+0.81,0)</f>
        <v>0</v>
      </c>
      <c r="H1297" s="227">
        <f>IF(DAY(A1297)='Main Budget'!$J$26,'Main Budget'!$E$26,0)</f>
        <v>0</v>
      </c>
      <c r="I1297" s="227">
        <f>IF(DAY(A1297)='Main Budget'!$J$28,'Main Budget'!$E$28,0)</f>
        <v>0</v>
      </c>
      <c r="J1297" s="227">
        <f>IF(DAY(A1297)='Main Budget'!$J$29,'Main Budget'!$E$29,0)</f>
        <v>0</v>
      </c>
      <c r="K1297" s="20">
        <f>IF(DAY(A1297)='Main Budget'!$J$30,'Main Budget'!$E$30,0)</f>
        <v>0</v>
      </c>
      <c r="L1297" s="20">
        <f>IF(DAY(A1297)='Main Budget'!$J$31,'Main Budget'!$E$31,0)</f>
        <v>0</v>
      </c>
      <c r="M1297" s="20">
        <f>IF(DAY(A1297)='Main Budget'!$J$27,'Main Budget'!$E$27,0)</f>
        <v>0</v>
      </c>
      <c r="O1297" s="228">
        <f>B1297+(SUM(H1297:M1297)+(SUM(D1297:E1297)))</f>
        <v>100</v>
      </c>
      <c r="P1297" s="228">
        <f>C1297+F1297+G1297+N1297</f>
        <v>100</v>
      </c>
      <c r="Q1297" s="252">
        <f>O1297+P1297</f>
        <v>200</v>
      </c>
      <c r="S1297" s="231" t="str">
        <f>TEXT(A1297,"dddd")</f>
        <v>Thursday</v>
      </c>
    </row>
    <row r="1298" spans="1:19" x14ac:dyDescent="0.25">
      <c r="A1298" s="226">
        <v>47319</v>
      </c>
      <c r="B1298" s="227">
        <f>O1297</f>
        <v>100</v>
      </c>
      <c r="C1298" s="228">
        <f>P1297</f>
        <v>100</v>
      </c>
      <c r="D1298" s="228">
        <f>IF(OR(DAY(A1298+2)=1,DAY(A1298+2)=15),-SUM('Main Budget'!$H$26:$H$31),0)</f>
        <v>0</v>
      </c>
      <c r="E1298" s="228">
        <f>IF(DAY(A1298+2)=22,-SUM('Main Budget'!$F$26:$F$31),0)</f>
        <v>0</v>
      </c>
      <c r="F1298" s="228">
        <f>IF(D1298&gt;0,-'Main Budget'!$H$25+0.15,0)</f>
        <v>0</v>
      </c>
      <c r="G1298" s="228">
        <f>IF(E1298&gt;0,-'Main Budget'!$F$25+0.81,0)</f>
        <v>0</v>
      </c>
      <c r="H1298" s="227">
        <f>IF(DAY(A1298)='Main Budget'!$J$26,'Main Budget'!$E$26,0)</f>
        <v>0</v>
      </c>
      <c r="I1298" s="227">
        <f>IF(DAY(A1298)='Main Budget'!$J$28,'Main Budget'!$E$28,0)</f>
        <v>0</v>
      </c>
      <c r="J1298" s="227">
        <f>IF(DAY(A1298)='Main Budget'!$J$29,'Main Budget'!$E$29,0)</f>
        <v>0</v>
      </c>
      <c r="K1298" s="20">
        <f>IF(DAY(A1298)='Main Budget'!$J$30,'Main Budget'!$E$30,0)</f>
        <v>0</v>
      </c>
      <c r="L1298" s="20">
        <f>IF(DAY(A1298)='Main Budget'!$J$31,'Main Budget'!$E$31,0)</f>
        <v>0</v>
      </c>
      <c r="M1298" s="20">
        <f>IF(DAY(A1298)='Main Budget'!$J$27,'Main Budget'!$E$27,0)</f>
        <v>0</v>
      </c>
      <c r="O1298" s="228">
        <f>B1298+(SUM(H1298:M1298)+(SUM(D1298:E1298)))</f>
        <v>100</v>
      </c>
      <c r="P1298" s="228">
        <f>C1298+F1298+G1298+N1298</f>
        <v>100</v>
      </c>
      <c r="Q1298" s="252">
        <f>O1298+P1298</f>
        <v>200</v>
      </c>
      <c r="S1298" s="231" t="str">
        <f>TEXT(A1298,"dddd")</f>
        <v>Friday</v>
      </c>
    </row>
    <row r="1299" spans="1:19" x14ac:dyDescent="0.25">
      <c r="A1299" s="226">
        <v>47320</v>
      </c>
      <c r="B1299" s="227">
        <f>O1298</f>
        <v>100</v>
      </c>
      <c r="C1299" s="228">
        <f>P1298</f>
        <v>100</v>
      </c>
      <c r="D1299" s="228">
        <f>IF(OR(DAY(A1299+2)=1,DAY(A1299+2)=15),-SUM('Main Budget'!$H$26:$H$31),0)</f>
        <v>0</v>
      </c>
      <c r="E1299" s="228">
        <f>IF(DAY(A1299+2)=22,-SUM('Main Budget'!$F$26:$F$31),0)</f>
        <v>0</v>
      </c>
      <c r="F1299" s="228">
        <f>IF(D1299&gt;0,-'Main Budget'!$H$25+0.15,0)</f>
        <v>0</v>
      </c>
      <c r="G1299" s="228">
        <f>IF(E1299&gt;0,-'Main Budget'!$F$25+0.81,0)</f>
        <v>0</v>
      </c>
      <c r="H1299" s="227">
        <f>IF(DAY(A1299)='Main Budget'!$J$26,'Main Budget'!$E$26,0)</f>
        <v>0</v>
      </c>
      <c r="I1299" s="227">
        <f>IF(DAY(A1299)='Main Budget'!$J$28,'Main Budget'!$E$28,0)</f>
        <v>0</v>
      </c>
      <c r="J1299" s="227">
        <f>IF(DAY(A1299)='Main Budget'!$J$29,'Main Budget'!$E$29,0)</f>
        <v>0</v>
      </c>
      <c r="K1299" s="20">
        <f>IF(DAY(A1299)='Main Budget'!$J$30,'Main Budget'!$E$30,0)</f>
        <v>0</v>
      </c>
      <c r="L1299" s="20">
        <f>IF(DAY(A1299)='Main Budget'!$J$31,'Main Budget'!$E$31,0)</f>
        <v>0</v>
      </c>
      <c r="M1299" s="20">
        <f>IF(DAY(A1299)='Main Budget'!$J$27,'Main Budget'!$E$27,0)</f>
        <v>0</v>
      </c>
      <c r="O1299" s="228">
        <f>B1299+(SUM(H1299:M1299)+(SUM(D1299:E1299)))</f>
        <v>100</v>
      </c>
      <c r="P1299" s="228">
        <f>C1299+F1299+G1299+N1299</f>
        <v>100</v>
      </c>
      <c r="Q1299" s="252">
        <f>O1299+P1299</f>
        <v>200</v>
      </c>
      <c r="S1299" s="231" t="str">
        <f>TEXT(A1299,"dddd")</f>
        <v>Saturday</v>
      </c>
    </row>
    <row r="1300" spans="1:19" x14ac:dyDescent="0.25">
      <c r="A1300" s="226">
        <v>47321</v>
      </c>
      <c r="B1300" s="227">
        <f>O1299</f>
        <v>100</v>
      </c>
      <c r="C1300" s="228">
        <f>P1299</f>
        <v>100</v>
      </c>
      <c r="D1300" s="228">
        <f>IF(OR(DAY(A1300+2)=1,DAY(A1300+2)=15),-SUM('Main Budget'!$H$26:$H$31),0)</f>
        <v>0</v>
      </c>
      <c r="E1300" s="228">
        <f>IF(DAY(A1300+2)=22,-SUM('Main Budget'!$F$26:$F$31),0)</f>
        <v>0</v>
      </c>
      <c r="F1300" s="228">
        <f>IF(D1300&gt;0,-'Main Budget'!$H$25+0.15,0)</f>
        <v>0</v>
      </c>
      <c r="G1300" s="228">
        <f>IF(E1300&gt;0,-'Main Budget'!$F$25+0.81,0)</f>
        <v>0</v>
      </c>
      <c r="H1300" s="227">
        <f>IF(DAY(A1300)='Main Budget'!$J$26,'Main Budget'!$E$26,0)</f>
        <v>0</v>
      </c>
      <c r="I1300" s="227">
        <f>IF(DAY(A1300)='Main Budget'!$J$28,'Main Budget'!$E$28,0)</f>
        <v>0</v>
      </c>
      <c r="J1300" s="227">
        <f>IF(DAY(A1300)='Main Budget'!$J$29,'Main Budget'!$E$29,0)</f>
        <v>0</v>
      </c>
      <c r="K1300" s="20">
        <f>IF(DAY(A1300)='Main Budget'!$J$30,'Main Budget'!$E$30,0)</f>
        <v>0</v>
      </c>
      <c r="L1300" s="20">
        <f>IF(DAY(A1300)='Main Budget'!$J$31,'Main Budget'!$E$31,0)</f>
        <v>0</v>
      </c>
      <c r="M1300" s="20">
        <f>IF(DAY(A1300)='Main Budget'!$J$27,'Main Budget'!$E$27,0)</f>
        <v>0</v>
      </c>
      <c r="O1300" s="228">
        <f>B1300+(SUM(H1300:M1300)+(SUM(D1300:E1300)))</f>
        <v>100</v>
      </c>
      <c r="P1300" s="228">
        <f>C1300+F1300+G1300+N1300</f>
        <v>100</v>
      </c>
      <c r="Q1300" s="252">
        <f>O1300+P1300</f>
        <v>200</v>
      </c>
      <c r="S1300" s="231" t="str">
        <f>TEXT(A1300,"dddd")</f>
        <v>Sunday</v>
      </c>
    </row>
    <row r="1301" spans="1:19" x14ac:dyDescent="0.25">
      <c r="A1301" s="226">
        <v>47322</v>
      </c>
      <c r="B1301" s="227">
        <f>O1300</f>
        <v>100</v>
      </c>
      <c r="C1301" s="228">
        <f>P1300</f>
        <v>100</v>
      </c>
      <c r="D1301" s="228">
        <f>IF(OR(DAY(A1301+2)=1,DAY(A1301+2)=15),-SUM('Main Budget'!$H$26:$H$31),0)</f>
        <v>0</v>
      </c>
      <c r="E1301" s="228">
        <f>IF(DAY(A1301+2)=22,-SUM('Main Budget'!$F$26:$F$31),0)</f>
        <v>0</v>
      </c>
      <c r="F1301" s="228">
        <f>IF(D1301&gt;0,-'Main Budget'!$H$25+0.15,0)</f>
        <v>0</v>
      </c>
      <c r="G1301" s="228">
        <f>IF(E1301&gt;0,-'Main Budget'!$F$25+0.81,0)</f>
        <v>0</v>
      </c>
      <c r="H1301" s="227">
        <f>IF(DAY(A1301)='Main Budget'!$J$26,'Main Budget'!$E$26,0)</f>
        <v>0</v>
      </c>
      <c r="I1301" s="227">
        <f>IF(DAY(A1301)='Main Budget'!$J$28,'Main Budget'!$E$28,0)</f>
        <v>0</v>
      </c>
      <c r="J1301" s="227">
        <f>IF(DAY(A1301)='Main Budget'!$J$29,'Main Budget'!$E$29,0)</f>
        <v>0</v>
      </c>
      <c r="K1301" s="20">
        <f>IF(DAY(A1301)='Main Budget'!$J$30,'Main Budget'!$E$30,0)</f>
        <v>0</v>
      </c>
      <c r="L1301" s="20">
        <f>IF(DAY(A1301)='Main Budget'!$J$31,'Main Budget'!$E$31,0)</f>
        <v>0</v>
      </c>
      <c r="M1301" s="20">
        <f>IF(DAY(A1301)='Main Budget'!$J$27,'Main Budget'!$E$27,0)</f>
        <v>0</v>
      </c>
      <c r="O1301" s="228">
        <f>B1301+(SUM(H1301:M1301)+(SUM(D1301:E1301)))</f>
        <v>100</v>
      </c>
      <c r="P1301" s="228">
        <f>C1301+F1301+G1301+N1301</f>
        <v>100</v>
      </c>
      <c r="Q1301" s="252">
        <f>O1301+P1301</f>
        <v>200</v>
      </c>
      <c r="S1301" s="231" t="str">
        <f>TEXT(A1301,"dddd")</f>
        <v>Monday</v>
      </c>
    </row>
    <row r="1302" spans="1:19" x14ac:dyDescent="0.25">
      <c r="A1302" s="226">
        <v>47323</v>
      </c>
      <c r="B1302" s="227">
        <f>O1301</f>
        <v>100</v>
      </c>
      <c r="C1302" s="228">
        <f>P1301</f>
        <v>100</v>
      </c>
      <c r="D1302" s="228">
        <f>IF(OR(DAY(A1302+2)=1,DAY(A1302+2)=15),-SUM('Main Budget'!$H$26:$H$31),0)</f>
        <v>0</v>
      </c>
      <c r="E1302" s="228">
        <f>IF(DAY(A1302+2)=22,-SUM('Main Budget'!$F$26:$F$31),0)</f>
        <v>0</v>
      </c>
      <c r="F1302" s="228">
        <f>IF(D1302&gt;0,-'Main Budget'!$H$25+0.15,0)</f>
        <v>0</v>
      </c>
      <c r="G1302" s="228">
        <f>IF(E1302&gt;0,-'Main Budget'!$F$25+0.81,0)</f>
        <v>0</v>
      </c>
      <c r="H1302" s="227">
        <f>IF(DAY(A1302)='Main Budget'!$J$26,'Main Budget'!$E$26,0)</f>
        <v>0</v>
      </c>
      <c r="I1302" s="227">
        <f>IF(DAY(A1302)='Main Budget'!$J$28,'Main Budget'!$E$28,0)</f>
        <v>0</v>
      </c>
      <c r="J1302" s="227">
        <f>IF(DAY(A1302)='Main Budget'!$J$29,'Main Budget'!$E$29,0)</f>
        <v>0</v>
      </c>
      <c r="K1302" s="20">
        <f>IF(DAY(A1302)='Main Budget'!$J$30,'Main Budget'!$E$30,0)</f>
        <v>0</v>
      </c>
      <c r="L1302" s="20">
        <f>IF(DAY(A1302)='Main Budget'!$J$31,'Main Budget'!$E$31,0)</f>
        <v>0</v>
      </c>
      <c r="M1302" s="20">
        <f>IF(DAY(A1302)='Main Budget'!$J$27,'Main Budget'!$E$27,0)</f>
        <v>0</v>
      </c>
      <c r="O1302" s="228">
        <f>B1302+(SUM(H1302:M1302)+(SUM(D1302:E1302)))</f>
        <v>100</v>
      </c>
      <c r="P1302" s="228">
        <f>C1302+F1302+G1302+N1302</f>
        <v>100</v>
      </c>
      <c r="Q1302" s="252">
        <f>O1302+P1302</f>
        <v>200</v>
      </c>
      <c r="S1302" s="231" t="str">
        <f>TEXT(A1302,"dddd")</f>
        <v>Tuesday</v>
      </c>
    </row>
    <row r="1303" spans="1:19" x14ac:dyDescent="0.25">
      <c r="A1303" s="226">
        <v>47324</v>
      </c>
      <c r="B1303" s="227">
        <f>O1302</f>
        <v>100</v>
      </c>
      <c r="C1303" s="228">
        <f>P1302</f>
        <v>100</v>
      </c>
      <c r="D1303" s="228">
        <f>IF(OR(DAY(A1303+2)=1,DAY(A1303+2)=15),-SUM('Main Budget'!$H$26:$H$31),0)</f>
        <v>0</v>
      </c>
      <c r="E1303" s="228">
        <f>IF(DAY(A1303+2)=22,-SUM('Main Budget'!$F$26:$F$31),0)</f>
        <v>0</v>
      </c>
      <c r="F1303" s="228">
        <f>IF(D1303&gt;0,-'Main Budget'!$H$25+0.15,0)</f>
        <v>0</v>
      </c>
      <c r="G1303" s="228">
        <f>IF(E1303&gt;0,-'Main Budget'!$F$25+0.81,0)</f>
        <v>0</v>
      </c>
      <c r="H1303" s="227">
        <f>IF(DAY(A1303)='Main Budget'!$J$26,'Main Budget'!$E$26,0)</f>
        <v>0</v>
      </c>
      <c r="I1303" s="227">
        <f>IF(DAY(A1303)='Main Budget'!$J$28,'Main Budget'!$E$28,0)</f>
        <v>0</v>
      </c>
      <c r="J1303" s="227">
        <f>IF(DAY(A1303)='Main Budget'!$J$29,'Main Budget'!$E$29,0)</f>
        <v>0</v>
      </c>
      <c r="K1303" s="20">
        <f>IF(DAY(A1303)='Main Budget'!$J$30,'Main Budget'!$E$30,0)</f>
        <v>0</v>
      </c>
      <c r="L1303" s="20">
        <f>IF(DAY(A1303)='Main Budget'!$J$31,'Main Budget'!$E$31,0)</f>
        <v>0</v>
      </c>
      <c r="M1303" s="20">
        <f>IF(DAY(A1303)='Main Budget'!$J$27,'Main Budget'!$E$27,0)</f>
        <v>0</v>
      </c>
      <c r="O1303" s="228">
        <f>B1303+(SUM(H1303:M1303)+(SUM(D1303:E1303)))</f>
        <v>100</v>
      </c>
      <c r="P1303" s="228">
        <f>C1303+F1303+G1303+N1303</f>
        <v>100</v>
      </c>
      <c r="Q1303" s="252">
        <f>O1303+P1303</f>
        <v>200</v>
      </c>
      <c r="S1303" s="231" t="str">
        <f>TEXT(A1303,"dddd")</f>
        <v>Wednesday</v>
      </c>
    </row>
    <row r="1304" spans="1:19" x14ac:dyDescent="0.25">
      <c r="A1304" s="226">
        <v>47325</v>
      </c>
      <c r="B1304" s="227">
        <f>O1303</f>
        <v>100</v>
      </c>
      <c r="C1304" s="228">
        <f>P1303</f>
        <v>100</v>
      </c>
      <c r="D1304" s="228">
        <f>IF(OR(DAY(A1304+2)=1,DAY(A1304+2)=15),-SUM('Main Budget'!$H$26:$H$31),0)</f>
        <v>0</v>
      </c>
      <c r="E1304" s="228">
        <f>IF(DAY(A1304+2)=22,-SUM('Main Budget'!$F$26:$F$31),0)</f>
        <v>0</v>
      </c>
      <c r="F1304" s="228">
        <f>IF(D1304&gt;0,-'Main Budget'!$H$25+0.15,0)</f>
        <v>0</v>
      </c>
      <c r="G1304" s="228">
        <f>IF(E1304&gt;0,-'Main Budget'!$F$25+0.81,0)</f>
        <v>0</v>
      </c>
      <c r="H1304" s="227">
        <f>IF(DAY(A1304)='Main Budget'!$J$26,'Main Budget'!$E$26,0)</f>
        <v>0</v>
      </c>
      <c r="I1304" s="227">
        <f>IF(DAY(A1304)='Main Budget'!$J$28,'Main Budget'!$E$28,0)</f>
        <v>0</v>
      </c>
      <c r="J1304" s="227">
        <f>IF(DAY(A1304)='Main Budget'!$J$29,'Main Budget'!$E$29,0)</f>
        <v>0</v>
      </c>
      <c r="K1304" s="20">
        <f>IF(DAY(A1304)='Main Budget'!$J$30,'Main Budget'!$E$30,0)</f>
        <v>0</v>
      </c>
      <c r="L1304" s="20">
        <f>IF(DAY(A1304)='Main Budget'!$J$31,'Main Budget'!$E$31,0)</f>
        <v>0</v>
      </c>
      <c r="M1304" s="20">
        <f>IF(DAY(A1304)='Main Budget'!$J$27,'Main Budget'!$E$27,0)</f>
        <v>0</v>
      </c>
      <c r="O1304" s="228">
        <f>B1304+(SUM(H1304:M1304)+(SUM(D1304:E1304)))</f>
        <v>100</v>
      </c>
      <c r="P1304" s="228">
        <f>C1304+F1304+G1304+N1304</f>
        <v>100</v>
      </c>
      <c r="Q1304" s="252">
        <f>O1304+P1304</f>
        <v>200</v>
      </c>
      <c r="S1304" s="231" t="str">
        <f>TEXT(A1304,"dddd")</f>
        <v>Thursday</v>
      </c>
    </row>
    <row r="1305" spans="1:19" x14ac:dyDescent="0.25">
      <c r="A1305" s="226">
        <v>47326</v>
      </c>
      <c r="B1305" s="227">
        <f>O1304</f>
        <v>100</v>
      </c>
      <c r="C1305" s="228">
        <f>P1304</f>
        <v>100</v>
      </c>
      <c r="D1305" s="228">
        <f>IF(OR(DAY(A1305+2)=1,DAY(A1305+2)=15),-SUM('Main Budget'!$H$26:$H$31),0)</f>
        <v>0</v>
      </c>
      <c r="E1305" s="228">
        <f>IF(DAY(A1305+2)=22,-SUM('Main Budget'!$F$26:$F$31),0)</f>
        <v>0</v>
      </c>
      <c r="F1305" s="228">
        <f>IF(D1305&gt;0,-'Main Budget'!$H$25+0.15,0)</f>
        <v>0</v>
      </c>
      <c r="G1305" s="228">
        <f>IF(E1305&gt;0,-'Main Budget'!$F$25+0.81,0)</f>
        <v>0</v>
      </c>
      <c r="H1305" s="227">
        <f>IF(DAY(A1305)='Main Budget'!$J$26,'Main Budget'!$E$26,0)</f>
        <v>0</v>
      </c>
      <c r="I1305" s="227">
        <f>IF(DAY(A1305)='Main Budget'!$J$28,'Main Budget'!$E$28,0)</f>
        <v>0</v>
      </c>
      <c r="J1305" s="227">
        <f>IF(DAY(A1305)='Main Budget'!$J$29,'Main Budget'!$E$29,0)</f>
        <v>0</v>
      </c>
      <c r="K1305" s="20">
        <f>IF(DAY(A1305)='Main Budget'!$J$30,'Main Budget'!$E$30,0)</f>
        <v>0</v>
      </c>
      <c r="L1305" s="20">
        <f>IF(DAY(A1305)='Main Budget'!$J$31,'Main Budget'!$E$31,0)</f>
        <v>0</v>
      </c>
      <c r="M1305" s="20">
        <f>IF(DAY(A1305)='Main Budget'!$J$27,'Main Budget'!$E$27,0)</f>
        <v>0</v>
      </c>
      <c r="O1305" s="228">
        <f>B1305+(SUM(H1305:M1305)+(SUM(D1305:E1305)))</f>
        <v>100</v>
      </c>
      <c r="P1305" s="228">
        <f>C1305+F1305+G1305+N1305</f>
        <v>100</v>
      </c>
      <c r="Q1305" s="252">
        <f>O1305+P1305</f>
        <v>200</v>
      </c>
      <c r="S1305" s="231" t="str">
        <f>TEXT(A1305,"dddd")</f>
        <v>Friday</v>
      </c>
    </row>
    <row r="1306" spans="1:19" x14ac:dyDescent="0.25">
      <c r="A1306" s="226">
        <v>47327</v>
      </c>
      <c r="B1306" s="227">
        <f>O1305</f>
        <v>100</v>
      </c>
      <c r="C1306" s="228">
        <f>P1305</f>
        <v>100</v>
      </c>
      <c r="D1306" s="228">
        <f>IF(OR(DAY(A1306+2)=1,DAY(A1306+2)=15),-SUM('Main Budget'!$H$26:$H$31),0)</f>
        <v>0</v>
      </c>
      <c r="E1306" s="228">
        <f>IF(DAY(A1306+2)=22,-SUM('Main Budget'!$F$26:$F$31),0)</f>
        <v>0</v>
      </c>
      <c r="F1306" s="228">
        <f>IF(D1306&gt;0,-'Main Budget'!$H$25+0.15,0)</f>
        <v>0</v>
      </c>
      <c r="G1306" s="228">
        <f>IF(E1306&gt;0,-'Main Budget'!$F$25+0.81,0)</f>
        <v>0</v>
      </c>
      <c r="H1306" s="227">
        <f>IF(DAY(A1306)='Main Budget'!$J$26,'Main Budget'!$E$26,0)</f>
        <v>0</v>
      </c>
      <c r="I1306" s="227">
        <f>IF(DAY(A1306)='Main Budget'!$J$28,'Main Budget'!$E$28,0)</f>
        <v>0</v>
      </c>
      <c r="J1306" s="227">
        <f>IF(DAY(A1306)='Main Budget'!$J$29,'Main Budget'!$E$29,0)</f>
        <v>0</v>
      </c>
      <c r="K1306" s="20">
        <f>IF(DAY(A1306)='Main Budget'!$J$30,'Main Budget'!$E$30,0)</f>
        <v>0</v>
      </c>
      <c r="L1306" s="20">
        <f>IF(DAY(A1306)='Main Budget'!$J$31,'Main Budget'!$E$31,0)</f>
        <v>0</v>
      </c>
      <c r="M1306" s="20">
        <f>IF(DAY(A1306)='Main Budget'!$J$27,'Main Budget'!$E$27,0)</f>
        <v>0</v>
      </c>
      <c r="O1306" s="228">
        <f>B1306+(SUM(H1306:M1306)+(SUM(D1306:E1306)))</f>
        <v>100</v>
      </c>
      <c r="P1306" s="228">
        <f>C1306+F1306+G1306+N1306</f>
        <v>100</v>
      </c>
      <c r="Q1306" s="252">
        <f>O1306+P1306</f>
        <v>200</v>
      </c>
      <c r="S1306" s="231" t="str">
        <f>TEXT(A1306,"dddd")</f>
        <v>Saturday</v>
      </c>
    </row>
    <row r="1307" spans="1:19" x14ac:dyDescent="0.25">
      <c r="A1307" s="226">
        <v>47328</v>
      </c>
      <c r="B1307" s="227">
        <f>O1306</f>
        <v>100</v>
      </c>
      <c r="C1307" s="228">
        <f>P1306</f>
        <v>100</v>
      </c>
      <c r="D1307" s="228">
        <f>IF(OR(DAY(A1307+2)=1,DAY(A1307+2)=15),-SUM('Main Budget'!$H$26:$H$31),0)</f>
        <v>0</v>
      </c>
      <c r="E1307" s="228">
        <f>IF(DAY(A1307+2)=22,-SUM('Main Budget'!$F$26:$F$31),0)</f>
        <v>0</v>
      </c>
      <c r="F1307" s="228">
        <f>IF(D1307&gt;0,-'Main Budget'!$H$25+0.15,0)</f>
        <v>0</v>
      </c>
      <c r="G1307" s="228">
        <f>IF(E1307&gt;0,-'Main Budget'!$F$25+0.81,0)</f>
        <v>0</v>
      </c>
      <c r="H1307" s="227">
        <f>IF(DAY(A1307)='Main Budget'!$J$26,'Main Budget'!$E$26,0)</f>
        <v>0</v>
      </c>
      <c r="I1307" s="227">
        <f>IF(DAY(A1307)='Main Budget'!$J$28,'Main Budget'!$E$28,0)</f>
        <v>0</v>
      </c>
      <c r="J1307" s="227">
        <f>IF(DAY(A1307)='Main Budget'!$J$29,'Main Budget'!$E$29,0)</f>
        <v>0</v>
      </c>
      <c r="K1307" s="20">
        <f>IF(DAY(A1307)='Main Budget'!$J$30,'Main Budget'!$E$30,0)</f>
        <v>0</v>
      </c>
      <c r="L1307" s="20">
        <f>IF(DAY(A1307)='Main Budget'!$J$31,'Main Budget'!$E$31,0)</f>
        <v>0</v>
      </c>
      <c r="M1307" s="20">
        <f>IF(DAY(A1307)='Main Budget'!$J$27,'Main Budget'!$E$27,0)</f>
        <v>0</v>
      </c>
      <c r="O1307" s="228">
        <f>B1307+(SUM(H1307:M1307)+(SUM(D1307:E1307)))</f>
        <v>100</v>
      </c>
      <c r="P1307" s="228">
        <f>C1307+F1307+G1307+N1307</f>
        <v>100</v>
      </c>
      <c r="Q1307" s="252">
        <f>O1307+P1307</f>
        <v>200</v>
      </c>
      <c r="S1307" s="231" t="str">
        <f>TEXT(A1307,"dddd")</f>
        <v>Sunday</v>
      </c>
    </row>
    <row r="1308" spans="1:19" x14ac:dyDescent="0.25">
      <c r="A1308" s="226">
        <v>47329</v>
      </c>
      <c r="B1308" s="227">
        <f>O1307</f>
        <v>100</v>
      </c>
      <c r="C1308" s="228">
        <f>P1307</f>
        <v>100</v>
      </c>
      <c r="D1308" s="228">
        <f>IF(OR(DAY(A1308+2)=1,DAY(A1308+2)=15),-SUM('Main Budget'!$H$26:$H$31),0)</f>
        <v>0</v>
      </c>
      <c r="E1308" s="228">
        <f>IF(DAY(A1308+2)=22,-SUM('Main Budget'!$F$26:$F$31),0)</f>
        <v>0</v>
      </c>
      <c r="F1308" s="228">
        <f>IF(D1308&gt;0,-'Main Budget'!$H$25+0.15,0)</f>
        <v>0</v>
      </c>
      <c r="G1308" s="228">
        <f>IF(E1308&gt;0,-'Main Budget'!$F$25+0.81,0)</f>
        <v>0</v>
      </c>
      <c r="H1308" s="227">
        <f>IF(DAY(A1308)='Main Budget'!$J$26,'Main Budget'!$E$26,0)</f>
        <v>0</v>
      </c>
      <c r="I1308" s="227">
        <f>IF(DAY(A1308)='Main Budget'!$J$28,'Main Budget'!$E$28,0)</f>
        <v>0</v>
      </c>
      <c r="J1308" s="227">
        <f>IF(DAY(A1308)='Main Budget'!$J$29,'Main Budget'!$E$29,0)</f>
        <v>0</v>
      </c>
      <c r="K1308" s="20">
        <f>IF(DAY(A1308)='Main Budget'!$J$30,'Main Budget'!$E$30,0)</f>
        <v>0</v>
      </c>
      <c r="L1308" s="20">
        <f>IF(DAY(A1308)='Main Budget'!$J$31,'Main Budget'!$E$31,0)</f>
        <v>0</v>
      </c>
      <c r="M1308" s="20">
        <f>IF(DAY(A1308)='Main Budget'!$J$27,'Main Budget'!$E$27,0)</f>
        <v>0</v>
      </c>
      <c r="O1308" s="228">
        <f>B1308+(SUM(H1308:M1308)+(SUM(D1308:E1308)))</f>
        <v>100</v>
      </c>
      <c r="P1308" s="228">
        <f>C1308+F1308+G1308+N1308</f>
        <v>100</v>
      </c>
      <c r="Q1308" s="252">
        <f>O1308+P1308</f>
        <v>200</v>
      </c>
      <c r="S1308" s="231" t="str">
        <f>TEXT(A1308,"dddd")</f>
        <v>Monday</v>
      </c>
    </row>
    <row r="1309" spans="1:19" x14ac:dyDescent="0.25">
      <c r="A1309" s="226">
        <v>47330</v>
      </c>
      <c r="B1309" s="227">
        <f>O1308</f>
        <v>100</v>
      </c>
      <c r="C1309" s="228">
        <f>P1308</f>
        <v>100</v>
      </c>
      <c r="D1309" s="228">
        <f>IF(OR(DAY(A1309+2)=1,DAY(A1309+2)=15),-SUM('Main Budget'!$H$26:$H$31),0)</f>
        <v>0</v>
      </c>
      <c r="E1309" s="228">
        <f>IF(DAY(A1309+2)=22,-SUM('Main Budget'!$F$26:$F$31),0)</f>
        <v>0</v>
      </c>
      <c r="F1309" s="228">
        <f>IF(D1309&gt;0,-'Main Budget'!$H$25+0.15,0)</f>
        <v>0</v>
      </c>
      <c r="G1309" s="228">
        <f>IF(E1309&gt;0,-'Main Budget'!$F$25+0.81,0)</f>
        <v>0</v>
      </c>
      <c r="H1309" s="227">
        <f>IF(DAY(A1309)='Main Budget'!$J$26,'Main Budget'!$E$26,0)</f>
        <v>0</v>
      </c>
      <c r="I1309" s="227">
        <f>IF(DAY(A1309)='Main Budget'!$J$28,'Main Budget'!$E$28,0)</f>
        <v>0</v>
      </c>
      <c r="J1309" s="227">
        <f>IF(DAY(A1309)='Main Budget'!$J$29,'Main Budget'!$E$29,0)</f>
        <v>0</v>
      </c>
      <c r="K1309" s="20">
        <f>IF(DAY(A1309)='Main Budget'!$J$30,'Main Budget'!$E$30,0)</f>
        <v>0</v>
      </c>
      <c r="L1309" s="20">
        <f>IF(DAY(A1309)='Main Budget'!$J$31,'Main Budget'!$E$31,0)</f>
        <v>0</v>
      </c>
      <c r="M1309" s="20">
        <f>IF(DAY(A1309)='Main Budget'!$J$27,'Main Budget'!$E$27,0)</f>
        <v>0</v>
      </c>
      <c r="O1309" s="228">
        <f>B1309+(SUM(H1309:M1309)+(SUM(D1309:E1309)))</f>
        <v>100</v>
      </c>
      <c r="P1309" s="228">
        <f>C1309+F1309+G1309+N1309</f>
        <v>100</v>
      </c>
      <c r="Q1309" s="252">
        <f>O1309+P1309</f>
        <v>200</v>
      </c>
      <c r="S1309" s="231" t="str">
        <f>TEXT(A1309,"dddd")</f>
        <v>Tuesday</v>
      </c>
    </row>
    <row r="1310" spans="1:19" x14ac:dyDescent="0.25">
      <c r="A1310" s="226">
        <v>47331</v>
      </c>
      <c r="B1310" s="227">
        <f>O1309</f>
        <v>100</v>
      </c>
      <c r="C1310" s="228">
        <f>P1309</f>
        <v>100</v>
      </c>
      <c r="D1310" s="228">
        <f>IF(OR(DAY(A1310+2)=1,DAY(A1310+2)=15),-SUM('Main Budget'!$H$26:$H$31),0)</f>
        <v>0</v>
      </c>
      <c r="E1310" s="228">
        <f>IF(DAY(A1310+2)=22,-SUM('Main Budget'!$F$26:$F$31),0)</f>
        <v>0</v>
      </c>
      <c r="F1310" s="228">
        <f>IF(D1310&gt;0,-'Main Budget'!$H$25+0.15,0)</f>
        <v>0</v>
      </c>
      <c r="G1310" s="228">
        <f>IF(E1310&gt;0,-'Main Budget'!$F$25+0.81,0)</f>
        <v>0</v>
      </c>
      <c r="H1310" s="227">
        <f>IF(DAY(A1310)='Main Budget'!$J$26,'Main Budget'!$E$26,0)</f>
        <v>0</v>
      </c>
      <c r="I1310" s="227">
        <f>IF(DAY(A1310)='Main Budget'!$J$28,'Main Budget'!$E$28,0)</f>
        <v>0</v>
      </c>
      <c r="J1310" s="227">
        <f>IF(DAY(A1310)='Main Budget'!$J$29,'Main Budget'!$E$29,0)</f>
        <v>0</v>
      </c>
      <c r="K1310" s="20">
        <f>IF(DAY(A1310)='Main Budget'!$J$30,'Main Budget'!$E$30,0)</f>
        <v>0</v>
      </c>
      <c r="L1310" s="20">
        <f>IF(DAY(A1310)='Main Budget'!$J$31,'Main Budget'!$E$31,0)</f>
        <v>0</v>
      </c>
      <c r="M1310" s="20">
        <f>IF(DAY(A1310)='Main Budget'!$J$27,'Main Budget'!$E$27,0)</f>
        <v>0</v>
      </c>
      <c r="O1310" s="228">
        <f>B1310+(SUM(H1310:M1310)+(SUM(D1310:E1310)))</f>
        <v>100</v>
      </c>
      <c r="P1310" s="228">
        <f>C1310+F1310+G1310+N1310</f>
        <v>100</v>
      </c>
      <c r="Q1310" s="252">
        <f>O1310+P1310</f>
        <v>200</v>
      </c>
      <c r="S1310" s="231" t="str">
        <f>TEXT(A1310,"dddd")</f>
        <v>Wednesday</v>
      </c>
    </row>
    <row r="1311" spans="1:19" x14ac:dyDescent="0.25">
      <c r="A1311" s="226">
        <v>47332</v>
      </c>
      <c r="B1311" s="227">
        <f>O1310</f>
        <v>100</v>
      </c>
      <c r="C1311" s="228">
        <f>P1310</f>
        <v>100</v>
      </c>
      <c r="D1311" s="228">
        <f>IF(OR(DAY(A1311+2)=1,DAY(A1311+2)=15),-SUM('Main Budget'!$H$26:$H$31),0)</f>
        <v>0</v>
      </c>
      <c r="E1311" s="228">
        <f>IF(DAY(A1311+2)=22,-SUM('Main Budget'!$F$26:$F$31),0)</f>
        <v>0</v>
      </c>
      <c r="F1311" s="228">
        <f>IF(D1311&gt;0,-'Main Budget'!$H$25+0.15,0)</f>
        <v>0</v>
      </c>
      <c r="G1311" s="228">
        <f>IF(E1311&gt;0,-'Main Budget'!$F$25+0.81,0)</f>
        <v>0</v>
      </c>
      <c r="H1311" s="227">
        <f>IF(DAY(A1311)='Main Budget'!$J$26,'Main Budget'!$E$26,0)</f>
        <v>0</v>
      </c>
      <c r="I1311" s="227">
        <f>IF(DAY(A1311)='Main Budget'!$J$28,'Main Budget'!$E$28,0)</f>
        <v>0</v>
      </c>
      <c r="J1311" s="227">
        <f>IF(DAY(A1311)='Main Budget'!$J$29,'Main Budget'!$E$29,0)</f>
        <v>0</v>
      </c>
      <c r="K1311" s="20">
        <f>IF(DAY(A1311)='Main Budget'!$J$30,'Main Budget'!$E$30,0)</f>
        <v>0</v>
      </c>
      <c r="L1311" s="20">
        <f>IF(DAY(A1311)='Main Budget'!$J$31,'Main Budget'!$E$31,0)</f>
        <v>0</v>
      </c>
      <c r="M1311" s="20">
        <f>IF(DAY(A1311)='Main Budget'!$J$27,'Main Budget'!$E$27,0)</f>
        <v>0</v>
      </c>
      <c r="O1311" s="228">
        <f>B1311+(SUM(H1311:M1311)+(SUM(D1311:E1311)))</f>
        <v>100</v>
      </c>
      <c r="P1311" s="228">
        <f>C1311+F1311+G1311+N1311</f>
        <v>100</v>
      </c>
      <c r="Q1311" s="252">
        <f>O1311+P1311</f>
        <v>200</v>
      </c>
      <c r="S1311" s="231" t="str">
        <f>TEXT(A1311,"dddd")</f>
        <v>Thursday</v>
      </c>
    </row>
    <row r="1312" spans="1:19" x14ac:dyDescent="0.25">
      <c r="A1312" s="226">
        <v>47333</v>
      </c>
      <c r="B1312" s="227">
        <f>O1311</f>
        <v>100</v>
      </c>
      <c r="C1312" s="228">
        <f>P1311</f>
        <v>100</v>
      </c>
      <c r="D1312" s="228">
        <f>IF(OR(DAY(A1312+2)=1,DAY(A1312+2)=15),-SUM('Main Budget'!$H$26:$H$31),0)</f>
        <v>0</v>
      </c>
      <c r="E1312" s="228">
        <f>IF(DAY(A1312+2)=22,-SUM('Main Budget'!$F$26:$F$31),0)</f>
        <v>0</v>
      </c>
      <c r="F1312" s="228">
        <f>IF(D1312&gt;0,-'Main Budget'!$H$25+0.15,0)</f>
        <v>0</v>
      </c>
      <c r="G1312" s="228">
        <f>IF(E1312&gt;0,-'Main Budget'!$F$25+0.81,0)</f>
        <v>0</v>
      </c>
      <c r="H1312" s="227">
        <f>IF(DAY(A1312)='Main Budget'!$J$26,'Main Budget'!$E$26,0)</f>
        <v>0</v>
      </c>
      <c r="I1312" s="227">
        <f>IF(DAY(A1312)='Main Budget'!$J$28,'Main Budget'!$E$28,0)</f>
        <v>0</v>
      </c>
      <c r="J1312" s="227">
        <f>IF(DAY(A1312)='Main Budget'!$J$29,'Main Budget'!$E$29,0)</f>
        <v>0</v>
      </c>
      <c r="K1312" s="20">
        <f>IF(DAY(A1312)='Main Budget'!$J$30,'Main Budget'!$E$30,0)</f>
        <v>0</v>
      </c>
      <c r="L1312" s="20">
        <f>IF(DAY(A1312)='Main Budget'!$J$31,'Main Budget'!$E$31,0)</f>
        <v>0</v>
      </c>
      <c r="M1312" s="20">
        <f>IF(DAY(A1312)='Main Budget'!$J$27,'Main Budget'!$E$27,0)</f>
        <v>0</v>
      </c>
      <c r="O1312" s="228">
        <f>B1312+(SUM(H1312:M1312)+(SUM(D1312:E1312)))</f>
        <v>100</v>
      </c>
      <c r="P1312" s="228">
        <f>C1312+F1312+G1312+N1312</f>
        <v>100</v>
      </c>
      <c r="Q1312" s="252">
        <f>O1312+P1312</f>
        <v>200</v>
      </c>
      <c r="S1312" s="231" t="str">
        <f>TEXT(A1312,"dddd")</f>
        <v>Friday</v>
      </c>
    </row>
    <row r="1313" spans="1:19" x14ac:dyDescent="0.25">
      <c r="A1313" s="226">
        <v>47334</v>
      </c>
      <c r="B1313" s="227">
        <f>O1312</f>
        <v>100</v>
      </c>
      <c r="C1313" s="228">
        <f>P1312</f>
        <v>100</v>
      </c>
      <c r="D1313" s="228">
        <f>IF(OR(DAY(A1313+2)=1,DAY(A1313+2)=15),-SUM('Main Budget'!$H$26:$H$31),0)</f>
        <v>0</v>
      </c>
      <c r="E1313" s="228">
        <f>IF(DAY(A1313+2)=22,-SUM('Main Budget'!$F$26:$F$31),0)</f>
        <v>0</v>
      </c>
      <c r="F1313" s="228">
        <f>IF(D1313&gt;0,-'Main Budget'!$H$25+0.15,0)</f>
        <v>0</v>
      </c>
      <c r="G1313" s="228">
        <f>IF(E1313&gt;0,-'Main Budget'!$F$25+0.81,0)</f>
        <v>0</v>
      </c>
      <c r="H1313" s="227">
        <f>IF(DAY(A1313)='Main Budget'!$J$26,'Main Budget'!$E$26,0)</f>
        <v>0</v>
      </c>
      <c r="I1313" s="227">
        <f>IF(DAY(A1313)='Main Budget'!$J$28,'Main Budget'!$E$28,0)</f>
        <v>0</v>
      </c>
      <c r="J1313" s="227">
        <f>IF(DAY(A1313)='Main Budget'!$J$29,'Main Budget'!$E$29,0)</f>
        <v>0</v>
      </c>
      <c r="K1313" s="20">
        <f>IF(DAY(A1313)='Main Budget'!$J$30,'Main Budget'!$E$30,0)</f>
        <v>0</v>
      </c>
      <c r="L1313" s="20">
        <f>IF(DAY(A1313)='Main Budget'!$J$31,'Main Budget'!$E$31,0)</f>
        <v>0</v>
      </c>
      <c r="M1313" s="20">
        <f>IF(DAY(A1313)='Main Budget'!$J$27,'Main Budget'!$E$27,0)</f>
        <v>0</v>
      </c>
      <c r="O1313" s="228">
        <f>B1313+(SUM(H1313:M1313)+(SUM(D1313:E1313)))</f>
        <v>100</v>
      </c>
      <c r="P1313" s="228">
        <f>C1313+F1313+G1313+N1313</f>
        <v>100</v>
      </c>
      <c r="Q1313" s="252">
        <f>O1313+P1313</f>
        <v>200</v>
      </c>
      <c r="S1313" s="231" t="str">
        <f>TEXT(A1313,"dddd")</f>
        <v>Saturday</v>
      </c>
    </row>
    <row r="1314" spans="1:19" x14ac:dyDescent="0.25">
      <c r="A1314" s="226">
        <v>47335</v>
      </c>
      <c r="B1314" s="227">
        <f>O1313</f>
        <v>100</v>
      </c>
      <c r="C1314" s="228">
        <f>P1313</f>
        <v>100</v>
      </c>
      <c r="D1314" s="228">
        <f>IF(OR(DAY(A1314+2)=1,DAY(A1314+2)=15),-SUM('Main Budget'!$H$26:$H$31),0)</f>
        <v>0</v>
      </c>
      <c r="E1314" s="228">
        <f>IF(DAY(A1314+2)=22,-SUM('Main Budget'!$F$26:$F$31),0)</f>
        <v>0</v>
      </c>
      <c r="F1314" s="228">
        <f>IF(D1314&gt;0,-'Main Budget'!$H$25+0.15,0)</f>
        <v>0</v>
      </c>
      <c r="G1314" s="228">
        <f>IF(E1314&gt;0,-'Main Budget'!$F$25+0.81,0)</f>
        <v>0</v>
      </c>
      <c r="H1314" s="227">
        <f>IF(DAY(A1314)='Main Budget'!$J$26,'Main Budget'!$E$26,0)</f>
        <v>0</v>
      </c>
      <c r="I1314" s="227">
        <f>IF(DAY(A1314)='Main Budget'!$J$28,'Main Budget'!$E$28,0)</f>
        <v>0</v>
      </c>
      <c r="J1314" s="227">
        <f>IF(DAY(A1314)='Main Budget'!$J$29,'Main Budget'!$E$29,0)</f>
        <v>0</v>
      </c>
      <c r="K1314" s="20">
        <f>IF(DAY(A1314)='Main Budget'!$J$30,'Main Budget'!$E$30,0)</f>
        <v>0</v>
      </c>
      <c r="L1314" s="20">
        <f>IF(DAY(A1314)='Main Budget'!$J$31,'Main Budget'!$E$31,0)</f>
        <v>0</v>
      </c>
      <c r="M1314" s="20">
        <f>IF(DAY(A1314)='Main Budget'!$J$27,'Main Budget'!$E$27,0)</f>
        <v>0</v>
      </c>
      <c r="O1314" s="228">
        <f>B1314+(SUM(H1314:M1314)+(SUM(D1314:E1314)))</f>
        <v>100</v>
      </c>
      <c r="P1314" s="228">
        <f>C1314+F1314+G1314+N1314</f>
        <v>100</v>
      </c>
      <c r="Q1314" s="252">
        <f>O1314+P1314</f>
        <v>200</v>
      </c>
      <c r="S1314" s="231" t="str">
        <f>TEXT(A1314,"dddd")</f>
        <v>Sunday</v>
      </c>
    </row>
    <row r="1315" spans="1:19" x14ac:dyDescent="0.25">
      <c r="A1315" s="226">
        <v>47336</v>
      </c>
      <c r="B1315" s="227">
        <f>O1314</f>
        <v>100</v>
      </c>
      <c r="C1315" s="228">
        <f>P1314</f>
        <v>100</v>
      </c>
      <c r="D1315" s="228">
        <f>IF(OR(DAY(A1315+2)=1,DAY(A1315+2)=15),-SUM('Main Budget'!$H$26:$H$31),0)</f>
        <v>0</v>
      </c>
      <c r="E1315" s="228">
        <f>IF(DAY(A1315+2)=22,-SUM('Main Budget'!$F$26:$F$31),0)</f>
        <v>0</v>
      </c>
      <c r="F1315" s="228">
        <f>IF(D1315&gt;0,-'Main Budget'!$H$25+0.15,0)</f>
        <v>0</v>
      </c>
      <c r="G1315" s="228">
        <f>IF(E1315&gt;0,-'Main Budget'!$F$25+0.81,0)</f>
        <v>0</v>
      </c>
      <c r="H1315" s="227">
        <f>IF(DAY(A1315)='Main Budget'!$J$26,'Main Budget'!$E$26,0)</f>
        <v>0</v>
      </c>
      <c r="I1315" s="227">
        <f>IF(DAY(A1315)='Main Budget'!$J$28,'Main Budget'!$E$28,0)</f>
        <v>0</v>
      </c>
      <c r="J1315" s="227">
        <f>IF(DAY(A1315)='Main Budget'!$J$29,'Main Budget'!$E$29,0)</f>
        <v>0</v>
      </c>
      <c r="K1315" s="20">
        <f>IF(DAY(A1315)='Main Budget'!$J$30,'Main Budget'!$E$30,0)</f>
        <v>0</v>
      </c>
      <c r="L1315" s="20">
        <f>IF(DAY(A1315)='Main Budget'!$J$31,'Main Budget'!$E$31,0)</f>
        <v>0</v>
      </c>
      <c r="M1315" s="20">
        <f>IF(DAY(A1315)='Main Budget'!$J$27,'Main Budget'!$E$27,0)</f>
        <v>0</v>
      </c>
      <c r="O1315" s="228">
        <f>B1315+(SUM(H1315:M1315)+(SUM(D1315:E1315)))</f>
        <v>100</v>
      </c>
      <c r="P1315" s="228">
        <f>C1315+F1315+G1315+N1315</f>
        <v>100</v>
      </c>
      <c r="Q1315" s="252">
        <f>O1315+P1315</f>
        <v>200</v>
      </c>
      <c r="S1315" s="231" t="str">
        <f>TEXT(A1315,"dddd")</f>
        <v>Monday</v>
      </c>
    </row>
    <row r="1316" spans="1:19" x14ac:dyDescent="0.25">
      <c r="A1316" s="226">
        <v>47337</v>
      </c>
      <c r="B1316" s="227">
        <f>O1315</f>
        <v>100</v>
      </c>
      <c r="C1316" s="228">
        <f>P1315</f>
        <v>100</v>
      </c>
      <c r="D1316" s="228">
        <f>IF(OR(DAY(A1316+2)=1,DAY(A1316+2)=15),-SUM('Main Budget'!$H$26:$H$31),0)</f>
        <v>0</v>
      </c>
      <c r="E1316" s="228">
        <f>IF(DAY(A1316+2)=22,-SUM('Main Budget'!$F$26:$F$31),0)</f>
        <v>0</v>
      </c>
      <c r="F1316" s="228">
        <f>IF(D1316&gt;0,-'Main Budget'!$H$25+0.15,0)</f>
        <v>0</v>
      </c>
      <c r="G1316" s="228">
        <f>IF(E1316&gt;0,-'Main Budget'!$F$25+0.81,0)</f>
        <v>0</v>
      </c>
      <c r="H1316" s="227">
        <f>IF(DAY(A1316)='Main Budget'!$J$26,'Main Budget'!$E$26,0)</f>
        <v>0</v>
      </c>
      <c r="I1316" s="227">
        <f>IF(DAY(A1316)='Main Budget'!$J$28,'Main Budget'!$E$28,0)</f>
        <v>0</v>
      </c>
      <c r="J1316" s="227">
        <f>IF(DAY(A1316)='Main Budget'!$J$29,'Main Budget'!$E$29,0)</f>
        <v>0</v>
      </c>
      <c r="K1316" s="20">
        <f>IF(DAY(A1316)='Main Budget'!$J$30,'Main Budget'!$E$30,0)</f>
        <v>0</v>
      </c>
      <c r="L1316" s="20">
        <f>IF(DAY(A1316)='Main Budget'!$J$31,'Main Budget'!$E$31,0)</f>
        <v>0</v>
      </c>
      <c r="M1316" s="20">
        <f>IF(DAY(A1316)='Main Budget'!$J$27,'Main Budget'!$E$27,0)</f>
        <v>0</v>
      </c>
      <c r="O1316" s="228">
        <f>B1316+(SUM(H1316:M1316)+(SUM(D1316:E1316)))</f>
        <v>100</v>
      </c>
      <c r="P1316" s="228">
        <f>C1316+F1316+G1316+N1316</f>
        <v>100</v>
      </c>
      <c r="Q1316" s="252">
        <f>O1316+P1316</f>
        <v>200</v>
      </c>
      <c r="S1316" s="231" t="str">
        <f>TEXT(A1316,"dddd")</f>
        <v>Tuesday</v>
      </c>
    </row>
    <row r="1317" spans="1:19" x14ac:dyDescent="0.25">
      <c r="A1317" s="226">
        <v>47338</v>
      </c>
      <c r="B1317" s="227">
        <f>O1316</f>
        <v>100</v>
      </c>
      <c r="C1317" s="228">
        <f>P1316</f>
        <v>100</v>
      </c>
      <c r="D1317" s="228">
        <f>IF(OR(DAY(A1317+2)=1,DAY(A1317+2)=15),-SUM('Main Budget'!$H$26:$H$31),0)</f>
        <v>0</v>
      </c>
      <c r="E1317" s="228">
        <f>IF(DAY(A1317+2)=22,-SUM('Main Budget'!$F$26:$F$31),0)</f>
        <v>0</v>
      </c>
      <c r="F1317" s="228">
        <f>IF(D1317&gt;0,-'Main Budget'!$H$25+0.15,0)</f>
        <v>0</v>
      </c>
      <c r="G1317" s="228">
        <f>IF(E1317&gt;0,-'Main Budget'!$F$25+0.81,0)</f>
        <v>0</v>
      </c>
      <c r="H1317" s="227">
        <f>IF(DAY(A1317)='Main Budget'!$J$26,'Main Budget'!$E$26,0)</f>
        <v>0</v>
      </c>
      <c r="I1317" s="227">
        <f>IF(DAY(A1317)='Main Budget'!$J$28,'Main Budget'!$E$28,0)</f>
        <v>0</v>
      </c>
      <c r="J1317" s="227">
        <f>IF(DAY(A1317)='Main Budget'!$J$29,'Main Budget'!$E$29,0)</f>
        <v>0</v>
      </c>
      <c r="K1317" s="20">
        <f>IF(DAY(A1317)='Main Budget'!$J$30,'Main Budget'!$E$30,0)</f>
        <v>0</v>
      </c>
      <c r="L1317" s="20">
        <f>IF(DAY(A1317)='Main Budget'!$J$31,'Main Budget'!$E$31,0)</f>
        <v>0</v>
      </c>
      <c r="M1317" s="20">
        <f>IF(DAY(A1317)='Main Budget'!$J$27,'Main Budget'!$E$27,0)</f>
        <v>0</v>
      </c>
      <c r="O1317" s="228">
        <f>B1317+(SUM(H1317:M1317)+(SUM(D1317:E1317)))</f>
        <v>100</v>
      </c>
      <c r="P1317" s="228">
        <f>C1317+F1317+G1317+N1317</f>
        <v>100</v>
      </c>
      <c r="Q1317" s="252">
        <f>O1317+P1317</f>
        <v>200</v>
      </c>
      <c r="S1317" s="231" t="str">
        <f>TEXT(A1317,"dddd")</f>
        <v>Wednesday</v>
      </c>
    </row>
    <row r="1318" spans="1:19" x14ac:dyDescent="0.25">
      <c r="A1318" s="226">
        <v>47339</v>
      </c>
      <c r="B1318" s="227">
        <f>O1317</f>
        <v>100</v>
      </c>
      <c r="C1318" s="228">
        <f>P1317</f>
        <v>100</v>
      </c>
      <c r="D1318" s="228">
        <f>IF(OR(DAY(A1318+2)=1,DAY(A1318+2)=15),-SUM('Main Budget'!$H$26:$H$31),0)</f>
        <v>0</v>
      </c>
      <c r="E1318" s="228">
        <f>IF(DAY(A1318+2)=22,-SUM('Main Budget'!$F$26:$F$31),0)</f>
        <v>0</v>
      </c>
      <c r="F1318" s="228">
        <f>IF(D1318&gt;0,-'Main Budget'!$H$25+0.15,0)</f>
        <v>0</v>
      </c>
      <c r="G1318" s="228">
        <f>IF(E1318&gt;0,-'Main Budget'!$F$25+0.81,0)</f>
        <v>0</v>
      </c>
      <c r="H1318" s="227">
        <f>IF(DAY(A1318)='Main Budget'!$J$26,'Main Budget'!$E$26,0)</f>
        <v>0</v>
      </c>
      <c r="I1318" s="227">
        <f>IF(DAY(A1318)='Main Budget'!$J$28,'Main Budget'!$E$28,0)</f>
        <v>0</v>
      </c>
      <c r="J1318" s="227">
        <f>IF(DAY(A1318)='Main Budget'!$J$29,'Main Budget'!$E$29,0)</f>
        <v>0</v>
      </c>
      <c r="K1318" s="20">
        <f>IF(DAY(A1318)='Main Budget'!$J$30,'Main Budget'!$E$30,0)</f>
        <v>0</v>
      </c>
      <c r="L1318" s="20">
        <f>IF(DAY(A1318)='Main Budget'!$J$31,'Main Budget'!$E$31,0)</f>
        <v>0</v>
      </c>
      <c r="M1318" s="20">
        <f>IF(DAY(A1318)='Main Budget'!$J$27,'Main Budget'!$E$27,0)</f>
        <v>0</v>
      </c>
      <c r="O1318" s="228">
        <f>B1318+(SUM(H1318:M1318)+(SUM(D1318:E1318)))</f>
        <v>100</v>
      </c>
      <c r="P1318" s="228">
        <f>C1318+F1318+G1318+N1318</f>
        <v>100</v>
      </c>
      <c r="Q1318" s="252">
        <f>O1318+P1318</f>
        <v>200</v>
      </c>
      <c r="S1318" s="231" t="str">
        <f>TEXT(A1318,"dddd")</f>
        <v>Thursday</v>
      </c>
    </row>
    <row r="1319" spans="1:19" x14ac:dyDescent="0.25">
      <c r="A1319" s="226">
        <v>47340</v>
      </c>
      <c r="B1319" s="227">
        <f>O1318</f>
        <v>100</v>
      </c>
      <c r="C1319" s="228">
        <f>P1318</f>
        <v>100</v>
      </c>
      <c r="D1319" s="228">
        <f>IF(OR(DAY(A1319+2)=1,DAY(A1319+2)=15),-SUM('Main Budget'!$H$26:$H$31),0)</f>
        <v>0</v>
      </c>
      <c r="E1319" s="228">
        <f>IF(DAY(A1319+2)=22,-SUM('Main Budget'!$F$26:$F$31),0)</f>
        <v>0</v>
      </c>
      <c r="F1319" s="228">
        <f>IF(D1319&gt;0,-'Main Budget'!$H$25+0.15,0)</f>
        <v>0</v>
      </c>
      <c r="G1319" s="228">
        <f>IF(E1319&gt;0,-'Main Budget'!$F$25+0.81,0)</f>
        <v>0</v>
      </c>
      <c r="H1319" s="227">
        <f>IF(DAY(A1319)='Main Budget'!$J$26,'Main Budget'!$E$26,0)</f>
        <v>0</v>
      </c>
      <c r="I1319" s="227">
        <f>IF(DAY(A1319)='Main Budget'!$J$28,'Main Budget'!$E$28,0)</f>
        <v>0</v>
      </c>
      <c r="J1319" s="227">
        <f>IF(DAY(A1319)='Main Budget'!$J$29,'Main Budget'!$E$29,0)</f>
        <v>0</v>
      </c>
      <c r="K1319" s="20">
        <f>IF(DAY(A1319)='Main Budget'!$J$30,'Main Budget'!$E$30,0)</f>
        <v>0</v>
      </c>
      <c r="L1319" s="20">
        <f>IF(DAY(A1319)='Main Budget'!$J$31,'Main Budget'!$E$31,0)</f>
        <v>0</v>
      </c>
      <c r="M1319" s="20">
        <f>IF(DAY(A1319)='Main Budget'!$J$27,'Main Budget'!$E$27,0)</f>
        <v>0</v>
      </c>
      <c r="O1319" s="228">
        <f>B1319+(SUM(H1319:M1319)+(SUM(D1319:E1319)))</f>
        <v>100</v>
      </c>
      <c r="P1319" s="228">
        <f>C1319+F1319+G1319+N1319</f>
        <v>100</v>
      </c>
      <c r="Q1319" s="252">
        <f>O1319+P1319</f>
        <v>200</v>
      </c>
      <c r="S1319" s="231" t="str">
        <f>TEXT(A1319,"dddd")</f>
        <v>Friday</v>
      </c>
    </row>
    <row r="1320" spans="1:19" x14ac:dyDescent="0.25">
      <c r="A1320" s="226">
        <v>47341</v>
      </c>
      <c r="B1320" s="227">
        <f>O1319</f>
        <v>100</v>
      </c>
      <c r="C1320" s="228">
        <f>P1319</f>
        <v>100</v>
      </c>
      <c r="D1320" s="228">
        <f>IF(OR(DAY(A1320+2)=1,DAY(A1320+2)=15),-SUM('Main Budget'!$H$26:$H$31),0)</f>
        <v>0</v>
      </c>
      <c r="E1320" s="228">
        <f>IF(DAY(A1320+2)=22,-SUM('Main Budget'!$F$26:$F$31),0)</f>
        <v>0</v>
      </c>
      <c r="F1320" s="228">
        <f>IF(D1320&gt;0,-'Main Budget'!$H$25+0.15,0)</f>
        <v>0</v>
      </c>
      <c r="G1320" s="228">
        <f>IF(E1320&gt;0,-'Main Budget'!$F$25+0.81,0)</f>
        <v>0</v>
      </c>
      <c r="H1320" s="227">
        <f>IF(DAY(A1320)='Main Budget'!$J$26,'Main Budget'!$E$26,0)</f>
        <v>0</v>
      </c>
      <c r="I1320" s="227">
        <f>IF(DAY(A1320)='Main Budget'!$J$28,'Main Budget'!$E$28,0)</f>
        <v>0</v>
      </c>
      <c r="J1320" s="227">
        <f>IF(DAY(A1320)='Main Budget'!$J$29,'Main Budget'!$E$29,0)</f>
        <v>0</v>
      </c>
      <c r="K1320" s="20">
        <f>IF(DAY(A1320)='Main Budget'!$J$30,'Main Budget'!$E$30,0)</f>
        <v>0</v>
      </c>
      <c r="L1320" s="20">
        <f>IF(DAY(A1320)='Main Budget'!$J$31,'Main Budget'!$E$31,0)</f>
        <v>0</v>
      </c>
      <c r="M1320" s="20">
        <f>IF(DAY(A1320)='Main Budget'!$J$27,'Main Budget'!$E$27,0)</f>
        <v>0</v>
      </c>
      <c r="O1320" s="228">
        <f>B1320+(SUM(H1320:M1320)+(SUM(D1320:E1320)))</f>
        <v>100</v>
      </c>
      <c r="P1320" s="228">
        <f>C1320+F1320+G1320+N1320</f>
        <v>100</v>
      </c>
      <c r="Q1320" s="252">
        <f>O1320+P1320</f>
        <v>200</v>
      </c>
      <c r="S1320" s="231" t="str">
        <f>TEXT(A1320,"dddd")</f>
        <v>Saturday</v>
      </c>
    </row>
    <row r="1321" spans="1:19" x14ac:dyDescent="0.25">
      <c r="A1321" s="226">
        <v>47342</v>
      </c>
      <c r="B1321" s="227">
        <f>O1320</f>
        <v>100</v>
      </c>
      <c r="C1321" s="228">
        <f>P1320</f>
        <v>100</v>
      </c>
      <c r="D1321" s="228">
        <f>IF(OR(DAY(A1321+2)=1,DAY(A1321+2)=15),-SUM('Main Budget'!$H$26:$H$31),0)</f>
        <v>0</v>
      </c>
      <c r="E1321" s="228">
        <f>IF(DAY(A1321+2)=22,-SUM('Main Budget'!$F$26:$F$31),0)</f>
        <v>0</v>
      </c>
      <c r="F1321" s="228">
        <f>IF(D1321&gt;0,-'Main Budget'!$H$25+0.15,0)</f>
        <v>0</v>
      </c>
      <c r="G1321" s="228">
        <f>IF(E1321&gt;0,-'Main Budget'!$F$25+0.81,0)</f>
        <v>0</v>
      </c>
      <c r="H1321" s="227">
        <f>IF(DAY(A1321)='Main Budget'!$J$26,'Main Budget'!$E$26,0)</f>
        <v>0</v>
      </c>
      <c r="I1321" s="227">
        <f>IF(DAY(A1321)='Main Budget'!$J$28,'Main Budget'!$E$28,0)</f>
        <v>0</v>
      </c>
      <c r="J1321" s="227">
        <f>IF(DAY(A1321)='Main Budget'!$J$29,'Main Budget'!$E$29,0)</f>
        <v>0</v>
      </c>
      <c r="K1321" s="20">
        <f>IF(DAY(A1321)='Main Budget'!$J$30,'Main Budget'!$E$30,0)</f>
        <v>0</v>
      </c>
      <c r="L1321" s="20">
        <f>IF(DAY(A1321)='Main Budget'!$J$31,'Main Budget'!$E$31,0)</f>
        <v>0</v>
      </c>
      <c r="M1321" s="20">
        <f>IF(DAY(A1321)='Main Budget'!$J$27,'Main Budget'!$E$27,0)</f>
        <v>0</v>
      </c>
      <c r="O1321" s="228">
        <f>B1321+(SUM(H1321:M1321)+(SUM(D1321:E1321)))</f>
        <v>100</v>
      </c>
      <c r="P1321" s="228">
        <f>C1321+F1321+G1321+N1321</f>
        <v>100</v>
      </c>
      <c r="Q1321" s="252">
        <f>O1321+P1321</f>
        <v>200</v>
      </c>
      <c r="S1321" s="231" t="str">
        <f>TEXT(A1321,"dddd")</f>
        <v>Sunday</v>
      </c>
    </row>
    <row r="1322" spans="1:19" x14ac:dyDescent="0.25">
      <c r="A1322" s="226">
        <v>47343</v>
      </c>
      <c r="B1322" s="227">
        <f>O1321</f>
        <v>100</v>
      </c>
      <c r="C1322" s="228">
        <f>P1321</f>
        <v>100</v>
      </c>
      <c r="D1322" s="228">
        <f>IF(OR(DAY(A1322+2)=1,DAY(A1322+2)=15),-SUM('Main Budget'!$H$26:$H$31),0)</f>
        <v>0</v>
      </c>
      <c r="E1322" s="228">
        <f>IF(DAY(A1322+2)=22,-SUM('Main Budget'!$F$26:$F$31),0)</f>
        <v>0</v>
      </c>
      <c r="F1322" s="228">
        <f>IF(D1322&gt;0,-'Main Budget'!$H$25+0.15,0)</f>
        <v>0</v>
      </c>
      <c r="G1322" s="228">
        <f>IF(E1322&gt;0,-'Main Budget'!$F$25+0.81,0)</f>
        <v>0</v>
      </c>
      <c r="H1322" s="227">
        <f>IF(DAY(A1322)='Main Budget'!$J$26,'Main Budget'!$E$26,0)</f>
        <v>0</v>
      </c>
      <c r="I1322" s="227">
        <f>IF(DAY(A1322)='Main Budget'!$J$28,'Main Budget'!$E$28,0)</f>
        <v>0</v>
      </c>
      <c r="J1322" s="227">
        <f>IF(DAY(A1322)='Main Budget'!$J$29,'Main Budget'!$E$29,0)</f>
        <v>0</v>
      </c>
      <c r="K1322" s="20">
        <f>IF(DAY(A1322)='Main Budget'!$J$30,'Main Budget'!$E$30,0)</f>
        <v>0</v>
      </c>
      <c r="L1322" s="20">
        <f>IF(DAY(A1322)='Main Budget'!$J$31,'Main Budget'!$E$31,0)</f>
        <v>0</v>
      </c>
      <c r="M1322" s="20">
        <f>IF(DAY(A1322)='Main Budget'!$J$27,'Main Budget'!$E$27,0)</f>
        <v>0</v>
      </c>
      <c r="O1322" s="228">
        <f>B1322+(SUM(H1322:M1322)+(SUM(D1322:E1322)))</f>
        <v>100</v>
      </c>
      <c r="P1322" s="228">
        <f>C1322+F1322+G1322+N1322</f>
        <v>100</v>
      </c>
      <c r="Q1322" s="252">
        <f>O1322+P1322</f>
        <v>200</v>
      </c>
      <c r="S1322" s="231" t="str">
        <f>TEXT(A1322,"dddd")</f>
        <v>Monday</v>
      </c>
    </row>
    <row r="1323" spans="1:19" x14ac:dyDescent="0.25">
      <c r="A1323" s="226">
        <v>47344</v>
      </c>
      <c r="B1323" s="227">
        <f>O1322</f>
        <v>100</v>
      </c>
      <c r="C1323" s="228">
        <f>P1322</f>
        <v>100</v>
      </c>
      <c r="D1323" s="228">
        <f>IF(OR(DAY(A1323+2)=1,DAY(A1323+2)=15),-SUM('Main Budget'!$H$26:$H$31),0)</f>
        <v>0</v>
      </c>
      <c r="E1323" s="228">
        <f>IF(DAY(A1323+2)=22,-SUM('Main Budget'!$F$26:$F$31),0)</f>
        <v>0</v>
      </c>
      <c r="F1323" s="228">
        <f>IF(D1323&gt;0,-'Main Budget'!$H$25+0.15,0)</f>
        <v>0</v>
      </c>
      <c r="G1323" s="228">
        <f>IF(E1323&gt;0,-'Main Budget'!$F$25+0.81,0)</f>
        <v>0</v>
      </c>
      <c r="H1323" s="227">
        <f>IF(DAY(A1323)='Main Budget'!$J$26,'Main Budget'!$E$26,0)</f>
        <v>0</v>
      </c>
      <c r="I1323" s="227">
        <f>IF(DAY(A1323)='Main Budget'!$J$28,'Main Budget'!$E$28,0)</f>
        <v>0</v>
      </c>
      <c r="J1323" s="227">
        <f>IF(DAY(A1323)='Main Budget'!$J$29,'Main Budget'!$E$29,0)</f>
        <v>0</v>
      </c>
      <c r="K1323" s="20">
        <f>IF(DAY(A1323)='Main Budget'!$J$30,'Main Budget'!$E$30,0)</f>
        <v>0</v>
      </c>
      <c r="L1323" s="20">
        <f>IF(DAY(A1323)='Main Budget'!$J$31,'Main Budget'!$E$31,0)</f>
        <v>0</v>
      </c>
      <c r="M1323" s="20">
        <f>IF(DAY(A1323)='Main Budget'!$J$27,'Main Budget'!$E$27,0)</f>
        <v>0</v>
      </c>
      <c r="O1323" s="228">
        <f>B1323+(SUM(H1323:M1323)+(SUM(D1323:E1323)))</f>
        <v>100</v>
      </c>
      <c r="P1323" s="228">
        <f>C1323+F1323+G1323+N1323</f>
        <v>100</v>
      </c>
      <c r="Q1323" s="252">
        <f>O1323+P1323</f>
        <v>200</v>
      </c>
      <c r="S1323" s="231" t="str">
        <f>TEXT(A1323,"dddd")</f>
        <v>Tuesday</v>
      </c>
    </row>
    <row r="1324" spans="1:19" x14ac:dyDescent="0.25">
      <c r="A1324" s="226">
        <v>47345</v>
      </c>
      <c r="B1324" s="227">
        <f>O1323</f>
        <v>100</v>
      </c>
      <c r="C1324" s="228">
        <f>P1323</f>
        <v>100</v>
      </c>
      <c r="D1324" s="228">
        <f>IF(OR(DAY(A1324+2)=1,DAY(A1324+2)=15),-SUM('Main Budget'!$H$26:$H$31),0)</f>
        <v>0</v>
      </c>
      <c r="E1324" s="228">
        <f>IF(DAY(A1324+2)=22,-SUM('Main Budget'!$F$26:$F$31),0)</f>
        <v>0</v>
      </c>
      <c r="F1324" s="228">
        <f>IF(D1324&gt;0,-'Main Budget'!$H$25+0.15,0)</f>
        <v>0</v>
      </c>
      <c r="G1324" s="228">
        <f>IF(E1324&gt;0,-'Main Budget'!$F$25+0.81,0)</f>
        <v>0</v>
      </c>
      <c r="H1324" s="227">
        <f>IF(DAY(A1324)='Main Budget'!$J$26,'Main Budget'!$E$26,0)</f>
        <v>0</v>
      </c>
      <c r="I1324" s="227">
        <f>IF(DAY(A1324)='Main Budget'!$J$28,'Main Budget'!$E$28,0)</f>
        <v>0</v>
      </c>
      <c r="J1324" s="227">
        <f>IF(DAY(A1324)='Main Budget'!$J$29,'Main Budget'!$E$29,0)</f>
        <v>0</v>
      </c>
      <c r="K1324" s="20">
        <f>IF(DAY(A1324)='Main Budget'!$J$30,'Main Budget'!$E$30,0)</f>
        <v>0</v>
      </c>
      <c r="L1324" s="20">
        <f>IF(DAY(A1324)='Main Budget'!$J$31,'Main Budget'!$E$31,0)</f>
        <v>0</v>
      </c>
      <c r="M1324" s="20">
        <f>IF(DAY(A1324)='Main Budget'!$J$27,'Main Budget'!$E$27,0)</f>
        <v>0</v>
      </c>
      <c r="O1324" s="228">
        <f>B1324+(SUM(H1324:M1324)+(SUM(D1324:E1324)))</f>
        <v>100</v>
      </c>
      <c r="P1324" s="228">
        <f>C1324+F1324+G1324+N1324</f>
        <v>100</v>
      </c>
      <c r="Q1324" s="252">
        <f>O1324+P1324</f>
        <v>200</v>
      </c>
      <c r="S1324" s="231" t="str">
        <f>TEXT(A1324,"dddd")</f>
        <v>Wednesday</v>
      </c>
    </row>
    <row r="1325" spans="1:19" x14ac:dyDescent="0.25">
      <c r="A1325" s="226">
        <v>47346</v>
      </c>
      <c r="B1325" s="227">
        <f>O1324</f>
        <v>100</v>
      </c>
      <c r="C1325" s="228">
        <f>P1324</f>
        <v>100</v>
      </c>
      <c r="D1325" s="228">
        <f>IF(OR(DAY(A1325+2)=1,DAY(A1325+2)=15),-SUM('Main Budget'!$H$26:$H$31),0)</f>
        <v>0</v>
      </c>
      <c r="E1325" s="228">
        <f>IF(DAY(A1325+2)=22,-SUM('Main Budget'!$F$26:$F$31),0)</f>
        <v>0</v>
      </c>
      <c r="F1325" s="228">
        <f>IF(D1325&gt;0,-'Main Budget'!$H$25+0.15,0)</f>
        <v>0</v>
      </c>
      <c r="G1325" s="228">
        <f>IF(E1325&gt;0,-'Main Budget'!$F$25+0.81,0)</f>
        <v>0</v>
      </c>
      <c r="H1325" s="227">
        <f>IF(DAY(A1325)='Main Budget'!$J$26,'Main Budget'!$E$26,0)</f>
        <v>0</v>
      </c>
      <c r="I1325" s="227">
        <f>IF(DAY(A1325)='Main Budget'!$J$28,'Main Budget'!$E$28,0)</f>
        <v>0</v>
      </c>
      <c r="J1325" s="227">
        <f>IF(DAY(A1325)='Main Budget'!$J$29,'Main Budget'!$E$29,0)</f>
        <v>0</v>
      </c>
      <c r="K1325" s="20">
        <f>IF(DAY(A1325)='Main Budget'!$J$30,'Main Budget'!$E$30,0)</f>
        <v>0</v>
      </c>
      <c r="L1325" s="20">
        <f>IF(DAY(A1325)='Main Budget'!$J$31,'Main Budget'!$E$31,0)</f>
        <v>0</v>
      </c>
      <c r="M1325" s="20">
        <f>IF(DAY(A1325)='Main Budget'!$J$27,'Main Budget'!$E$27,0)</f>
        <v>0</v>
      </c>
      <c r="O1325" s="228">
        <f>B1325+(SUM(H1325:M1325)+(SUM(D1325:E1325)))</f>
        <v>100</v>
      </c>
      <c r="P1325" s="228">
        <f>C1325+F1325+G1325+N1325</f>
        <v>100</v>
      </c>
      <c r="Q1325" s="252">
        <f>O1325+P1325</f>
        <v>200</v>
      </c>
      <c r="S1325" s="231" t="str">
        <f>TEXT(A1325,"dddd")</f>
        <v>Thursday</v>
      </c>
    </row>
    <row r="1326" spans="1:19" x14ac:dyDescent="0.25">
      <c r="A1326" s="226">
        <v>47347</v>
      </c>
      <c r="B1326" s="227">
        <f>O1325</f>
        <v>100</v>
      </c>
      <c r="C1326" s="228">
        <f>P1325</f>
        <v>100</v>
      </c>
      <c r="D1326" s="228">
        <f>IF(OR(DAY(A1326+2)=1,DAY(A1326+2)=15),-SUM('Main Budget'!$H$26:$H$31),0)</f>
        <v>0</v>
      </c>
      <c r="E1326" s="228">
        <f>IF(DAY(A1326+2)=22,-SUM('Main Budget'!$F$26:$F$31),0)</f>
        <v>0</v>
      </c>
      <c r="F1326" s="228">
        <f>IF(D1326&gt;0,-'Main Budget'!$H$25+0.15,0)</f>
        <v>0</v>
      </c>
      <c r="G1326" s="228">
        <f>IF(E1326&gt;0,-'Main Budget'!$F$25+0.81,0)</f>
        <v>0</v>
      </c>
      <c r="H1326" s="227">
        <f>IF(DAY(A1326)='Main Budget'!$J$26,'Main Budget'!$E$26,0)</f>
        <v>0</v>
      </c>
      <c r="I1326" s="227">
        <f>IF(DAY(A1326)='Main Budget'!$J$28,'Main Budget'!$E$28,0)</f>
        <v>0</v>
      </c>
      <c r="J1326" s="227">
        <f>IF(DAY(A1326)='Main Budget'!$J$29,'Main Budget'!$E$29,0)</f>
        <v>0</v>
      </c>
      <c r="K1326" s="20">
        <f>IF(DAY(A1326)='Main Budget'!$J$30,'Main Budget'!$E$30,0)</f>
        <v>0</v>
      </c>
      <c r="L1326" s="20">
        <f>IF(DAY(A1326)='Main Budget'!$J$31,'Main Budget'!$E$31,0)</f>
        <v>0</v>
      </c>
      <c r="M1326" s="20">
        <f>IF(DAY(A1326)='Main Budget'!$J$27,'Main Budget'!$E$27,0)</f>
        <v>0</v>
      </c>
      <c r="O1326" s="228">
        <f>B1326+(SUM(H1326:M1326)+(SUM(D1326:E1326)))</f>
        <v>100</v>
      </c>
      <c r="P1326" s="228">
        <f>C1326+F1326+G1326+N1326</f>
        <v>100</v>
      </c>
      <c r="Q1326" s="252">
        <f>O1326+P1326</f>
        <v>200</v>
      </c>
      <c r="S1326" s="231" t="str">
        <f>TEXT(A1326,"dddd")</f>
        <v>Friday</v>
      </c>
    </row>
    <row r="1327" spans="1:19" x14ac:dyDescent="0.25">
      <c r="A1327" s="226">
        <v>47348</v>
      </c>
      <c r="B1327" s="227">
        <f>O1326</f>
        <v>100</v>
      </c>
      <c r="C1327" s="228">
        <f>P1326</f>
        <v>100</v>
      </c>
      <c r="D1327" s="228">
        <f>IF(OR(DAY(A1327+2)=1,DAY(A1327+2)=15),-SUM('Main Budget'!$H$26:$H$31),0)</f>
        <v>0</v>
      </c>
      <c r="E1327" s="228">
        <f>IF(DAY(A1327+2)=22,-SUM('Main Budget'!$F$26:$F$31),0)</f>
        <v>0</v>
      </c>
      <c r="F1327" s="228">
        <f>IF(D1327&gt;0,-'Main Budget'!$H$25+0.15,0)</f>
        <v>0</v>
      </c>
      <c r="G1327" s="228">
        <f>IF(E1327&gt;0,-'Main Budget'!$F$25+0.81,0)</f>
        <v>0</v>
      </c>
      <c r="H1327" s="227">
        <f>IF(DAY(A1327)='Main Budget'!$J$26,'Main Budget'!$E$26,0)</f>
        <v>0</v>
      </c>
      <c r="I1327" s="227">
        <f>IF(DAY(A1327)='Main Budget'!$J$28,'Main Budget'!$E$28,0)</f>
        <v>0</v>
      </c>
      <c r="J1327" s="227">
        <f>IF(DAY(A1327)='Main Budget'!$J$29,'Main Budget'!$E$29,0)</f>
        <v>0</v>
      </c>
      <c r="K1327" s="20">
        <f>IF(DAY(A1327)='Main Budget'!$J$30,'Main Budget'!$E$30,0)</f>
        <v>0</v>
      </c>
      <c r="L1327" s="20">
        <f>IF(DAY(A1327)='Main Budget'!$J$31,'Main Budget'!$E$31,0)</f>
        <v>0</v>
      </c>
      <c r="M1327" s="20">
        <f>IF(DAY(A1327)='Main Budget'!$J$27,'Main Budget'!$E$27,0)</f>
        <v>0</v>
      </c>
      <c r="O1327" s="228">
        <f>B1327+(SUM(H1327:M1327)+(SUM(D1327:E1327)))</f>
        <v>100</v>
      </c>
      <c r="P1327" s="228">
        <f>C1327+F1327+G1327+N1327</f>
        <v>100</v>
      </c>
      <c r="Q1327" s="252">
        <f>O1327+P1327</f>
        <v>200</v>
      </c>
      <c r="S1327" s="231" t="str">
        <f>TEXT(A1327,"dddd")</f>
        <v>Saturday</v>
      </c>
    </row>
    <row r="1328" spans="1:19" x14ac:dyDescent="0.25">
      <c r="A1328" s="226">
        <v>47349</v>
      </c>
      <c r="B1328" s="227">
        <f>O1327</f>
        <v>100</v>
      </c>
      <c r="C1328" s="228">
        <f>P1327</f>
        <v>100</v>
      </c>
      <c r="D1328" s="228">
        <f>IF(OR(DAY(A1328+2)=1,DAY(A1328+2)=15),-SUM('Main Budget'!$H$26:$H$31),0)</f>
        <v>0</v>
      </c>
      <c r="E1328" s="228">
        <f>IF(DAY(A1328+2)=22,-SUM('Main Budget'!$F$26:$F$31),0)</f>
        <v>0</v>
      </c>
      <c r="F1328" s="228">
        <f>IF(D1328&gt;0,-'Main Budget'!$H$25+0.15,0)</f>
        <v>0</v>
      </c>
      <c r="G1328" s="228">
        <f>IF(E1328&gt;0,-'Main Budget'!$F$25+0.81,0)</f>
        <v>0</v>
      </c>
      <c r="H1328" s="227">
        <f>IF(DAY(A1328)='Main Budget'!$J$26,'Main Budget'!$E$26,0)</f>
        <v>0</v>
      </c>
      <c r="I1328" s="227">
        <f>IF(DAY(A1328)='Main Budget'!$J$28,'Main Budget'!$E$28,0)</f>
        <v>0</v>
      </c>
      <c r="J1328" s="227">
        <f>IF(DAY(A1328)='Main Budget'!$J$29,'Main Budget'!$E$29,0)</f>
        <v>0</v>
      </c>
      <c r="K1328" s="20">
        <f>IF(DAY(A1328)='Main Budget'!$J$30,'Main Budget'!$E$30,0)</f>
        <v>0</v>
      </c>
      <c r="L1328" s="20">
        <f>IF(DAY(A1328)='Main Budget'!$J$31,'Main Budget'!$E$31,0)</f>
        <v>0</v>
      </c>
      <c r="M1328" s="20">
        <f>IF(DAY(A1328)='Main Budget'!$J$27,'Main Budget'!$E$27,0)</f>
        <v>0</v>
      </c>
      <c r="O1328" s="228">
        <f>B1328+(SUM(H1328:M1328)+(SUM(D1328:E1328)))</f>
        <v>100</v>
      </c>
      <c r="P1328" s="228">
        <f>C1328+F1328+G1328+N1328</f>
        <v>100</v>
      </c>
      <c r="Q1328" s="252">
        <f>O1328+P1328</f>
        <v>200</v>
      </c>
      <c r="S1328" s="231" t="str">
        <f>TEXT(A1328,"dddd")</f>
        <v>Sunday</v>
      </c>
    </row>
    <row r="1329" spans="1:19" x14ac:dyDescent="0.25">
      <c r="A1329" s="226">
        <v>47350</v>
      </c>
      <c r="B1329" s="227">
        <f>O1328</f>
        <v>100</v>
      </c>
      <c r="C1329" s="228">
        <f>P1328</f>
        <v>100</v>
      </c>
      <c r="D1329" s="228">
        <f>IF(OR(DAY(A1329+2)=1,DAY(A1329+2)=15),-SUM('Main Budget'!$H$26:$H$31),0)</f>
        <v>0</v>
      </c>
      <c r="E1329" s="228">
        <f>IF(DAY(A1329+2)=22,-SUM('Main Budget'!$F$26:$F$31),0)</f>
        <v>0</v>
      </c>
      <c r="F1329" s="228">
        <f>IF(D1329&gt;0,-'Main Budget'!$H$25+0.15,0)</f>
        <v>0</v>
      </c>
      <c r="G1329" s="228">
        <f>IF(E1329&gt;0,-'Main Budget'!$F$25+0.81,0)</f>
        <v>0</v>
      </c>
      <c r="H1329" s="227">
        <f>IF(DAY(A1329)='Main Budget'!$J$26,'Main Budget'!$E$26,0)</f>
        <v>0</v>
      </c>
      <c r="I1329" s="227">
        <f>IF(DAY(A1329)='Main Budget'!$J$28,'Main Budget'!$E$28,0)</f>
        <v>0</v>
      </c>
      <c r="J1329" s="227">
        <f>IF(DAY(A1329)='Main Budget'!$J$29,'Main Budget'!$E$29,0)</f>
        <v>0</v>
      </c>
      <c r="K1329" s="20">
        <f>IF(DAY(A1329)='Main Budget'!$J$30,'Main Budget'!$E$30,0)</f>
        <v>0</v>
      </c>
      <c r="L1329" s="20">
        <f>IF(DAY(A1329)='Main Budget'!$J$31,'Main Budget'!$E$31,0)</f>
        <v>0</v>
      </c>
      <c r="M1329" s="20">
        <f>IF(DAY(A1329)='Main Budget'!$J$27,'Main Budget'!$E$27,0)</f>
        <v>0</v>
      </c>
      <c r="O1329" s="228">
        <f>B1329+(SUM(H1329:M1329)+(SUM(D1329:E1329)))</f>
        <v>100</v>
      </c>
      <c r="P1329" s="228">
        <f>C1329+F1329+G1329+N1329</f>
        <v>100</v>
      </c>
      <c r="Q1329" s="252">
        <f>O1329+P1329</f>
        <v>200</v>
      </c>
      <c r="S1329" s="231" t="str">
        <f>TEXT(A1329,"dddd")</f>
        <v>Monday</v>
      </c>
    </row>
    <row r="1330" spans="1:19" x14ac:dyDescent="0.25">
      <c r="A1330" s="226">
        <v>47351</v>
      </c>
      <c r="B1330" s="227">
        <f>O1329</f>
        <v>100</v>
      </c>
      <c r="C1330" s="228">
        <f>P1329</f>
        <v>100</v>
      </c>
      <c r="D1330" s="228">
        <f>IF(OR(DAY(A1330+2)=1,DAY(A1330+2)=15),-SUM('Main Budget'!$H$26:$H$31),0)</f>
        <v>0</v>
      </c>
      <c r="E1330" s="228">
        <f>IF(DAY(A1330+2)=22,-SUM('Main Budget'!$F$26:$F$31),0)</f>
        <v>0</v>
      </c>
      <c r="F1330" s="228">
        <f>IF(D1330&gt;0,-'Main Budget'!$H$25+0.15,0)</f>
        <v>0</v>
      </c>
      <c r="G1330" s="228">
        <f>IF(E1330&gt;0,-'Main Budget'!$F$25+0.81,0)</f>
        <v>0</v>
      </c>
      <c r="H1330" s="227">
        <f>IF(DAY(A1330)='Main Budget'!$J$26,'Main Budget'!$E$26,0)</f>
        <v>0</v>
      </c>
      <c r="I1330" s="227">
        <f>IF(DAY(A1330)='Main Budget'!$J$28,'Main Budget'!$E$28,0)</f>
        <v>0</v>
      </c>
      <c r="J1330" s="227">
        <f>IF(DAY(A1330)='Main Budget'!$J$29,'Main Budget'!$E$29,0)</f>
        <v>0</v>
      </c>
      <c r="K1330" s="20">
        <f>IF(DAY(A1330)='Main Budget'!$J$30,'Main Budget'!$E$30,0)</f>
        <v>0</v>
      </c>
      <c r="L1330" s="20">
        <f>IF(DAY(A1330)='Main Budget'!$J$31,'Main Budget'!$E$31,0)</f>
        <v>0</v>
      </c>
      <c r="M1330" s="20">
        <f>IF(DAY(A1330)='Main Budget'!$J$27,'Main Budget'!$E$27,0)</f>
        <v>0</v>
      </c>
      <c r="O1330" s="228">
        <f>B1330+(SUM(H1330:M1330)+(SUM(D1330:E1330)))</f>
        <v>100</v>
      </c>
      <c r="P1330" s="228">
        <f>C1330+F1330+G1330+N1330</f>
        <v>100</v>
      </c>
      <c r="Q1330" s="252">
        <f>O1330+P1330</f>
        <v>200</v>
      </c>
      <c r="S1330" s="231" t="str">
        <f>TEXT(A1330,"dddd")</f>
        <v>Tuesday</v>
      </c>
    </row>
    <row r="1331" spans="1:19" x14ac:dyDescent="0.25">
      <c r="A1331" s="226">
        <v>47352</v>
      </c>
      <c r="B1331" s="227">
        <f>O1330</f>
        <v>100</v>
      </c>
      <c r="C1331" s="228">
        <f>P1330</f>
        <v>100</v>
      </c>
      <c r="D1331" s="228">
        <f>IF(OR(DAY(A1331+2)=1,DAY(A1331+2)=15),-SUM('Main Budget'!$H$26:$H$31),0)</f>
        <v>0</v>
      </c>
      <c r="E1331" s="228">
        <f>IF(DAY(A1331+2)=22,-SUM('Main Budget'!$F$26:$F$31),0)</f>
        <v>0</v>
      </c>
      <c r="F1331" s="228">
        <f>IF(D1331&gt;0,-'Main Budget'!$H$25+0.15,0)</f>
        <v>0</v>
      </c>
      <c r="G1331" s="228">
        <f>IF(E1331&gt;0,-'Main Budget'!$F$25+0.81,0)</f>
        <v>0</v>
      </c>
      <c r="H1331" s="227">
        <f>IF(DAY(A1331)='Main Budget'!$J$26,'Main Budget'!$E$26,0)</f>
        <v>0</v>
      </c>
      <c r="I1331" s="227">
        <f>IF(DAY(A1331)='Main Budget'!$J$28,'Main Budget'!$E$28,0)</f>
        <v>0</v>
      </c>
      <c r="J1331" s="227">
        <f>IF(DAY(A1331)='Main Budget'!$J$29,'Main Budget'!$E$29,0)</f>
        <v>0</v>
      </c>
      <c r="K1331" s="20">
        <f>IF(DAY(A1331)='Main Budget'!$J$30,'Main Budget'!$E$30,0)</f>
        <v>0</v>
      </c>
      <c r="L1331" s="20">
        <f>IF(DAY(A1331)='Main Budget'!$J$31,'Main Budget'!$E$31,0)</f>
        <v>0</v>
      </c>
      <c r="M1331" s="20">
        <f>IF(DAY(A1331)='Main Budget'!$J$27,'Main Budget'!$E$27,0)</f>
        <v>0</v>
      </c>
      <c r="O1331" s="228">
        <f>B1331+(SUM(H1331:M1331)+(SUM(D1331:E1331)))</f>
        <v>100</v>
      </c>
      <c r="P1331" s="228">
        <f>C1331+F1331+G1331+N1331</f>
        <v>100</v>
      </c>
      <c r="Q1331" s="252">
        <f>O1331+P1331</f>
        <v>200</v>
      </c>
      <c r="S1331" s="231" t="str">
        <f>TEXT(A1331,"dddd")</f>
        <v>Wednesday</v>
      </c>
    </row>
    <row r="1332" spans="1:19" x14ac:dyDescent="0.25">
      <c r="A1332" s="226">
        <v>47353</v>
      </c>
      <c r="B1332" s="227">
        <f>O1331</f>
        <v>100</v>
      </c>
      <c r="C1332" s="228">
        <f>P1331</f>
        <v>100</v>
      </c>
      <c r="D1332" s="228">
        <f>IF(OR(DAY(A1332+2)=1,DAY(A1332+2)=15),-SUM('Main Budget'!$H$26:$H$31),0)</f>
        <v>0</v>
      </c>
      <c r="E1332" s="228">
        <f>IF(DAY(A1332+2)=22,-SUM('Main Budget'!$F$26:$F$31),0)</f>
        <v>0</v>
      </c>
      <c r="F1332" s="228">
        <f>IF(D1332&gt;0,-'Main Budget'!$H$25+0.15,0)</f>
        <v>0</v>
      </c>
      <c r="G1332" s="228">
        <f>IF(E1332&gt;0,-'Main Budget'!$F$25+0.81,0)</f>
        <v>0</v>
      </c>
      <c r="H1332" s="227">
        <f>IF(DAY(A1332)='Main Budget'!$J$26,'Main Budget'!$E$26,0)</f>
        <v>0</v>
      </c>
      <c r="I1332" s="227">
        <f>IF(DAY(A1332)='Main Budget'!$J$28,'Main Budget'!$E$28,0)</f>
        <v>0</v>
      </c>
      <c r="J1332" s="227">
        <f>IF(DAY(A1332)='Main Budget'!$J$29,'Main Budget'!$E$29,0)</f>
        <v>0</v>
      </c>
      <c r="K1332" s="20">
        <f>IF(DAY(A1332)='Main Budget'!$J$30,'Main Budget'!$E$30,0)</f>
        <v>0</v>
      </c>
      <c r="L1332" s="20">
        <f>IF(DAY(A1332)='Main Budget'!$J$31,'Main Budget'!$E$31,0)</f>
        <v>0</v>
      </c>
      <c r="M1332" s="20">
        <f>IF(DAY(A1332)='Main Budget'!$J$27,'Main Budget'!$E$27,0)</f>
        <v>0</v>
      </c>
      <c r="O1332" s="228">
        <f>B1332+(SUM(H1332:M1332)+(SUM(D1332:E1332)))</f>
        <v>100</v>
      </c>
      <c r="P1332" s="228">
        <f>C1332+F1332+G1332+N1332</f>
        <v>100</v>
      </c>
      <c r="Q1332" s="252">
        <f>O1332+P1332</f>
        <v>200</v>
      </c>
      <c r="S1332" s="231" t="str">
        <f>TEXT(A1332,"dddd")</f>
        <v>Thursday</v>
      </c>
    </row>
    <row r="1333" spans="1:19" x14ac:dyDescent="0.25">
      <c r="A1333" s="226">
        <v>47354</v>
      </c>
      <c r="B1333" s="227">
        <f>O1332</f>
        <v>100</v>
      </c>
      <c r="C1333" s="228">
        <f>P1332</f>
        <v>100</v>
      </c>
      <c r="D1333" s="228">
        <f>IF(OR(DAY(A1333+2)=1,DAY(A1333+2)=15),-SUM('Main Budget'!$H$26:$H$31),0)</f>
        <v>0</v>
      </c>
      <c r="E1333" s="228">
        <f>IF(DAY(A1333+2)=22,-SUM('Main Budget'!$F$26:$F$31),0)</f>
        <v>0</v>
      </c>
      <c r="F1333" s="228">
        <f>IF(D1333&gt;0,-'Main Budget'!$H$25+0.15,0)</f>
        <v>0</v>
      </c>
      <c r="G1333" s="228">
        <f>IF(E1333&gt;0,-'Main Budget'!$F$25+0.81,0)</f>
        <v>0</v>
      </c>
      <c r="H1333" s="227">
        <f>IF(DAY(A1333)='Main Budget'!$J$26,'Main Budget'!$E$26,0)</f>
        <v>0</v>
      </c>
      <c r="I1333" s="227">
        <f>IF(DAY(A1333)='Main Budget'!$J$28,'Main Budget'!$E$28,0)</f>
        <v>0</v>
      </c>
      <c r="J1333" s="227">
        <f>IF(DAY(A1333)='Main Budget'!$J$29,'Main Budget'!$E$29,0)</f>
        <v>0</v>
      </c>
      <c r="K1333" s="20">
        <f>IF(DAY(A1333)='Main Budget'!$J$30,'Main Budget'!$E$30,0)</f>
        <v>0</v>
      </c>
      <c r="L1333" s="20">
        <f>IF(DAY(A1333)='Main Budget'!$J$31,'Main Budget'!$E$31,0)</f>
        <v>0</v>
      </c>
      <c r="M1333" s="20">
        <f>IF(DAY(A1333)='Main Budget'!$J$27,'Main Budget'!$E$27,0)</f>
        <v>0</v>
      </c>
      <c r="O1333" s="228">
        <f>B1333+(SUM(H1333:M1333)+(SUM(D1333:E1333)))</f>
        <v>100</v>
      </c>
      <c r="P1333" s="228">
        <f>C1333+F1333+G1333+N1333</f>
        <v>100</v>
      </c>
      <c r="Q1333" s="252">
        <f>O1333+P1333</f>
        <v>200</v>
      </c>
      <c r="S1333" s="231" t="str">
        <f>TEXT(A1333,"dddd")</f>
        <v>Friday</v>
      </c>
    </row>
    <row r="1334" spans="1:19" x14ac:dyDescent="0.25">
      <c r="A1334" s="226">
        <v>47355</v>
      </c>
      <c r="B1334" s="227">
        <f>O1333</f>
        <v>100</v>
      </c>
      <c r="C1334" s="228">
        <f>P1333</f>
        <v>100</v>
      </c>
      <c r="D1334" s="228">
        <f>IF(OR(DAY(A1334+2)=1,DAY(A1334+2)=15),-SUM('Main Budget'!$H$26:$H$31),0)</f>
        <v>0</v>
      </c>
      <c r="E1334" s="228">
        <f>IF(DAY(A1334+2)=22,-SUM('Main Budget'!$F$26:$F$31),0)</f>
        <v>0</v>
      </c>
      <c r="F1334" s="228">
        <f>IF(D1334&gt;0,-'Main Budget'!$H$25+0.15,0)</f>
        <v>0</v>
      </c>
      <c r="G1334" s="228">
        <f>IF(E1334&gt;0,-'Main Budget'!$F$25+0.81,0)</f>
        <v>0</v>
      </c>
      <c r="H1334" s="227">
        <f>IF(DAY(A1334)='Main Budget'!$J$26,'Main Budget'!$E$26,0)</f>
        <v>0</v>
      </c>
      <c r="I1334" s="227">
        <f>IF(DAY(A1334)='Main Budget'!$J$28,'Main Budget'!$E$28,0)</f>
        <v>0</v>
      </c>
      <c r="J1334" s="227">
        <f>IF(DAY(A1334)='Main Budget'!$J$29,'Main Budget'!$E$29,0)</f>
        <v>0</v>
      </c>
      <c r="K1334" s="20">
        <f>IF(DAY(A1334)='Main Budget'!$J$30,'Main Budget'!$E$30,0)</f>
        <v>0</v>
      </c>
      <c r="L1334" s="20">
        <f>IF(DAY(A1334)='Main Budget'!$J$31,'Main Budget'!$E$31,0)</f>
        <v>0</v>
      </c>
      <c r="M1334" s="20">
        <f>IF(DAY(A1334)='Main Budget'!$J$27,'Main Budget'!$E$27,0)</f>
        <v>0</v>
      </c>
      <c r="O1334" s="228">
        <f>B1334+(SUM(H1334:M1334)+(SUM(D1334:E1334)))</f>
        <v>100</v>
      </c>
      <c r="P1334" s="228">
        <f>C1334+F1334+G1334+N1334</f>
        <v>100</v>
      </c>
      <c r="Q1334" s="252">
        <f>O1334+P1334</f>
        <v>200</v>
      </c>
      <c r="S1334" s="231" t="str">
        <f>TEXT(A1334,"dddd")</f>
        <v>Saturday</v>
      </c>
    </row>
    <row r="1335" spans="1:19" x14ac:dyDescent="0.25">
      <c r="A1335" s="226">
        <v>47356</v>
      </c>
      <c r="B1335" s="227">
        <f>O1334</f>
        <v>100</v>
      </c>
      <c r="C1335" s="228">
        <f>P1334</f>
        <v>100</v>
      </c>
      <c r="D1335" s="228">
        <f>IF(OR(DAY(A1335+2)=1,DAY(A1335+2)=15),-SUM('Main Budget'!$H$26:$H$31),0)</f>
        <v>0</v>
      </c>
      <c r="E1335" s="228">
        <f>IF(DAY(A1335+2)=22,-SUM('Main Budget'!$F$26:$F$31),0)</f>
        <v>0</v>
      </c>
      <c r="F1335" s="228">
        <f>IF(D1335&gt;0,-'Main Budget'!$H$25+0.15,0)</f>
        <v>0</v>
      </c>
      <c r="G1335" s="228">
        <f>IF(E1335&gt;0,-'Main Budget'!$F$25+0.81,0)</f>
        <v>0</v>
      </c>
      <c r="H1335" s="227">
        <f>IF(DAY(A1335)='Main Budget'!$J$26,'Main Budget'!$E$26,0)</f>
        <v>0</v>
      </c>
      <c r="I1335" s="227">
        <f>IF(DAY(A1335)='Main Budget'!$J$28,'Main Budget'!$E$28,0)</f>
        <v>0</v>
      </c>
      <c r="J1335" s="227">
        <f>IF(DAY(A1335)='Main Budget'!$J$29,'Main Budget'!$E$29,0)</f>
        <v>0</v>
      </c>
      <c r="K1335" s="20">
        <f>IF(DAY(A1335)='Main Budget'!$J$30,'Main Budget'!$E$30,0)</f>
        <v>0</v>
      </c>
      <c r="L1335" s="20">
        <f>IF(DAY(A1335)='Main Budget'!$J$31,'Main Budget'!$E$31,0)</f>
        <v>0</v>
      </c>
      <c r="M1335" s="20">
        <f>IF(DAY(A1335)='Main Budget'!$J$27,'Main Budget'!$E$27,0)</f>
        <v>0</v>
      </c>
      <c r="O1335" s="228">
        <f>B1335+(SUM(H1335:M1335)+(SUM(D1335:E1335)))</f>
        <v>100</v>
      </c>
      <c r="P1335" s="228">
        <f>C1335+F1335+G1335+N1335</f>
        <v>100</v>
      </c>
      <c r="Q1335" s="252">
        <f>O1335+P1335</f>
        <v>200</v>
      </c>
      <c r="S1335" s="231" t="str">
        <f>TEXT(A1335,"dddd")</f>
        <v>Sunday</v>
      </c>
    </row>
    <row r="1336" spans="1:19" x14ac:dyDescent="0.25">
      <c r="A1336" s="226">
        <v>47357</v>
      </c>
      <c r="B1336" s="227">
        <f>O1335</f>
        <v>100</v>
      </c>
      <c r="C1336" s="228">
        <f>P1335</f>
        <v>100</v>
      </c>
      <c r="D1336" s="228">
        <f>IF(OR(DAY(A1336+2)=1,DAY(A1336+2)=15),-SUM('Main Budget'!$H$26:$H$31),0)</f>
        <v>0</v>
      </c>
      <c r="E1336" s="228">
        <f>IF(DAY(A1336+2)=22,-SUM('Main Budget'!$F$26:$F$31),0)</f>
        <v>0</v>
      </c>
      <c r="F1336" s="228">
        <f>IF(D1336&gt;0,-'Main Budget'!$H$25+0.15,0)</f>
        <v>0</v>
      </c>
      <c r="G1336" s="228">
        <f>IF(E1336&gt;0,-'Main Budget'!$F$25+0.81,0)</f>
        <v>0</v>
      </c>
      <c r="H1336" s="227">
        <f>IF(DAY(A1336)='Main Budget'!$J$26,'Main Budget'!$E$26,0)</f>
        <v>0</v>
      </c>
      <c r="I1336" s="227">
        <f>IF(DAY(A1336)='Main Budget'!$J$28,'Main Budget'!$E$28,0)</f>
        <v>0</v>
      </c>
      <c r="J1336" s="227">
        <f>IF(DAY(A1336)='Main Budget'!$J$29,'Main Budget'!$E$29,0)</f>
        <v>0</v>
      </c>
      <c r="K1336" s="20">
        <f>IF(DAY(A1336)='Main Budget'!$J$30,'Main Budget'!$E$30,0)</f>
        <v>0</v>
      </c>
      <c r="L1336" s="20">
        <f>IF(DAY(A1336)='Main Budget'!$J$31,'Main Budget'!$E$31,0)</f>
        <v>0</v>
      </c>
      <c r="M1336" s="20">
        <f>IF(DAY(A1336)='Main Budget'!$J$27,'Main Budget'!$E$27,0)</f>
        <v>0</v>
      </c>
      <c r="O1336" s="228">
        <f>B1336+(SUM(H1336:M1336)+(SUM(D1336:E1336)))</f>
        <v>100</v>
      </c>
      <c r="P1336" s="228">
        <f>C1336+F1336+G1336+N1336</f>
        <v>100</v>
      </c>
      <c r="Q1336" s="252">
        <f>O1336+P1336</f>
        <v>200</v>
      </c>
      <c r="S1336" s="231" t="str">
        <f>TEXT(A1336,"dddd")</f>
        <v>Monday</v>
      </c>
    </row>
    <row r="1337" spans="1:19" x14ac:dyDescent="0.25">
      <c r="A1337" s="226">
        <v>47358</v>
      </c>
      <c r="B1337" s="227">
        <f>O1336</f>
        <v>100</v>
      </c>
      <c r="C1337" s="228">
        <f>P1336</f>
        <v>100</v>
      </c>
      <c r="D1337" s="228">
        <f>IF(OR(DAY(A1337+2)=1,DAY(A1337+2)=15),-SUM('Main Budget'!$H$26:$H$31),0)</f>
        <v>0</v>
      </c>
      <c r="E1337" s="228">
        <f>IF(DAY(A1337+2)=22,-SUM('Main Budget'!$F$26:$F$31),0)</f>
        <v>0</v>
      </c>
      <c r="F1337" s="228">
        <f>IF(D1337&gt;0,-'Main Budget'!$H$25+0.15,0)</f>
        <v>0</v>
      </c>
      <c r="G1337" s="228">
        <f>IF(E1337&gt;0,-'Main Budget'!$F$25+0.81,0)</f>
        <v>0</v>
      </c>
      <c r="H1337" s="227">
        <f>IF(DAY(A1337)='Main Budget'!$J$26,'Main Budget'!$E$26,0)</f>
        <v>0</v>
      </c>
      <c r="I1337" s="227">
        <f>IF(DAY(A1337)='Main Budget'!$J$28,'Main Budget'!$E$28,0)</f>
        <v>0</v>
      </c>
      <c r="J1337" s="227">
        <f>IF(DAY(A1337)='Main Budget'!$J$29,'Main Budget'!$E$29,0)</f>
        <v>0</v>
      </c>
      <c r="K1337" s="20">
        <f>IF(DAY(A1337)='Main Budget'!$J$30,'Main Budget'!$E$30,0)</f>
        <v>0</v>
      </c>
      <c r="L1337" s="20">
        <f>IF(DAY(A1337)='Main Budget'!$J$31,'Main Budget'!$E$31,0)</f>
        <v>0</v>
      </c>
      <c r="M1337" s="20">
        <f>IF(DAY(A1337)='Main Budget'!$J$27,'Main Budget'!$E$27,0)</f>
        <v>0</v>
      </c>
      <c r="O1337" s="228">
        <f>B1337+(SUM(H1337:M1337)+(SUM(D1337:E1337)))</f>
        <v>100</v>
      </c>
      <c r="P1337" s="228">
        <f>C1337+F1337+G1337+N1337</f>
        <v>100</v>
      </c>
      <c r="Q1337" s="252">
        <f>O1337+P1337</f>
        <v>200</v>
      </c>
      <c r="S1337" s="231" t="str">
        <f>TEXT(A1337,"dddd")</f>
        <v>Tuesday</v>
      </c>
    </row>
    <row r="1338" spans="1:19" x14ac:dyDescent="0.25">
      <c r="A1338" s="226">
        <v>47359</v>
      </c>
      <c r="B1338" s="227">
        <f>O1337</f>
        <v>100</v>
      </c>
      <c r="C1338" s="228">
        <f>P1337</f>
        <v>100</v>
      </c>
      <c r="D1338" s="228">
        <f>IF(OR(DAY(A1338+2)=1,DAY(A1338+2)=15),-SUM('Main Budget'!$H$26:$H$31),0)</f>
        <v>0</v>
      </c>
      <c r="E1338" s="228">
        <f>IF(DAY(A1338+2)=22,-SUM('Main Budget'!$F$26:$F$31),0)</f>
        <v>0</v>
      </c>
      <c r="F1338" s="228">
        <f>IF(D1338&gt;0,-'Main Budget'!$H$25+0.15,0)</f>
        <v>0</v>
      </c>
      <c r="G1338" s="228">
        <f>IF(E1338&gt;0,-'Main Budget'!$F$25+0.81,0)</f>
        <v>0</v>
      </c>
      <c r="H1338" s="227">
        <f>IF(DAY(A1338)='Main Budget'!$J$26,'Main Budget'!$E$26,0)</f>
        <v>0</v>
      </c>
      <c r="I1338" s="227">
        <f>IF(DAY(A1338)='Main Budget'!$J$28,'Main Budget'!$E$28,0)</f>
        <v>0</v>
      </c>
      <c r="J1338" s="227">
        <f>IF(DAY(A1338)='Main Budget'!$J$29,'Main Budget'!$E$29,0)</f>
        <v>0</v>
      </c>
      <c r="K1338" s="20">
        <f>IF(DAY(A1338)='Main Budget'!$J$30,'Main Budget'!$E$30,0)</f>
        <v>0</v>
      </c>
      <c r="L1338" s="20">
        <f>IF(DAY(A1338)='Main Budget'!$J$31,'Main Budget'!$E$31,0)</f>
        <v>0</v>
      </c>
      <c r="M1338" s="20">
        <f>IF(DAY(A1338)='Main Budget'!$J$27,'Main Budget'!$E$27,0)</f>
        <v>0</v>
      </c>
      <c r="O1338" s="228">
        <f>B1338+(SUM(H1338:M1338)+(SUM(D1338:E1338)))</f>
        <v>100</v>
      </c>
      <c r="P1338" s="228">
        <f>C1338+F1338+G1338+N1338</f>
        <v>100</v>
      </c>
      <c r="Q1338" s="252">
        <f>O1338+P1338</f>
        <v>200</v>
      </c>
      <c r="S1338" s="231" t="str">
        <f>TEXT(A1338,"dddd")</f>
        <v>Wednesday</v>
      </c>
    </row>
    <row r="1339" spans="1:19" x14ac:dyDescent="0.25">
      <c r="A1339" s="226">
        <v>47360</v>
      </c>
      <c r="B1339" s="227">
        <f>O1338</f>
        <v>100</v>
      </c>
      <c r="C1339" s="228">
        <f>P1338</f>
        <v>100</v>
      </c>
      <c r="D1339" s="228">
        <f>IF(OR(DAY(A1339+2)=1,DAY(A1339+2)=15),-SUM('Main Budget'!$H$26:$H$31),0)</f>
        <v>0</v>
      </c>
      <c r="E1339" s="228">
        <f>IF(DAY(A1339+2)=22,-SUM('Main Budget'!$F$26:$F$31),0)</f>
        <v>0</v>
      </c>
      <c r="F1339" s="228">
        <f>IF(D1339&gt;0,-'Main Budget'!$H$25+0.15,0)</f>
        <v>0</v>
      </c>
      <c r="G1339" s="228">
        <f>IF(E1339&gt;0,-'Main Budget'!$F$25+0.81,0)</f>
        <v>0</v>
      </c>
      <c r="H1339" s="227">
        <f>IF(DAY(A1339)='Main Budget'!$J$26,'Main Budget'!$E$26,0)</f>
        <v>0</v>
      </c>
      <c r="I1339" s="227">
        <f>IF(DAY(A1339)='Main Budget'!$J$28,'Main Budget'!$E$28,0)</f>
        <v>0</v>
      </c>
      <c r="J1339" s="227">
        <f>IF(DAY(A1339)='Main Budget'!$J$29,'Main Budget'!$E$29,0)</f>
        <v>0</v>
      </c>
      <c r="K1339" s="20">
        <f>IF(DAY(A1339)='Main Budget'!$J$30,'Main Budget'!$E$30,0)</f>
        <v>0</v>
      </c>
      <c r="L1339" s="20">
        <f>IF(DAY(A1339)='Main Budget'!$J$31,'Main Budget'!$E$31,0)</f>
        <v>0</v>
      </c>
      <c r="M1339" s="20">
        <f>IF(DAY(A1339)='Main Budget'!$J$27,'Main Budget'!$E$27,0)</f>
        <v>0</v>
      </c>
      <c r="O1339" s="228">
        <f>B1339+(SUM(H1339:M1339)+(SUM(D1339:E1339)))</f>
        <v>100</v>
      </c>
      <c r="P1339" s="228">
        <f>C1339+F1339+G1339+N1339</f>
        <v>100</v>
      </c>
      <c r="Q1339" s="252">
        <f>O1339+P1339</f>
        <v>200</v>
      </c>
      <c r="S1339" s="231" t="str">
        <f>TEXT(A1339,"dddd")</f>
        <v>Thursday</v>
      </c>
    </row>
    <row r="1340" spans="1:19" x14ac:dyDescent="0.25">
      <c r="A1340" s="226">
        <v>47361</v>
      </c>
      <c r="B1340" s="227">
        <f>O1339</f>
        <v>100</v>
      </c>
      <c r="C1340" s="228">
        <f>P1339</f>
        <v>100</v>
      </c>
      <c r="D1340" s="228">
        <f>IF(OR(DAY(A1340+2)=1,DAY(A1340+2)=15),-SUM('Main Budget'!$H$26:$H$31),0)</f>
        <v>0</v>
      </c>
      <c r="E1340" s="228">
        <f>IF(DAY(A1340+2)=22,-SUM('Main Budget'!$F$26:$F$31),0)</f>
        <v>0</v>
      </c>
      <c r="F1340" s="228">
        <f>IF(D1340&gt;0,-'Main Budget'!$H$25+0.15,0)</f>
        <v>0</v>
      </c>
      <c r="G1340" s="228">
        <f>IF(E1340&gt;0,-'Main Budget'!$F$25+0.81,0)</f>
        <v>0</v>
      </c>
      <c r="H1340" s="227">
        <f>IF(DAY(A1340)='Main Budget'!$J$26,'Main Budget'!$E$26,0)</f>
        <v>0</v>
      </c>
      <c r="I1340" s="227">
        <f>IF(DAY(A1340)='Main Budget'!$J$28,'Main Budget'!$E$28,0)</f>
        <v>0</v>
      </c>
      <c r="J1340" s="227">
        <f>IF(DAY(A1340)='Main Budget'!$J$29,'Main Budget'!$E$29,0)</f>
        <v>0</v>
      </c>
      <c r="K1340" s="20">
        <f>IF(DAY(A1340)='Main Budget'!$J$30,'Main Budget'!$E$30,0)</f>
        <v>0</v>
      </c>
      <c r="L1340" s="20">
        <f>IF(DAY(A1340)='Main Budget'!$J$31,'Main Budget'!$E$31,0)</f>
        <v>0</v>
      </c>
      <c r="M1340" s="20">
        <f>IF(DAY(A1340)='Main Budget'!$J$27,'Main Budget'!$E$27,0)</f>
        <v>0</v>
      </c>
      <c r="O1340" s="228">
        <f>B1340+(SUM(H1340:M1340)+(SUM(D1340:E1340)))</f>
        <v>100</v>
      </c>
      <c r="P1340" s="228">
        <f>C1340+F1340+G1340+N1340</f>
        <v>100</v>
      </c>
      <c r="Q1340" s="252">
        <f>O1340+P1340</f>
        <v>200</v>
      </c>
      <c r="S1340" s="231" t="str">
        <f>TEXT(A1340,"dddd")</f>
        <v>Friday</v>
      </c>
    </row>
    <row r="1341" spans="1:19" x14ac:dyDescent="0.25">
      <c r="A1341" s="226">
        <v>47362</v>
      </c>
      <c r="B1341" s="227">
        <f>O1340</f>
        <v>100</v>
      </c>
      <c r="C1341" s="228">
        <f>P1340</f>
        <v>100</v>
      </c>
      <c r="D1341" s="228">
        <f>IF(OR(DAY(A1341+2)=1,DAY(A1341+2)=15),-SUM('Main Budget'!$H$26:$H$31),0)</f>
        <v>0</v>
      </c>
      <c r="E1341" s="228">
        <f>IF(DAY(A1341+2)=22,-SUM('Main Budget'!$F$26:$F$31),0)</f>
        <v>0</v>
      </c>
      <c r="F1341" s="228">
        <f>IF(D1341&gt;0,-'Main Budget'!$H$25+0.15,0)</f>
        <v>0</v>
      </c>
      <c r="G1341" s="228">
        <f>IF(E1341&gt;0,-'Main Budget'!$F$25+0.81,0)</f>
        <v>0</v>
      </c>
      <c r="H1341" s="227">
        <f>IF(DAY(A1341)='Main Budget'!$J$26,'Main Budget'!$E$26,0)</f>
        <v>0</v>
      </c>
      <c r="I1341" s="227">
        <f>IF(DAY(A1341)='Main Budget'!$J$28,'Main Budget'!$E$28,0)</f>
        <v>0</v>
      </c>
      <c r="J1341" s="227">
        <f>IF(DAY(A1341)='Main Budget'!$J$29,'Main Budget'!$E$29,0)</f>
        <v>0</v>
      </c>
      <c r="K1341" s="20">
        <f>IF(DAY(A1341)='Main Budget'!$J$30,'Main Budget'!$E$30,0)</f>
        <v>0</v>
      </c>
      <c r="L1341" s="20">
        <f>IF(DAY(A1341)='Main Budget'!$J$31,'Main Budget'!$E$31,0)</f>
        <v>0</v>
      </c>
      <c r="M1341" s="20">
        <f>IF(DAY(A1341)='Main Budget'!$J$27,'Main Budget'!$E$27,0)</f>
        <v>0</v>
      </c>
      <c r="O1341" s="228">
        <f>B1341+(SUM(H1341:M1341)+(SUM(D1341:E1341)))</f>
        <v>100</v>
      </c>
      <c r="P1341" s="228">
        <f>C1341+F1341+G1341+N1341</f>
        <v>100</v>
      </c>
      <c r="Q1341" s="252">
        <f>O1341+P1341</f>
        <v>200</v>
      </c>
      <c r="S1341" s="231" t="str">
        <f>TEXT(A1341,"dddd")</f>
        <v>Saturday</v>
      </c>
    </row>
    <row r="1342" spans="1:19" x14ac:dyDescent="0.25">
      <c r="A1342" s="226">
        <v>47363</v>
      </c>
      <c r="B1342" s="227">
        <f>O1341</f>
        <v>100</v>
      </c>
      <c r="C1342" s="228">
        <f>P1341</f>
        <v>100</v>
      </c>
      <c r="D1342" s="228">
        <f>IF(OR(DAY(A1342+2)=1,DAY(A1342+2)=15),-SUM('Main Budget'!$H$26:$H$31),0)</f>
        <v>0</v>
      </c>
      <c r="E1342" s="228">
        <f>IF(DAY(A1342+2)=22,-SUM('Main Budget'!$F$26:$F$31),0)</f>
        <v>0</v>
      </c>
      <c r="F1342" s="228">
        <f>IF(D1342&gt;0,-'Main Budget'!$H$25+0.15,0)</f>
        <v>0</v>
      </c>
      <c r="G1342" s="228">
        <f>IF(E1342&gt;0,-'Main Budget'!$F$25+0.81,0)</f>
        <v>0</v>
      </c>
      <c r="H1342" s="227">
        <f>IF(DAY(A1342)='Main Budget'!$J$26,'Main Budget'!$E$26,0)</f>
        <v>0</v>
      </c>
      <c r="I1342" s="227">
        <f>IF(DAY(A1342)='Main Budget'!$J$28,'Main Budget'!$E$28,0)</f>
        <v>0</v>
      </c>
      <c r="J1342" s="227">
        <f>IF(DAY(A1342)='Main Budget'!$J$29,'Main Budget'!$E$29,0)</f>
        <v>0</v>
      </c>
      <c r="K1342" s="20">
        <f>IF(DAY(A1342)='Main Budget'!$J$30,'Main Budget'!$E$30,0)</f>
        <v>0</v>
      </c>
      <c r="L1342" s="20">
        <f>IF(DAY(A1342)='Main Budget'!$J$31,'Main Budget'!$E$31,0)</f>
        <v>0</v>
      </c>
      <c r="M1342" s="20">
        <f>IF(DAY(A1342)='Main Budget'!$J$27,'Main Budget'!$E$27,0)</f>
        <v>0</v>
      </c>
      <c r="O1342" s="228">
        <f>B1342+(SUM(H1342:M1342)+(SUM(D1342:E1342)))</f>
        <v>100</v>
      </c>
      <c r="P1342" s="228">
        <f>C1342+F1342+G1342+N1342</f>
        <v>100</v>
      </c>
      <c r="Q1342" s="252">
        <f>O1342+P1342</f>
        <v>200</v>
      </c>
      <c r="S1342" s="231" t="str">
        <f>TEXT(A1342,"dddd")</f>
        <v>Sunday</v>
      </c>
    </row>
    <row r="1343" spans="1:19" x14ac:dyDescent="0.25">
      <c r="A1343" s="226">
        <v>47364</v>
      </c>
      <c r="B1343" s="227">
        <f>O1342</f>
        <v>100</v>
      </c>
      <c r="C1343" s="228">
        <f>P1342</f>
        <v>100</v>
      </c>
      <c r="D1343" s="228">
        <f>IF(OR(DAY(A1343+2)=1,DAY(A1343+2)=15),-SUM('Main Budget'!$H$26:$H$31),0)</f>
        <v>0</v>
      </c>
      <c r="E1343" s="228">
        <f>IF(DAY(A1343+2)=22,-SUM('Main Budget'!$F$26:$F$31),0)</f>
        <v>0</v>
      </c>
      <c r="F1343" s="228">
        <f>IF(D1343&gt;0,-'Main Budget'!$H$25+0.15,0)</f>
        <v>0</v>
      </c>
      <c r="G1343" s="228">
        <f>IF(E1343&gt;0,-'Main Budget'!$F$25+0.81,0)</f>
        <v>0</v>
      </c>
      <c r="H1343" s="227">
        <f>IF(DAY(A1343)='Main Budget'!$J$26,'Main Budget'!$E$26,0)</f>
        <v>0</v>
      </c>
      <c r="I1343" s="227">
        <f>IF(DAY(A1343)='Main Budget'!$J$28,'Main Budget'!$E$28,0)</f>
        <v>0</v>
      </c>
      <c r="J1343" s="227">
        <f>IF(DAY(A1343)='Main Budget'!$J$29,'Main Budget'!$E$29,0)</f>
        <v>0</v>
      </c>
      <c r="K1343" s="20">
        <f>IF(DAY(A1343)='Main Budget'!$J$30,'Main Budget'!$E$30,0)</f>
        <v>0</v>
      </c>
      <c r="L1343" s="20">
        <f>IF(DAY(A1343)='Main Budget'!$J$31,'Main Budget'!$E$31,0)</f>
        <v>0</v>
      </c>
      <c r="M1343" s="20">
        <f>IF(DAY(A1343)='Main Budget'!$J$27,'Main Budget'!$E$27,0)</f>
        <v>0</v>
      </c>
      <c r="O1343" s="228">
        <f>B1343+(SUM(H1343:M1343)+(SUM(D1343:E1343)))</f>
        <v>100</v>
      </c>
      <c r="P1343" s="228">
        <f>C1343+F1343+G1343+N1343</f>
        <v>100</v>
      </c>
      <c r="Q1343" s="252">
        <f>O1343+P1343</f>
        <v>200</v>
      </c>
      <c r="S1343" s="231" t="str">
        <f>TEXT(A1343,"dddd")</f>
        <v>Monday</v>
      </c>
    </row>
    <row r="1344" spans="1:19" x14ac:dyDescent="0.25">
      <c r="A1344" s="226">
        <v>47365</v>
      </c>
      <c r="B1344" s="227">
        <f>O1343</f>
        <v>100</v>
      </c>
      <c r="C1344" s="228">
        <f>P1343</f>
        <v>100</v>
      </c>
      <c r="D1344" s="228">
        <f>IF(OR(DAY(A1344+2)=1,DAY(A1344+2)=15),-SUM('Main Budget'!$H$26:$H$31),0)</f>
        <v>0</v>
      </c>
      <c r="E1344" s="228">
        <f>IF(DAY(A1344+2)=22,-SUM('Main Budget'!$F$26:$F$31),0)</f>
        <v>0</v>
      </c>
      <c r="F1344" s="228">
        <f>IF(D1344&gt;0,-'Main Budget'!$H$25+0.15,0)</f>
        <v>0</v>
      </c>
      <c r="G1344" s="228">
        <f>IF(E1344&gt;0,-'Main Budget'!$F$25+0.81,0)</f>
        <v>0</v>
      </c>
      <c r="H1344" s="227">
        <f>IF(DAY(A1344)='Main Budget'!$J$26,'Main Budget'!$E$26,0)</f>
        <v>0</v>
      </c>
      <c r="I1344" s="227">
        <f>IF(DAY(A1344)='Main Budget'!$J$28,'Main Budget'!$E$28,0)</f>
        <v>0</v>
      </c>
      <c r="J1344" s="227">
        <f>IF(DAY(A1344)='Main Budget'!$J$29,'Main Budget'!$E$29,0)</f>
        <v>0</v>
      </c>
      <c r="K1344" s="20">
        <f>IF(DAY(A1344)='Main Budget'!$J$30,'Main Budget'!$E$30,0)</f>
        <v>0</v>
      </c>
      <c r="L1344" s="20">
        <f>IF(DAY(A1344)='Main Budget'!$J$31,'Main Budget'!$E$31,0)</f>
        <v>0</v>
      </c>
      <c r="M1344" s="20">
        <f>IF(DAY(A1344)='Main Budget'!$J$27,'Main Budget'!$E$27,0)</f>
        <v>0</v>
      </c>
      <c r="O1344" s="228">
        <f>B1344+(SUM(H1344:M1344)+(SUM(D1344:E1344)))</f>
        <v>100</v>
      </c>
      <c r="P1344" s="228">
        <f>C1344+F1344+G1344+N1344</f>
        <v>100</v>
      </c>
      <c r="Q1344" s="252">
        <f>O1344+P1344</f>
        <v>200</v>
      </c>
      <c r="S1344" s="231" t="str">
        <f>TEXT(A1344,"dddd")</f>
        <v>Tuesday</v>
      </c>
    </row>
    <row r="1345" spans="1:19" x14ac:dyDescent="0.25">
      <c r="A1345" s="226">
        <v>47366</v>
      </c>
      <c r="B1345" s="227">
        <f>O1344</f>
        <v>100</v>
      </c>
      <c r="C1345" s="228">
        <f>P1344</f>
        <v>100</v>
      </c>
      <c r="D1345" s="228">
        <f>IF(OR(DAY(A1345+2)=1,DAY(A1345+2)=15),-SUM('Main Budget'!$H$26:$H$31),0)</f>
        <v>0</v>
      </c>
      <c r="E1345" s="228">
        <f>IF(DAY(A1345+2)=22,-SUM('Main Budget'!$F$26:$F$31),0)</f>
        <v>0</v>
      </c>
      <c r="F1345" s="228">
        <f>IF(D1345&gt;0,-'Main Budget'!$H$25+0.15,0)</f>
        <v>0</v>
      </c>
      <c r="G1345" s="228">
        <f>IF(E1345&gt;0,-'Main Budget'!$F$25+0.81,0)</f>
        <v>0</v>
      </c>
      <c r="H1345" s="227">
        <f>IF(DAY(A1345)='Main Budget'!$J$26,'Main Budget'!$E$26,0)</f>
        <v>0</v>
      </c>
      <c r="I1345" s="227">
        <f>IF(DAY(A1345)='Main Budget'!$J$28,'Main Budget'!$E$28,0)</f>
        <v>0</v>
      </c>
      <c r="J1345" s="227">
        <f>IF(DAY(A1345)='Main Budget'!$J$29,'Main Budget'!$E$29,0)</f>
        <v>0</v>
      </c>
      <c r="K1345" s="20">
        <f>IF(DAY(A1345)='Main Budget'!$J$30,'Main Budget'!$E$30,0)</f>
        <v>0</v>
      </c>
      <c r="L1345" s="20">
        <f>IF(DAY(A1345)='Main Budget'!$J$31,'Main Budget'!$E$31,0)</f>
        <v>0</v>
      </c>
      <c r="M1345" s="20">
        <f>IF(DAY(A1345)='Main Budget'!$J$27,'Main Budget'!$E$27,0)</f>
        <v>0</v>
      </c>
      <c r="O1345" s="228">
        <f>B1345+(SUM(H1345:M1345)+(SUM(D1345:E1345)))</f>
        <v>100</v>
      </c>
      <c r="P1345" s="228">
        <f>C1345+F1345+G1345+N1345</f>
        <v>100</v>
      </c>
      <c r="Q1345" s="252">
        <f>O1345+P1345</f>
        <v>200</v>
      </c>
      <c r="S1345" s="231" t="str">
        <f>TEXT(A1345,"dddd")</f>
        <v>Wednesday</v>
      </c>
    </row>
    <row r="1346" spans="1:19" x14ac:dyDescent="0.25">
      <c r="A1346" s="226">
        <v>47367</v>
      </c>
      <c r="B1346" s="227">
        <f>O1345</f>
        <v>100</v>
      </c>
      <c r="C1346" s="228">
        <f>P1345</f>
        <v>100</v>
      </c>
      <c r="D1346" s="228">
        <f>IF(OR(DAY(A1346+2)=1,DAY(A1346+2)=15),-SUM('Main Budget'!$H$26:$H$31),0)</f>
        <v>0</v>
      </c>
      <c r="E1346" s="228">
        <f>IF(DAY(A1346+2)=22,-SUM('Main Budget'!$F$26:$F$31),0)</f>
        <v>0</v>
      </c>
      <c r="F1346" s="228">
        <f>IF(D1346&gt;0,-'Main Budget'!$H$25+0.15,0)</f>
        <v>0</v>
      </c>
      <c r="G1346" s="228">
        <f>IF(E1346&gt;0,-'Main Budget'!$F$25+0.81,0)</f>
        <v>0</v>
      </c>
      <c r="H1346" s="227">
        <f>IF(DAY(A1346)='Main Budget'!$J$26,'Main Budget'!$E$26,0)</f>
        <v>0</v>
      </c>
      <c r="I1346" s="227">
        <f>IF(DAY(A1346)='Main Budget'!$J$28,'Main Budget'!$E$28,0)</f>
        <v>0</v>
      </c>
      <c r="J1346" s="227">
        <f>IF(DAY(A1346)='Main Budget'!$J$29,'Main Budget'!$E$29,0)</f>
        <v>0</v>
      </c>
      <c r="K1346" s="20">
        <f>IF(DAY(A1346)='Main Budget'!$J$30,'Main Budget'!$E$30,0)</f>
        <v>0</v>
      </c>
      <c r="L1346" s="20">
        <f>IF(DAY(A1346)='Main Budget'!$J$31,'Main Budget'!$E$31,0)</f>
        <v>0</v>
      </c>
      <c r="M1346" s="20">
        <f>IF(DAY(A1346)='Main Budget'!$J$27,'Main Budget'!$E$27,0)</f>
        <v>0</v>
      </c>
      <c r="O1346" s="228">
        <f>B1346+(SUM(H1346:M1346)+(SUM(D1346:E1346)))</f>
        <v>100</v>
      </c>
      <c r="P1346" s="228">
        <f>C1346+F1346+G1346+N1346</f>
        <v>100</v>
      </c>
      <c r="Q1346" s="252">
        <f>O1346+P1346</f>
        <v>200</v>
      </c>
      <c r="S1346" s="231" t="str">
        <f>TEXT(A1346,"dddd")</f>
        <v>Thursday</v>
      </c>
    </row>
    <row r="1347" spans="1:19" x14ac:dyDescent="0.25">
      <c r="A1347" s="226">
        <v>47368</v>
      </c>
      <c r="B1347" s="227">
        <f>O1346</f>
        <v>100</v>
      </c>
      <c r="C1347" s="228">
        <f>P1346</f>
        <v>100</v>
      </c>
      <c r="D1347" s="228">
        <f>IF(OR(DAY(A1347+2)=1,DAY(A1347+2)=15),-SUM('Main Budget'!$H$26:$H$31),0)</f>
        <v>0</v>
      </c>
      <c r="E1347" s="228">
        <f>IF(DAY(A1347+2)=22,-SUM('Main Budget'!$F$26:$F$31),0)</f>
        <v>0</v>
      </c>
      <c r="F1347" s="228">
        <f>IF(D1347&gt;0,-'Main Budget'!$H$25+0.15,0)</f>
        <v>0</v>
      </c>
      <c r="G1347" s="228">
        <f>IF(E1347&gt;0,-'Main Budget'!$F$25+0.81,0)</f>
        <v>0</v>
      </c>
      <c r="H1347" s="227">
        <f>IF(DAY(A1347)='Main Budget'!$J$26,'Main Budget'!$E$26,0)</f>
        <v>0</v>
      </c>
      <c r="I1347" s="227">
        <f>IF(DAY(A1347)='Main Budget'!$J$28,'Main Budget'!$E$28,0)</f>
        <v>0</v>
      </c>
      <c r="J1347" s="227">
        <f>IF(DAY(A1347)='Main Budget'!$J$29,'Main Budget'!$E$29,0)</f>
        <v>0</v>
      </c>
      <c r="K1347" s="20">
        <f>IF(DAY(A1347)='Main Budget'!$J$30,'Main Budget'!$E$30,0)</f>
        <v>0</v>
      </c>
      <c r="L1347" s="20">
        <f>IF(DAY(A1347)='Main Budget'!$J$31,'Main Budget'!$E$31,0)</f>
        <v>0</v>
      </c>
      <c r="M1347" s="20">
        <f>IF(DAY(A1347)='Main Budget'!$J$27,'Main Budget'!$E$27,0)</f>
        <v>0</v>
      </c>
      <c r="O1347" s="228">
        <f>B1347+(SUM(H1347:M1347)+(SUM(D1347:E1347)))</f>
        <v>100</v>
      </c>
      <c r="P1347" s="228">
        <f>C1347+F1347+G1347+N1347</f>
        <v>100</v>
      </c>
      <c r="Q1347" s="252">
        <f>O1347+P1347</f>
        <v>200</v>
      </c>
      <c r="S1347" s="231" t="str">
        <f>TEXT(A1347,"dddd")</f>
        <v>Friday</v>
      </c>
    </row>
    <row r="1348" spans="1:19" x14ac:dyDescent="0.25">
      <c r="A1348" s="226">
        <v>47369</v>
      </c>
      <c r="B1348" s="227">
        <f>O1347</f>
        <v>100</v>
      </c>
      <c r="C1348" s="228">
        <f>P1347</f>
        <v>100</v>
      </c>
      <c r="D1348" s="228">
        <f>IF(OR(DAY(A1348+2)=1,DAY(A1348+2)=15),-SUM('Main Budget'!$H$26:$H$31),0)</f>
        <v>0</v>
      </c>
      <c r="E1348" s="228">
        <f>IF(DAY(A1348+2)=22,-SUM('Main Budget'!$F$26:$F$31),0)</f>
        <v>0</v>
      </c>
      <c r="F1348" s="228">
        <f>IF(D1348&gt;0,-'Main Budget'!$H$25+0.15,0)</f>
        <v>0</v>
      </c>
      <c r="G1348" s="228">
        <f>IF(E1348&gt;0,-'Main Budget'!$F$25+0.81,0)</f>
        <v>0</v>
      </c>
      <c r="H1348" s="227">
        <f>IF(DAY(A1348)='Main Budget'!$J$26,'Main Budget'!$E$26,0)</f>
        <v>0</v>
      </c>
      <c r="I1348" s="227">
        <f>IF(DAY(A1348)='Main Budget'!$J$28,'Main Budget'!$E$28,0)</f>
        <v>0</v>
      </c>
      <c r="J1348" s="227">
        <f>IF(DAY(A1348)='Main Budget'!$J$29,'Main Budget'!$E$29,0)</f>
        <v>0</v>
      </c>
      <c r="K1348" s="20">
        <f>IF(DAY(A1348)='Main Budget'!$J$30,'Main Budget'!$E$30,0)</f>
        <v>0</v>
      </c>
      <c r="L1348" s="20">
        <f>IF(DAY(A1348)='Main Budget'!$J$31,'Main Budget'!$E$31,0)</f>
        <v>0</v>
      </c>
      <c r="M1348" s="20">
        <f>IF(DAY(A1348)='Main Budget'!$J$27,'Main Budget'!$E$27,0)</f>
        <v>0</v>
      </c>
      <c r="O1348" s="228">
        <f>B1348+(SUM(H1348:M1348)+(SUM(D1348:E1348)))</f>
        <v>100</v>
      </c>
      <c r="P1348" s="228">
        <f>C1348+F1348+G1348+N1348</f>
        <v>100</v>
      </c>
      <c r="Q1348" s="252">
        <f>O1348+P1348</f>
        <v>200</v>
      </c>
      <c r="S1348" s="231" t="str">
        <f>TEXT(A1348,"dddd")</f>
        <v>Saturday</v>
      </c>
    </row>
    <row r="1349" spans="1:19" x14ac:dyDescent="0.25">
      <c r="A1349" s="226">
        <v>47370</v>
      </c>
      <c r="B1349" s="227">
        <f>O1348</f>
        <v>100</v>
      </c>
      <c r="C1349" s="228">
        <f>P1348</f>
        <v>100</v>
      </c>
      <c r="D1349" s="228">
        <f>IF(OR(DAY(A1349+2)=1,DAY(A1349+2)=15),-SUM('Main Budget'!$H$26:$H$31),0)</f>
        <v>0</v>
      </c>
      <c r="E1349" s="228">
        <f>IF(DAY(A1349+2)=22,-SUM('Main Budget'!$F$26:$F$31),0)</f>
        <v>0</v>
      </c>
      <c r="F1349" s="228">
        <f>IF(D1349&gt;0,-'Main Budget'!$H$25+0.15,0)</f>
        <v>0</v>
      </c>
      <c r="G1349" s="228">
        <f>IF(E1349&gt;0,-'Main Budget'!$F$25+0.81,0)</f>
        <v>0</v>
      </c>
      <c r="H1349" s="227">
        <f>IF(DAY(A1349)='Main Budget'!$J$26,'Main Budget'!$E$26,0)</f>
        <v>0</v>
      </c>
      <c r="I1349" s="227">
        <f>IF(DAY(A1349)='Main Budget'!$J$28,'Main Budget'!$E$28,0)</f>
        <v>0</v>
      </c>
      <c r="J1349" s="227">
        <f>IF(DAY(A1349)='Main Budget'!$J$29,'Main Budget'!$E$29,0)</f>
        <v>0</v>
      </c>
      <c r="K1349" s="20">
        <f>IF(DAY(A1349)='Main Budget'!$J$30,'Main Budget'!$E$30,0)</f>
        <v>0</v>
      </c>
      <c r="L1349" s="20">
        <f>IF(DAY(A1349)='Main Budget'!$J$31,'Main Budget'!$E$31,0)</f>
        <v>0</v>
      </c>
      <c r="M1349" s="20">
        <f>IF(DAY(A1349)='Main Budget'!$J$27,'Main Budget'!$E$27,0)</f>
        <v>0</v>
      </c>
      <c r="O1349" s="228">
        <f>B1349+(SUM(H1349:M1349)+(SUM(D1349:E1349)))</f>
        <v>100</v>
      </c>
      <c r="P1349" s="228">
        <f>C1349+F1349+G1349+N1349</f>
        <v>100</v>
      </c>
      <c r="Q1349" s="252">
        <f>O1349+P1349</f>
        <v>200</v>
      </c>
      <c r="S1349" s="231" t="str">
        <f>TEXT(A1349,"dddd")</f>
        <v>Sunday</v>
      </c>
    </row>
    <row r="1350" spans="1:19" x14ac:dyDescent="0.25">
      <c r="A1350" s="226">
        <v>47371</v>
      </c>
      <c r="B1350" s="227">
        <f>O1349</f>
        <v>100</v>
      </c>
      <c r="C1350" s="228">
        <f>P1349</f>
        <v>100</v>
      </c>
      <c r="D1350" s="228">
        <f>IF(OR(DAY(A1350+2)=1,DAY(A1350+2)=15),-SUM('Main Budget'!$H$26:$H$31),0)</f>
        <v>0</v>
      </c>
      <c r="E1350" s="228">
        <f>IF(DAY(A1350+2)=22,-SUM('Main Budget'!$F$26:$F$31),0)</f>
        <v>0</v>
      </c>
      <c r="F1350" s="228">
        <f>IF(D1350&gt;0,-'Main Budget'!$H$25+0.15,0)</f>
        <v>0</v>
      </c>
      <c r="G1350" s="228">
        <f>IF(E1350&gt;0,-'Main Budget'!$F$25+0.81,0)</f>
        <v>0</v>
      </c>
      <c r="H1350" s="227">
        <f>IF(DAY(A1350)='Main Budget'!$J$26,'Main Budget'!$E$26,0)</f>
        <v>0</v>
      </c>
      <c r="I1350" s="227">
        <f>IF(DAY(A1350)='Main Budget'!$J$28,'Main Budget'!$E$28,0)</f>
        <v>0</v>
      </c>
      <c r="J1350" s="227">
        <f>IF(DAY(A1350)='Main Budget'!$J$29,'Main Budget'!$E$29,0)</f>
        <v>0</v>
      </c>
      <c r="K1350" s="20">
        <f>IF(DAY(A1350)='Main Budget'!$J$30,'Main Budget'!$E$30,0)</f>
        <v>0</v>
      </c>
      <c r="L1350" s="20">
        <f>IF(DAY(A1350)='Main Budget'!$J$31,'Main Budget'!$E$31,0)</f>
        <v>0</v>
      </c>
      <c r="M1350" s="20">
        <f>IF(DAY(A1350)='Main Budget'!$J$27,'Main Budget'!$E$27,0)</f>
        <v>0</v>
      </c>
      <c r="O1350" s="228">
        <f>B1350+(SUM(H1350:M1350)+(SUM(D1350:E1350)))</f>
        <v>100</v>
      </c>
      <c r="P1350" s="228">
        <f>C1350+F1350+G1350+N1350</f>
        <v>100</v>
      </c>
      <c r="Q1350" s="252">
        <f>O1350+P1350</f>
        <v>200</v>
      </c>
      <c r="S1350" s="231" t="str">
        <f>TEXT(A1350,"dddd")</f>
        <v>Monday</v>
      </c>
    </row>
    <row r="1351" spans="1:19" x14ac:dyDescent="0.25">
      <c r="A1351" s="226">
        <v>47372</v>
      </c>
      <c r="B1351" s="227">
        <f>O1350</f>
        <v>100</v>
      </c>
      <c r="C1351" s="228">
        <f>P1350</f>
        <v>100</v>
      </c>
      <c r="D1351" s="228">
        <f>IF(OR(DAY(A1351+2)=1,DAY(A1351+2)=15),-SUM('Main Budget'!$H$26:$H$31),0)</f>
        <v>0</v>
      </c>
      <c r="E1351" s="228">
        <f>IF(DAY(A1351+2)=22,-SUM('Main Budget'!$F$26:$F$31),0)</f>
        <v>0</v>
      </c>
      <c r="F1351" s="228">
        <f>IF(D1351&gt;0,-'Main Budget'!$H$25+0.15,0)</f>
        <v>0</v>
      </c>
      <c r="G1351" s="228">
        <f>IF(E1351&gt;0,-'Main Budget'!$F$25+0.81,0)</f>
        <v>0</v>
      </c>
      <c r="H1351" s="227">
        <f>IF(DAY(A1351)='Main Budget'!$J$26,'Main Budget'!$E$26,0)</f>
        <v>0</v>
      </c>
      <c r="I1351" s="227">
        <f>IF(DAY(A1351)='Main Budget'!$J$28,'Main Budget'!$E$28,0)</f>
        <v>0</v>
      </c>
      <c r="J1351" s="227">
        <f>IF(DAY(A1351)='Main Budget'!$J$29,'Main Budget'!$E$29,0)</f>
        <v>0</v>
      </c>
      <c r="K1351" s="20">
        <f>IF(DAY(A1351)='Main Budget'!$J$30,'Main Budget'!$E$30,0)</f>
        <v>0</v>
      </c>
      <c r="L1351" s="20">
        <f>IF(DAY(A1351)='Main Budget'!$J$31,'Main Budget'!$E$31,0)</f>
        <v>0</v>
      </c>
      <c r="M1351" s="20">
        <f>IF(DAY(A1351)='Main Budget'!$J$27,'Main Budget'!$E$27,0)</f>
        <v>0</v>
      </c>
      <c r="O1351" s="228">
        <f>B1351+(SUM(H1351:M1351)+(SUM(D1351:E1351)))</f>
        <v>100</v>
      </c>
      <c r="P1351" s="228">
        <f>C1351+F1351+G1351+N1351</f>
        <v>100</v>
      </c>
      <c r="Q1351" s="252">
        <f>O1351+P1351</f>
        <v>200</v>
      </c>
      <c r="S1351" s="231" t="str">
        <f>TEXT(A1351,"dddd")</f>
        <v>Tuesday</v>
      </c>
    </row>
    <row r="1352" spans="1:19" x14ac:dyDescent="0.25">
      <c r="A1352" s="226">
        <v>47373</v>
      </c>
      <c r="B1352" s="227">
        <f>O1351</f>
        <v>100</v>
      </c>
      <c r="C1352" s="228">
        <f>P1351</f>
        <v>100</v>
      </c>
      <c r="D1352" s="228">
        <f>IF(OR(DAY(A1352+2)=1,DAY(A1352+2)=15),-SUM('Main Budget'!$H$26:$H$31),0)</f>
        <v>0</v>
      </c>
      <c r="E1352" s="228">
        <f>IF(DAY(A1352+2)=22,-SUM('Main Budget'!$F$26:$F$31),0)</f>
        <v>0</v>
      </c>
      <c r="F1352" s="228">
        <f>IF(D1352&gt;0,-'Main Budget'!$H$25+0.15,0)</f>
        <v>0</v>
      </c>
      <c r="G1352" s="228">
        <f>IF(E1352&gt;0,-'Main Budget'!$F$25+0.81,0)</f>
        <v>0</v>
      </c>
      <c r="H1352" s="227">
        <f>IF(DAY(A1352)='Main Budget'!$J$26,'Main Budget'!$E$26,0)</f>
        <v>0</v>
      </c>
      <c r="I1352" s="227">
        <f>IF(DAY(A1352)='Main Budget'!$J$28,'Main Budget'!$E$28,0)</f>
        <v>0</v>
      </c>
      <c r="J1352" s="227">
        <f>IF(DAY(A1352)='Main Budget'!$J$29,'Main Budget'!$E$29,0)</f>
        <v>0</v>
      </c>
      <c r="K1352" s="20">
        <f>IF(DAY(A1352)='Main Budget'!$J$30,'Main Budget'!$E$30,0)</f>
        <v>0</v>
      </c>
      <c r="L1352" s="20">
        <f>IF(DAY(A1352)='Main Budget'!$J$31,'Main Budget'!$E$31,0)</f>
        <v>0</v>
      </c>
      <c r="M1352" s="20">
        <f>IF(DAY(A1352)='Main Budget'!$J$27,'Main Budget'!$E$27,0)</f>
        <v>0</v>
      </c>
      <c r="O1352" s="228">
        <f>B1352+(SUM(H1352:M1352)+(SUM(D1352:E1352)))</f>
        <v>100</v>
      </c>
      <c r="P1352" s="228">
        <f>C1352+F1352+G1352+N1352</f>
        <v>100</v>
      </c>
      <c r="Q1352" s="252">
        <f>O1352+P1352</f>
        <v>200</v>
      </c>
      <c r="S1352" s="231" t="str">
        <f>TEXT(A1352,"dddd")</f>
        <v>Wednesday</v>
      </c>
    </row>
    <row r="1353" spans="1:19" x14ac:dyDescent="0.25">
      <c r="A1353" s="226">
        <v>47374</v>
      </c>
      <c r="B1353" s="227">
        <f>O1352</f>
        <v>100</v>
      </c>
      <c r="C1353" s="228">
        <f>P1352</f>
        <v>100</v>
      </c>
      <c r="D1353" s="228">
        <f>IF(OR(DAY(A1353+2)=1,DAY(A1353+2)=15),-SUM('Main Budget'!$H$26:$H$31),0)</f>
        <v>0</v>
      </c>
      <c r="E1353" s="228">
        <f>IF(DAY(A1353+2)=22,-SUM('Main Budget'!$F$26:$F$31),0)</f>
        <v>0</v>
      </c>
      <c r="F1353" s="228">
        <f>IF(D1353&gt;0,-'Main Budget'!$H$25+0.15,0)</f>
        <v>0</v>
      </c>
      <c r="G1353" s="228">
        <f>IF(E1353&gt;0,-'Main Budget'!$F$25+0.81,0)</f>
        <v>0</v>
      </c>
      <c r="H1353" s="227">
        <f>IF(DAY(A1353)='Main Budget'!$J$26,'Main Budget'!$E$26,0)</f>
        <v>0</v>
      </c>
      <c r="I1353" s="227">
        <f>IF(DAY(A1353)='Main Budget'!$J$28,'Main Budget'!$E$28,0)</f>
        <v>0</v>
      </c>
      <c r="J1353" s="227">
        <f>IF(DAY(A1353)='Main Budget'!$J$29,'Main Budget'!$E$29,0)</f>
        <v>0</v>
      </c>
      <c r="K1353" s="20">
        <f>IF(DAY(A1353)='Main Budget'!$J$30,'Main Budget'!$E$30,0)</f>
        <v>0</v>
      </c>
      <c r="L1353" s="20">
        <f>IF(DAY(A1353)='Main Budget'!$J$31,'Main Budget'!$E$31,0)</f>
        <v>0</v>
      </c>
      <c r="M1353" s="20">
        <f>IF(DAY(A1353)='Main Budget'!$J$27,'Main Budget'!$E$27,0)</f>
        <v>0</v>
      </c>
      <c r="O1353" s="228">
        <f>B1353+(SUM(H1353:M1353)+(SUM(D1353:E1353)))</f>
        <v>100</v>
      </c>
      <c r="P1353" s="228">
        <f>C1353+F1353+G1353+N1353</f>
        <v>100</v>
      </c>
      <c r="Q1353" s="252">
        <f>O1353+P1353</f>
        <v>200</v>
      </c>
      <c r="S1353" s="231" t="str">
        <f>TEXT(A1353,"dddd")</f>
        <v>Thursday</v>
      </c>
    </row>
    <row r="1354" spans="1:19" x14ac:dyDescent="0.25">
      <c r="A1354" s="226">
        <v>47375</v>
      </c>
      <c r="B1354" s="227">
        <f>O1353</f>
        <v>100</v>
      </c>
      <c r="C1354" s="228">
        <f>P1353</f>
        <v>100</v>
      </c>
      <c r="D1354" s="228">
        <f>IF(OR(DAY(A1354+2)=1,DAY(A1354+2)=15),-SUM('Main Budget'!$H$26:$H$31),0)</f>
        <v>0</v>
      </c>
      <c r="E1354" s="228">
        <f>IF(DAY(A1354+2)=22,-SUM('Main Budget'!$F$26:$F$31),0)</f>
        <v>0</v>
      </c>
      <c r="F1354" s="228">
        <f>IF(D1354&gt;0,-'Main Budget'!$H$25+0.15,0)</f>
        <v>0</v>
      </c>
      <c r="G1354" s="228">
        <f>IF(E1354&gt;0,-'Main Budget'!$F$25+0.81,0)</f>
        <v>0</v>
      </c>
      <c r="H1354" s="227">
        <f>IF(DAY(A1354)='Main Budget'!$J$26,'Main Budget'!$E$26,0)</f>
        <v>0</v>
      </c>
      <c r="I1354" s="227">
        <f>IF(DAY(A1354)='Main Budget'!$J$28,'Main Budget'!$E$28,0)</f>
        <v>0</v>
      </c>
      <c r="J1354" s="227">
        <f>IF(DAY(A1354)='Main Budget'!$J$29,'Main Budget'!$E$29,0)</f>
        <v>0</v>
      </c>
      <c r="K1354" s="20">
        <f>IF(DAY(A1354)='Main Budget'!$J$30,'Main Budget'!$E$30,0)</f>
        <v>0</v>
      </c>
      <c r="L1354" s="20">
        <f>IF(DAY(A1354)='Main Budget'!$J$31,'Main Budget'!$E$31,0)</f>
        <v>0</v>
      </c>
      <c r="M1354" s="20">
        <f>IF(DAY(A1354)='Main Budget'!$J$27,'Main Budget'!$E$27,0)</f>
        <v>0</v>
      </c>
      <c r="O1354" s="228">
        <f>B1354+(SUM(H1354:M1354)+(SUM(D1354:E1354)))</f>
        <v>100</v>
      </c>
      <c r="P1354" s="228">
        <f>C1354+F1354+G1354+N1354</f>
        <v>100</v>
      </c>
      <c r="Q1354" s="252">
        <f>O1354+P1354</f>
        <v>200</v>
      </c>
      <c r="S1354" s="231" t="str">
        <f>TEXT(A1354,"dddd")</f>
        <v>Friday</v>
      </c>
    </row>
    <row r="1355" spans="1:19" x14ac:dyDescent="0.25">
      <c r="A1355" s="226">
        <v>47376</v>
      </c>
      <c r="B1355" s="227">
        <f>O1354</f>
        <v>100</v>
      </c>
      <c r="C1355" s="228">
        <f>P1354</f>
        <v>100</v>
      </c>
      <c r="D1355" s="228">
        <f>IF(OR(DAY(A1355+2)=1,DAY(A1355+2)=15),-SUM('Main Budget'!$H$26:$H$31),0)</f>
        <v>0</v>
      </c>
      <c r="E1355" s="228">
        <f>IF(DAY(A1355+2)=22,-SUM('Main Budget'!$F$26:$F$31),0)</f>
        <v>0</v>
      </c>
      <c r="F1355" s="228">
        <f>IF(D1355&gt;0,-'Main Budget'!$H$25+0.15,0)</f>
        <v>0</v>
      </c>
      <c r="G1355" s="228">
        <f>IF(E1355&gt;0,-'Main Budget'!$F$25+0.81,0)</f>
        <v>0</v>
      </c>
      <c r="H1355" s="227">
        <f>IF(DAY(A1355)='Main Budget'!$J$26,'Main Budget'!$E$26,0)</f>
        <v>0</v>
      </c>
      <c r="I1355" s="227">
        <f>IF(DAY(A1355)='Main Budget'!$J$28,'Main Budget'!$E$28,0)</f>
        <v>0</v>
      </c>
      <c r="J1355" s="227">
        <f>IF(DAY(A1355)='Main Budget'!$J$29,'Main Budget'!$E$29,0)</f>
        <v>0</v>
      </c>
      <c r="K1355" s="20">
        <f>IF(DAY(A1355)='Main Budget'!$J$30,'Main Budget'!$E$30,0)</f>
        <v>0</v>
      </c>
      <c r="L1355" s="20">
        <f>IF(DAY(A1355)='Main Budget'!$J$31,'Main Budget'!$E$31,0)</f>
        <v>0</v>
      </c>
      <c r="M1355" s="20">
        <f>IF(DAY(A1355)='Main Budget'!$J$27,'Main Budget'!$E$27,0)</f>
        <v>0</v>
      </c>
      <c r="O1355" s="228">
        <f>B1355+(SUM(H1355:M1355)+(SUM(D1355:E1355)))</f>
        <v>100</v>
      </c>
      <c r="P1355" s="228">
        <f>C1355+F1355+G1355+N1355</f>
        <v>100</v>
      </c>
      <c r="Q1355" s="252">
        <f>O1355+P1355</f>
        <v>200</v>
      </c>
      <c r="S1355" s="231" t="str">
        <f>TEXT(A1355,"dddd")</f>
        <v>Saturday</v>
      </c>
    </row>
    <row r="1356" spans="1:19" x14ac:dyDescent="0.25">
      <c r="A1356" s="226">
        <v>47377</v>
      </c>
      <c r="B1356" s="227">
        <f>O1355</f>
        <v>100</v>
      </c>
      <c r="C1356" s="228">
        <f>P1355</f>
        <v>100</v>
      </c>
      <c r="D1356" s="228">
        <f>IF(OR(DAY(A1356+2)=1,DAY(A1356+2)=15),-SUM('Main Budget'!$H$26:$H$31),0)</f>
        <v>0</v>
      </c>
      <c r="E1356" s="228">
        <f>IF(DAY(A1356+2)=22,-SUM('Main Budget'!$F$26:$F$31),0)</f>
        <v>0</v>
      </c>
      <c r="F1356" s="228">
        <f>IF(D1356&gt;0,-'Main Budget'!$H$25+0.15,0)</f>
        <v>0</v>
      </c>
      <c r="G1356" s="228">
        <f>IF(E1356&gt;0,-'Main Budget'!$F$25+0.81,0)</f>
        <v>0</v>
      </c>
      <c r="H1356" s="227">
        <f>IF(DAY(A1356)='Main Budget'!$J$26,'Main Budget'!$E$26,0)</f>
        <v>0</v>
      </c>
      <c r="I1356" s="227">
        <f>IF(DAY(A1356)='Main Budget'!$J$28,'Main Budget'!$E$28,0)</f>
        <v>0</v>
      </c>
      <c r="J1356" s="227">
        <f>IF(DAY(A1356)='Main Budget'!$J$29,'Main Budget'!$E$29,0)</f>
        <v>0</v>
      </c>
      <c r="K1356" s="20">
        <f>IF(DAY(A1356)='Main Budget'!$J$30,'Main Budget'!$E$30,0)</f>
        <v>0</v>
      </c>
      <c r="L1356" s="20">
        <f>IF(DAY(A1356)='Main Budget'!$J$31,'Main Budget'!$E$31,0)</f>
        <v>0</v>
      </c>
      <c r="M1356" s="20">
        <f>IF(DAY(A1356)='Main Budget'!$J$27,'Main Budget'!$E$27,0)</f>
        <v>0</v>
      </c>
      <c r="O1356" s="228">
        <f>B1356+(SUM(H1356:M1356)+(SUM(D1356:E1356)))</f>
        <v>100</v>
      </c>
      <c r="P1356" s="228">
        <f>C1356+F1356+G1356+N1356</f>
        <v>100</v>
      </c>
      <c r="Q1356" s="252">
        <f>O1356+P1356</f>
        <v>200</v>
      </c>
      <c r="S1356" s="231" t="str">
        <f>TEXT(A1356,"dddd")</f>
        <v>Sunday</v>
      </c>
    </row>
    <row r="1357" spans="1:19" x14ac:dyDescent="0.25">
      <c r="A1357" s="226">
        <v>47378</v>
      </c>
      <c r="B1357" s="227">
        <f>O1356</f>
        <v>100</v>
      </c>
      <c r="C1357" s="228">
        <f>P1356</f>
        <v>100</v>
      </c>
      <c r="D1357" s="228">
        <f>IF(OR(DAY(A1357+2)=1,DAY(A1357+2)=15),-SUM('Main Budget'!$H$26:$H$31),0)</f>
        <v>0</v>
      </c>
      <c r="E1357" s="228">
        <f>IF(DAY(A1357+2)=22,-SUM('Main Budget'!$F$26:$F$31),0)</f>
        <v>0</v>
      </c>
      <c r="F1357" s="228">
        <f>IF(D1357&gt;0,-'Main Budget'!$H$25+0.15,0)</f>
        <v>0</v>
      </c>
      <c r="G1357" s="228">
        <f>IF(E1357&gt;0,-'Main Budget'!$F$25+0.81,0)</f>
        <v>0</v>
      </c>
      <c r="H1357" s="227">
        <f>IF(DAY(A1357)='Main Budget'!$J$26,'Main Budget'!$E$26,0)</f>
        <v>0</v>
      </c>
      <c r="I1357" s="227">
        <f>IF(DAY(A1357)='Main Budget'!$J$28,'Main Budget'!$E$28,0)</f>
        <v>0</v>
      </c>
      <c r="J1357" s="227">
        <f>IF(DAY(A1357)='Main Budget'!$J$29,'Main Budget'!$E$29,0)</f>
        <v>0</v>
      </c>
      <c r="K1357" s="20">
        <f>IF(DAY(A1357)='Main Budget'!$J$30,'Main Budget'!$E$30,0)</f>
        <v>0</v>
      </c>
      <c r="L1357" s="20">
        <f>IF(DAY(A1357)='Main Budget'!$J$31,'Main Budget'!$E$31,0)</f>
        <v>0</v>
      </c>
      <c r="M1357" s="20">
        <f>IF(DAY(A1357)='Main Budget'!$J$27,'Main Budget'!$E$27,0)</f>
        <v>0</v>
      </c>
      <c r="O1357" s="228">
        <f>B1357+(SUM(H1357:M1357)+(SUM(D1357:E1357)))</f>
        <v>100</v>
      </c>
      <c r="P1357" s="228">
        <f>C1357+F1357+G1357+N1357</f>
        <v>100</v>
      </c>
      <c r="Q1357" s="252">
        <f>O1357+P1357</f>
        <v>200</v>
      </c>
      <c r="S1357" s="231" t="str">
        <f>TEXT(A1357,"dddd")</f>
        <v>Monday</v>
      </c>
    </row>
    <row r="1358" spans="1:19" x14ac:dyDescent="0.25">
      <c r="A1358" s="226">
        <v>47379</v>
      </c>
      <c r="B1358" s="227">
        <f>O1357</f>
        <v>100</v>
      </c>
      <c r="C1358" s="228">
        <f>P1357</f>
        <v>100</v>
      </c>
      <c r="D1358" s="228">
        <f>IF(OR(DAY(A1358+2)=1,DAY(A1358+2)=15),-SUM('Main Budget'!$H$26:$H$31),0)</f>
        <v>0</v>
      </c>
      <c r="E1358" s="228">
        <f>IF(DAY(A1358+2)=22,-SUM('Main Budget'!$F$26:$F$31),0)</f>
        <v>0</v>
      </c>
      <c r="F1358" s="228">
        <f>IF(D1358&gt;0,-'Main Budget'!$H$25+0.15,0)</f>
        <v>0</v>
      </c>
      <c r="G1358" s="228">
        <f>IF(E1358&gt;0,-'Main Budget'!$F$25+0.81,0)</f>
        <v>0</v>
      </c>
      <c r="H1358" s="227">
        <f>IF(DAY(A1358)='Main Budget'!$J$26,'Main Budget'!$E$26,0)</f>
        <v>0</v>
      </c>
      <c r="I1358" s="227">
        <f>IF(DAY(A1358)='Main Budget'!$J$28,'Main Budget'!$E$28,0)</f>
        <v>0</v>
      </c>
      <c r="J1358" s="227">
        <f>IF(DAY(A1358)='Main Budget'!$J$29,'Main Budget'!$E$29,0)</f>
        <v>0</v>
      </c>
      <c r="K1358" s="20">
        <f>IF(DAY(A1358)='Main Budget'!$J$30,'Main Budget'!$E$30,0)</f>
        <v>0</v>
      </c>
      <c r="L1358" s="20">
        <f>IF(DAY(A1358)='Main Budget'!$J$31,'Main Budget'!$E$31,0)</f>
        <v>0</v>
      </c>
      <c r="M1358" s="20">
        <f>IF(DAY(A1358)='Main Budget'!$J$27,'Main Budget'!$E$27,0)</f>
        <v>0</v>
      </c>
      <c r="O1358" s="228">
        <f>B1358+(SUM(H1358:M1358)+(SUM(D1358:E1358)))</f>
        <v>100</v>
      </c>
      <c r="P1358" s="228">
        <f>C1358+F1358+G1358+N1358</f>
        <v>100</v>
      </c>
      <c r="Q1358" s="252">
        <f>O1358+P1358</f>
        <v>200</v>
      </c>
      <c r="S1358" s="231" t="str">
        <f>TEXT(A1358,"dddd")</f>
        <v>Tuesday</v>
      </c>
    </row>
    <row r="1359" spans="1:19" x14ac:dyDescent="0.25">
      <c r="A1359" s="226">
        <v>47380</v>
      </c>
      <c r="B1359" s="227">
        <f>O1358</f>
        <v>100</v>
      </c>
      <c r="C1359" s="228">
        <f>P1358</f>
        <v>100</v>
      </c>
      <c r="D1359" s="228">
        <f>IF(OR(DAY(A1359+2)=1,DAY(A1359+2)=15),-SUM('Main Budget'!$H$26:$H$31),0)</f>
        <v>0</v>
      </c>
      <c r="E1359" s="228">
        <f>IF(DAY(A1359+2)=22,-SUM('Main Budget'!$F$26:$F$31),0)</f>
        <v>0</v>
      </c>
      <c r="F1359" s="228">
        <f>IF(D1359&gt;0,-'Main Budget'!$H$25+0.15,0)</f>
        <v>0</v>
      </c>
      <c r="G1359" s="228">
        <f>IF(E1359&gt;0,-'Main Budget'!$F$25+0.81,0)</f>
        <v>0</v>
      </c>
      <c r="H1359" s="227">
        <f>IF(DAY(A1359)='Main Budget'!$J$26,'Main Budget'!$E$26,0)</f>
        <v>0</v>
      </c>
      <c r="I1359" s="227">
        <f>IF(DAY(A1359)='Main Budget'!$J$28,'Main Budget'!$E$28,0)</f>
        <v>0</v>
      </c>
      <c r="J1359" s="227">
        <f>IF(DAY(A1359)='Main Budget'!$J$29,'Main Budget'!$E$29,0)</f>
        <v>0</v>
      </c>
      <c r="K1359" s="20">
        <f>IF(DAY(A1359)='Main Budget'!$J$30,'Main Budget'!$E$30,0)</f>
        <v>0</v>
      </c>
      <c r="L1359" s="20">
        <f>IF(DAY(A1359)='Main Budget'!$J$31,'Main Budget'!$E$31,0)</f>
        <v>0</v>
      </c>
      <c r="M1359" s="20">
        <f>IF(DAY(A1359)='Main Budget'!$J$27,'Main Budget'!$E$27,0)</f>
        <v>0</v>
      </c>
      <c r="O1359" s="228">
        <f>B1359+(SUM(H1359:M1359)+(SUM(D1359:E1359)))</f>
        <v>100</v>
      </c>
      <c r="P1359" s="228">
        <f>C1359+F1359+G1359+N1359</f>
        <v>100</v>
      </c>
      <c r="Q1359" s="252">
        <f>O1359+P1359</f>
        <v>200</v>
      </c>
      <c r="S1359" s="231" t="str">
        <f>TEXT(A1359,"dddd")</f>
        <v>Wednesday</v>
      </c>
    </row>
    <row r="1360" spans="1:19" x14ac:dyDescent="0.25">
      <c r="A1360" s="226">
        <v>47381</v>
      </c>
      <c r="B1360" s="227">
        <f>O1359</f>
        <v>100</v>
      </c>
      <c r="C1360" s="228">
        <f>P1359</f>
        <v>100</v>
      </c>
      <c r="D1360" s="228">
        <f>IF(OR(DAY(A1360+2)=1,DAY(A1360+2)=15),-SUM('Main Budget'!$H$26:$H$31),0)</f>
        <v>0</v>
      </c>
      <c r="E1360" s="228">
        <f>IF(DAY(A1360+2)=22,-SUM('Main Budget'!$F$26:$F$31),0)</f>
        <v>0</v>
      </c>
      <c r="F1360" s="228">
        <f>IF(D1360&gt;0,-'Main Budget'!$H$25+0.15,0)</f>
        <v>0</v>
      </c>
      <c r="G1360" s="228">
        <f>IF(E1360&gt;0,-'Main Budget'!$F$25+0.81,0)</f>
        <v>0</v>
      </c>
      <c r="H1360" s="227">
        <f>IF(DAY(A1360)='Main Budget'!$J$26,'Main Budget'!$E$26,0)</f>
        <v>0</v>
      </c>
      <c r="I1360" s="227">
        <f>IF(DAY(A1360)='Main Budget'!$J$28,'Main Budget'!$E$28,0)</f>
        <v>0</v>
      </c>
      <c r="J1360" s="227">
        <f>IF(DAY(A1360)='Main Budget'!$J$29,'Main Budget'!$E$29,0)</f>
        <v>0</v>
      </c>
      <c r="K1360" s="20">
        <f>IF(DAY(A1360)='Main Budget'!$J$30,'Main Budget'!$E$30,0)</f>
        <v>0</v>
      </c>
      <c r="L1360" s="20">
        <f>IF(DAY(A1360)='Main Budget'!$J$31,'Main Budget'!$E$31,0)</f>
        <v>0</v>
      </c>
      <c r="M1360" s="20">
        <f>IF(DAY(A1360)='Main Budget'!$J$27,'Main Budget'!$E$27,0)</f>
        <v>0</v>
      </c>
      <c r="O1360" s="228">
        <f>B1360+(SUM(H1360:M1360)+(SUM(D1360:E1360)))</f>
        <v>100</v>
      </c>
      <c r="P1360" s="228">
        <f>C1360+F1360+G1360+N1360</f>
        <v>100</v>
      </c>
      <c r="Q1360" s="252">
        <f>O1360+P1360</f>
        <v>200</v>
      </c>
      <c r="S1360" s="231" t="str">
        <f>TEXT(A1360,"dddd")</f>
        <v>Thursday</v>
      </c>
    </row>
    <row r="1361" spans="1:19" x14ac:dyDescent="0.25">
      <c r="A1361" s="226">
        <v>47382</v>
      </c>
      <c r="B1361" s="227">
        <f>O1360</f>
        <v>100</v>
      </c>
      <c r="C1361" s="228">
        <f>P1360</f>
        <v>100</v>
      </c>
      <c r="D1361" s="228">
        <f>IF(OR(DAY(A1361+2)=1,DAY(A1361+2)=15),-SUM('Main Budget'!$H$26:$H$31),0)</f>
        <v>0</v>
      </c>
      <c r="E1361" s="228">
        <f>IF(DAY(A1361+2)=22,-SUM('Main Budget'!$F$26:$F$31),0)</f>
        <v>0</v>
      </c>
      <c r="F1361" s="228">
        <f>IF(D1361&gt;0,-'Main Budget'!$H$25+0.15,0)</f>
        <v>0</v>
      </c>
      <c r="G1361" s="228">
        <f>IF(E1361&gt;0,-'Main Budget'!$F$25+0.81,0)</f>
        <v>0</v>
      </c>
      <c r="H1361" s="227">
        <f>IF(DAY(A1361)='Main Budget'!$J$26,'Main Budget'!$E$26,0)</f>
        <v>0</v>
      </c>
      <c r="I1361" s="227">
        <f>IF(DAY(A1361)='Main Budget'!$J$28,'Main Budget'!$E$28,0)</f>
        <v>0</v>
      </c>
      <c r="J1361" s="227">
        <f>IF(DAY(A1361)='Main Budget'!$J$29,'Main Budget'!$E$29,0)</f>
        <v>0</v>
      </c>
      <c r="K1361" s="20">
        <f>IF(DAY(A1361)='Main Budget'!$J$30,'Main Budget'!$E$30,0)</f>
        <v>0</v>
      </c>
      <c r="L1361" s="20">
        <f>IF(DAY(A1361)='Main Budget'!$J$31,'Main Budget'!$E$31,0)</f>
        <v>0</v>
      </c>
      <c r="M1361" s="20">
        <f>IF(DAY(A1361)='Main Budget'!$J$27,'Main Budget'!$E$27,0)</f>
        <v>0</v>
      </c>
      <c r="O1361" s="228">
        <f>B1361+(SUM(H1361:M1361)+(SUM(D1361:E1361)))</f>
        <v>100</v>
      </c>
      <c r="P1361" s="228">
        <f>C1361+F1361+G1361+N1361</f>
        <v>100</v>
      </c>
      <c r="Q1361" s="252">
        <f>O1361+P1361</f>
        <v>200</v>
      </c>
      <c r="S1361" s="231" t="str">
        <f>TEXT(A1361,"dddd")</f>
        <v>Friday</v>
      </c>
    </row>
    <row r="1362" spans="1:19" x14ac:dyDescent="0.25">
      <c r="A1362" s="226">
        <v>47383</v>
      </c>
      <c r="B1362" s="227">
        <f>O1361</f>
        <v>100</v>
      </c>
      <c r="C1362" s="228">
        <f>P1361</f>
        <v>100</v>
      </c>
      <c r="D1362" s="228">
        <f>IF(OR(DAY(A1362+2)=1,DAY(A1362+2)=15),-SUM('Main Budget'!$H$26:$H$31),0)</f>
        <v>0</v>
      </c>
      <c r="E1362" s="228">
        <f>IF(DAY(A1362+2)=22,-SUM('Main Budget'!$F$26:$F$31),0)</f>
        <v>0</v>
      </c>
      <c r="F1362" s="228">
        <f>IF(D1362&gt;0,-'Main Budget'!$H$25+0.15,0)</f>
        <v>0</v>
      </c>
      <c r="G1362" s="228">
        <f>IF(E1362&gt;0,-'Main Budget'!$F$25+0.81,0)</f>
        <v>0</v>
      </c>
      <c r="H1362" s="227">
        <f>IF(DAY(A1362)='Main Budget'!$J$26,'Main Budget'!$E$26,0)</f>
        <v>0</v>
      </c>
      <c r="I1362" s="227">
        <f>IF(DAY(A1362)='Main Budget'!$J$28,'Main Budget'!$E$28,0)</f>
        <v>0</v>
      </c>
      <c r="J1362" s="227">
        <f>IF(DAY(A1362)='Main Budget'!$J$29,'Main Budget'!$E$29,0)</f>
        <v>0</v>
      </c>
      <c r="K1362" s="20">
        <f>IF(DAY(A1362)='Main Budget'!$J$30,'Main Budget'!$E$30,0)</f>
        <v>0</v>
      </c>
      <c r="L1362" s="20">
        <f>IF(DAY(A1362)='Main Budget'!$J$31,'Main Budget'!$E$31,0)</f>
        <v>0</v>
      </c>
      <c r="M1362" s="20">
        <f>IF(DAY(A1362)='Main Budget'!$J$27,'Main Budget'!$E$27,0)</f>
        <v>0</v>
      </c>
      <c r="O1362" s="228">
        <f>B1362+(SUM(H1362:M1362)+(SUM(D1362:E1362)))</f>
        <v>100</v>
      </c>
      <c r="P1362" s="228">
        <f>C1362+F1362+G1362+N1362</f>
        <v>100</v>
      </c>
      <c r="Q1362" s="252">
        <f>O1362+P1362</f>
        <v>200</v>
      </c>
      <c r="S1362" s="231" t="str">
        <f>TEXT(A1362,"dddd")</f>
        <v>Saturday</v>
      </c>
    </row>
    <row r="1363" spans="1:19" x14ac:dyDescent="0.25">
      <c r="A1363" s="226">
        <v>47384</v>
      </c>
      <c r="B1363" s="227">
        <f>O1362</f>
        <v>100</v>
      </c>
      <c r="C1363" s="228">
        <f>P1362</f>
        <v>100</v>
      </c>
      <c r="D1363" s="228">
        <f>IF(OR(DAY(A1363+2)=1,DAY(A1363+2)=15),-SUM('Main Budget'!$H$26:$H$31),0)</f>
        <v>0</v>
      </c>
      <c r="E1363" s="228">
        <f>IF(DAY(A1363+2)=22,-SUM('Main Budget'!$F$26:$F$31),0)</f>
        <v>0</v>
      </c>
      <c r="F1363" s="228">
        <f>IF(D1363&gt;0,-'Main Budget'!$H$25+0.15,0)</f>
        <v>0</v>
      </c>
      <c r="G1363" s="228">
        <f>IF(E1363&gt;0,-'Main Budget'!$F$25+0.81,0)</f>
        <v>0</v>
      </c>
      <c r="H1363" s="227">
        <f>IF(DAY(A1363)='Main Budget'!$J$26,'Main Budget'!$E$26,0)</f>
        <v>0</v>
      </c>
      <c r="I1363" s="227">
        <f>IF(DAY(A1363)='Main Budget'!$J$28,'Main Budget'!$E$28,0)</f>
        <v>0</v>
      </c>
      <c r="J1363" s="227">
        <f>IF(DAY(A1363)='Main Budget'!$J$29,'Main Budget'!$E$29,0)</f>
        <v>0</v>
      </c>
      <c r="K1363" s="20">
        <f>IF(DAY(A1363)='Main Budget'!$J$30,'Main Budget'!$E$30,0)</f>
        <v>0</v>
      </c>
      <c r="L1363" s="20">
        <f>IF(DAY(A1363)='Main Budget'!$J$31,'Main Budget'!$E$31,0)</f>
        <v>0</v>
      </c>
      <c r="M1363" s="20">
        <f>IF(DAY(A1363)='Main Budget'!$J$27,'Main Budget'!$E$27,0)</f>
        <v>0</v>
      </c>
      <c r="O1363" s="228">
        <f>B1363+(SUM(H1363:M1363)+(SUM(D1363:E1363)))</f>
        <v>100</v>
      </c>
      <c r="P1363" s="228">
        <f>C1363+F1363+G1363+N1363</f>
        <v>100</v>
      </c>
      <c r="Q1363" s="252">
        <f>O1363+P1363</f>
        <v>200</v>
      </c>
      <c r="S1363" s="231" t="str">
        <f>TEXT(A1363,"dddd")</f>
        <v>Sunday</v>
      </c>
    </row>
    <row r="1364" spans="1:19" x14ac:dyDescent="0.25">
      <c r="A1364" s="226">
        <v>47385</v>
      </c>
      <c r="B1364" s="227">
        <f>O1363</f>
        <v>100</v>
      </c>
      <c r="C1364" s="228">
        <f>P1363</f>
        <v>100</v>
      </c>
      <c r="D1364" s="228">
        <f>IF(OR(DAY(A1364+2)=1,DAY(A1364+2)=15),-SUM('Main Budget'!$H$26:$H$31),0)</f>
        <v>0</v>
      </c>
      <c r="E1364" s="228">
        <f>IF(DAY(A1364+2)=22,-SUM('Main Budget'!$F$26:$F$31),0)</f>
        <v>0</v>
      </c>
      <c r="F1364" s="228">
        <f>IF(D1364&gt;0,-'Main Budget'!$H$25+0.15,0)</f>
        <v>0</v>
      </c>
      <c r="G1364" s="228">
        <f>IF(E1364&gt;0,-'Main Budget'!$F$25+0.81,0)</f>
        <v>0</v>
      </c>
      <c r="H1364" s="227">
        <f>IF(DAY(A1364)='Main Budget'!$J$26,'Main Budget'!$E$26,0)</f>
        <v>0</v>
      </c>
      <c r="I1364" s="227">
        <f>IF(DAY(A1364)='Main Budget'!$J$28,'Main Budget'!$E$28,0)</f>
        <v>0</v>
      </c>
      <c r="J1364" s="227">
        <f>IF(DAY(A1364)='Main Budget'!$J$29,'Main Budget'!$E$29,0)</f>
        <v>0</v>
      </c>
      <c r="K1364" s="20">
        <f>IF(DAY(A1364)='Main Budget'!$J$30,'Main Budget'!$E$30,0)</f>
        <v>0</v>
      </c>
      <c r="L1364" s="20">
        <f>IF(DAY(A1364)='Main Budget'!$J$31,'Main Budget'!$E$31,0)</f>
        <v>0</v>
      </c>
      <c r="M1364" s="20">
        <f>IF(DAY(A1364)='Main Budget'!$J$27,'Main Budget'!$E$27,0)</f>
        <v>0</v>
      </c>
      <c r="O1364" s="228">
        <f>B1364+(SUM(H1364:M1364)+(SUM(D1364:E1364)))</f>
        <v>100</v>
      </c>
      <c r="P1364" s="228">
        <f>C1364+F1364+G1364+N1364</f>
        <v>100</v>
      </c>
      <c r="Q1364" s="252">
        <f>O1364+P1364</f>
        <v>200</v>
      </c>
      <c r="S1364" s="231" t="str">
        <f>TEXT(A1364,"dddd")</f>
        <v>Monday</v>
      </c>
    </row>
    <row r="1365" spans="1:19" x14ac:dyDescent="0.25">
      <c r="A1365" s="226">
        <v>47386</v>
      </c>
      <c r="B1365" s="227">
        <f>O1364</f>
        <v>100</v>
      </c>
      <c r="C1365" s="228">
        <f>P1364</f>
        <v>100</v>
      </c>
      <c r="D1365" s="228">
        <f>IF(OR(DAY(A1365+2)=1,DAY(A1365+2)=15),-SUM('Main Budget'!$H$26:$H$31),0)</f>
        <v>0</v>
      </c>
      <c r="E1365" s="228">
        <f>IF(DAY(A1365+2)=22,-SUM('Main Budget'!$F$26:$F$31),0)</f>
        <v>0</v>
      </c>
      <c r="F1365" s="228">
        <f>IF(D1365&gt;0,-'Main Budget'!$H$25+0.15,0)</f>
        <v>0</v>
      </c>
      <c r="G1365" s="228">
        <f>IF(E1365&gt;0,-'Main Budget'!$F$25+0.81,0)</f>
        <v>0</v>
      </c>
      <c r="H1365" s="227">
        <f>IF(DAY(A1365)='Main Budget'!$J$26,'Main Budget'!$E$26,0)</f>
        <v>0</v>
      </c>
      <c r="I1365" s="227">
        <f>IF(DAY(A1365)='Main Budget'!$J$28,'Main Budget'!$E$28,0)</f>
        <v>0</v>
      </c>
      <c r="J1365" s="227">
        <f>IF(DAY(A1365)='Main Budget'!$J$29,'Main Budget'!$E$29,0)</f>
        <v>0</v>
      </c>
      <c r="K1365" s="20">
        <f>IF(DAY(A1365)='Main Budget'!$J$30,'Main Budget'!$E$30,0)</f>
        <v>0</v>
      </c>
      <c r="L1365" s="20">
        <f>IF(DAY(A1365)='Main Budget'!$J$31,'Main Budget'!$E$31,0)</f>
        <v>0</v>
      </c>
      <c r="M1365" s="20">
        <f>IF(DAY(A1365)='Main Budget'!$J$27,'Main Budget'!$E$27,0)</f>
        <v>0</v>
      </c>
      <c r="O1365" s="228">
        <f>B1365+(SUM(H1365:M1365)+(SUM(D1365:E1365)))</f>
        <v>100</v>
      </c>
      <c r="P1365" s="228">
        <f>C1365+F1365+G1365+N1365</f>
        <v>100</v>
      </c>
      <c r="Q1365" s="252">
        <f>O1365+P1365</f>
        <v>200</v>
      </c>
      <c r="S1365" s="231" t="str">
        <f>TEXT(A1365,"dddd")</f>
        <v>Tuesday</v>
      </c>
    </row>
    <row r="1366" spans="1:19" x14ac:dyDescent="0.25">
      <c r="A1366" s="226">
        <v>47387</v>
      </c>
      <c r="B1366" s="227">
        <f>O1365</f>
        <v>100</v>
      </c>
      <c r="C1366" s="228">
        <f>P1365</f>
        <v>100</v>
      </c>
      <c r="D1366" s="228">
        <f>IF(OR(DAY(A1366+2)=1,DAY(A1366+2)=15),-SUM('Main Budget'!$H$26:$H$31),0)</f>
        <v>0</v>
      </c>
      <c r="E1366" s="228">
        <f>IF(DAY(A1366+2)=22,-SUM('Main Budget'!$F$26:$F$31),0)</f>
        <v>0</v>
      </c>
      <c r="F1366" s="228">
        <f>IF(D1366&gt;0,-'Main Budget'!$H$25+0.15,0)</f>
        <v>0</v>
      </c>
      <c r="G1366" s="228">
        <f>IF(E1366&gt;0,-'Main Budget'!$F$25+0.81,0)</f>
        <v>0</v>
      </c>
      <c r="H1366" s="227">
        <f>IF(DAY(A1366)='Main Budget'!$J$26,'Main Budget'!$E$26,0)</f>
        <v>0</v>
      </c>
      <c r="I1366" s="227">
        <f>IF(DAY(A1366)='Main Budget'!$J$28,'Main Budget'!$E$28,0)</f>
        <v>0</v>
      </c>
      <c r="J1366" s="227">
        <f>IF(DAY(A1366)='Main Budget'!$J$29,'Main Budget'!$E$29,0)</f>
        <v>0</v>
      </c>
      <c r="K1366" s="20">
        <f>IF(DAY(A1366)='Main Budget'!$J$30,'Main Budget'!$E$30,0)</f>
        <v>0</v>
      </c>
      <c r="L1366" s="20">
        <f>IF(DAY(A1366)='Main Budget'!$J$31,'Main Budget'!$E$31,0)</f>
        <v>0</v>
      </c>
      <c r="M1366" s="20">
        <f>IF(DAY(A1366)='Main Budget'!$J$27,'Main Budget'!$E$27,0)</f>
        <v>0</v>
      </c>
      <c r="O1366" s="228">
        <f>B1366+(SUM(H1366:M1366)+(SUM(D1366:E1366)))</f>
        <v>100</v>
      </c>
      <c r="P1366" s="228">
        <f>C1366+F1366+G1366+N1366</f>
        <v>100</v>
      </c>
      <c r="Q1366" s="252">
        <f>O1366+P1366</f>
        <v>200</v>
      </c>
      <c r="S1366" s="231" t="str">
        <f>TEXT(A1366,"dddd")</f>
        <v>Wednesday</v>
      </c>
    </row>
    <row r="1367" spans="1:19" x14ac:dyDescent="0.25">
      <c r="A1367" s="226">
        <v>47388</v>
      </c>
      <c r="B1367" s="227">
        <f>O1366</f>
        <v>100</v>
      </c>
      <c r="C1367" s="228">
        <f>P1366</f>
        <v>100</v>
      </c>
      <c r="D1367" s="228">
        <f>IF(OR(DAY(A1367+2)=1,DAY(A1367+2)=15),-SUM('Main Budget'!$H$26:$H$31),0)</f>
        <v>0</v>
      </c>
      <c r="E1367" s="228">
        <f>IF(DAY(A1367+2)=22,-SUM('Main Budget'!$F$26:$F$31),0)</f>
        <v>0</v>
      </c>
      <c r="F1367" s="228">
        <f>IF(D1367&gt;0,-'Main Budget'!$H$25+0.15,0)</f>
        <v>0</v>
      </c>
      <c r="G1367" s="228">
        <f>IF(E1367&gt;0,-'Main Budget'!$F$25+0.81,0)</f>
        <v>0</v>
      </c>
      <c r="H1367" s="227">
        <f>IF(DAY(A1367)='Main Budget'!$J$26,'Main Budget'!$E$26,0)</f>
        <v>0</v>
      </c>
      <c r="I1367" s="227">
        <f>IF(DAY(A1367)='Main Budget'!$J$28,'Main Budget'!$E$28,0)</f>
        <v>0</v>
      </c>
      <c r="J1367" s="227">
        <f>IF(DAY(A1367)='Main Budget'!$J$29,'Main Budget'!$E$29,0)</f>
        <v>0</v>
      </c>
      <c r="K1367" s="20">
        <f>IF(DAY(A1367)='Main Budget'!$J$30,'Main Budget'!$E$30,0)</f>
        <v>0</v>
      </c>
      <c r="L1367" s="20">
        <f>IF(DAY(A1367)='Main Budget'!$J$31,'Main Budget'!$E$31,0)</f>
        <v>0</v>
      </c>
      <c r="M1367" s="20">
        <f>IF(DAY(A1367)='Main Budget'!$J$27,'Main Budget'!$E$27,0)</f>
        <v>0</v>
      </c>
      <c r="O1367" s="228">
        <f>B1367+(SUM(H1367:M1367)+(SUM(D1367:E1367)))</f>
        <v>100</v>
      </c>
      <c r="P1367" s="228">
        <f>C1367+F1367+G1367+N1367</f>
        <v>100</v>
      </c>
      <c r="Q1367" s="252">
        <f>O1367+P1367</f>
        <v>200</v>
      </c>
      <c r="S1367" s="231" t="str">
        <f>TEXT(A1367,"dddd")</f>
        <v>Thursday</v>
      </c>
    </row>
    <row r="1368" spans="1:19" x14ac:dyDescent="0.25">
      <c r="A1368" s="226">
        <v>47389</v>
      </c>
      <c r="B1368" s="227">
        <f>O1367</f>
        <v>100</v>
      </c>
      <c r="C1368" s="228">
        <f>P1367</f>
        <v>100</v>
      </c>
      <c r="D1368" s="228">
        <f>IF(OR(DAY(A1368+2)=1,DAY(A1368+2)=15),-SUM('Main Budget'!$H$26:$H$31),0)</f>
        <v>0</v>
      </c>
      <c r="E1368" s="228">
        <f>IF(DAY(A1368+2)=22,-SUM('Main Budget'!$F$26:$F$31),0)</f>
        <v>0</v>
      </c>
      <c r="F1368" s="228">
        <f>IF(D1368&gt;0,-'Main Budget'!$H$25+0.15,0)</f>
        <v>0</v>
      </c>
      <c r="G1368" s="228">
        <f>IF(E1368&gt;0,-'Main Budget'!$F$25+0.81,0)</f>
        <v>0</v>
      </c>
      <c r="H1368" s="227">
        <f>IF(DAY(A1368)='Main Budget'!$J$26,'Main Budget'!$E$26,0)</f>
        <v>0</v>
      </c>
      <c r="I1368" s="227">
        <f>IF(DAY(A1368)='Main Budget'!$J$28,'Main Budget'!$E$28,0)</f>
        <v>0</v>
      </c>
      <c r="J1368" s="227">
        <f>IF(DAY(A1368)='Main Budget'!$J$29,'Main Budget'!$E$29,0)</f>
        <v>0</v>
      </c>
      <c r="K1368" s="20">
        <f>IF(DAY(A1368)='Main Budget'!$J$30,'Main Budget'!$E$30,0)</f>
        <v>0</v>
      </c>
      <c r="L1368" s="20">
        <f>IF(DAY(A1368)='Main Budget'!$J$31,'Main Budget'!$E$31,0)</f>
        <v>0</v>
      </c>
      <c r="M1368" s="20">
        <f>IF(DAY(A1368)='Main Budget'!$J$27,'Main Budget'!$E$27,0)</f>
        <v>0</v>
      </c>
      <c r="O1368" s="228">
        <f>B1368+(SUM(H1368:M1368)+(SUM(D1368:E1368)))</f>
        <v>100</v>
      </c>
      <c r="P1368" s="228">
        <f>C1368+F1368+G1368+N1368</f>
        <v>100</v>
      </c>
      <c r="Q1368" s="252">
        <f>O1368+P1368</f>
        <v>200</v>
      </c>
      <c r="S1368" s="231" t="str">
        <f>TEXT(A1368,"dddd")</f>
        <v>Friday</v>
      </c>
    </row>
    <row r="1369" spans="1:19" x14ac:dyDescent="0.25">
      <c r="A1369" s="226">
        <v>47390</v>
      </c>
      <c r="B1369" s="227">
        <f>O1368</f>
        <v>100</v>
      </c>
      <c r="C1369" s="228">
        <f>P1368</f>
        <v>100</v>
      </c>
      <c r="D1369" s="228">
        <f>IF(OR(DAY(A1369+2)=1,DAY(A1369+2)=15),-SUM('Main Budget'!$H$26:$H$31),0)</f>
        <v>0</v>
      </c>
      <c r="E1369" s="228">
        <f>IF(DAY(A1369+2)=22,-SUM('Main Budget'!$F$26:$F$31),0)</f>
        <v>0</v>
      </c>
      <c r="F1369" s="228">
        <f>IF(D1369&gt;0,-'Main Budget'!$H$25+0.15,0)</f>
        <v>0</v>
      </c>
      <c r="G1369" s="228">
        <f>IF(E1369&gt;0,-'Main Budget'!$F$25+0.81,0)</f>
        <v>0</v>
      </c>
      <c r="H1369" s="227">
        <f>IF(DAY(A1369)='Main Budget'!$J$26,'Main Budget'!$E$26,0)</f>
        <v>0</v>
      </c>
      <c r="I1369" s="227">
        <f>IF(DAY(A1369)='Main Budget'!$J$28,'Main Budget'!$E$28,0)</f>
        <v>0</v>
      </c>
      <c r="J1369" s="227">
        <f>IF(DAY(A1369)='Main Budget'!$J$29,'Main Budget'!$E$29,0)</f>
        <v>0</v>
      </c>
      <c r="K1369" s="20">
        <f>IF(DAY(A1369)='Main Budget'!$J$30,'Main Budget'!$E$30,0)</f>
        <v>0</v>
      </c>
      <c r="L1369" s="20">
        <f>IF(DAY(A1369)='Main Budget'!$J$31,'Main Budget'!$E$31,0)</f>
        <v>0</v>
      </c>
      <c r="M1369" s="20">
        <f>IF(DAY(A1369)='Main Budget'!$J$27,'Main Budget'!$E$27,0)</f>
        <v>0</v>
      </c>
      <c r="O1369" s="228">
        <f>B1369+(SUM(H1369:M1369)+(SUM(D1369:E1369)))</f>
        <v>100</v>
      </c>
      <c r="P1369" s="228">
        <f>C1369+F1369+G1369+N1369</f>
        <v>100</v>
      </c>
      <c r="Q1369" s="252">
        <f>O1369+P1369</f>
        <v>200</v>
      </c>
      <c r="S1369" s="231" t="str">
        <f>TEXT(A1369,"dddd")</f>
        <v>Saturday</v>
      </c>
    </row>
    <row r="1370" spans="1:19" x14ac:dyDescent="0.25">
      <c r="A1370" s="226">
        <v>47391</v>
      </c>
      <c r="B1370" s="227">
        <f>O1369</f>
        <v>100</v>
      </c>
      <c r="C1370" s="228">
        <f>P1369</f>
        <v>100</v>
      </c>
      <c r="D1370" s="228">
        <f>IF(OR(DAY(A1370+2)=1,DAY(A1370+2)=15),-SUM('Main Budget'!$H$26:$H$31),0)</f>
        <v>0</v>
      </c>
      <c r="E1370" s="228">
        <f>IF(DAY(A1370+2)=22,-SUM('Main Budget'!$F$26:$F$31),0)</f>
        <v>0</v>
      </c>
      <c r="F1370" s="228">
        <f>IF(D1370&gt;0,-'Main Budget'!$H$25+0.15,0)</f>
        <v>0</v>
      </c>
      <c r="G1370" s="228">
        <f>IF(E1370&gt;0,-'Main Budget'!$F$25+0.81,0)</f>
        <v>0</v>
      </c>
      <c r="H1370" s="227">
        <f>IF(DAY(A1370)='Main Budget'!$J$26,'Main Budget'!$E$26,0)</f>
        <v>0</v>
      </c>
      <c r="I1370" s="227">
        <f>IF(DAY(A1370)='Main Budget'!$J$28,'Main Budget'!$E$28,0)</f>
        <v>0</v>
      </c>
      <c r="J1370" s="227">
        <f>IF(DAY(A1370)='Main Budget'!$J$29,'Main Budget'!$E$29,0)</f>
        <v>0</v>
      </c>
      <c r="K1370" s="20">
        <f>IF(DAY(A1370)='Main Budget'!$J$30,'Main Budget'!$E$30,0)</f>
        <v>0</v>
      </c>
      <c r="L1370" s="20">
        <f>IF(DAY(A1370)='Main Budget'!$J$31,'Main Budget'!$E$31,0)</f>
        <v>0</v>
      </c>
      <c r="M1370" s="20">
        <f>IF(DAY(A1370)='Main Budget'!$J$27,'Main Budget'!$E$27,0)</f>
        <v>0</v>
      </c>
      <c r="O1370" s="228">
        <f>B1370+(SUM(H1370:M1370)+(SUM(D1370:E1370)))</f>
        <v>100</v>
      </c>
      <c r="P1370" s="228">
        <f>C1370+F1370+G1370+N1370</f>
        <v>100</v>
      </c>
      <c r="Q1370" s="252">
        <f>O1370+P1370</f>
        <v>200</v>
      </c>
      <c r="S1370" s="231" t="str">
        <f>TEXT(A1370,"dddd")</f>
        <v>Sunday</v>
      </c>
    </row>
    <row r="1371" spans="1:19" x14ac:dyDescent="0.25">
      <c r="A1371" s="226">
        <v>47392</v>
      </c>
      <c r="B1371" s="227">
        <f>O1370</f>
        <v>100</v>
      </c>
      <c r="C1371" s="228">
        <f>P1370</f>
        <v>100</v>
      </c>
      <c r="D1371" s="228">
        <f>IF(OR(DAY(A1371+2)=1,DAY(A1371+2)=15),-SUM('Main Budget'!$H$26:$H$31),0)</f>
        <v>0</v>
      </c>
      <c r="E1371" s="228">
        <f>IF(DAY(A1371+2)=22,-SUM('Main Budget'!$F$26:$F$31),0)</f>
        <v>0</v>
      </c>
      <c r="F1371" s="228">
        <f>IF(D1371&gt;0,-'Main Budget'!$H$25+0.15,0)</f>
        <v>0</v>
      </c>
      <c r="G1371" s="228">
        <f>IF(E1371&gt;0,-'Main Budget'!$F$25+0.81,0)</f>
        <v>0</v>
      </c>
      <c r="H1371" s="227">
        <f>IF(DAY(A1371)='Main Budget'!$J$26,'Main Budget'!$E$26,0)</f>
        <v>0</v>
      </c>
      <c r="I1371" s="227">
        <f>IF(DAY(A1371)='Main Budget'!$J$28,'Main Budget'!$E$28,0)</f>
        <v>0</v>
      </c>
      <c r="J1371" s="227">
        <f>IF(DAY(A1371)='Main Budget'!$J$29,'Main Budget'!$E$29,0)</f>
        <v>0</v>
      </c>
      <c r="K1371" s="20">
        <f>IF(DAY(A1371)='Main Budget'!$J$30,'Main Budget'!$E$30,0)</f>
        <v>0</v>
      </c>
      <c r="L1371" s="20">
        <f>IF(DAY(A1371)='Main Budget'!$J$31,'Main Budget'!$E$31,0)</f>
        <v>0</v>
      </c>
      <c r="M1371" s="20">
        <f>IF(DAY(A1371)='Main Budget'!$J$27,'Main Budget'!$E$27,0)</f>
        <v>0</v>
      </c>
      <c r="O1371" s="228">
        <f>B1371+(SUM(H1371:M1371)+(SUM(D1371:E1371)))</f>
        <v>100</v>
      </c>
      <c r="P1371" s="228">
        <f>C1371+F1371+G1371+N1371</f>
        <v>100</v>
      </c>
      <c r="Q1371" s="252">
        <f>O1371+P1371</f>
        <v>200</v>
      </c>
      <c r="S1371" s="231" t="str">
        <f>TEXT(A1371,"dddd")</f>
        <v>Monday</v>
      </c>
    </row>
    <row r="1372" spans="1:19" x14ac:dyDescent="0.25">
      <c r="A1372" s="226">
        <v>47393</v>
      </c>
      <c r="B1372" s="227">
        <f>O1371</f>
        <v>100</v>
      </c>
      <c r="C1372" s="228">
        <f>P1371</f>
        <v>100</v>
      </c>
      <c r="D1372" s="228">
        <f>IF(OR(DAY(A1372+2)=1,DAY(A1372+2)=15),-SUM('Main Budget'!$H$26:$H$31),0)</f>
        <v>0</v>
      </c>
      <c r="E1372" s="228">
        <f>IF(DAY(A1372+2)=22,-SUM('Main Budget'!$F$26:$F$31),0)</f>
        <v>0</v>
      </c>
      <c r="F1372" s="228">
        <f>IF(D1372&gt;0,-'Main Budget'!$H$25+0.15,0)</f>
        <v>0</v>
      </c>
      <c r="G1372" s="228">
        <f>IF(E1372&gt;0,-'Main Budget'!$F$25+0.81,0)</f>
        <v>0</v>
      </c>
      <c r="H1372" s="227">
        <f>IF(DAY(A1372)='Main Budget'!$J$26,'Main Budget'!$E$26,0)</f>
        <v>0</v>
      </c>
      <c r="I1372" s="227">
        <f>IF(DAY(A1372)='Main Budget'!$J$28,'Main Budget'!$E$28,0)</f>
        <v>0</v>
      </c>
      <c r="J1372" s="227">
        <f>IF(DAY(A1372)='Main Budget'!$J$29,'Main Budget'!$E$29,0)</f>
        <v>0</v>
      </c>
      <c r="K1372" s="20">
        <f>IF(DAY(A1372)='Main Budget'!$J$30,'Main Budget'!$E$30,0)</f>
        <v>0</v>
      </c>
      <c r="L1372" s="20">
        <f>IF(DAY(A1372)='Main Budget'!$J$31,'Main Budget'!$E$31,0)</f>
        <v>0</v>
      </c>
      <c r="M1372" s="20">
        <f>IF(DAY(A1372)='Main Budget'!$J$27,'Main Budget'!$E$27,0)</f>
        <v>0</v>
      </c>
      <c r="O1372" s="228">
        <f>B1372+(SUM(H1372:M1372)+(SUM(D1372:E1372)))</f>
        <v>100</v>
      </c>
      <c r="P1372" s="228">
        <f>C1372+F1372+G1372+N1372</f>
        <v>100</v>
      </c>
      <c r="Q1372" s="252">
        <f>O1372+P1372</f>
        <v>200</v>
      </c>
      <c r="S1372" s="231" t="str">
        <f>TEXT(A1372,"dddd")</f>
        <v>Tuesday</v>
      </c>
    </row>
    <row r="1373" spans="1:19" x14ac:dyDescent="0.25">
      <c r="A1373" s="226">
        <v>47394</v>
      </c>
      <c r="B1373" s="227">
        <f>O1372</f>
        <v>100</v>
      </c>
      <c r="C1373" s="228">
        <f>P1372</f>
        <v>100</v>
      </c>
      <c r="D1373" s="228">
        <f>IF(OR(DAY(A1373+2)=1,DAY(A1373+2)=15),-SUM('Main Budget'!$H$26:$H$31),0)</f>
        <v>0</v>
      </c>
      <c r="E1373" s="228">
        <f>IF(DAY(A1373+2)=22,-SUM('Main Budget'!$F$26:$F$31),0)</f>
        <v>0</v>
      </c>
      <c r="F1373" s="228">
        <f>IF(D1373&gt;0,-'Main Budget'!$H$25+0.15,0)</f>
        <v>0</v>
      </c>
      <c r="G1373" s="228">
        <f>IF(E1373&gt;0,-'Main Budget'!$F$25+0.81,0)</f>
        <v>0</v>
      </c>
      <c r="H1373" s="227">
        <f>IF(DAY(A1373)='Main Budget'!$J$26,'Main Budget'!$E$26,0)</f>
        <v>0</v>
      </c>
      <c r="I1373" s="227">
        <f>IF(DAY(A1373)='Main Budget'!$J$28,'Main Budget'!$E$28,0)</f>
        <v>0</v>
      </c>
      <c r="J1373" s="227">
        <f>IF(DAY(A1373)='Main Budget'!$J$29,'Main Budget'!$E$29,0)</f>
        <v>0</v>
      </c>
      <c r="K1373" s="20">
        <f>IF(DAY(A1373)='Main Budget'!$J$30,'Main Budget'!$E$30,0)</f>
        <v>0</v>
      </c>
      <c r="L1373" s="20">
        <f>IF(DAY(A1373)='Main Budget'!$J$31,'Main Budget'!$E$31,0)</f>
        <v>0</v>
      </c>
      <c r="M1373" s="20">
        <f>IF(DAY(A1373)='Main Budget'!$J$27,'Main Budget'!$E$27,0)</f>
        <v>0</v>
      </c>
      <c r="O1373" s="228">
        <f>B1373+(SUM(H1373:M1373)+(SUM(D1373:E1373)))</f>
        <v>100</v>
      </c>
      <c r="P1373" s="228">
        <f>C1373+F1373+G1373+N1373</f>
        <v>100</v>
      </c>
      <c r="Q1373" s="252">
        <f>O1373+P1373</f>
        <v>200</v>
      </c>
      <c r="S1373" s="231" t="str">
        <f>TEXT(A1373,"dddd")</f>
        <v>Wednesday</v>
      </c>
    </row>
    <row r="1374" spans="1:19" x14ac:dyDescent="0.25">
      <c r="A1374" s="226">
        <v>47395</v>
      </c>
      <c r="B1374" s="227">
        <f>O1373</f>
        <v>100</v>
      </c>
      <c r="C1374" s="228">
        <f>P1373</f>
        <v>100</v>
      </c>
      <c r="D1374" s="228">
        <f>IF(OR(DAY(A1374+2)=1,DAY(A1374+2)=15),-SUM('Main Budget'!$H$26:$H$31),0)</f>
        <v>0</v>
      </c>
      <c r="E1374" s="228">
        <f>IF(DAY(A1374+2)=22,-SUM('Main Budget'!$F$26:$F$31),0)</f>
        <v>0</v>
      </c>
      <c r="F1374" s="228">
        <f>IF(D1374&gt;0,-'Main Budget'!$H$25+0.15,0)</f>
        <v>0</v>
      </c>
      <c r="G1374" s="228">
        <f>IF(E1374&gt;0,-'Main Budget'!$F$25+0.81,0)</f>
        <v>0</v>
      </c>
      <c r="H1374" s="227">
        <f>IF(DAY(A1374)='Main Budget'!$J$26,'Main Budget'!$E$26,0)</f>
        <v>0</v>
      </c>
      <c r="I1374" s="227">
        <f>IF(DAY(A1374)='Main Budget'!$J$28,'Main Budget'!$E$28,0)</f>
        <v>0</v>
      </c>
      <c r="J1374" s="227">
        <f>IF(DAY(A1374)='Main Budget'!$J$29,'Main Budget'!$E$29,0)</f>
        <v>0</v>
      </c>
      <c r="K1374" s="20">
        <f>IF(DAY(A1374)='Main Budget'!$J$30,'Main Budget'!$E$30,0)</f>
        <v>0</v>
      </c>
      <c r="L1374" s="20">
        <f>IF(DAY(A1374)='Main Budget'!$J$31,'Main Budget'!$E$31,0)</f>
        <v>0</v>
      </c>
      <c r="M1374" s="20">
        <f>IF(DAY(A1374)='Main Budget'!$J$27,'Main Budget'!$E$27,0)</f>
        <v>0</v>
      </c>
      <c r="O1374" s="228">
        <f>B1374+(SUM(H1374:M1374)+(SUM(D1374:E1374)))</f>
        <v>100</v>
      </c>
      <c r="P1374" s="228">
        <f>C1374+F1374+G1374+N1374</f>
        <v>100</v>
      </c>
      <c r="Q1374" s="252">
        <f>O1374+P1374</f>
        <v>200</v>
      </c>
      <c r="S1374" s="231" t="str">
        <f>TEXT(A1374,"dddd")</f>
        <v>Thursday</v>
      </c>
    </row>
  </sheetData>
  <conditionalFormatting sqref="A1:Q1">
    <cfRule type="expression" dxfId="19" priority="2">
      <formula>#REF!=TODAY()+1</formula>
    </cfRule>
  </conditionalFormatting>
  <conditionalFormatting sqref="J2:J1374">
    <cfRule type="cellIs" dxfId="18" priority="4" operator="lessThan">
      <formula>0</formula>
    </cfRule>
    <cfRule type="cellIs" dxfId="17" priority="5" operator="between">
      <formula>0</formula>
      <formula>500</formula>
    </cfRule>
  </conditionalFormatting>
  <conditionalFormatting sqref="S1:S1048576">
    <cfRule type="containsText" dxfId="16" priority="1" operator="containsText" text="Monday">
      <formula>NOT(ISERROR(SEARCH("Monday",S1)))</formula>
    </cfRule>
  </conditionalFormatting>
  <conditionalFormatting sqref="A1046665:Q1048576">
    <cfRule type="expression" dxfId="15" priority="6">
      <formula>#REF!=TODAY()+1</formula>
    </cfRule>
  </conditionalFormatting>
  <conditionalFormatting sqref="A1046472:Q1046664">
    <cfRule type="expression" dxfId="14" priority="7">
      <formula>$A1=TODAY()+1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462F-C927-4EBF-8D47-DE727F2E0975}">
  <sheetPr>
    <tabColor theme="3" tint="0.59999389629810485"/>
  </sheetPr>
  <dimension ref="A1:P101"/>
  <sheetViews>
    <sheetView workbookViewId="0">
      <pane ySplit="1" topLeftCell="A2" activePane="bottomLeft" state="frozen"/>
      <selection activeCell="G28" sqref="G28"/>
      <selection pane="bottomLeft" activeCell="L2" sqref="L2"/>
    </sheetView>
  </sheetViews>
  <sheetFormatPr defaultRowHeight="13.2" x14ac:dyDescent="0.25"/>
  <cols>
    <col min="1" max="1" width="10.109375" bestFit="1" customWidth="1"/>
    <col min="2" max="2" width="9.109375" style="245" bestFit="1" customWidth="1"/>
    <col min="3" max="3" width="9.6640625" style="245" bestFit="1" customWidth="1"/>
    <col min="4" max="4" width="9.33203125" style="245" bestFit="1" customWidth="1"/>
    <col min="5" max="5" width="6.5546875" style="245" bestFit="1" customWidth="1"/>
    <col min="6" max="6" width="7.5546875" style="245" bestFit="1" customWidth="1"/>
    <col min="7" max="7" width="6.5546875" style="245" bestFit="1" customWidth="1"/>
    <col min="8" max="8" width="7.109375" style="245" bestFit="1" customWidth="1"/>
    <col min="9" max="9" width="9.77734375" style="251" bestFit="1" customWidth="1"/>
    <col min="10" max="10" width="7.5546875" style="245" bestFit="1" customWidth="1"/>
    <col min="11" max="11" width="14.5546875" style="245" bestFit="1" customWidth="1"/>
    <col min="12" max="12" width="8.5546875" style="245" bestFit="1" customWidth="1"/>
    <col min="13" max="13" width="12.77734375" style="244" bestFit="1" customWidth="1"/>
    <col min="14" max="14" width="9.88671875" bestFit="1" customWidth="1"/>
    <col min="15" max="15" width="33.6640625" bestFit="1" customWidth="1"/>
    <col min="16" max="16" width="11.5546875" bestFit="1" customWidth="1"/>
  </cols>
  <sheetData>
    <row r="1" spans="1:16" s="225" customFormat="1" ht="39.6" x14ac:dyDescent="0.25">
      <c r="A1" s="225" t="s">
        <v>119</v>
      </c>
      <c r="B1" s="239" t="s">
        <v>139</v>
      </c>
      <c r="C1" s="239" t="s">
        <v>121</v>
      </c>
      <c r="D1" s="239" t="s">
        <v>140</v>
      </c>
      <c r="E1" s="239" t="s">
        <v>122</v>
      </c>
      <c r="F1" s="239" t="s">
        <v>123</v>
      </c>
      <c r="G1" s="239" t="s">
        <v>124</v>
      </c>
      <c r="H1" s="239" t="s">
        <v>125</v>
      </c>
      <c r="I1" s="240" t="s">
        <v>141</v>
      </c>
      <c r="J1" s="239" t="s">
        <v>132</v>
      </c>
      <c r="K1" s="239" t="s">
        <v>133</v>
      </c>
      <c r="L1" s="239" t="s">
        <v>142</v>
      </c>
      <c r="M1" s="239" t="s">
        <v>143</v>
      </c>
      <c r="N1" s="225" t="s">
        <v>144</v>
      </c>
      <c r="O1" s="225" t="s">
        <v>145</v>
      </c>
      <c r="P1" s="225" t="s">
        <v>146</v>
      </c>
    </row>
    <row r="2" spans="1:16" x14ac:dyDescent="0.25">
      <c r="A2" s="246">
        <v>46023</v>
      </c>
      <c r="B2" s="247">
        <v>100</v>
      </c>
      <c r="C2" s="247">
        <v>100</v>
      </c>
      <c r="D2" s="247">
        <f>B2+C2</f>
        <v>200</v>
      </c>
      <c r="E2" s="247">
        <f>-(IF(DAY(A2+2)=1,'Main Budget'!$H$19,IF(DAY(A2+1)=15,'Main Budget'!$H$19,0)))</f>
        <v>0</v>
      </c>
      <c r="F2" s="247">
        <f>-(IF(DAY(A2)=20,'Main Budget'!$F$19,0))</f>
        <v>0</v>
      </c>
      <c r="G2" s="247">
        <f>-(IF(DAY(A2+2)=1,'Main Budget'!$H$20,IF(DAY(A2+1)=15,'Main Budget'!$H$20,0)))</f>
        <v>0</v>
      </c>
      <c r="H2" s="247">
        <f>-(IF(DAY(A2)=20,'Main Budget'!$F$20,0))</f>
        <v>0</v>
      </c>
      <c r="I2" s="248"/>
      <c r="J2" s="247"/>
      <c r="K2" s="247">
        <f>MAX((B2+E2+F2+J2)+I2,0)</f>
        <v>100</v>
      </c>
      <c r="L2" s="242">
        <f>ROUND(C2+G2+H2+N2,2)</f>
        <v>100</v>
      </c>
      <c r="M2" s="249">
        <f>K2+L2</f>
        <v>200</v>
      </c>
      <c r="N2" s="250"/>
      <c r="O2" s="250"/>
      <c r="P2" s="250" t="str">
        <f>TEXT(A2,"dddd")</f>
        <v>Thursday</v>
      </c>
    </row>
    <row r="3" spans="1:16" x14ac:dyDescent="0.25">
      <c r="A3" s="241">
        <v>46024</v>
      </c>
      <c r="B3" s="242">
        <f>K2</f>
        <v>100</v>
      </c>
      <c r="C3" s="242">
        <f>ROUND(L2+N2,2)</f>
        <v>100</v>
      </c>
      <c r="D3" s="242">
        <f>B3+C3</f>
        <v>200</v>
      </c>
      <c r="E3" s="242">
        <f>-(IF(DAY(A3+2)=1,'Main Budget'!$H$19,IF(DAY(A3+1)=15,'Main Budget'!$H$19,0)))</f>
        <v>0</v>
      </c>
      <c r="F3" s="242">
        <f>-(IF(DAY(A3)=20,'Main Budget'!$F$19,0))</f>
        <v>0</v>
      </c>
      <c r="G3" s="242">
        <f>-(IF(DAY(A3+2)=1,'Main Budget'!$H$20,IF(DAY(A3+1)=15,'Main Budget'!$H$20,0)))</f>
        <v>0</v>
      </c>
      <c r="H3" s="242">
        <f>-(IF(DAY(A3)=20,'Main Budget'!$F$20,0))</f>
        <v>0</v>
      </c>
      <c r="I3" s="243"/>
      <c r="J3" s="242"/>
      <c r="K3" s="242">
        <f>MAX((B3+E3+F3+J3)+I3,0)</f>
        <v>100</v>
      </c>
      <c r="L3" s="242">
        <f>ROUND(IF((B3+E3+F3+J3)+I3&lt;0,(L2+G3+H3)+(B3+E3+F3+J3)+I3,(L2+G3+H3))+N2,2)</f>
        <v>100</v>
      </c>
      <c r="M3" s="244">
        <f>K3+L3</f>
        <v>200</v>
      </c>
      <c r="P3" t="str">
        <f>TEXT(A3,"dddd")</f>
        <v>Friday</v>
      </c>
    </row>
    <row r="4" spans="1:16" x14ac:dyDescent="0.25">
      <c r="A4" s="241">
        <v>46025</v>
      </c>
      <c r="B4" s="242">
        <f>K3</f>
        <v>100</v>
      </c>
      <c r="C4" s="242">
        <f>ROUND(L3+N3,2)</f>
        <v>100</v>
      </c>
      <c r="D4" s="242">
        <f>B4+C4</f>
        <v>200</v>
      </c>
      <c r="E4" s="242">
        <f>-(IF(DAY(A4+2)=1,'Main Budget'!$H$19,IF(DAY(A4+1)=15,'Main Budget'!$H$19,0)))</f>
        <v>0</v>
      </c>
      <c r="F4" s="242">
        <f>-(IF(DAY(A4)=20,'Main Budget'!$F$19,0))</f>
        <v>0</v>
      </c>
      <c r="G4" s="242">
        <f>-(IF(DAY(A4+2)=1,'Main Budget'!$H$20,IF(DAY(A4+1)=15,'Main Budget'!$H$20,0)))</f>
        <v>0</v>
      </c>
      <c r="H4" s="242">
        <f>-(IF(DAY(A4)=20,'Main Budget'!$F$20,0))</f>
        <v>0</v>
      </c>
      <c r="I4" s="243"/>
      <c r="J4" s="242"/>
      <c r="K4" s="242">
        <f>MAX((B4+E4+F4+J4)+I4,0)</f>
        <v>100</v>
      </c>
      <c r="L4" s="242">
        <f>ROUND(IF((B4+E4+F4+J4)+I4&lt;0,(L3+G4+H4)+(B4+E4+F4+J4)+I4,(L3+G4+H4))+N3,2)</f>
        <v>100</v>
      </c>
      <c r="M4" s="244">
        <f>K4+L4</f>
        <v>200</v>
      </c>
      <c r="P4" t="str">
        <f>TEXT(A4,"dddd")</f>
        <v>Saturday</v>
      </c>
    </row>
    <row r="5" spans="1:16" x14ac:dyDescent="0.25">
      <c r="A5" s="241">
        <v>46026</v>
      </c>
      <c r="B5" s="242">
        <f>K4</f>
        <v>100</v>
      </c>
      <c r="C5" s="242">
        <f>ROUND(L4+N4,2)</f>
        <v>100</v>
      </c>
      <c r="D5" s="242">
        <f>B5+C5</f>
        <v>200</v>
      </c>
      <c r="E5" s="242">
        <f>-(IF(DAY(A5+2)=1,'Main Budget'!$H$19,IF(DAY(A5+1)=15,'Main Budget'!$H$19,0)))</f>
        <v>0</v>
      </c>
      <c r="F5" s="242">
        <f>-(IF(DAY(A5)=20,'Main Budget'!$F$19,0))</f>
        <v>0</v>
      </c>
      <c r="G5" s="242">
        <f>-(IF(DAY(A5+2)=1,'Main Budget'!$H$20,IF(DAY(A5+1)=15,'Main Budget'!$H$20,0)))</f>
        <v>0</v>
      </c>
      <c r="H5" s="242">
        <f>-(IF(DAY(A5)=20,'Main Budget'!$F$20,0))</f>
        <v>0</v>
      </c>
      <c r="I5" s="243"/>
      <c r="J5" s="242"/>
      <c r="K5" s="242">
        <f>MAX((B5+E5+F5+J5)+I5,0)</f>
        <v>100</v>
      </c>
      <c r="L5" s="242">
        <f>ROUND(IF((B5+E5+F5+J5)+I5&lt;0,(L4+G5+H5)+(B5+E5+F5+J5)+I5,(L4+G5+H5))+N4,2)</f>
        <v>100</v>
      </c>
      <c r="M5" s="244">
        <f>K5+L5</f>
        <v>200</v>
      </c>
      <c r="P5" t="str">
        <f>TEXT(A5,"dddd")</f>
        <v>Sunday</v>
      </c>
    </row>
    <row r="6" spans="1:16" x14ac:dyDescent="0.25">
      <c r="A6" s="241">
        <v>46027</v>
      </c>
      <c r="B6" s="242">
        <f>K5</f>
        <v>100</v>
      </c>
      <c r="C6" s="242">
        <f>ROUND(L5+N5,2)</f>
        <v>100</v>
      </c>
      <c r="D6" s="242">
        <f>B6+C6</f>
        <v>200</v>
      </c>
      <c r="E6" s="242">
        <f>-(IF(DAY(A6+2)=1,'Main Budget'!$H$19,IF(DAY(A6+1)=15,'Main Budget'!$H$19,0)))</f>
        <v>0</v>
      </c>
      <c r="F6" s="242">
        <f>-(IF(DAY(A6)=20,'Main Budget'!$F$19,0))</f>
        <v>0</v>
      </c>
      <c r="G6" s="242">
        <f>-(IF(DAY(A6+2)=1,'Main Budget'!$H$20,IF(DAY(A6+1)=15,'Main Budget'!$H$20,0)))</f>
        <v>0</v>
      </c>
      <c r="H6" s="242">
        <f>-(IF(DAY(A6)=20,'Main Budget'!$F$20,0))</f>
        <v>0</v>
      </c>
      <c r="I6" s="243"/>
      <c r="J6" s="242"/>
      <c r="K6" s="242">
        <f>MAX((B6+E6+F6+J6)+I6,0)</f>
        <v>100</v>
      </c>
      <c r="L6" s="242">
        <f>ROUND(IF((B6+E6+F6+J6)+I6&lt;0,(L5+G6+H6)+(B6+E6+F6+J6)+I6,(L5+G6+H6))+N5,2)</f>
        <v>100</v>
      </c>
      <c r="M6" s="244">
        <f>K6+L6</f>
        <v>200</v>
      </c>
      <c r="P6" t="str">
        <f>TEXT(A6,"dddd")</f>
        <v>Monday</v>
      </c>
    </row>
    <row r="7" spans="1:16" x14ac:dyDescent="0.25">
      <c r="A7" s="241">
        <v>46028</v>
      </c>
      <c r="B7" s="242">
        <f>K6</f>
        <v>100</v>
      </c>
      <c r="C7" s="242">
        <f>ROUND(L6+N6,2)</f>
        <v>100</v>
      </c>
      <c r="D7" s="242">
        <f>B7+C7</f>
        <v>200</v>
      </c>
      <c r="E7" s="242">
        <f>-(IF(DAY(A7+2)=1,'Main Budget'!$H$19,IF(DAY(A7+1)=15,'Main Budget'!$H$19,0)))</f>
        <v>0</v>
      </c>
      <c r="F7" s="242">
        <f>-(IF(DAY(A7)=20,'Main Budget'!$F$19,0))</f>
        <v>0</v>
      </c>
      <c r="G7" s="242">
        <f>-(IF(DAY(A7+2)=1,'Main Budget'!$H$20,IF(DAY(A7+1)=15,'Main Budget'!$H$20,0)))</f>
        <v>0</v>
      </c>
      <c r="H7" s="242">
        <f>-(IF(DAY(A7)=20,'Main Budget'!$F$20,0))</f>
        <v>0</v>
      </c>
      <c r="I7" s="243"/>
      <c r="J7" s="242"/>
      <c r="K7" s="242">
        <f>MAX((B7+E7+F7+J7)+I7,0)</f>
        <v>100</v>
      </c>
      <c r="L7" s="242">
        <f>ROUND(IF((B7+E7+F7+J7)+I7&lt;0,(L6+G7+H7)+(B7+E7+F7+J7)+I7,(L6+G7+H7))+N6,2)</f>
        <v>100</v>
      </c>
      <c r="M7" s="244">
        <f>K7+L7</f>
        <v>200</v>
      </c>
      <c r="P7" t="str">
        <f>TEXT(A7,"dddd")</f>
        <v>Tuesday</v>
      </c>
    </row>
    <row r="8" spans="1:16" x14ac:dyDescent="0.25">
      <c r="A8" s="241">
        <v>46029</v>
      </c>
      <c r="B8" s="242">
        <f>K7</f>
        <v>100</v>
      </c>
      <c r="C8" s="242">
        <f>ROUND(L7+N7,2)</f>
        <v>100</v>
      </c>
      <c r="D8" s="242">
        <f>B8+C8</f>
        <v>200</v>
      </c>
      <c r="E8" s="242">
        <f>-(IF(DAY(A8+2)=1,'Main Budget'!$H$19,IF(DAY(A8+1)=15,'Main Budget'!$H$19,0)))</f>
        <v>0</v>
      </c>
      <c r="F8" s="242">
        <f>-(IF(DAY(A8)=20,'Main Budget'!$F$19,0))</f>
        <v>0</v>
      </c>
      <c r="G8" s="242">
        <f>-(IF(DAY(A8+2)=1,'Main Budget'!$H$20,IF(DAY(A8+1)=15,'Main Budget'!$H$20,0)))</f>
        <v>0</v>
      </c>
      <c r="H8" s="242">
        <f>-(IF(DAY(A8)=20,'Main Budget'!$F$20,0))</f>
        <v>0</v>
      </c>
      <c r="I8" s="243"/>
      <c r="J8" s="242"/>
      <c r="K8" s="242">
        <f>MAX((B8+E8+F8+J8)+I8,0)</f>
        <v>100</v>
      </c>
      <c r="L8" s="242">
        <f>ROUND(IF((B8+E8+F8+J8)+I8&lt;0,(L7+G8+H8)+(B8+E8+F8+J8)+I8,(L7+G8+H8))+N7,2)</f>
        <v>100</v>
      </c>
      <c r="M8" s="244">
        <f>K8+L8</f>
        <v>200</v>
      </c>
      <c r="P8" t="str">
        <f>TEXT(A8,"dddd")</f>
        <v>Wednesday</v>
      </c>
    </row>
    <row r="9" spans="1:16" x14ac:dyDescent="0.25">
      <c r="A9" s="241">
        <v>46030</v>
      </c>
      <c r="B9" s="242">
        <f>K8</f>
        <v>100</v>
      </c>
      <c r="C9" s="242">
        <f>ROUND(L8+N8,2)</f>
        <v>100</v>
      </c>
      <c r="D9" s="242">
        <f>B9+C9</f>
        <v>200</v>
      </c>
      <c r="E9" s="242">
        <f>-(IF(DAY(A9+2)=1,'Main Budget'!$H$19,IF(DAY(A9+1)=15,'Main Budget'!$H$19,0)))</f>
        <v>0</v>
      </c>
      <c r="F9" s="242">
        <f>-(IF(DAY(A9)=20,'Main Budget'!$F$19,0))</f>
        <v>0</v>
      </c>
      <c r="G9" s="242">
        <f>-(IF(DAY(A9+2)=1,'Main Budget'!$H$20,IF(DAY(A9+1)=15,'Main Budget'!$H$20,0)))</f>
        <v>0</v>
      </c>
      <c r="H9" s="242">
        <f>-(IF(DAY(A9)=20,'Main Budget'!$F$20,0))</f>
        <v>0</v>
      </c>
      <c r="I9" s="243"/>
      <c r="J9" s="242"/>
      <c r="K9" s="242">
        <f>MAX((B9+E9+F9+J9)+I9,0)</f>
        <v>100</v>
      </c>
      <c r="L9" s="242">
        <f>ROUND(IF((B9+E9+F9+J9)+I9&lt;0,(L8+G9+H9)+(B9+E9+F9+J9)+I9,(L8+G9+H9))+N8,2)</f>
        <v>100</v>
      </c>
      <c r="M9" s="244">
        <f>K9+L9</f>
        <v>200</v>
      </c>
      <c r="P9" t="str">
        <f>TEXT(A9,"dddd")</f>
        <v>Thursday</v>
      </c>
    </row>
    <row r="10" spans="1:16" x14ac:dyDescent="0.25">
      <c r="A10" s="241">
        <v>46031</v>
      </c>
      <c r="B10" s="242">
        <f>K9</f>
        <v>100</v>
      </c>
      <c r="C10" s="242">
        <f>ROUND(L9+N9,2)</f>
        <v>100</v>
      </c>
      <c r="D10" s="242">
        <f>B10+C10</f>
        <v>200</v>
      </c>
      <c r="E10" s="242">
        <f>-(IF(DAY(A10+2)=1,'Main Budget'!$H$19,IF(DAY(A10+1)=15,'Main Budget'!$H$19,0)))</f>
        <v>0</v>
      </c>
      <c r="F10" s="242">
        <f>-(IF(DAY(A10)=20,'Main Budget'!$F$19,0))</f>
        <v>0</v>
      </c>
      <c r="G10" s="242">
        <f>-(IF(DAY(A10+2)=1,'Main Budget'!$H$20,IF(DAY(A10+1)=15,'Main Budget'!$H$20,0)))</f>
        <v>0</v>
      </c>
      <c r="H10" s="242">
        <f>-(IF(DAY(A10)=20,'Main Budget'!$F$20,0))</f>
        <v>0</v>
      </c>
      <c r="I10" s="243"/>
      <c r="J10" s="242"/>
      <c r="K10" s="242">
        <f>MAX((B10+E10+F10+J10)+I10,0)</f>
        <v>100</v>
      </c>
      <c r="L10" s="242">
        <f>ROUND(IF((B10+E10+F10+J10)+I10&lt;0,(L9+G10+H10)+(B10+E10+F10+J10)+I10,(L9+G10+H10))+N9,2)</f>
        <v>100</v>
      </c>
      <c r="M10" s="244">
        <f>K10+L10</f>
        <v>200</v>
      </c>
      <c r="P10" t="str">
        <f>TEXT(A10,"dddd")</f>
        <v>Friday</v>
      </c>
    </row>
    <row r="11" spans="1:16" x14ac:dyDescent="0.25">
      <c r="A11" s="241">
        <v>46032</v>
      </c>
      <c r="B11" s="242">
        <f>K10</f>
        <v>100</v>
      </c>
      <c r="C11" s="242">
        <f>ROUND(L10+N10,2)</f>
        <v>100</v>
      </c>
      <c r="D11" s="242">
        <f>B11+C11</f>
        <v>200</v>
      </c>
      <c r="E11" s="242">
        <f>-(IF(DAY(A11+2)=1,'Main Budget'!$H$19,IF(DAY(A11+1)=15,'Main Budget'!$H$19,0)))</f>
        <v>0</v>
      </c>
      <c r="F11" s="242">
        <f>-(IF(DAY(A11)=20,'Main Budget'!$F$19,0))</f>
        <v>0</v>
      </c>
      <c r="G11" s="242">
        <f>-(IF(DAY(A11+2)=1,'Main Budget'!$H$20,IF(DAY(A11+1)=15,'Main Budget'!$H$20,0)))</f>
        <v>0</v>
      </c>
      <c r="H11" s="242">
        <f>-(IF(DAY(A11)=20,'Main Budget'!$F$20,0))</f>
        <v>0</v>
      </c>
      <c r="I11" s="243"/>
      <c r="J11" s="242"/>
      <c r="K11" s="242">
        <f>MAX((B11+E11+F11+J11)+I11,0)</f>
        <v>100</v>
      </c>
      <c r="L11" s="242">
        <f>ROUND(IF((B11+E11+F11+J11)+I11&lt;0,(L10+G11+H11)+(B11+E11+F11+J11)+I11,(L10+G11+H11))+N10,2)</f>
        <v>100</v>
      </c>
      <c r="M11" s="244">
        <f>K11+L11</f>
        <v>200</v>
      </c>
      <c r="P11" t="str">
        <f>TEXT(A11,"dddd")</f>
        <v>Saturday</v>
      </c>
    </row>
    <row r="12" spans="1:16" x14ac:dyDescent="0.25">
      <c r="A12" s="241">
        <v>46033</v>
      </c>
      <c r="B12" s="242">
        <f>K11</f>
        <v>100</v>
      </c>
      <c r="C12" s="242">
        <f>ROUND(L11+N11,2)</f>
        <v>100</v>
      </c>
      <c r="D12" s="242">
        <f>B12+C12</f>
        <v>200</v>
      </c>
      <c r="E12" s="242">
        <f>-(IF(DAY(A12+2)=1,'Main Budget'!$H$19,IF(DAY(A12+1)=15,'Main Budget'!$H$19,0)))</f>
        <v>0</v>
      </c>
      <c r="F12" s="242">
        <f>-(IF(DAY(A12)=20,'Main Budget'!$F$19,0))</f>
        <v>0</v>
      </c>
      <c r="G12" s="242">
        <f>-(IF(DAY(A12+2)=1,'Main Budget'!$H$20,IF(DAY(A12+1)=15,'Main Budget'!$H$20,0)))</f>
        <v>0</v>
      </c>
      <c r="H12" s="242">
        <f>-(IF(DAY(A12)=20,'Main Budget'!$F$20,0))</f>
        <v>0</v>
      </c>
      <c r="I12" s="243"/>
      <c r="J12" s="242"/>
      <c r="K12" s="242">
        <f>MAX((B12+E12+F12+J12)+I12,0)</f>
        <v>100</v>
      </c>
      <c r="L12" s="242">
        <f>ROUND(IF((B12+E12+F12+J12)+I12&lt;0,(L11+G12+H12)+(B12+E12+F12+J12)+I12,(L11+G12+H12))+N11,2)</f>
        <v>100</v>
      </c>
      <c r="M12" s="244">
        <f>K12+L12</f>
        <v>200</v>
      </c>
      <c r="P12" t="str">
        <f>TEXT(A12,"dddd")</f>
        <v>Sunday</v>
      </c>
    </row>
    <row r="13" spans="1:16" x14ac:dyDescent="0.25">
      <c r="A13" s="241">
        <v>46034</v>
      </c>
      <c r="B13" s="242">
        <f>K12</f>
        <v>100</v>
      </c>
      <c r="C13" s="242">
        <f>ROUND(L12+N12,2)</f>
        <v>100</v>
      </c>
      <c r="D13" s="242">
        <f>B13+C13</f>
        <v>200</v>
      </c>
      <c r="E13" s="242">
        <f>-(IF(DAY(A13+2)=1,'Main Budget'!$H$19,IF(DAY(A13+1)=15,'Main Budget'!$H$19,0)))</f>
        <v>0</v>
      </c>
      <c r="F13" s="242">
        <f>-(IF(DAY(A13)=20,'Main Budget'!$F$19,0))</f>
        <v>0</v>
      </c>
      <c r="G13" s="242">
        <f>-(IF(DAY(A13+2)=1,'Main Budget'!$H$20,IF(DAY(A13+1)=15,'Main Budget'!$H$20,0)))</f>
        <v>0</v>
      </c>
      <c r="H13" s="242">
        <f>-(IF(DAY(A13)=20,'Main Budget'!$F$20,0))</f>
        <v>0</v>
      </c>
      <c r="I13" s="243"/>
      <c r="J13" s="242"/>
      <c r="K13" s="242">
        <f>MAX((B13+E13+F13+J13)+I13,0)</f>
        <v>100</v>
      </c>
      <c r="L13" s="242">
        <f>ROUND(IF((B13+E13+F13+J13)+I13&lt;0,(L12+G13+H13)+(B13+E13+F13+J13)+I13,(L12+G13+H13))+N12,2)</f>
        <v>100</v>
      </c>
      <c r="M13" s="244">
        <f>K13+L13</f>
        <v>200</v>
      </c>
      <c r="P13" t="str">
        <f>TEXT(A13,"dddd")</f>
        <v>Monday</v>
      </c>
    </row>
    <row r="14" spans="1:16" x14ac:dyDescent="0.25">
      <c r="A14" s="241">
        <v>46035</v>
      </c>
      <c r="B14" s="242">
        <f>K13</f>
        <v>100</v>
      </c>
      <c r="C14" s="242">
        <f>ROUND(L13+N13,2)</f>
        <v>100</v>
      </c>
      <c r="D14" s="242">
        <f>B14+C14</f>
        <v>200</v>
      </c>
      <c r="E14" s="242">
        <f>-(IF(DAY(A14+2)=1,'Main Budget'!$H$19,IF(DAY(A14+1)=15,'Main Budget'!$H$19,0)))</f>
        <v>0</v>
      </c>
      <c r="F14" s="242">
        <f>-(IF(DAY(A14)=20,'Main Budget'!$F$19,0))</f>
        <v>0</v>
      </c>
      <c r="G14" s="242">
        <f>-(IF(DAY(A14+2)=1,'Main Budget'!$H$20,IF(DAY(A14+1)=15,'Main Budget'!$H$20,0)))</f>
        <v>0</v>
      </c>
      <c r="H14" s="242">
        <f>-(IF(DAY(A14)=20,'Main Budget'!$F$20,0))</f>
        <v>0</v>
      </c>
      <c r="I14" s="243"/>
      <c r="J14" s="242"/>
      <c r="K14" s="242">
        <f>MAX((B14+E14+F14+J14)+I14,0)</f>
        <v>100</v>
      </c>
      <c r="L14" s="242">
        <f>ROUND(IF((B14+E14+F14+J14)+I14&lt;0,(L13+G14+H14)+(B14+E14+F14+J14)+I14,(L13+G14+H14))+N13,2)</f>
        <v>100</v>
      </c>
      <c r="M14" s="244">
        <f>K14+L14</f>
        <v>200</v>
      </c>
      <c r="P14" t="str">
        <f>TEXT(A14,"dddd")</f>
        <v>Tuesday</v>
      </c>
    </row>
    <row r="15" spans="1:16" x14ac:dyDescent="0.25">
      <c r="A15" s="241">
        <v>46036</v>
      </c>
      <c r="B15" s="242">
        <f>K14</f>
        <v>100</v>
      </c>
      <c r="C15" s="242">
        <f>ROUND(L14+N14,2)</f>
        <v>100</v>
      </c>
      <c r="D15" s="242">
        <f>B15+C15</f>
        <v>200</v>
      </c>
      <c r="E15" s="242">
        <f>-(IF(DAY(A15+2)=1,'Main Budget'!$H$19,IF(DAY(A15+1)=15,'Main Budget'!$H$19,0)))</f>
        <v>0</v>
      </c>
      <c r="F15" s="242">
        <f>-(IF(DAY(A15)=20,'Main Budget'!$F$19,0))</f>
        <v>0</v>
      </c>
      <c r="G15" s="242">
        <f>-(IF(DAY(A15+2)=1,'Main Budget'!$H$20,IF(DAY(A15+1)=15,'Main Budget'!$H$20,0)))</f>
        <v>0</v>
      </c>
      <c r="H15" s="242">
        <f>-(IF(DAY(A15)=20,'Main Budget'!$F$20,0))</f>
        <v>0</v>
      </c>
      <c r="I15" s="243"/>
      <c r="J15" s="242"/>
      <c r="K15" s="242">
        <f>MAX((B15+E15+F15+J15)+I15,0)</f>
        <v>100</v>
      </c>
      <c r="L15" s="242">
        <f>ROUND(IF((B15+E15+F15+J15)+I15&lt;0,(L14+G15+H15)+(B15+E15+F15+J15)+I15,(L14+G15+H15))+N14,2)</f>
        <v>100</v>
      </c>
      <c r="M15" s="244">
        <f>K15+L15</f>
        <v>200</v>
      </c>
      <c r="P15" t="str">
        <f>TEXT(A15,"dddd")</f>
        <v>Wednesday</v>
      </c>
    </row>
    <row r="16" spans="1:16" x14ac:dyDescent="0.25">
      <c r="A16" s="241">
        <v>46037</v>
      </c>
      <c r="B16" s="242">
        <f>K15</f>
        <v>100</v>
      </c>
      <c r="C16" s="242">
        <f>ROUND(L15+N15,2)</f>
        <v>100</v>
      </c>
      <c r="D16" s="242">
        <f>B16+C16</f>
        <v>200</v>
      </c>
      <c r="E16" s="242">
        <f>-(IF(DAY(A16+2)=1,'Main Budget'!$H$19,IF(DAY(A16+1)=15,'Main Budget'!$H$19,0)))</f>
        <v>0</v>
      </c>
      <c r="F16" s="242">
        <f>-(IF(DAY(A16)=20,'Main Budget'!$F$19,0))</f>
        <v>0</v>
      </c>
      <c r="G16" s="242">
        <f>-(IF(DAY(A16+2)=1,'Main Budget'!$H$20,IF(DAY(A16+1)=15,'Main Budget'!$H$20,0)))</f>
        <v>0</v>
      </c>
      <c r="H16" s="242">
        <f>-(IF(DAY(A16)=20,'Main Budget'!$F$20,0))</f>
        <v>0</v>
      </c>
      <c r="I16" s="243"/>
      <c r="J16" s="242"/>
      <c r="K16" s="242">
        <f>MAX((B16+E16+F16+J16)+I16,0)</f>
        <v>100</v>
      </c>
      <c r="L16" s="242">
        <f>ROUND(IF((B16+E16+F16+J16)+I16&lt;0,(L15+G16+H16)+(B16+E16+F16+J16)+I16,(L15+G16+H16))+N15,2)</f>
        <v>100</v>
      </c>
      <c r="M16" s="244">
        <f>K16+L16</f>
        <v>200</v>
      </c>
      <c r="P16" t="str">
        <f>TEXT(A16,"dddd")</f>
        <v>Thursday</v>
      </c>
    </row>
    <row r="17" spans="1:16" x14ac:dyDescent="0.25">
      <c r="A17" s="241">
        <v>46038</v>
      </c>
      <c r="B17" s="242">
        <f>K16</f>
        <v>100</v>
      </c>
      <c r="C17" s="242">
        <f>ROUND(L16+N16,2)</f>
        <v>100</v>
      </c>
      <c r="D17" s="242">
        <f>B17+C17</f>
        <v>200</v>
      </c>
      <c r="E17" s="242">
        <f>-(IF(DAY(A17+2)=1,'Main Budget'!$H$19,IF(DAY(A17+1)=15,'Main Budget'!$H$19,0)))</f>
        <v>0</v>
      </c>
      <c r="F17" s="242">
        <f>-(IF(DAY(A17)=20,'Main Budget'!$F$19,0))</f>
        <v>0</v>
      </c>
      <c r="G17" s="242">
        <f>-(IF(DAY(A17+2)=1,'Main Budget'!$H$20,IF(DAY(A17+1)=15,'Main Budget'!$H$20,0)))</f>
        <v>0</v>
      </c>
      <c r="H17" s="242">
        <f>-(IF(DAY(A17)=20,'Main Budget'!$F$20,0))</f>
        <v>0</v>
      </c>
      <c r="I17" s="243"/>
      <c r="J17" s="242"/>
      <c r="K17" s="242">
        <f>MAX((B17+E17+F17+J17)+I17,0)</f>
        <v>100</v>
      </c>
      <c r="L17" s="242">
        <f>ROUND(IF((B17+E17+F17+J17)+I17&lt;0,(L16+G17+H17)+(B17+E17+F17+J17)+I17,(L16+G17+H17))+N16,2)</f>
        <v>100</v>
      </c>
      <c r="M17" s="244">
        <f>K17+L17</f>
        <v>200</v>
      </c>
      <c r="P17" t="str">
        <f>TEXT(A17,"dddd")</f>
        <v>Friday</v>
      </c>
    </row>
    <row r="18" spans="1:16" x14ac:dyDescent="0.25">
      <c r="A18" s="241">
        <v>46039</v>
      </c>
      <c r="B18" s="242">
        <f>K17</f>
        <v>100</v>
      </c>
      <c r="C18" s="242">
        <f>ROUND(L17+N17,2)</f>
        <v>100</v>
      </c>
      <c r="D18" s="242">
        <f>B18+C18</f>
        <v>200</v>
      </c>
      <c r="E18" s="242">
        <f>-(IF(DAY(A18+2)=1,'Main Budget'!$H$19,IF(DAY(A18+1)=15,'Main Budget'!$H$19,0)))</f>
        <v>0</v>
      </c>
      <c r="F18" s="242">
        <f>-(IF(DAY(A18)=20,'Main Budget'!$F$19,0))</f>
        <v>0</v>
      </c>
      <c r="G18" s="242">
        <f>-(IF(DAY(A18+2)=1,'Main Budget'!$H$20,IF(DAY(A18+1)=15,'Main Budget'!$H$20,0)))</f>
        <v>0</v>
      </c>
      <c r="H18" s="242">
        <f>-(IF(DAY(A18)=20,'Main Budget'!$F$20,0))</f>
        <v>0</v>
      </c>
      <c r="I18" s="243"/>
      <c r="J18" s="242"/>
      <c r="K18" s="242">
        <f>MAX((B18+E18+F18+J18)+I18,0)</f>
        <v>100</v>
      </c>
      <c r="L18" s="242">
        <f>ROUND(IF((B18+E18+F18+J18)+I18&lt;0,(L17+G18+H18)+(B18+E18+F18+J18)+I18,(L17+G18+H18))+N17,2)</f>
        <v>100</v>
      </c>
      <c r="M18" s="244">
        <f>K18+L18</f>
        <v>200</v>
      </c>
      <c r="P18" t="str">
        <f>TEXT(A18,"dddd")</f>
        <v>Saturday</v>
      </c>
    </row>
    <row r="19" spans="1:16" x14ac:dyDescent="0.25">
      <c r="A19" s="241">
        <v>46040</v>
      </c>
      <c r="B19" s="242">
        <f>K18</f>
        <v>100</v>
      </c>
      <c r="C19" s="242">
        <f>ROUND(L18+N18,2)</f>
        <v>100</v>
      </c>
      <c r="D19" s="242">
        <f>B19+C19</f>
        <v>200</v>
      </c>
      <c r="E19" s="242">
        <f>-(IF(DAY(A19+2)=1,'Main Budget'!$H$19,IF(DAY(A19+1)=15,'Main Budget'!$H$19,0)))</f>
        <v>0</v>
      </c>
      <c r="F19" s="242">
        <f>-(IF(DAY(A19)=20,'Main Budget'!$F$19,0))</f>
        <v>0</v>
      </c>
      <c r="G19" s="242">
        <f>-(IF(DAY(A19+2)=1,'Main Budget'!$H$20,IF(DAY(A19+1)=15,'Main Budget'!$H$20,0)))</f>
        <v>0</v>
      </c>
      <c r="H19" s="242">
        <f>-(IF(DAY(A19)=20,'Main Budget'!$F$20,0))</f>
        <v>0</v>
      </c>
      <c r="I19" s="243"/>
      <c r="J19" s="242"/>
      <c r="K19" s="242">
        <f>MAX((B19+E19+F19+J19)+I19,0)</f>
        <v>100</v>
      </c>
      <c r="L19" s="242">
        <f>ROUND(IF((B19+E19+F19+J19)+I19&lt;0,(L18+G19+H19)+(B19+E19+F19+J19)+I19,(L18+G19+H19))+N18,2)</f>
        <v>100</v>
      </c>
      <c r="M19" s="244">
        <f>K19+L19</f>
        <v>200</v>
      </c>
      <c r="P19" t="str">
        <f>TEXT(A19,"dddd")</f>
        <v>Sunday</v>
      </c>
    </row>
    <row r="20" spans="1:16" x14ac:dyDescent="0.25">
      <c r="A20" s="241">
        <v>46041</v>
      </c>
      <c r="B20" s="242">
        <f>K19</f>
        <v>100</v>
      </c>
      <c r="C20" s="242">
        <f>ROUND(L19+N19,2)</f>
        <v>100</v>
      </c>
      <c r="D20" s="242">
        <f>B20+C20</f>
        <v>200</v>
      </c>
      <c r="E20" s="242">
        <f>-(IF(DAY(A20+2)=1,'Main Budget'!$H$19,IF(DAY(A20+1)=15,'Main Budget'!$H$19,0)))</f>
        <v>0</v>
      </c>
      <c r="F20" s="242">
        <f>-(IF(DAY(A20)=20,'Main Budget'!$F$19,0))</f>
        <v>0</v>
      </c>
      <c r="G20" s="242">
        <f>-(IF(DAY(A20+2)=1,'Main Budget'!$H$20,IF(DAY(A20+1)=15,'Main Budget'!$H$20,0)))</f>
        <v>0</v>
      </c>
      <c r="H20" s="242">
        <f>-(IF(DAY(A20)=20,'Main Budget'!$F$20,0))</f>
        <v>0</v>
      </c>
      <c r="I20" s="243"/>
      <c r="J20" s="242"/>
      <c r="K20" s="242">
        <f>MAX((B20+E20+F20+J20)+I20,0)</f>
        <v>100</v>
      </c>
      <c r="L20" s="242">
        <f>ROUND(IF((B20+E20+F20+J20)+I20&lt;0,(L19+G20+H20)+(B20+E20+F20+J20)+I20,(L19+G20+H20))+N19,2)</f>
        <v>100</v>
      </c>
      <c r="M20" s="244">
        <f>K20+L20</f>
        <v>200</v>
      </c>
      <c r="P20" t="str">
        <f>TEXT(A20,"dddd")</f>
        <v>Monday</v>
      </c>
    </row>
    <row r="21" spans="1:16" x14ac:dyDescent="0.25">
      <c r="A21" s="241">
        <v>46042</v>
      </c>
      <c r="B21" s="242">
        <f>K20</f>
        <v>100</v>
      </c>
      <c r="C21" s="242">
        <f>ROUND(L20+N20,2)</f>
        <v>100</v>
      </c>
      <c r="D21" s="242">
        <f>B21+C21</f>
        <v>200</v>
      </c>
      <c r="E21" s="242">
        <f>-(IF(DAY(A21+2)=1,'Main Budget'!$H$19,IF(DAY(A21+1)=15,'Main Budget'!$H$19,0)))</f>
        <v>0</v>
      </c>
      <c r="F21" s="242">
        <f>-(IF(DAY(A21)=20,'Main Budget'!$F$19,0))</f>
        <v>0</v>
      </c>
      <c r="G21" s="242">
        <f>-(IF(DAY(A21+2)=1,'Main Budget'!$H$20,IF(DAY(A21+1)=15,'Main Budget'!$H$20,0)))</f>
        <v>0</v>
      </c>
      <c r="H21" s="242">
        <f>-(IF(DAY(A21)=20,'Main Budget'!$F$20,0))</f>
        <v>0</v>
      </c>
      <c r="I21" s="243"/>
      <c r="J21" s="242"/>
      <c r="K21" s="242">
        <f>MAX((B21+E21+F21+J21)+I21,0)</f>
        <v>100</v>
      </c>
      <c r="L21" s="242">
        <f>ROUND(IF((B21+E21+F21+J21)+I21&lt;0,(L20+G21+H21)+(B21+E21+F21+J21)+I21,(L20+G21+H21))+N20,2)</f>
        <v>100</v>
      </c>
      <c r="M21" s="244">
        <f>K21+L21</f>
        <v>200</v>
      </c>
      <c r="P21" t="str">
        <f>TEXT(A21,"dddd")</f>
        <v>Tuesday</v>
      </c>
    </row>
    <row r="22" spans="1:16" x14ac:dyDescent="0.25">
      <c r="A22" s="241">
        <v>46043</v>
      </c>
      <c r="B22" s="242">
        <f>K21</f>
        <v>100</v>
      </c>
      <c r="C22" s="242">
        <f>ROUND(L21+N21,2)</f>
        <v>100</v>
      </c>
      <c r="D22" s="242">
        <f>B22+C22</f>
        <v>200</v>
      </c>
      <c r="E22" s="242">
        <f>-(IF(DAY(A22+2)=1,'Main Budget'!$H$19,IF(DAY(A22+1)=15,'Main Budget'!$H$19,0)))</f>
        <v>0</v>
      </c>
      <c r="F22" s="242">
        <f>-(IF(DAY(A22)=20,'Main Budget'!$F$19,0))</f>
        <v>0</v>
      </c>
      <c r="G22" s="242">
        <f>-(IF(DAY(A22+2)=1,'Main Budget'!$H$20,IF(DAY(A22+1)=15,'Main Budget'!$H$20,0)))</f>
        <v>0</v>
      </c>
      <c r="H22" s="242">
        <f>-(IF(DAY(A22)=20,'Main Budget'!$F$20,0))</f>
        <v>0</v>
      </c>
      <c r="I22" s="243"/>
      <c r="J22" s="242"/>
      <c r="K22" s="242">
        <f>MAX((B22+E22+F22+J22)+I22,0)</f>
        <v>100</v>
      </c>
      <c r="L22" s="242">
        <f>ROUND(IF((B22+E22+F22+J22)+I22&lt;0,(L21+G22+H22)+(B22+E22+F22+J22)+I22,(L21+G22+H22))+N21,2)</f>
        <v>100</v>
      </c>
      <c r="M22" s="244">
        <f>K22+L22</f>
        <v>200</v>
      </c>
      <c r="P22" t="str">
        <f>TEXT(A22,"dddd")</f>
        <v>Wednesday</v>
      </c>
    </row>
    <row r="23" spans="1:16" x14ac:dyDescent="0.25">
      <c r="A23" s="241">
        <v>46044</v>
      </c>
      <c r="B23" s="242">
        <f>K22</f>
        <v>100</v>
      </c>
      <c r="C23" s="242">
        <f>ROUND(L22+N22,2)</f>
        <v>100</v>
      </c>
      <c r="D23" s="242">
        <f>B23+C23</f>
        <v>200</v>
      </c>
      <c r="E23" s="242">
        <f>-(IF(DAY(A23+2)=1,'Main Budget'!$H$19,IF(DAY(A23+1)=15,'Main Budget'!$H$19,0)))</f>
        <v>0</v>
      </c>
      <c r="F23" s="242">
        <f>-(IF(DAY(A23)=20,'Main Budget'!$F$19,0))</f>
        <v>0</v>
      </c>
      <c r="G23" s="242">
        <f>-(IF(DAY(A23+2)=1,'Main Budget'!$H$20,IF(DAY(A23+1)=15,'Main Budget'!$H$20,0)))</f>
        <v>0</v>
      </c>
      <c r="H23" s="242">
        <f>-(IF(DAY(A23)=20,'Main Budget'!$F$20,0))</f>
        <v>0</v>
      </c>
      <c r="I23" s="243"/>
      <c r="J23" s="242"/>
      <c r="K23" s="242">
        <f>MAX((B23+E23+F23+J23)+I23,0)</f>
        <v>100</v>
      </c>
      <c r="L23" s="242">
        <f>ROUND(IF((B23+E23+F23+J23)+I23&lt;0,(L22+G23+H23)+(B23+E23+F23+J23)+I23,(L22+G23+H23))+N22,2)</f>
        <v>100</v>
      </c>
      <c r="M23" s="244">
        <f>K23+L23</f>
        <v>200</v>
      </c>
      <c r="P23" t="str">
        <f>TEXT(A23,"dddd")</f>
        <v>Thursday</v>
      </c>
    </row>
    <row r="24" spans="1:16" x14ac:dyDescent="0.25">
      <c r="A24" s="241">
        <v>46045</v>
      </c>
      <c r="B24" s="242">
        <f>K23</f>
        <v>100</v>
      </c>
      <c r="C24" s="242">
        <f>ROUND(L23+N23,2)</f>
        <v>100</v>
      </c>
      <c r="D24" s="242">
        <f>B24+C24</f>
        <v>200</v>
      </c>
      <c r="E24" s="242">
        <f>-(IF(DAY(A24+2)=1,'Main Budget'!$H$19,IF(DAY(A24+1)=15,'Main Budget'!$H$19,0)))</f>
        <v>0</v>
      </c>
      <c r="F24" s="242">
        <f>-(IF(DAY(A24)=20,'Main Budget'!$F$19,0))</f>
        <v>0</v>
      </c>
      <c r="G24" s="242">
        <f>-(IF(DAY(A24+2)=1,'Main Budget'!$H$20,IF(DAY(A24+1)=15,'Main Budget'!$H$20,0)))</f>
        <v>0</v>
      </c>
      <c r="H24" s="242">
        <f>-(IF(DAY(A24)=20,'Main Budget'!$F$20,0))</f>
        <v>0</v>
      </c>
      <c r="I24" s="243"/>
      <c r="J24" s="242"/>
      <c r="K24" s="242">
        <f>MAX((B24+E24+F24+J24)+I24,0)</f>
        <v>100</v>
      </c>
      <c r="L24" s="242">
        <f>ROUND(IF((B24+E24+F24+J24)+I24&lt;0,(L23+G24+H24)+(B24+E24+F24+J24)+I24,(L23+G24+H24))+N23,2)</f>
        <v>100</v>
      </c>
      <c r="M24" s="244">
        <f>K24+L24</f>
        <v>200</v>
      </c>
      <c r="P24" t="str">
        <f>TEXT(A24,"dddd")</f>
        <v>Friday</v>
      </c>
    </row>
    <row r="25" spans="1:16" x14ac:dyDescent="0.25">
      <c r="A25" s="241">
        <v>46046</v>
      </c>
      <c r="B25" s="242">
        <f>K24</f>
        <v>100</v>
      </c>
      <c r="C25" s="242">
        <f>ROUND(L24+N24,2)</f>
        <v>100</v>
      </c>
      <c r="D25" s="242">
        <f>B25+C25</f>
        <v>200</v>
      </c>
      <c r="E25" s="242">
        <f>-(IF(DAY(A25+2)=1,'Main Budget'!$H$19,IF(DAY(A25+1)=15,'Main Budget'!$H$19,0)))</f>
        <v>0</v>
      </c>
      <c r="F25" s="242">
        <f>-(IF(DAY(A25)=20,'Main Budget'!$F$19,0))</f>
        <v>0</v>
      </c>
      <c r="G25" s="242">
        <f>-(IF(DAY(A25+2)=1,'Main Budget'!$H$20,IF(DAY(A25+1)=15,'Main Budget'!$H$20,0)))</f>
        <v>0</v>
      </c>
      <c r="H25" s="242">
        <f>-(IF(DAY(A25)=20,'Main Budget'!$F$20,0))</f>
        <v>0</v>
      </c>
      <c r="I25" s="243"/>
      <c r="J25" s="242"/>
      <c r="K25" s="242">
        <f>MAX((B25+E25+F25+J25)+I25,0)</f>
        <v>100</v>
      </c>
      <c r="L25" s="242">
        <f>ROUND(IF((B25+E25+F25+J25)+I25&lt;0,(L24+G25+H25)+(B25+E25+F25+J25)+I25,(L24+G25+H25))+N24,2)</f>
        <v>100</v>
      </c>
      <c r="M25" s="244">
        <f>K25+L25</f>
        <v>200</v>
      </c>
      <c r="P25" t="str">
        <f>TEXT(A25,"dddd")</f>
        <v>Saturday</v>
      </c>
    </row>
    <row r="26" spans="1:16" x14ac:dyDescent="0.25">
      <c r="A26" s="241">
        <v>46047</v>
      </c>
      <c r="B26" s="242">
        <f>K25</f>
        <v>100</v>
      </c>
      <c r="C26" s="242">
        <f>ROUND(L25+N25,2)</f>
        <v>100</v>
      </c>
      <c r="D26" s="242">
        <f>B26+C26</f>
        <v>200</v>
      </c>
      <c r="E26" s="242">
        <f>-(IF(DAY(A26+2)=1,'Main Budget'!$H$19,IF(DAY(A26+1)=15,'Main Budget'!$H$19,0)))</f>
        <v>0</v>
      </c>
      <c r="F26" s="242">
        <f>-(IF(DAY(A26)=20,'Main Budget'!$F$19,0))</f>
        <v>0</v>
      </c>
      <c r="G26" s="242">
        <f>-(IF(DAY(A26+2)=1,'Main Budget'!$H$20,IF(DAY(A26+1)=15,'Main Budget'!$H$20,0)))</f>
        <v>0</v>
      </c>
      <c r="H26" s="242">
        <f>-(IF(DAY(A26)=20,'Main Budget'!$F$20,0))</f>
        <v>0</v>
      </c>
      <c r="I26" s="243"/>
      <c r="J26" s="242"/>
      <c r="K26" s="242">
        <f>MAX((B26+E26+F26+J26)+I26,0)</f>
        <v>100</v>
      </c>
      <c r="L26" s="242">
        <f>ROUND(IF((B26+E26+F26+J26)+I26&lt;0,(L25+G26+H26)+(B26+E26+F26+J26)+I26,(L25+G26+H26))+N25,2)</f>
        <v>100</v>
      </c>
      <c r="M26" s="244">
        <f>K26+L26</f>
        <v>200</v>
      </c>
      <c r="P26" t="str">
        <f>TEXT(A26,"dddd")</f>
        <v>Sunday</v>
      </c>
    </row>
    <row r="27" spans="1:16" x14ac:dyDescent="0.25">
      <c r="A27" s="241">
        <v>46048</v>
      </c>
      <c r="B27" s="242">
        <f>K26</f>
        <v>100</v>
      </c>
      <c r="C27" s="242">
        <f>ROUND(L26+N26,2)</f>
        <v>100</v>
      </c>
      <c r="D27" s="242">
        <f>B27+C27</f>
        <v>200</v>
      </c>
      <c r="E27" s="242">
        <f>-(IF(DAY(A27+2)=1,'Main Budget'!$H$19,IF(DAY(A27+1)=15,'Main Budget'!$H$19,0)))</f>
        <v>0</v>
      </c>
      <c r="F27" s="242">
        <f>-(IF(DAY(A27)=20,'Main Budget'!$F$19,0))</f>
        <v>0</v>
      </c>
      <c r="G27" s="242">
        <f>-(IF(DAY(A27+2)=1,'Main Budget'!$H$20,IF(DAY(A27+1)=15,'Main Budget'!$H$20,0)))</f>
        <v>0</v>
      </c>
      <c r="H27" s="242">
        <f>-(IF(DAY(A27)=20,'Main Budget'!$F$20,0))</f>
        <v>0</v>
      </c>
      <c r="I27" s="243"/>
      <c r="J27" s="242"/>
      <c r="K27" s="242">
        <f>MAX((B27+E27+F27+J27)+I27,0)</f>
        <v>100</v>
      </c>
      <c r="L27" s="242">
        <f>ROUND(IF((B27+E27+F27+J27)+I27&lt;0,(L26+G27+H27)+(B27+E27+F27+J27)+I27,(L26+G27+H27))+N26,2)</f>
        <v>100</v>
      </c>
      <c r="M27" s="244">
        <f>K27+L27</f>
        <v>200</v>
      </c>
      <c r="P27" t="str">
        <f>TEXT(A27,"dddd")</f>
        <v>Monday</v>
      </c>
    </row>
    <row r="28" spans="1:16" x14ac:dyDescent="0.25">
      <c r="A28" s="241">
        <v>46049</v>
      </c>
      <c r="B28" s="242">
        <f>K27</f>
        <v>100</v>
      </c>
      <c r="C28" s="242">
        <f>ROUND(L27+N27,2)</f>
        <v>100</v>
      </c>
      <c r="D28" s="242">
        <f>B28+C28</f>
        <v>200</v>
      </c>
      <c r="E28" s="242">
        <f>-(IF(DAY(A28+2)=1,'Main Budget'!$H$19,IF(DAY(A28+1)=15,'Main Budget'!$H$19,0)))</f>
        <v>0</v>
      </c>
      <c r="F28" s="242">
        <f>-(IF(DAY(A28)=20,'Main Budget'!$F$19,0))</f>
        <v>0</v>
      </c>
      <c r="G28" s="242">
        <f>-(IF(DAY(A28+2)=1,'Main Budget'!$H$20,IF(DAY(A28+1)=15,'Main Budget'!$H$20,0)))</f>
        <v>0</v>
      </c>
      <c r="H28" s="242">
        <f>-(IF(DAY(A28)=20,'Main Budget'!$F$20,0))</f>
        <v>0</v>
      </c>
      <c r="I28" s="243"/>
      <c r="J28" s="242"/>
      <c r="K28" s="242">
        <f>MAX((B28+E28+F28+J28)+I28,0)</f>
        <v>100</v>
      </c>
      <c r="L28" s="242">
        <f>ROUND(IF((B28+E28+F28+J28)+I28&lt;0,(L27+G28+H28)+(B28+E28+F28+J28)+I28,(L27+G28+H28))+N27,2)</f>
        <v>100</v>
      </c>
      <c r="M28" s="244">
        <f>K28+L28</f>
        <v>200</v>
      </c>
      <c r="P28" t="str">
        <f>TEXT(A28,"dddd")</f>
        <v>Tuesday</v>
      </c>
    </row>
    <row r="29" spans="1:16" x14ac:dyDescent="0.25">
      <c r="A29" s="241">
        <v>46050</v>
      </c>
      <c r="B29" s="242">
        <f>K28</f>
        <v>100</v>
      </c>
      <c r="C29" s="242">
        <f>ROUND(L28+N28,2)</f>
        <v>100</v>
      </c>
      <c r="D29" s="242">
        <f>B29+C29</f>
        <v>200</v>
      </c>
      <c r="E29" s="242">
        <f>-(IF(DAY(A29+2)=1,'Main Budget'!$H$19,IF(DAY(A29+1)=15,'Main Budget'!$H$19,0)))</f>
        <v>0</v>
      </c>
      <c r="F29" s="242">
        <f>-(IF(DAY(A29)=20,'Main Budget'!$F$19,0))</f>
        <v>0</v>
      </c>
      <c r="G29" s="242">
        <f>-(IF(DAY(A29+2)=1,'Main Budget'!$H$20,IF(DAY(A29+1)=15,'Main Budget'!$H$20,0)))</f>
        <v>0</v>
      </c>
      <c r="H29" s="242">
        <f>-(IF(DAY(A29)=20,'Main Budget'!$F$20,0))</f>
        <v>0</v>
      </c>
      <c r="I29" s="243"/>
      <c r="J29" s="242"/>
      <c r="K29" s="242">
        <f>MAX((B29+E29+F29+J29)+I29,0)</f>
        <v>100</v>
      </c>
      <c r="L29" s="242">
        <f>ROUND(IF((B29+E29+F29+J29)+I29&lt;0,(L28+G29+H29)+(B29+E29+F29+J29)+I29,(L28+G29+H29))+N28,2)</f>
        <v>100</v>
      </c>
      <c r="M29" s="244">
        <f>K29+L29</f>
        <v>200</v>
      </c>
      <c r="P29" t="str">
        <f>TEXT(A29,"dddd")</f>
        <v>Wednesday</v>
      </c>
    </row>
    <row r="30" spans="1:16" x14ac:dyDescent="0.25">
      <c r="A30" s="241">
        <v>46051</v>
      </c>
      <c r="B30" s="242">
        <f>K29</f>
        <v>100</v>
      </c>
      <c r="C30" s="242">
        <f>ROUND(L29+N29,2)</f>
        <v>100</v>
      </c>
      <c r="D30" s="242">
        <f>B30+C30</f>
        <v>200</v>
      </c>
      <c r="E30" s="242">
        <f>-(IF(DAY(A30+2)=1,'Main Budget'!$H$19,IF(DAY(A30+1)=15,'Main Budget'!$H$19,0)))</f>
        <v>0</v>
      </c>
      <c r="F30" s="242">
        <f>-(IF(DAY(A30)=20,'Main Budget'!$F$19,0))</f>
        <v>0</v>
      </c>
      <c r="G30" s="242">
        <f>-(IF(DAY(A30+2)=1,'Main Budget'!$H$20,IF(DAY(A30+1)=15,'Main Budget'!$H$20,0)))</f>
        <v>0</v>
      </c>
      <c r="H30" s="242">
        <f>-(IF(DAY(A30)=20,'Main Budget'!$F$20,0))</f>
        <v>0</v>
      </c>
      <c r="I30" s="243"/>
      <c r="J30" s="242"/>
      <c r="K30" s="242">
        <f>MAX((B30+E30+F30+J30)+I30,0)</f>
        <v>100</v>
      </c>
      <c r="L30" s="242">
        <f>ROUND(IF((B30+E30+F30+J30)+I30&lt;0,(L29+G30+H30)+(B30+E30+F30+J30)+I30,(L29+G30+H30))+N29,2)</f>
        <v>100</v>
      </c>
      <c r="M30" s="244">
        <f>K30+L30</f>
        <v>200</v>
      </c>
      <c r="P30" t="str">
        <f>TEXT(A30,"dddd")</f>
        <v>Thursday</v>
      </c>
    </row>
    <row r="31" spans="1:16" x14ac:dyDescent="0.25">
      <c r="A31" s="241">
        <v>46052</v>
      </c>
      <c r="B31" s="242">
        <f>K30</f>
        <v>100</v>
      </c>
      <c r="C31" s="242">
        <f>ROUND(L30+N30,2)</f>
        <v>100</v>
      </c>
      <c r="D31" s="242">
        <f>B31+C31</f>
        <v>200</v>
      </c>
      <c r="E31" s="242">
        <f>-(IF(DAY(A31+2)=1,'Main Budget'!$H$19,IF(DAY(A31+1)=15,'Main Budget'!$H$19,0)))</f>
        <v>0</v>
      </c>
      <c r="F31" s="242">
        <f>-(IF(DAY(A31)=20,'Main Budget'!$F$19,0))</f>
        <v>0</v>
      </c>
      <c r="G31" s="242">
        <f>-(IF(DAY(A31+2)=1,'Main Budget'!$H$20,IF(DAY(A31+1)=15,'Main Budget'!$H$20,0)))</f>
        <v>0</v>
      </c>
      <c r="H31" s="242">
        <f>-(IF(DAY(A31)=20,'Main Budget'!$F$20,0))</f>
        <v>0</v>
      </c>
      <c r="I31" s="243"/>
      <c r="J31" s="242"/>
      <c r="K31" s="242">
        <f>MAX((B31+E31+F31+J31)+I31,0)</f>
        <v>100</v>
      </c>
      <c r="L31" s="242">
        <f>ROUND(IF((B31+E31+F31+J31)+I31&lt;0,(L30+G31+H31)+(B31+E31+F31+J31)+I31,(L30+G31+H31))+N30,2)</f>
        <v>100</v>
      </c>
      <c r="M31" s="244">
        <f>K31+L31</f>
        <v>200</v>
      </c>
      <c r="P31" t="str">
        <f>TEXT(A31,"dddd")</f>
        <v>Friday</v>
      </c>
    </row>
    <row r="32" spans="1:16" x14ac:dyDescent="0.25">
      <c r="A32" s="241">
        <v>46053</v>
      </c>
      <c r="B32" s="242">
        <f>K31</f>
        <v>100</v>
      </c>
      <c r="C32" s="242">
        <f>ROUND(L31+N31,2)</f>
        <v>100</v>
      </c>
      <c r="D32" s="242">
        <f>B32+C32</f>
        <v>200</v>
      </c>
      <c r="E32" s="242">
        <f>-(IF(DAY(A32+2)=1,'Main Budget'!$H$19,IF(DAY(A32+1)=15,'Main Budget'!$H$19,0)))</f>
        <v>0</v>
      </c>
      <c r="F32" s="242">
        <f>-(IF(DAY(A32)=20,'Main Budget'!$F$19,0))</f>
        <v>0</v>
      </c>
      <c r="G32" s="242">
        <f>-(IF(DAY(A32+2)=1,'Main Budget'!$H$20,IF(DAY(A32+1)=15,'Main Budget'!$H$20,0)))</f>
        <v>0</v>
      </c>
      <c r="H32" s="242">
        <f>-(IF(DAY(A32)=20,'Main Budget'!$F$20,0))</f>
        <v>0</v>
      </c>
      <c r="I32" s="243"/>
      <c r="J32" s="242"/>
      <c r="K32" s="242">
        <f>MAX((B32+E32+F32+J32)+I32,0)</f>
        <v>100</v>
      </c>
      <c r="L32" s="242">
        <f>ROUND(IF((B32+E32+F32+J32)+I32&lt;0,(L31+G32+H32)+(B32+E32+F32+J32)+I32,(L31+G32+H32))+N31,2)</f>
        <v>100</v>
      </c>
      <c r="M32" s="244">
        <f>K32+L32</f>
        <v>200</v>
      </c>
      <c r="P32" t="str">
        <f>TEXT(A32,"dddd")</f>
        <v>Saturday</v>
      </c>
    </row>
    <row r="33" spans="1:16" x14ac:dyDescent="0.25">
      <c r="A33" s="241">
        <v>46054</v>
      </c>
      <c r="B33" s="242">
        <f>K32</f>
        <v>100</v>
      </c>
      <c r="C33" s="242">
        <f>ROUND(L32+N32,2)</f>
        <v>100</v>
      </c>
      <c r="D33" s="242">
        <f>B33+C33</f>
        <v>200</v>
      </c>
      <c r="E33" s="242">
        <f>-(IF(DAY(A33+2)=1,'Main Budget'!$H$19,IF(DAY(A33+1)=15,'Main Budget'!$H$19,0)))</f>
        <v>0</v>
      </c>
      <c r="F33" s="242">
        <f>-(IF(DAY(A33)=20,'Main Budget'!$F$19,0))</f>
        <v>0</v>
      </c>
      <c r="G33" s="242">
        <f>-(IF(DAY(A33+2)=1,'Main Budget'!$H$20,IF(DAY(A33+1)=15,'Main Budget'!$H$20,0)))</f>
        <v>0</v>
      </c>
      <c r="H33" s="242">
        <f>-(IF(DAY(A33)=20,'Main Budget'!$F$20,0))</f>
        <v>0</v>
      </c>
      <c r="I33" s="243"/>
      <c r="J33" s="242"/>
      <c r="K33" s="242">
        <f>MAX((B33+E33+F33+J33)+I33,0)</f>
        <v>100</v>
      </c>
      <c r="L33" s="242">
        <f>ROUND(IF((B33+E33+F33+J33)+I33&lt;0,(L32+G33+H33)+(B33+E33+F33+J33)+I33,(L32+G33+H33))+N32,2)</f>
        <v>100</v>
      </c>
      <c r="M33" s="244">
        <f>K33+L33</f>
        <v>200</v>
      </c>
      <c r="P33" t="str">
        <f>TEXT(A33,"dddd")</f>
        <v>Sunday</v>
      </c>
    </row>
    <row r="34" spans="1:16" x14ac:dyDescent="0.25">
      <c r="A34" s="241">
        <v>46055</v>
      </c>
      <c r="B34" s="242">
        <f>K33</f>
        <v>100</v>
      </c>
      <c r="C34" s="242">
        <f>ROUND(L33+N33,2)</f>
        <v>100</v>
      </c>
      <c r="D34" s="242">
        <f>B34+C34</f>
        <v>200</v>
      </c>
      <c r="E34" s="242">
        <f>-(IF(DAY(A34+2)=1,'Main Budget'!$H$19,IF(DAY(A34+1)=15,'Main Budget'!$H$19,0)))</f>
        <v>0</v>
      </c>
      <c r="F34" s="242">
        <f>-(IF(DAY(A34)=20,'Main Budget'!$F$19,0))</f>
        <v>0</v>
      </c>
      <c r="G34" s="242">
        <f>-(IF(DAY(A34+2)=1,'Main Budget'!$H$20,IF(DAY(A34+1)=15,'Main Budget'!$H$20,0)))</f>
        <v>0</v>
      </c>
      <c r="H34" s="242">
        <f>-(IF(DAY(A34)=20,'Main Budget'!$F$20,0))</f>
        <v>0</v>
      </c>
      <c r="I34" s="243"/>
      <c r="J34" s="242"/>
      <c r="K34" s="242">
        <f>MAX((B34+E34+F34+J34)+I34,0)</f>
        <v>100</v>
      </c>
      <c r="L34" s="242">
        <f>ROUND(IF((B34+E34+F34+J34)+I34&lt;0,(L33+G34+H34)+(B34+E34+F34+J34)+I34,(L33+G34+H34))+N33,2)</f>
        <v>100</v>
      </c>
      <c r="M34" s="244">
        <f>K34+L34</f>
        <v>200</v>
      </c>
      <c r="P34" t="str">
        <f>TEXT(A34,"dddd")</f>
        <v>Monday</v>
      </c>
    </row>
    <row r="35" spans="1:16" x14ac:dyDescent="0.25">
      <c r="A35" s="241">
        <v>46056</v>
      </c>
      <c r="B35" s="242">
        <f>K34</f>
        <v>100</v>
      </c>
      <c r="C35" s="242">
        <f>ROUND(L34+N34,2)</f>
        <v>100</v>
      </c>
      <c r="D35" s="242">
        <f>B35+C35</f>
        <v>200</v>
      </c>
      <c r="E35" s="242">
        <f>-(IF(DAY(A35+2)=1,'Main Budget'!$H$19,IF(DAY(A35+1)=15,'Main Budget'!$H$19,0)))</f>
        <v>0</v>
      </c>
      <c r="F35" s="242">
        <f>-(IF(DAY(A35)=20,'Main Budget'!$F$19,0))</f>
        <v>0</v>
      </c>
      <c r="G35" s="242">
        <f>-(IF(DAY(A35+2)=1,'Main Budget'!$H$20,IF(DAY(A35+1)=15,'Main Budget'!$H$20,0)))</f>
        <v>0</v>
      </c>
      <c r="H35" s="242">
        <f>-(IF(DAY(A35)=20,'Main Budget'!$F$20,0))</f>
        <v>0</v>
      </c>
      <c r="I35" s="243"/>
      <c r="J35" s="242"/>
      <c r="K35" s="242">
        <f>MAX((B35+E35+F35+J35)+I35,0)</f>
        <v>100</v>
      </c>
      <c r="L35" s="242">
        <f>ROUND(IF((B35+E35+F35+J35)+I35&lt;0,(L34+G35+H35)+(B35+E35+F35+J35)+I35,(L34+G35+H35))+N34,2)</f>
        <v>100</v>
      </c>
      <c r="M35" s="244">
        <f>K35+L35</f>
        <v>200</v>
      </c>
      <c r="P35" t="str">
        <f>TEXT(A35,"dddd")</f>
        <v>Tuesday</v>
      </c>
    </row>
    <row r="36" spans="1:16" x14ac:dyDescent="0.25">
      <c r="A36" s="241">
        <v>46057</v>
      </c>
      <c r="B36" s="242">
        <f>K35</f>
        <v>100</v>
      </c>
      <c r="C36" s="242">
        <f>ROUND(L35+N35,2)</f>
        <v>100</v>
      </c>
      <c r="D36" s="242">
        <f>B36+C36</f>
        <v>200</v>
      </c>
      <c r="E36" s="242">
        <f>-(IF(DAY(A36+2)=1,'Main Budget'!$H$19,IF(DAY(A36+1)=15,'Main Budget'!$H$19,0)))</f>
        <v>0</v>
      </c>
      <c r="F36" s="242">
        <f>-(IF(DAY(A36)=20,'Main Budget'!$F$19,0))</f>
        <v>0</v>
      </c>
      <c r="G36" s="242">
        <f>-(IF(DAY(A36+2)=1,'Main Budget'!$H$20,IF(DAY(A36+1)=15,'Main Budget'!$H$20,0)))</f>
        <v>0</v>
      </c>
      <c r="H36" s="242">
        <f>-(IF(DAY(A36)=20,'Main Budget'!$F$20,0))</f>
        <v>0</v>
      </c>
      <c r="I36" s="243"/>
      <c r="J36" s="242"/>
      <c r="K36" s="242">
        <f>MAX((B36+E36+F36+J36)+I36,0)</f>
        <v>100</v>
      </c>
      <c r="L36" s="242">
        <f>ROUND(IF((B36+E36+F36+J36)+I36&lt;0,(L35+G36+H36)+(B36+E36+F36+J36)+I36,(L35+G36+H36))+N35,2)</f>
        <v>100</v>
      </c>
      <c r="M36" s="244">
        <f>K36+L36</f>
        <v>200</v>
      </c>
      <c r="P36" t="str">
        <f>TEXT(A36,"dddd")</f>
        <v>Wednesday</v>
      </c>
    </row>
    <row r="37" spans="1:16" x14ac:dyDescent="0.25">
      <c r="A37" s="241">
        <v>46058</v>
      </c>
      <c r="B37" s="242">
        <f>K36</f>
        <v>100</v>
      </c>
      <c r="C37" s="242">
        <f>ROUND(L36+N36,2)</f>
        <v>100</v>
      </c>
      <c r="D37" s="242">
        <f>B37+C37</f>
        <v>200</v>
      </c>
      <c r="E37" s="242">
        <f>-(IF(DAY(A37+2)=1,'Main Budget'!$H$19,IF(DAY(A37+1)=15,'Main Budget'!$H$19,0)))</f>
        <v>0</v>
      </c>
      <c r="F37" s="242">
        <f>-(IF(DAY(A37)=20,'Main Budget'!$F$19,0))</f>
        <v>0</v>
      </c>
      <c r="G37" s="242">
        <f>-(IF(DAY(A37+2)=1,'Main Budget'!$H$20,IF(DAY(A37+1)=15,'Main Budget'!$H$20,0)))</f>
        <v>0</v>
      </c>
      <c r="H37" s="242">
        <f>-(IF(DAY(A37)=20,'Main Budget'!$F$20,0))</f>
        <v>0</v>
      </c>
      <c r="I37" s="243"/>
      <c r="J37" s="242"/>
      <c r="K37" s="242">
        <f>MAX((B37+E37+F37+J37)+I37,0)</f>
        <v>100</v>
      </c>
      <c r="L37" s="242">
        <f>ROUND(IF((B37+E37+F37+J37)+I37&lt;0,(L36+G37+H37)+(B37+E37+F37+J37)+I37,(L36+G37+H37))+N36,2)</f>
        <v>100</v>
      </c>
      <c r="M37" s="244">
        <f>K37+L37</f>
        <v>200</v>
      </c>
      <c r="P37" t="str">
        <f>TEXT(A37,"dddd")</f>
        <v>Thursday</v>
      </c>
    </row>
    <row r="38" spans="1:16" x14ac:dyDescent="0.25">
      <c r="A38" s="241">
        <v>46059</v>
      </c>
      <c r="B38" s="242">
        <f>K37</f>
        <v>100</v>
      </c>
      <c r="C38" s="242">
        <f>ROUND(L37+N37,2)</f>
        <v>100</v>
      </c>
      <c r="D38" s="242">
        <f>B38+C38</f>
        <v>200</v>
      </c>
      <c r="E38" s="242">
        <f>-(IF(DAY(A38+2)=1,'Main Budget'!$H$19,IF(DAY(A38+1)=15,'Main Budget'!$H$19,0)))</f>
        <v>0</v>
      </c>
      <c r="F38" s="242">
        <f>-(IF(DAY(A38)=20,'Main Budget'!$F$19,0))</f>
        <v>0</v>
      </c>
      <c r="G38" s="242">
        <f>-(IF(DAY(A38+2)=1,'Main Budget'!$H$20,IF(DAY(A38+1)=15,'Main Budget'!$H$20,0)))</f>
        <v>0</v>
      </c>
      <c r="H38" s="242">
        <f>-(IF(DAY(A38)=20,'Main Budget'!$F$20,0))</f>
        <v>0</v>
      </c>
      <c r="I38" s="243"/>
      <c r="J38" s="242"/>
      <c r="K38" s="242">
        <f>MAX((B38+E38+F38+J38)+I38,0)</f>
        <v>100</v>
      </c>
      <c r="L38" s="242">
        <f>ROUND(IF((B38+E38+F38+J38)+I38&lt;0,(L37+G38+H38)+(B38+E38+F38+J38)+I38,(L37+G38+H38))+N37,2)</f>
        <v>100</v>
      </c>
      <c r="M38" s="244">
        <f>K38+L38</f>
        <v>200</v>
      </c>
      <c r="P38" t="str">
        <f>TEXT(A38,"dddd")</f>
        <v>Friday</v>
      </c>
    </row>
    <row r="39" spans="1:16" x14ac:dyDescent="0.25">
      <c r="A39" s="241">
        <v>46060</v>
      </c>
      <c r="B39" s="242">
        <f>K38</f>
        <v>100</v>
      </c>
      <c r="C39" s="242">
        <f>ROUND(L38+N38,2)</f>
        <v>100</v>
      </c>
      <c r="D39" s="242">
        <f>B39+C39</f>
        <v>200</v>
      </c>
      <c r="E39" s="242">
        <f>-(IF(DAY(A39+2)=1,'Main Budget'!$H$19,IF(DAY(A39+1)=15,'Main Budget'!$H$19,0)))</f>
        <v>0</v>
      </c>
      <c r="F39" s="242">
        <f>-(IF(DAY(A39)=20,'Main Budget'!$F$19,0))</f>
        <v>0</v>
      </c>
      <c r="G39" s="242">
        <f>-(IF(DAY(A39+2)=1,'Main Budget'!$H$20,IF(DAY(A39+1)=15,'Main Budget'!$H$20,0)))</f>
        <v>0</v>
      </c>
      <c r="H39" s="242">
        <f>-(IF(DAY(A39)=20,'Main Budget'!$F$20,0))</f>
        <v>0</v>
      </c>
      <c r="I39" s="243"/>
      <c r="J39" s="242"/>
      <c r="K39" s="242">
        <f>MAX((B39+E39+F39+J39)+I39,0)</f>
        <v>100</v>
      </c>
      <c r="L39" s="242">
        <f>ROUND(IF((B39+E39+F39+J39)+I39&lt;0,(L38+G39+H39)+(B39+E39+F39+J39)+I39,(L38+G39+H39))+N38,2)</f>
        <v>100</v>
      </c>
      <c r="M39" s="244">
        <f>K39+L39</f>
        <v>200</v>
      </c>
      <c r="P39" t="str">
        <f>TEXT(A39,"dddd")</f>
        <v>Saturday</v>
      </c>
    </row>
    <row r="40" spans="1:16" x14ac:dyDescent="0.25">
      <c r="A40" s="241">
        <v>46061</v>
      </c>
      <c r="B40" s="242">
        <f>K39</f>
        <v>100</v>
      </c>
      <c r="C40" s="242">
        <f>ROUND(L39+N39,2)</f>
        <v>100</v>
      </c>
      <c r="D40" s="242">
        <f>B40+C40</f>
        <v>200</v>
      </c>
      <c r="E40" s="242">
        <f>-(IF(DAY(A40+2)=1,'Main Budget'!$H$19,IF(DAY(A40+1)=15,'Main Budget'!$H$19,0)))</f>
        <v>0</v>
      </c>
      <c r="F40" s="242">
        <f>-(IF(DAY(A40)=20,'Main Budget'!$F$19,0))</f>
        <v>0</v>
      </c>
      <c r="G40" s="242">
        <f>-(IF(DAY(A40+2)=1,'Main Budget'!$H$20,IF(DAY(A40+1)=15,'Main Budget'!$H$20,0)))</f>
        <v>0</v>
      </c>
      <c r="H40" s="242">
        <f>-(IF(DAY(A40)=20,'Main Budget'!$F$20,0))</f>
        <v>0</v>
      </c>
      <c r="I40" s="243"/>
      <c r="J40" s="242"/>
      <c r="K40" s="242">
        <f>MAX((B40+E40+F40+J40)+I40,0)</f>
        <v>100</v>
      </c>
      <c r="L40" s="242">
        <f>ROUND(IF((B40+E40+F40+J40)+I40&lt;0,(L39+G40+H40)+(B40+E40+F40+J40)+I40,(L39+G40+H40))+N39,2)</f>
        <v>100</v>
      </c>
      <c r="M40" s="244">
        <f>K40+L40</f>
        <v>200</v>
      </c>
      <c r="P40" t="str">
        <f>TEXT(A40,"dddd")</f>
        <v>Sunday</v>
      </c>
    </row>
    <row r="41" spans="1:16" x14ac:dyDescent="0.25">
      <c r="A41" s="241">
        <v>46062</v>
      </c>
      <c r="B41" s="242">
        <f>K40</f>
        <v>100</v>
      </c>
      <c r="C41" s="242">
        <f>ROUND(L40+N40,2)</f>
        <v>100</v>
      </c>
      <c r="D41" s="242">
        <f>B41+C41</f>
        <v>200</v>
      </c>
      <c r="E41" s="242">
        <f>-(IF(DAY(A41+2)=1,'Main Budget'!$H$19,IF(DAY(A41+1)=15,'Main Budget'!$H$19,0)))</f>
        <v>0</v>
      </c>
      <c r="F41" s="242">
        <f>-(IF(DAY(A41)=20,'Main Budget'!$F$19,0))</f>
        <v>0</v>
      </c>
      <c r="G41" s="242">
        <f>-(IF(DAY(A41+2)=1,'Main Budget'!$H$20,IF(DAY(A41+1)=15,'Main Budget'!$H$20,0)))</f>
        <v>0</v>
      </c>
      <c r="H41" s="242">
        <f>-(IF(DAY(A41)=20,'Main Budget'!$F$20,0))</f>
        <v>0</v>
      </c>
      <c r="I41" s="243"/>
      <c r="J41" s="242"/>
      <c r="K41" s="242">
        <f>MAX((B41+E41+F41+J41)+I41,0)</f>
        <v>100</v>
      </c>
      <c r="L41" s="242">
        <f>ROUND(IF((B41+E41+F41+J41)+I41&lt;0,(L40+G41+H41)+(B41+E41+F41+J41)+I41,(L40+G41+H41))+N40,2)</f>
        <v>100</v>
      </c>
      <c r="M41" s="244">
        <f>K41+L41</f>
        <v>200</v>
      </c>
      <c r="P41" t="str">
        <f>TEXT(A41,"dddd")</f>
        <v>Monday</v>
      </c>
    </row>
    <row r="42" spans="1:16" x14ac:dyDescent="0.25">
      <c r="A42" s="241">
        <v>46063</v>
      </c>
      <c r="B42" s="242">
        <f>K41</f>
        <v>100</v>
      </c>
      <c r="C42" s="242">
        <f>ROUND(L41+N41,2)</f>
        <v>100</v>
      </c>
      <c r="D42" s="242">
        <f>B42+C42</f>
        <v>200</v>
      </c>
      <c r="E42" s="242">
        <f>-(IF(DAY(A42+2)=1,'Main Budget'!$H$19,IF(DAY(A42+1)=15,'Main Budget'!$H$19,0)))</f>
        <v>0</v>
      </c>
      <c r="F42" s="242">
        <f>-(IF(DAY(A42)=20,'Main Budget'!$F$19,0))</f>
        <v>0</v>
      </c>
      <c r="G42" s="242">
        <f>-(IF(DAY(A42+2)=1,'Main Budget'!$H$20,IF(DAY(A42+1)=15,'Main Budget'!$H$20,0)))</f>
        <v>0</v>
      </c>
      <c r="H42" s="242">
        <f>-(IF(DAY(A42)=20,'Main Budget'!$F$20,0))</f>
        <v>0</v>
      </c>
      <c r="I42" s="243"/>
      <c r="J42" s="242"/>
      <c r="K42" s="242">
        <f>MAX((B42+E42+F42+J42)+I42,0)</f>
        <v>100</v>
      </c>
      <c r="L42" s="242">
        <f>ROUND(IF((B42+E42+F42+J42)+I42&lt;0,(L41+G42+H42)+(B42+E42+F42+J42)+I42,(L41+G42+H42))+N41,2)</f>
        <v>100</v>
      </c>
      <c r="M42" s="244">
        <f>K42+L42</f>
        <v>200</v>
      </c>
      <c r="P42" t="str">
        <f>TEXT(A42,"dddd")</f>
        <v>Tuesday</v>
      </c>
    </row>
    <row r="43" spans="1:16" x14ac:dyDescent="0.25">
      <c r="A43" s="241">
        <v>46064</v>
      </c>
      <c r="B43" s="242">
        <f>K42</f>
        <v>100</v>
      </c>
      <c r="C43" s="242">
        <f>ROUND(L42+N42,2)</f>
        <v>100</v>
      </c>
      <c r="D43" s="242">
        <f>B43+C43</f>
        <v>200</v>
      </c>
      <c r="E43" s="242">
        <f>-(IF(DAY(A43+2)=1,'Main Budget'!$H$19,IF(DAY(A43+1)=15,'Main Budget'!$H$19,0)))</f>
        <v>0</v>
      </c>
      <c r="F43" s="242">
        <f>-(IF(DAY(A43)=20,'Main Budget'!$F$19,0))</f>
        <v>0</v>
      </c>
      <c r="G43" s="242">
        <f>-(IF(DAY(A43+2)=1,'Main Budget'!$H$20,IF(DAY(A43+1)=15,'Main Budget'!$H$20,0)))</f>
        <v>0</v>
      </c>
      <c r="H43" s="242">
        <f>-(IF(DAY(A43)=20,'Main Budget'!$F$20,0))</f>
        <v>0</v>
      </c>
      <c r="I43" s="243"/>
      <c r="J43" s="242"/>
      <c r="K43" s="242">
        <f>MAX((B43+E43+F43+J43)+I43,0)</f>
        <v>100</v>
      </c>
      <c r="L43" s="242">
        <f>ROUND(IF((B43+E43+F43+J43)+I43&lt;0,(L42+G43+H43)+(B43+E43+F43+J43)+I43,(L42+G43+H43))+N42,2)</f>
        <v>100</v>
      </c>
      <c r="M43" s="244">
        <f>K43+L43</f>
        <v>200</v>
      </c>
      <c r="P43" t="str">
        <f>TEXT(A43,"dddd")</f>
        <v>Wednesday</v>
      </c>
    </row>
    <row r="44" spans="1:16" x14ac:dyDescent="0.25">
      <c r="A44" s="241">
        <v>46065</v>
      </c>
      <c r="B44" s="242">
        <f>K43</f>
        <v>100</v>
      </c>
      <c r="C44" s="242">
        <f>ROUND(L43+N43,2)</f>
        <v>100</v>
      </c>
      <c r="D44" s="242">
        <f>B44+C44</f>
        <v>200</v>
      </c>
      <c r="E44" s="242">
        <f>-(IF(DAY(A44+2)=1,'Main Budget'!$H$19,IF(DAY(A44+1)=15,'Main Budget'!$H$19,0)))</f>
        <v>0</v>
      </c>
      <c r="F44" s="242">
        <f>-(IF(DAY(A44)=20,'Main Budget'!$F$19,0))</f>
        <v>0</v>
      </c>
      <c r="G44" s="242">
        <f>-(IF(DAY(A44+2)=1,'Main Budget'!$H$20,IF(DAY(A44+1)=15,'Main Budget'!$H$20,0)))</f>
        <v>0</v>
      </c>
      <c r="H44" s="242">
        <f>-(IF(DAY(A44)=20,'Main Budget'!$F$20,0))</f>
        <v>0</v>
      </c>
      <c r="I44" s="243"/>
      <c r="J44" s="242"/>
      <c r="K44" s="242">
        <f>MAX((B44+E44+F44+J44)+I44,0)</f>
        <v>100</v>
      </c>
      <c r="L44" s="242">
        <f>ROUND(IF((B44+E44+F44+J44)+I44&lt;0,(L43+G44+H44)+(B44+E44+F44+J44)+I44,(L43+G44+H44))+N43,2)</f>
        <v>100</v>
      </c>
      <c r="M44" s="244">
        <f>K44+L44</f>
        <v>200</v>
      </c>
      <c r="P44" t="str">
        <f>TEXT(A44,"dddd")</f>
        <v>Thursday</v>
      </c>
    </row>
    <row r="45" spans="1:16" x14ac:dyDescent="0.25">
      <c r="A45" s="241">
        <v>46066</v>
      </c>
      <c r="B45" s="242">
        <f>K44</f>
        <v>100</v>
      </c>
      <c r="C45" s="242">
        <f>ROUND(L44+N44,2)</f>
        <v>100</v>
      </c>
      <c r="D45" s="242">
        <f>B45+C45</f>
        <v>200</v>
      </c>
      <c r="E45" s="242">
        <f>-(IF(DAY(A45+2)=1,'Main Budget'!$H$19,IF(DAY(A45+1)=15,'Main Budget'!$H$19,0)))</f>
        <v>0</v>
      </c>
      <c r="F45" s="242">
        <f>-(IF(DAY(A45)=20,'Main Budget'!$F$19,0))</f>
        <v>0</v>
      </c>
      <c r="G45" s="242">
        <f>-(IF(DAY(A45+2)=1,'Main Budget'!$H$20,IF(DAY(A45+1)=15,'Main Budget'!$H$20,0)))</f>
        <v>0</v>
      </c>
      <c r="H45" s="242">
        <f>-(IF(DAY(A45)=20,'Main Budget'!$F$20,0))</f>
        <v>0</v>
      </c>
      <c r="I45" s="243"/>
      <c r="J45" s="242"/>
      <c r="K45" s="242">
        <f>MAX((B45+E45+F45+J45)+I45,0)</f>
        <v>100</v>
      </c>
      <c r="L45" s="242">
        <f>ROUND(IF((B45+E45+F45+J45)+I45&lt;0,(L44+G45+H45)+(B45+E45+F45+J45)+I45,(L44+G45+H45))+N44,2)</f>
        <v>100</v>
      </c>
      <c r="M45" s="244">
        <f>K45+L45</f>
        <v>200</v>
      </c>
      <c r="P45" t="str">
        <f>TEXT(A45,"dddd")</f>
        <v>Friday</v>
      </c>
    </row>
    <row r="46" spans="1:16" x14ac:dyDescent="0.25">
      <c r="A46" s="241">
        <v>46067</v>
      </c>
      <c r="B46" s="242">
        <f>K45</f>
        <v>100</v>
      </c>
      <c r="C46" s="242">
        <f>ROUND(L45+N45,2)</f>
        <v>100</v>
      </c>
      <c r="D46" s="242">
        <f>B46+C46</f>
        <v>200</v>
      </c>
      <c r="E46" s="242">
        <f>-(IF(DAY(A46+2)=1,'Main Budget'!$H$19,IF(DAY(A46+1)=15,'Main Budget'!$H$19,0)))</f>
        <v>0</v>
      </c>
      <c r="F46" s="242">
        <f>-(IF(DAY(A46)=20,'Main Budget'!$F$19,0))</f>
        <v>0</v>
      </c>
      <c r="G46" s="242">
        <f>-(IF(DAY(A46+2)=1,'Main Budget'!$H$20,IF(DAY(A46+1)=15,'Main Budget'!$H$20,0)))</f>
        <v>0</v>
      </c>
      <c r="H46" s="242">
        <f>-(IF(DAY(A46)=20,'Main Budget'!$F$20,0))</f>
        <v>0</v>
      </c>
      <c r="I46" s="243"/>
      <c r="J46" s="242"/>
      <c r="K46" s="242">
        <f>MAX((B46+E46+F46+J46)+I46,0)</f>
        <v>100</v>
      </c>
      <c r="L46" s="242">
        <f>ROUND(IF((B46+E46+F46+J46)+I46&lt;0,(L45+G46+H46)+(B46+E46+F46+J46)+I46,(L45+G46+H46))+N45,2)</f>
        <v>100</v>
      </c>
      <c r="M46" s="244">
        <f>K46+L46</f>
        <v>200</v>
      </c>
      <c r="P46" t="str">
        <f>TEXT(A46,"dddd")</f>
        <v>Saturday</v>
      </c>
    </row>
    <row r="47" spans="1:16" x14ac:dyDescent="0.25">
      <c r="A47" s="241">
        <v>46068</v>
      </c>
      <c r="B47" s="242">
        <f>K46</f>
        <v>100</v>
      </c>
      <c r="C47" s="242">
        <f>ROUND(L46+N46,2)</f>
        <v>100</v>
      </c>
      <c r="D47" s="242">
        <f>B47+C47</f>
        <v>200</v>
      </c>
      <c r="E47" s="242">
        <f>-(IF(DAY(A47+2)=1,'Main Budget'!$H$19,IF(DAY(A47+1)=15,'Main Budget'!$H$19,0)))</f>
        <v>0</v>
      </c>
      <c r="F47" s="242">
        <f>-(IF(DAY(A47)=20,'Main Budget'!$F$19,0))</f>
        <v>0</v>
      </c>
      <c r="G47" s="242">
        <f>-(IF(DAY(A47+2)=1,'Main Budget'!$H$20,IF(DAY(A47+1)=15,'Main Budget'!$H$20,0)))</f>
        <v>0</v>
      </c>
      <c r="H47" s="242">
        <f>-(IF(DAY(A47)=20,'Main Budget'!$F$20,0))</f>
        <v>0</v>
      </c>
      <c r="I47" s="243"/>
      <c r="J47" s="242"/>
      <c r="K47" s="242">
        <f>MAX((B47+E47+F47+J47)+I47,0)</f>
        <v>100</v>
      </c>
      <c r="L47" s="242">
        <f>ROUND(IF((B47+E47+F47+J47)+I47&lt;0,(L46+G47+H47)+(B47+E47+F47+J47)+I47,(L46+G47+H47))+N46,2)</f>
        <v>100</v>
      </c>
      <c r="M47" s="244">
        <f>K47+L47</f>
        <v>200</v>
      </c>
      <c r="P47" t="str">
        <f>TEXT(A47,"dddd")</f>
        <v>Sunday</v>
      </c>
    </row>
    <row r="48" spans="1:16" x14ac:dyDescent="0.25">
      <c r="A48" s="241">
        <v>46069</v>
      </c>
      <c r="B48" s="242">
        <f>K47</f>
        <v>100</v>
      </c>
      <c r="C48" s="242">
        <f>ROUND(L47+N47,2)</f>
        <v>100</v>
      </c>
      <c r="D48" s="242">
        <f>B48+C48</f>
        <v>200</v>
      </c>
      <c r="E48" s="242">
        <f>-(IF(DAY(A48+2)=1,'Main Budget'!$H$19,IF(DAY(A48+1)=15,'Main Budget'!$H$19,0)))</f>
        <v>0</v>
      </c>
      <c r="F48" s="242">
        <f>-(IF(DAY(A48)=20,'Main Budget'!$F$19,0))</f>
        <v>0</v>
      </c>
      <c r="G48" s="242">
        <f>-(IF(DAY(A48+2)=1,'Main Budget'!$H$20,IF(DAY(A48+1)=15,'Main Budget'!$H$20,0)))</f>
        <v>0</v>
      </c>
      <c r="H48" s="242">
        <f>-(IF(DAY(A48)=20,'Main Budget'!$F$20,0))</f>
        <v>0</v>
      </c>
      <c r="I48" s="243"/>
      <c r="J48" s="242"/>
      <c r="K48" s="242">
        <f>MAX((B48+E48+F48+J48)+I48,0)</f>
        <v>100</v>
      </c>
      <c r="L48" s="242">
        <f>ROUND(IF((B48+E48+F48+J48)+I48&lt;0,(L47+G48+H48)+(B48+E48+F48+J48)+I48,(L47+G48+H48))+N47,2)</f>
        <v>100</v>
      </c>
      <c r="M48" s="244">
        <f>K48+L48</f>
        <v>200</v>
      </c>
      <c r="P48" t="str">
        <f>TEXT(A48,"dddd")</f>
        <v>Monday</v>
      </c>
    </row>
    <row r="49" spans="1:16" x14ac:dyDescent="0.25">
      <c r="A49" s="241">
        <v>46070</v>
      </c>
      <c r="B49" s="242">
        <f>K48</f>
        <v>100</v>
      </c>
      <c r="C49" s="242">
        <f>ROUND(L48+N48,2)</f>
        <v>100</v>
      </c>
      <c r="D49" s="242">
        <f>B49+C49</f>
        <v>200</v>
      </c>
      <c r="E49" s="242">
        <f>-(IF(DAY(A49+2)=1,'Main Budget'!$H$19,IF(DAY(A49+1)=15,'Main Budget'!$H$19,0)))</f>
        <v>0</v>
      </c>
      <c r="F49" s="242">
        <f>-(IF(DAY(A49)=20,'Main Budget'!$F$19,0))</f>
        <v>0</v>
      </c>
      <c r="G49" s="242">
        <f>-(IF(DAY(A49+2)=1,'Main Budget'!$H$20,IF(DAY(A49+1)=15,'Main Budget'!$H$20,0)))</f>
        <v>0</v>
      </c>
      <c r="H49" s="242">
        <f>-(IF(DAY(A49)=20,'Main Budget'!$F$20,0))</f>
        <v>0</v>
      </c>
      <c r="I49" s="243"/>
      <c r="J49" s="242"/>
      <c r="K49" s="242">
        <f>MAX((B49+E49+F49+J49)+I49,0)</f>
        <v>100</v>
      </c>
      <c r="L49" s="242">
        <f>ROUND(IF((B49+E49+F49+J49)+I49&lt;0,(L48+G49+H49)+(B49+E49+F49+J49)+I49,(L48+G49+H49))+N48,2)</f>
        <v>100</v>
      </c>
      <c r="M49" s="244">
        <f>K49+L49</f>
        <v>200</v>
      </c>
      <c r="P49" t="str">
        <f>TEXT(A49,"dddd")</f>
        <v>Tuesday</v>
      </c>
    </row>
    <row r="50" spans="1:16" x14ac:dyDescent="0.25">
      <c r="A50" s="241">
        <v>46071</v>
      </c>
      <c r="B50" s="242">
        <f>K49</f>
        <v>100</v>
      </c>
      <c r="C50" s="242">
        <f>ROUND(L49+N49,2)</f>
        <v>100</v>
      </c>
      <c r="D50" s="242">
        <f>B50+C50</f>
        <v>200</v>
      </c>
      <c r="E50" s="242">
        <f>-(IF(DAY(A50+2)=1,'Main Budget'!$H$19,IF(DAY(A50+1)=15,'Main Budget'!$H$19,0)))</f>
        <v>0</v>
      </c>
      <c r="F50" s="242">
        <f>-(IF(DAY(A50)=20,'Main Budget'!$F$19,0))</f>
        <v>0</v>
      </c>
      <c r="G50" s="242">
        <f>-(IF(DAY(A50+2)=1,'Main Budget'!$H$20,IF(DAY(A50+1)=15,'Main Budget'!$H$20,0)))</f>
        <v>0</v>
      </c>
      <c r="H50" s="242">
        <f>-(IF(DAY(A50)=20,'Main Budget'!$F$20,0))</f>
        <v>0</v>
      </c>
      <c r="I50" s="243"/>
      <c r="J50" s="242"/>
      <c r="K50" s="242">
        <f>MAX((B50+E50+F50+J50)+I50,0)</f>
        <v>100</v>
      </c>
      <c r="L50" s="242">
        <f>ROUND(IF((B50+E50+F50+J50)+I50&lt;0,(L49+G50+H50)+(B50+E50+F50+J50)+I50,(L49+G50+H50))+N49,2)</f>
        <v>100</v>
      </c>
      <c r="M50" s="244">
        <f>K50+L50</f>
        <v>200</v>
      </c>
      <c r="P50" t="str">
        <f>TEXT(A50,"dddd")</f>
        <v>Wednesday</v>
      </c>
    </row>
    <row r="51" spans="1:16" x14ac:dyDescent="0.25">
      <c r="A51" s="241">
        <v>46072</v>
      </c>
      <c r="B51" s="242">
        <f>K50</f>
        <v>100</v>
      </c>
      <c r="C51" s="242">
        <f>ROUND(L50+N50,2)</f>
        <v>100</v>
      </c>
      <c r="D51" s="242">
        <f>B51+C51</f>
        <v>200</v>
      </c>
      <c r="E51" s="242">
        <f>-(IF(DAY(A51+2)=1,'Main Budget'!$H$19,IF(DAY(A51+1)=15,'Main Budget'!$H$19,0)))</f>
        <v>0</v>
      </c>
      <c r="F51" s="242">
        <f>-(IF(DAY(A51)=20,'Main Budget'!$F$19,0))</f>
        <v>0</v>
      </c>
      <c r="G51" s="242">
        <f>-(IF(DAY(A51+2)=1,'Main Budget'!$H$20,IF(DAY(A51+1)=15,'Main Budget'!$H$20,0)))</f>
        <v>0</v>
      </c>
      <c r="H51" s="242">
        <f>-(IF(DAY(A51)=20,'Main Budget'!$F$20,0))</f>
        <v>0</v>
      </c>
      <c r="I51" s="243"/>
      <c r="J51" s="242"/>
      <c r="K51" s="242">
        <f>MAX((B51+E51+F51+J51)+I51,0)</f>
        <v>100</v>
      </c>
      <c r="L51" s="242">
        <f>ROUND(IF((B51+E51+F51+J51)+I51&lt;0,(L50+G51+H51)+(B51+E51+F51+J51)+I51,(L50+G51+H51))+N50,2)</f>
        <v>100</v>
      </c>
      <c r="M51" s="244">
        <f>K51+L51</f>
        <v>200</v>
      </c>
      <c r="P51" t="str">
        <f>TEXT(A51,"dddd")</f>
        <v>Thursday</v>
      </c>
    </row>
    <row r="52" spans="1:16" x14ac:dyDescent="0.25">
      <c r="A52" s="241">
        <v>46073</v>
      </c>
      <c r="B52" s="242">
        <f>K51</f>
        <v>100</v>
      </c>
      <c r="C52" s="242">
        <f>ROUND(L51+N51,2)</f>
        <v>100</v>
      </c>
      <c r="D52" s="242">
        <f>B52+C52</f>
        <v>200</v>
      </c>
      <c r="E52" s="242">
        <f>-(IF(DAY(A52+2)=1,'Main Budget'!$H$19,IF(DAY(A52+1)=15,'Main Budget'!$H$19,0)))</f>
        <v>0</v>
      </c>
      <c r="F52" s="242">
        <f>-(IF(DAY(A52)=20,'Main Budget'!$F$19,0))</f>
        <v>0</v>
      </c>
      <c r="G52" s="242">
        <f>-(IF(DAY(A52+2)=1,'Main Budget'!$H$20,IF(DAY(A52+1)=15,'Main Budget'!$H$20,0)))</f>
        <v>0</v>
      </c>
      <c r="H52" s="242">
        <f>-(IF(DAY(A52)=20,'Main Budget'!$F$20,0))</f>
        <v>0</v>
      </c>
      <c r="I52" s="243"/>
      <c r="J52" s="242"/>
      <c r="K52" s="242">
        <f>MAX((B52+E52+F52+J52)+I52,0)</f>
        <v>100</v>
      </c>
      <c r="L52" s="242">
        <f>ROUND(IF((B52+E52+F52+J52)+I52&lt;0,(L51+G52+H52)+(B52+E52+F52+J52)+I52,(L51+G52+H52))+N51,2)</f>
        <v>100</v>
      </c>
      <c r="M52" s="244">
        <f>K52+L52</f>
        <v>200</v>
      </c>
      <c r="P52" t="str">
        <f>TEXT(A52,"dddd")</f>
        <v>Friday</v>
      </c>
    </row>
    <row r="53" spans="1:16" x14ac:dyDescent="0.25">
      <c r="A53" s="241">
        <v>46074</v>
      </c>
      <c r="B53" s="242">
        <f>K52</f>
        <v>100</v>
      </c>
      <c r="C53" s="242">
        <f>ROUND(L52+N52,2)</f>
        <v>100</v>
      </c>
      <c r="D53" s="242">
        <f>B53+C53</f>
        <v>200</v>
      </c>
      <c r="E53" s="242">
        <f>-(IF(DAY(A53+2)=1,'Main Budget'!$H$19,IF(DAY(A53+1)=15,'Main Budget'!$H$19,0)))</f>
        <v>0</v>
      </c>
      <c r="F53" s="242">
        <f>-(IF(DAY(A53)=20,'Main Budget'!$F$19,0))</f>
        <v>0</v>
      </c>
      <c r="G53" s="242">
        <f>-(IF(DAY(A53+2)=1,'Main Budget'!$H$20,IF(DAY(A53+1)=15,'Main Budget'!$H$20,0)))</f>
        <v>0</v>
      </c>
      <c r="H53" s="242">
        <f>-(IF(DAY(A53)=20,'Main Budget'!$F$20,0))</f>
        <v>0</v>
      </c>
      <c r="I53" s="243"/>
      <c r="J53" s="242"/>
      <c r="K53" s="242">
        <f>MAX((B53+E53+F53+J53)+I53,0)</f>
        <v>100</v>
      </c>
      <c r="L53" s="242">
        <f>ROUND(IF((B53+E53+F53+J53)+I53&lt;0,(L52+G53+H53)+(B53+E53+F53+J53)+I53,(L52+G53+H53))+N52,2)</f>
        <v>100</v>
      </c>
      <c r="M53" s="244">
        <f>K53+L53</f>
        <v>200</v>
      </c>
      <c r="P53" t="str">
        <f>TEXT(A53,"dddd")</f>
        <v>Saturday</v>
      </c>
    </row>
    <row r="54" spans="1:16" x14ac:dyDescent="0.25">
      <c r="A54" s="241">
        <v>46075</v>
      </c>
      <c r="B54" s="242">
        <f>K53</f>
        <v>100</v>
      </c>
      <c r="C54" s="242">
        <f>ROUND(L53+N53,2)</f>
        <v>100</v>
      </c>
      <c r="D54" s="242">
        <f>B54+C54</f>
        <v>200</v>
      </c>
      <c r="E54" s="242">
        <f>-(IF(DAY(A54+2)=1,'Main Budget'!$H$19,IF(DAY(A54+1)=15,'Main Budget'!$H$19,0)))</f>
        <v>0</v>
      </c>
      <c r="F54" s="242">
        <f>-(IF(DAY(A54)=20,'Main Budget'!$F$19,0))</f>
        <v>0</v>
      </c>
      <c r="G54" s="242">
        <f>-(IF(DAY(A54+2)=1,'Main Budget'!$H$20,IF(DAY(A54+1)=15,'Main Budget'!$H$20,0)))</f>
        <v>0</v>
      </c>
      <c r="H54" s="242">
        <f>-(IF(DAY(A54)=20,'Main Budget'!$F$20,0))</f>
        <v>0</v>
      </c>
      <c r="I54" s="243"/>
      <c r="J54" s="242"/>
      <c r="K54" s="242">
        <f>MAX((B54+E54+F54+J54)+I54,0)</f>
        <v>100</v>
      </c>
      <c r="L54" s="242">
        <f>ROUND(IF((B54+E54+F54+J54)+I54&lt;0,(L53+G54+H54)+(B54+E54+F54+J54)+I54,(L53+G54+H54))+N53,2)</f>
        <v>100</v>
      </c>
      <c r="M54" s="244">
        <f>K54+L54</f>
        <v>200</v>
      </c>
      <c r="P54" t="str">
        <f>TEXT(A54,"dddd")</f>
        <v>Sunday</v>
      </c>
    </row>
    <row r="55" spans="1:16" x14ac:dyDescent="0.25">
      <c r="A55" s="241">
        <v>46076</v>
      </c>
      <c r="B55" s="242">
        <f>K54</f>
        <v>100</v>
      </c>
      <c r="C55" s="242">
        <f>ROUND(L54+N54,2)</f>
        <v>100</v>
      </c>
      <c r="D55" s="242">
        <f>B55+C55</f>
        <v>200</v>
      </c>
      <c r="E55" s="242">
        <f>-(IF(DAY(A55+2)=1,'Main Budget'!$H$19,IF(DAY(A55+1)=15,'Main Budget'!$H$19,0)))</f>
        <v>0</v>
      </c>
      <c r="F55" s="242">
        <f>-(IF(DAY(A55)=20,'Main Budget'!$F$19,0))</f>
        <v>0</v>
      </c>
      <c r="G55" s="242">
        <f>-(IF(DAY(A55+2)=1,'Main Budget'!$H$20,IF(DAY(A55+1)=15,'Main Budget'!$H$20,0)))</f>
        <v>0</v>
      </c>
      <c r="H55" s="242">
        <f>-(IF(DAY(A55)=20,'Main Budget'!$F$20,0))</f>
        <v>0</v>
      </c>
      <c r="I55" s="243"/>
      <c r="J55" s="242"/>
      <c r="K55" s="242">
        <f>MAX((B55+E55+F55+J55)+I55,0)</f>
        <v>100</v>
      </c>
      <c r="L55" s="242">
        <f>ROUND(IF((B55+E55+F55+J55)+I55&lt;0,(L54+G55+H55)+(B55+E55+F55+J55)+I55,(L54+G55+H55))+N54,2)</f>
        <v>100</v>
      </c>
      <c r="M55" s="244">
        <f>K55+L55</f>
        <v>200</v>
      </c>
      <c r="P55" t="str">
        <f>TEXT(A55,"dddd")</f>
        <v>Monday</v>
      </c>
    </row>
    <row r="56" spans="1:16" x14ac:dyDescent="0.25">
      <c r="A56" s="241">
        <v>46077</v>
      </c>
      <c r="B56" s="242">
        <f>K55</f>
        <v>100</v>
      </c>
      <c r="C56" s="242">
        <f>ROUND(L55+N55,2)</f>
        <v>100</v>
      </c>
      <c r="D56" s="242">
        <f>B56+C56</f>
        <v>200</v>
      </c>
      <c r="E56" s="242">
        <f>-(IF(DAY(A56+2)=1,'Main Budget'!$H$19,IF(DAY(A56+1)=15,'Main Budget'!$H$19,0)))</f>
        <v>0</v>
      </c>
      <c r="F56" s="242">
        <f>-(IF(DAY(A56)=20,'Main Budget'!$F$19,0))</f>
        <v>0</v>
      </c>
      <c r="G56" s="242">
        <f>-(IF(DAY(A56+2)=1,'Main Budget'!$H$20,IF(DAY(A56+1)=15,'Main Budget'!$H$20,0)))</f>
        <v>0</v>
      </c>
      <c r="H56" s="242">
        <f>-(IF(DAY(A56)=20,'Main Budget'!$F$20,0))</f>
        <v>0</v>
      </c>
      <c r="I56" s="243"/>
      <c r="J56" s="242"/>
      <c r="K56" s="242">
        <f>MAX((B56+E56+F56+J56)+I56,0)</f>
        <v>100</v>
      </c>
      <c r="L56" s="242">
        <f>ROUND(IF((B56+E56+F56+J56)+I56&lt;0,(L55+G56+H56)+(B56+E56+F56+J56)+I56,(L55+G56+H56))+N55,2)</f>
        <v>100</v>
      </c>
      <c r="M56" s="244">
        <f>K56+L56</f>
        <v>200</v>
      </c>
      <c r="P56" t="str">
        <f>TEXT(A56,"dddd")</f>
        <v>Tuesday</v>
      </c>
    </row>
    <row r="57" spans="1:16" x14ac:dyDescent="0.25">
      <c r="A57" s="241">
        <v>46078</v>
      </c>
      <c r="B57" s="242">
        <f>K56</f>
        <v>100</v>
      </c>
      <c r="C57" s="242">
        <f>ROUND(L56+N56,2)</f>
        <v>100</v>
      </c>
      <c r="D57" s="242">
        <f>B57+C57</f>
        <v>200</v>
      </c>
      <c r="E57" s="242">
        <f>-(IF(DAY(A57+2)=1,'Main Budget'!$H$19,IF(DAY(A57+1)=15,'Main Budget'!$H$19,0)))</f>
        <v>0</v>
      </c>
      <c r="F57" s="242">
        <f>-(IF(DAY(A57)=20,'Main Budget'!$F$19,0))</f>
        <v>0</v>
      </c>
      <c r="G57" s="242">
        <f>-(IF(DAY(A57+2)=1,'Main Budget'!$H$20,IF(DAY(A57+1)=15,'Main Budget'!$H$20,0)))</f>
        <v>0</v>
      </c>
      <c r="H57" s="242">
        <f>-(IF(DAY(A57)=20,'Main Budget'!$F$20,0))</f>
        <v>0</v>
      </c>
      <c r="I57" s="243"/>
      <c r="J57" s="242"/>
      <c r="K57" s="242">
        <f>MAX((B57+E57+F57+J57)+I57,0)</f>
        <v>100</v>
      </c>
      <c r="L57" s="242">
        <f>ROUND(IF((B57+E57+F57+J57)+I57&lt;0,(L56+G57+H57)+(B57+E57+F57+J57)+I57,(L56+G57+H57))+N56,2)</f>
        <v>100</v>
      </c>
      <c r="M57" s="244">
        <f>K57+L57</f>
        <v>200</v>
      </c>
      <c r="P57" t="str">
        <f>TEXT(A57,"dddd")</f>
        <v>Wednesday</v>
      </c>
    </row>
    <row r="58" spans="1:16" x14ac:dyDescent="0.25">
      <c r="A58" s="241">
        <v>46079</v>
      </c>
      <c r="B58" s="242">
        <f>K57</f>
        <v>100</v>
      </c>
      <c r="C58" s="242">
        <f>ROUND(L57+N57,2)</f>
        <v>100</v>
      </c>
      <c r="D58" s="242">
        <f>B58+C58</f>
        <v>200</v>
      </c>
      <c r="E58" s="242">
        <f>-(IF(DAY(A58+2)=1,'Main Budget'!$H$19,IF(DAY(A58+1)=15,'Main Budget'!$H$19,0)))</f>
        <v>0</v>
      </c>
      <c r="F58" s="242">
        <f>-(IF(DAY(A58)=20,'Main Budget'!$F$19,0))</f>
        <v>0</v>
      </c>
      <c r="G58" s="242">
        <f>-(IF(DAY(A58+2)=1,'Main Budget'!$H$20,IF(DAY(A58+1)=15,'Main Budget'!$H$20,0)))</f>
        <v>0</v>
      </c>
      <c r="H58" s="242">
        <f>-(IF(DAY(A58)=20,'Main Budget'!$F$20,0))</f>
        <v>0</v>
      </c>
      <c r="I58" s="243"/>
      <c r="J58" s="242"/>
      <c r="K58" s="242">
        <f>MAX((B58+E58+F58+J58)+I58,0)</f>
        <v>100</v>
      </c>
      <c r="L58" s="242">
        <f>ROUND(IF((B58+E58+F58+J58)+I58&lt;0,(L57+G58+H58)+(B58+E58+F58+J58)+I58,(L57+G58+H58))+N57,2)</f>
        <v>100</v>
      </c>
      <c r="M58" s="244">
        <f>K58+L58</f>
        <v>200</v>
      </c>
      <c r="P58" t="str">
        <f>TEXT(A58,"dddd")</f>
        <v>Thursday</v>
      </c>
    </row>
    <row r="59" spans="1:16" x14ac:dyDescent="0.25">
      <c r="A59" s="241">
        <v>46080</v>
      </c>
      <c r="B59" s="242">
        <f>K58</f>
        <v>100</v>
      </c>
      <c r="C59" s="242">
        <f>ROUND(L58+N58,2)</f>
        <v>100</v>
      </c>
      <c r="D59" s="242">
        <f>B59+C59</f>
        <v>200</v>
      </c>
      <c r="E59" s="242">
        <f>-(IF(DAY(A59+2)=1,'Main Budget'!$H$19,IF(DAY(A59+1)=15,'Main Budget'!$H$19,0)))</f>
        <v>0</v>
      </c>
      <c r="F59" s="242">
        <f>-(IF(DAY(A59)=20,'Main Budget'!$F$19,0))</f>
        <v>0</v>
      </c>
      <c r="G59" s="242">
        <f>-(IF(DAY(A59+2)=1,'Main Budget'!$H$20,IF(DAY(A59+1)=15,'Main Budget'!$H$20,0)))</f>
        <v>0</v>
      </c>
      <c r="H59" s="242">
        <f>-(IF(DAY(A59)=20,'Main Budget'!$F$20,0))</f>
        <v>0</v>
      </c>
      <c r="I59" s="243"/>
      <c r="J59" s="242"/>
      <c r="K59" s="242">
        <f>MAX((B59+E59+F59+J59)+I59,0)</f>
        <v>100</v>
      </c>
      <c r="L59" s="242">
        <f>ROUND(IF((B59+E59+F59+J59)+I59&lt;0,(L58+G59+H59)+(B59+E59+F59+J59)+I59,(L58+G59+H59))+N58,2)</f>
        <v>100</v>
      </c>
      <c r="M59" s="244">
        <f>K59+L59</f>
        <v>200</v>
      </c>
      <c r="P59" t="str">
        <f>TEXT(A59,"dddd")</f>
        <v>Friday</v>
      </c>
    </row>
    <row r="60" spans="1:16" x14ac:dyDescent="0.25">
      <c r="A60" s="241">
        <v>46081</v>
      </c>
      <c r="B60" s="242">
        <f>K59</f>
        <v>100</v>
      </c>
      <c r="C60" s="242">
        <f>ROUND(L59+N59,2)</f>
        <v>100</v>
      </c>
      <c r="D60" s="242">
        <f>B60+C60</f>
        <v>200</v>
      </c>
      <c r="E60" s="242">
        <f>-(IF(DAY(A60+2)=1,'Main Budget'!$H$19,IF(DAY(A60+1)=15,'Main Budget'!$H$19,0)))</f>
        <v>0</v>
      </c>
      <c r="F60" s="242">
        <f>-(IF(DAY(A60)=20,'Main Budget'!$F$19,0))</f>
        <v>0</v>
      </c>
      <c r="G60" s="242">
        <f>-(IF(DAY(A60+2)=1,'Main Budget'!$H$20,IF(DAY(A60+1)=15,'Main Budget'!$H$20,0)))</f>
        <v>0</v>
      </c>
      <c r="H60" s="242">
        <f>-(IF(DAY(A60)=20,'Main Budget'!$F$20,0))</f>
        <v>0</v>
      </c>
      <c r="I60" s="243"/>
      <c r="J60" s="242"/>
      <c r="K60" s="242">
        <f>MAX((B60+E60+F60+J60)+I60,0)</f>
        <v>100</v>
      </c>
      <c r="L60" s="242">
        <f>ROUND(IF((B60+E60+F60+J60)+I60&lt;0,(L59+G60+H60)+(B60+E60+F60+J60)+I60,(L59+G60+H60))+N59,2)</f>
        <v>100</v>
      </c>
      <c r="M60" s="244">
        <f>K60+L60</f>
        <v>200</v>
      </c>
      <c r="P60" t="str">
        <f>TEXT(A60,"dddd")</f>
        <v>Saturday</v>
      </c>
    </row>
    <row r="61" spans="1:16" x14ac:dyDescent="0.25">
      <c r="A61" s="241">
        <v>46082</v>
      </c>
      <c r="B61" s="242">
        <f>K60</f>
        <v>100</v>
      </c>
      <c r="C61" s="242">
        <f>ROUND(L60+N60,2)</f>
        <v>100</v>
      </c>
      <c r="D61" s="242">
        <f>B61+C61</f>
        <v>200</v>
      </c>
      <c r="E61" s="242">
        <f>-(IF(DAY(A61+2)=1,'Main Budget'!$H$19,IF(DAY(A61+1)=15,'Main Budget'!$H$19,0)))</f>
        <v>0</v>
      </c>
      <c r="F61" s="242">
        <f>-(IF(DAY(A61)=20,'Main Budget'!$F$19,0))</f>
        <v>0</v>
      </c>
      <c r="G61" s="242">
        <f>-(IF(DAY(A61+2)=1,'Main Budget'!$H$20,IF(DAY(A61+1)=15,'Main Budget'!$H$20,0)))</f>
        <v>0</v>
      </c>
      <c r="H61" s="242">
        <f>-(IF(DAY(A61)=20,'Main Budget'!$F$20,0))</f>
        <v>0</v>
      </c>
      <c r="I61" s="243"/>
      <c r="J61" s="242"/>
      <c r="K61" s="242">
        <f>MAX((B61+E61+F61+J61)+I61,0)</f>
        <v>100</v>
      </c>
      <c r="L61" s="242">
        <f>ROUND(IF((B61+E61+F61+J61)+I61&lt;0,(L60+G61+H61)+(B61+E61+F61+J61)+I61,(L60+G61+H61))+N60,2)</f>
        <v>100</v>
      </c>
      <c r="M61" s="244">
        <f>K61+L61</f>
        <v>200</v>
      </c>
      <c r="P61" t="str">
        <f>TEXT(A61,"dddd")</f>
        <v>Sunday</v>
      </c>
    </row>
    <row r="62" spans="1:16" x14ac:dyDescent="0.25">
      <c r="A62" s="241">
        <v>46083</v>
      </c>
      <c r="B62" s="242">
        <f>K61</f>
        <v>100</v>
      </c>
      <c r="C62" s="242">
        <f>ROUND(L61+N61,2)</f>
        <v>100</v>
      </c>
      <c r="D62" s="242">
        <f>B62+C62</f>
        <v>200</v>
      </c>
      <c r="E62" s="242">
        <f>-(IF(DAY(A62+2)=1,'Main Budget'!$H$19,IF(DAY(A62+1)=15,'Main Budget'!$H$19,0)))</f>
        <v>0</v>
      </c>
      <c r="F62" s="242">
        <f>-(IF(DAY(A62)=20,'Main Budget'!$F$19,0))</f>
        <v>0</v>
      </c>
      <c r="G62" s="242">
        <f>-(IF(DAY(A62+2)=1,'Main Budget'!$H$20,IF(DAY(A62+1)=15,'Main Budget'!$H$20,0)))</f>
        <v>0</v>
      </c>
      <c r="H62" s="242">
        <f>-(IF(DAY(A62)=20,'Main Budget'!$F$20,0))</f>
        <v>0</v>
      </c>
      <c r="I62" s="243"/>
      <c r="J62" s="242"/>
      <c r="K62" s="242">
        <f>MAX((B62+E62+F62+J62)+I62,0)</f>
        <v>100</v>
      </c>
      <c r="L62" s="242">
        <f>ROUND(IF((B62+E62+F62+J62)+I62&lt;0,(L61+G62+H62)+(B62+E62+F62+J62)+I62,(L61+G62+H62))+N61,2)</f>
        <v>100</v>
      </c>
      <c r="M62" s="244">
        <f>K62+L62</f>
        <v>200</v>
      </c>
      <c r="P62" t="str">
        <f>TEXT(A62,"dddd")</f>
        <v>Monday</v>
      </c>
    </row>
    <row r="63" spans="1:16" x14ac:dyDescent="0.25">
      <c r="A63" s="241">
        <v>46084</v>
      </c>
      <c r="B63" s="242">
        <f>K62</f>
        <v>100</v>
      </c>
      <c r="C63" s="242">
        <f>ROUND(L62+N62,2)</f>
        <v>100</v>
      </c>
      <c r="D63" s="242">
        <f>B63+C63</f>
        <v>200</v>
      </c>
      <c r="E63" s="242">
        <f>-(IF(DAY(A63+2)=1,'Main Budget'!$H$19,IF(DAY(A63+1)=15,'Main Budget'!$H$19,0)))</f>
        <v>0</v>
      </c>
      <c r="F63" s="242">
        <f>-(IF(DAY(A63)=20,'Main Budget'!$F$19,0))</f>
        <v>0</v>
      </c>
      <c r="G63" s="242">
        <f>-(IF(DAY(A63+2)=1,'Main Budget'!$H$20,IF(DAY(A63+1)=15,'Main Budget'!$H$20,0)))</f>
        <v>0</v>
      </c>
      <c r="H63" s="242">
        <f>-(IF(DAY(A63)=20,'Main Budget'!$F$20,0))</f>
        <v>0</v>
      </c>
      <c r="I63" s="243"/>
      <c r="J63" s="242"/>
      <c r="K63" s="242">
        <f>MAX((B63+E63+F63+J63)+I63,0)</f>
        <v>100</v>
      </c>
      <c r="L63" s="242">
        <f>ROUND(IF((B63+E63+F63+J63)+I63&lt;0,(L62+G63+H63)+(B63+E63+F63+J63)+I63,(L62+G63+H63))+N62,2)</f>
        <v>100</v>
      </c>
      <c r="M63" s="244">
        <f>K63+L63</f>
        <v>200</v>
      </c>
      <c r="P63" t="str">
        <f>TEXT(A63,"dddd")</f>
        <v>Tuesday</v>
      </c>
    </row>
    <row r="64" spans="1:16" x14ac:dyDescent="0.25">
      <c r="A64" s="241">
        <v>46085</v>
      </c>
      <c r="B64" s="242">
        <f>K63</f>
        <v>100</v>
      </c>
      <c r="C64" s="242">
        <f>ROUND(L63+N63,2)</f>
        <v>100</v>
      </c>
      <c r="D64" s="242">
        <f>B64+C64</f>
        <v>200</v>
      </c>
      <c r="E64" s="242">
        <f>-(IF(DAY(A64+2)=1,'Main Budget'!$H$19,IF(DAY(A64+1)=15,'Main Budget'!$H$19,0)))</f>
        <v>0</v>
      </c>
      <c r="F64" s="242">
        <f>-(IF(DAY(A64)=20,'Main Budget'!$F$19,0))</f>
        <v>0</v>
      </c>
      <c r="G64" s="242">
        <f>-(IF(DAY(A64+2)=1,'Main Budget'!$H$20,IF(DAY(A64+1)=15,'Main Budget'!$H$20,0)))</f>
        <v>0</v>
      </c>
      <c r="H64" s="242">
        <f>-(IF(DAY(A64)=20,'Main Budget'!$F$20,0))</f>
        <v>0</v>
      </c>
      <c r="I64" s="243"/>
      <c r="J64" s="242"/>
      <c r="K64" s="242">
        <f>MAX((B64+E64+F64+J64)+I64,0)</f>
        <v>100</v>
      </c>
      <c r="L64" s="242">
        <f>ROUND(IF((B64+E64+F64+J64)+I64&lt;0,(L63+G64+H64)+(B64+E64+F64+J64)+I64,(L63+G64+H64))+N63,2)</f>
        <v>100</v>
      </c>
      <c r="M64" s="244">
        <f>K64+L64</f>
        <v>200</v>
      </c>
      <c r="P64" t="str">
        <f>TEXT(A64,"dddd")</f>
        <v>Wednesday</v>
      </c>
    </row>
    <row r="65" spans="1:16" x14ac:dyDescent="0.25">
      <c r="A65" s="241">
        <v>46086</v>
      </c>
      <c r="B65" s="242">
        <f>K64</f>
        <v>100</v>
      </c>
      <c r="C65" s="242">
        <f>ROUND(L64+N64,2)</f>
        <v>100</v>
      </c>
      <c r="D65" s="242">
        <f>B65+C65</f>
        <v>200</v>
      </c>
      <c r="E65" s="242">
        <f>-(IF(DAY(A65+2)=1,'Main Budget'!$H$19,IF(DAY(A65+1)=15,'Main Budget'!$H$19,0)))</f>
        <v>0</v>
      </c>
      <c r="F65" s="242">
        <f>-(IF(DAY(A65)=20,'Main Budget'!$F$19,0))</f>
        <v>0</v>
      </c>
      <c r="G65" s="242">
        <f>-(IF(DAY(A65+2)=1,'Main Budget'!$H$20,IF(DAY(A65+1)=15,'Main Budget'!$H$20,0)))</f>
        <v>0</v>
      </c>
      <c r="H65" s="242">
        <f>-(IF(DAY(A65)=20,'Main Budget'!$F$20,0))</f>
        <v>0</v>
      </c>
      <c r="I65" s="243"/>
      <c r="J65" s="242"/>
      <c r="K65" s="242">
        <f>MAX((B65+E65+F65+J65)+I65,0)</f>
        <v>100</v>
      </c>
      <c r="L65" s="242">
        <f>ROUND(IF((B65+E65+F65+J65)+I65&lt;0,(L64+G65+H65)+(B65+E65+F65+J65)+I65,(L64+G65+H65))+N64,2)</f>
        <v>100</v>
      </c>
      <c r="M65" s="244">
        <f>K65+L65</f>
        <v>200</v>
      </c>
      <c r="P65" t="str">
        <f>TEXT(A65,"dddd")</f>
        <v>Thursday</v>
      </c>
    </row>
    <row r="66" spans="1:16" x14ac:dyDescent="0.25">
      <c r="A66" s="241">
        <v>46087</v>
      </c>
      <c r="B66" s="242">
        <f>K65</f>
        <v>100</v>
      </c>
      <c r="C66" s="242">
        <f>ROUND(L65+N65,2)</f>
        <v>100</v>
      </c>
      <c r="D66" s="242">
        <f>B66+C66</f>
        <v>200</v>
      </c>
      <c r="E66" s="242">
        <f>-(IF(DAY(A66+2)=1,'Main Budget'!$H$19,IF(DAY(A66+1)=15,'Main Budget'!$H$19,0)))</f>
        <v>0</v>
      </c>
      <c r="F66" s="242">
        <f>-(IF(DAY(A66)=20,'Main Budget'!$F$19,0))</f>
        <v>0</v>
      </c>
      <c r="G66" s="242">
        <f>-(IF(DAY(A66+2)=1,'Main Budget'!$H$20,IF(DAY(A66+1)=15,'Main Budget'!$H$20,0)))</f>
        <v>0</v>
      </c>
      <c r="H66" s="242">
        <f>-(IF(DAY(A66)=20,'Main Budget'!$F$20,0))</f>
        <v>0</v>
      </c>
      <c r="I66" s="243"/>
      <c r="J66" s="242"/>
      <c r="K66" s="242">
        <f>MAX((B66+E66+F66+J66)+I66,0)</f>
        <v>100</v>
      </c>
      <c r="L66" s="242">
        <f>ROUND(IF((B66+E66+F66+J66)+I66&lt;0,(L65+G66+H66)+(B66+E66+F66+J66)+I66,(L65+G66+H66))+N65,2)</f>
        <v>100</v>
      </c>
      <c r="M66" s="244">
        <f>K66+L66</f>
        <v>200</v>
      </c>
      <c r="P66" t="str">
        <f>TEXT(A66,"dddd")</f>
        <v>Friday</v>
      </c>
    </row>
    <row r="67" spans="1:16" x14ac:dyDescent="0.25">
      <c r="A67" s="241">
        <v>46088</v>
      </c>
      <c r="B67" s="242">
        <f>K66</f>
        <v>100</v>
      </c>
      <c r="C67" s="242">
        <f>ROUND(L66+N66,2)</f>
        <v>100</v>
      </c>
      <c r="D67" s="242">
        <f>B67+C67</f>
        <v>200</v>
      </c>
      <c r="E67" s="242">
        <f>-(IF(DAY(A67+2)=1,'Main Budget'!$H$19,IF(DAY(A67+1)=15,'Main Budget'!$H$19,0)))</f>
        <v>0</v>
      </c>
      <c r="F67" s="242">
        <f>-(IF(DAY(A67)=20,'Main Budget'!$F$19,0))</f>
        <v>0</v>
      </c>
      <c r="G67" s="242">
        <f>-(IF(DAY(A67+2)=1,'Main Budget'!$H$20,IF(DAY(A67+1)=15,'Main Budget'!$H$20,0)))</f>
        <v>0</v>
      </c>
      <c r="H67" s="242">
        <f>-(IF(DAY(A67)=20,'Main Budget'!$F$20,0))</f>
        <v>0</v>
      </c>
      <c r="I67" s="243"/>
      <c r="J67" s="242"/>
      <c r="K67" s="242">
        <f>MAX((B67+E67+F67+J67)+I67,0)</f>
        <v>100</v>
      </c>
      <c r="L67" s="242">
        <f>ROUND(IF((B67+E67+F67+J67)+I67&lt;0,(L66+G67+H67)+(B67+E67+F67+J67)+I67,(L66+G67+H67))+N66,2)</f>
        <v>100</v>
      </c>
      <c r="M67" s="244">
        <f>K67+L67</f>
        <v>200</v>
      </c>
      <c r="P67" t="str">
        <f>TEXT(A67,"dddd")</f>
        <v>Saturday</v>
      </c>
    </row>
    <row r="68" spans="1:16" x14ac:dyDescent="0.25">
      <c r="A68" s="241">
        <v>46089</v>
      </c>
      <c r="B68" s="242">
        <f>K67</f>
        <v>100</v>
      </c>
      <c r="C68" s="242">
        <f>ROUND(L67+N67,2)</f>
        <v>100</v>
      </c>
      <c r="D68" s="242">
        <f>B68+C68</f>
        <v>200</v>
      </c>
      <c r="E68" s="242">
        <f>-(IF(DAY(A68+2)=1,'Main Budget'!$H$19,IF(DAY(A68+1)=15,'Main Budget'!$H$19,0)))</f>
        <v>0</v>
      </c>
      <c r="F68" s="242">
        <f>-(IF(DAY(A68)=20,'Main Budget'!$F$19,0))</f>
        <v>0</v>
      </c>
      <c r="G68" s="242">
        <f>-(IF(DAY(A68+2)=1,'Main Budget'!$H$20,IF(DAY(A68+1)=15,'Main Budget'!$H$20,0)))</f>
        <v>0</v>
      </c>
      <c r="H68" s="242">
        <f>-(IF(DAY(A68)=20,'Main Budget'!$F$20,0))</f>
        <v>0</v>
      </c>
      <c r="I68" s="243"/>
      <c r="J68" s="242"/>
      <c r="K68" s="242">
        <f>MAX((B68+E68+F68+J68)+I68,0)</f>
        <v>100</v>
      </c>
      <c r="L68" s="242">
        <f>ROUND(IF((B68+E68+F68+J68)+I68&lt;0,(L67+G68+H68)+(B68+E68+F68+J68)+I68,(L67+G68+H68))+N67,2)</f>
        <v>100</v>
      </c>
      <c r="M68" s="244">
        <f>K68+L68</f>
        <v>200</v>
      </c>
      <c r="P68" t="str">
        <f>TEXT(A68,"dddd")</f>
        <v>Sunday</v>
      </c>
    </row>
    <row r="69" spans="1:16" x14ac:dyDescent="0.25">
      <c r="A69" s="241">
        <v>46090</v>
      </c>
      <c r="B69" s="242">
        <f>K68</f>
        <v>100</v>
      </c>
      <c r="C69" s="242">
        <f>ROUND(L68+N68,2)</f>
        <v>100</v>
      </c>
      <c r="D69" s="242">
        <f>B69+C69</f>
        <v>200</v>
      </c>
      <c r="E69" s="242">
        <f>-(IF(DAY(A69+2)=1,'Main Budget'!$H$19,IF(DAY(A69+1)=15,'Main Budget'!$H$19,0)))</f>
        <v>0</v>
      </c>
      <c r="F69" s="242">
        <f>-(IF(DAY(A69)=20,'Main Budget'!$F$19,0))</f>
        <v>0</v>
      </c>
      <c r="G69" s="242">
        <f>-(IF(DAY(A69+2)=1,'Main Budget'!$H$20,IF(DAY(A69+1)=15,'Main Budget'!$H$20,0)))</f>
        <v>0</v>
      </c>
      <c r="H69" s="242">
        <f>-(IF(DAY(A69)=20,'Main Budget'!$F$20,0))</f>
        <v>0</v>
      </c>
      <c r="I69" s="243"/>
      <c r="J69" s="242"/>
      <c r="K69" s="242">
        <f>MAX((B69+E69+F69+J69)+I69,0)</f>
        <v>100</v>
      </c>
      <c r="L69" s="242">
        <f>ROUND(IF((B69+E69+F69+J69)+I69&lt;0,(L68+G69+H69)+(B69+E69+F69+J69)+I69,(L68+G69+H69))+N68,2)</f>
        <v>100</v>
      </c>
      <c r="M69" s="244">
        <f>K69+L69</f>
        <v>200</v>
      </c>
      <c r="P69" t="str">
        <f>TEXT(A69,"dddd")</f>
        <v>Monday</v>
      </c>
    </row>
    <row r="70" spans="1:16" x14ac:dyDescent="0.25">
      <c r="A70" s="241">
        <v>46091</v>
      </c>
      <c r="B70" s="242">
        <f>K69</f>
        <v>100</v>
      </c>
      <c r="C70" s="242">
        <f>ROUND(L69+N69,2)</f>
        <v>100</v>
      </c>
      <c r="D70" s="242">
        <f>B70+C70</f>
        <v>200</v>
      </c>
      <c r="E70" s="242">
        <f>-(IF(DAY(A70+2)=1,'Main Budget'!$H$19,IF(DAY(A70+1)=15,'Main Budget'!$H$19,0)))</f>
        <v>0</v>
      </c>
      <c r="F70" s="242">
        <f>-(IF(DAY(A70)=20,'Main Budget'!$F$19,0))</f>
        <v>0</v>
      </c>
      <c r="G70" s="242">
        <f>-(IF(DAY(A70+2)=1,'Main Budget'!$H$20,IF(DAY(A70+1)=15,'Main Budget'!$H$20,0)))</f>
        <v>0</v>
      </c>
      <c r="H70" s="242">
        <f>-(IF(DAY(A70)=20,'Main Budget'!$F$20,0))</f>
        <v>0</v>
      </c>
      <c r="I70" s="243"/>
      <c r="J70" s="242"/>
      <c r="K70" s="242">
        <f>MAX((B70+E70+F70+J70)+I70,0)</f>
        <v>100</v>
      </c>
      <c r="L70" s="242">
        <f>ROUND(IF((B70+E70+F70+J70)+I70&lt;0,(L69+G70+H70)+(B70+E70+F70+J70)+I70,(L69+G70+H70))+N69,2)</f>
        <v>100</v>
      </c>
      <c r="M70" s="244">
        <f>K70+L70</f>
        <v>200</v>
      </c>
      <c r="P70" t="str">
        <f>TEXT(A70,"dddd")</f>
        <v>Tuesday</v>
      </c>
    </row>
    <row r="71" spans="1:16" x14ac:dyDescent="0.25">
      <c r="A71" s="241">
        <v>46092</v>
      </c>
      <c r="B71" s="242">
        <f>K70</f>
        <v>100</v>
      </c>
      <c r="C71" s="242">
        <f>ROUND(L70+N70,2)</f>
        <v>100</v>
      </c>
      <c r="D71" s="242">
        <f>B71+C71</f>
        <v>200</v>
      </c>
      <c r="E71" s="242">
        <f>-(IF(DAY(A71+2)=1,'Main Budget'!$H$19,IF(DAY(A71+1)=15,'Main Budget'!$H$19,0)))</f>
        <v>0</v>
      </c>
      <c r="F71" s="242">
        <f>-(IF(DAY(A71)=20,'Main Budget'!$F$19,0))</f>
        <v>0</v>
      </c>
      <c r="G71" s="242">
        <f>-(IF(DAY(A71+2)=1,'Main Budget'!$H$20,IF(DAY(A71+1)=15,'Main Budget'!$H$20,0)))</f>
        <v>0</v>
      </c>
      <c r="H71" s="242">
        <f>-(IF(DAY(A71)=20,'Main Budget'!$F$20,0))</f>
        <v>0</v>
      </c>
      <c r="I71" s="243"/>
      <c r="J71" s="242"/>
      <c r="K71" s="242">
        <f>MAX((B71+E71+F71+J71)+I71,0)</f>
        <v>100</v>
      </c>
      <c r="L71" s="242">
        <f>ROUND(IF((B71+E71+F71+J71)+I71&lt;0,(L70+G71+H71)+(B71+E71+F71+J71)+I71,(L70+G71+H71))+N70,2)</f>
        <v>100</v>
      </c>
      <c r="M71" s="244">
        <f>K71+L71</f>
        <v>200</v>
      </c>
      <c r="P71" t="str">
        <f>TEXT(A71,"dddd")</f>
        <v>Wednesday</v>
      </c>
    </row>
    <row r="72" spans="1:16" x14ac:dyDescent="0.25">
      <c r="A72" s="241">
        <v>46093</v>
      </c>
      <c r="B72" s="242">
        <f>K71</f>
        <v>100</v>
      </c>
      <c r="C72" s="242">
        <f>ROUND(L71+N71,2)</f>
        <v>100</v>
      </c>
      <c r="D72" s="242">
        <f>B72+C72</f>
        <v>200</v>
      </c>
      <c r="E72" s="242">
        <f>-(IF(DAY(A72+2)=1,'Main Budget'!$H$19,IF(DAY(A72+1)=15,'Main Budget'!$H$19,0)))</f>
        <v>0</v>
      </c>
      <c r="F72" s="242">
        <f>-(IF(DAY(A72)=20,'Main Budget'!$F$19,0))</f>
        <v>0</v>
      </c>
      <c r="G72" s="242">
        <f>-(IF(DAY(A72+2)=1,'Main Budget'!$H$20,IF(DAY(A72+1)=15,'Main Budget'!$H$20,0)))</f>
        <v>0</v>
      </c>
      <c r="H72" s="242">
        <f>-(IF(DAY(A72)=20,'Main Budget'!$F$20,0))</f>
        <v>0</v>
      </c>
      <c r="I72" s="243"/>
      <c r="J72" s="242"/>
      <c r="K72" s="242">
        <f>MAX((B72+E72+F72+J72)+I72,0)</f>
        <v>100</v>
      </c>
      <c r="L72" s="242">
        <f>ROUND(IF((B72+E72+F72+J72)+I72&lt;0,(L71+G72+H72)+(B72+E72+F72+J72)+I72,(L71+G72+H72))+N71,2)</f>
        <v>100</v>
      </c>
      <c r="M72" s="244">
        <f>K72+L72</f>
        <v>200</v>
      </c>
      <c r="P72" t="str">
        <f>TEXT(A72,"dddd")</f>
        <v>Thursday</v>
      </c>
    </row>
    <row r="73" spans="1:16" x14ac:dyDescent="0.25">
      <c r="A73" s="241">
        <v>46094</v>
      </c>
      <c r="B73" s="242">
        <f>K72</f>
        <v>100</v>
      </c>
      <c r="C73" s="242">
        <f>ROUND(L72+N72,2)</f>
        <v>100</v>
      </c>
      <c r="D73" s="242">
        <f>B73+C73</f>
        <v>200</v>
      </c>
      <c r="E73" s="242">
        <f>-(IF(DAY(A73+2)=1,'Main Budget'!$H$19,IF(DAY(A73+1)=15,'Main Budget'!$H$19,0)))</f>
        <v>0</v>
      </c>
      <c r="F73" s="242">
        <f>-(IF(DAY(A73)=20,'Main Budget'!$F$19,0))</f>
        <v>0</v>
      </c>
      <c r="G73" s="242">
        <f>-(IF(DAY(A73+2)=1,'Main Budget'!$H$20,IF(DAY(A73+1)=15,'Main Budget'!$H$20,0)))</f>
        <v>0</v>
      </c>
      <c r="H73" s="242">
        <f>-(IF(DAY(A73)=20,'Main Budget'!$F$20,0))</f>
        <v>0</v>
      </c>
      <c r="I73" s="243"/>
      <c r="J73" s="242"/>
      <c r="K73" s="242">
        <f>MAX((B73+E73+F73+J73)+I73,0)</f>
        <v>100</v>
      </c>
      <c r="L73" s="242">
        <f>ROUND(IF((B73+E73+F73+J73)+I73&lt;0,(L72+G73+H73)+(B73+E73+F73+J73)+I73,(L72+G73+H73))+N72,2)</f>
        <v>100</v>
      </c>
      <c r="M73" s="244">
        <f>K73+L73</f>
        <v>200</v>
      </c>
      <c r="P73" t="str">
        <f>TEXT(A73,"dddd")</f>
        <v>Friday</v>
      </c>
    </row>
    <row r="74" spans="1:16" x14ac:dyDescent="0.25">
      <c r="A74" s="241">
        <v>46095</v>
      </c>
      <c r="B74" s="242">
        <f>K73</f>
        <v>100</v>
      </c>
      <c r="C74" s="242">
        <f>ROUND(L73+N73,2)</f>
        <v>100</v>
      </c>
      <c r="D74" s="242">
        <f>B74+C74</f>
        <v>200</v>
      </c>
      <c r="E74" s="242">
        <f>-(IF(DAY(A74+2)=1,'Main Budget'!$H$19,IF(DAY(A74+1)=15,'Main Budget'!$H$19,0)))</f>
        <v>0</v>
      </c>
      <c r="F74" s="242">
        <f>-(IF(DAY(A74)=20,'Main Budget'!$F$19,0))</f>
        <v>0</v>
      </c>
      <c r="G74" s="242">
        <f>-(IF(DAY(A74+2)=1,'Main Budget'!$H$20,IF(DAY(A74+1)=15,'Main Budget'!$H$20,0)))</f>
        <v>0</v>
      </c>
      <c r="H74" s="242">
        <f>-(IF(DAY(A74)=20,'Main Budget'!$F$20,0))</f>
        <v>0</v>
      </c>
      <c r="I74" s="243"/>
      <c r="J74" s="242"/>
      <c r="K74" s="242">
        <f>MAX((B74+E74+F74+J74)+I74,0)</f>
        <v>100</v>
      </c>
      <c r="L74" s="242">
        <f>ROUND(IF((B74+E74+F74+J74)+I74&lt;0,(L73+G74+H74)+(B74+E74+F74+J74)+I74,(L73+G74+H74))+N73,2)</f>
        <v>100</v>
      </c>
      <c r="M74" s="244">
        <f>K74+L74</f>
        <v>200</v>
      </c>
      <c r="P74" t="str">
        <f>TEXT(A74,"dddd")</f>
        <v>Saturday</v>
      </c>
    </row>
    <row r="75" spans="1:16" x14ac:dyDescent="0.25">
      <c r="A75" s="241">
        <v>46096</v>
      </c>
      <c r="B75" s="242">
        <f>K74</f>
        <v>100</v>
      </c>
      <c r="C75" s="242">
        <f>ROUND(L74+N74,2)</f>
        <v>100</v>
      </c>
      <c r="D75" s="242">
        <f>B75+C75</f>
        <v>200</v>
      </c>
      <c r="E75" s="242">
        <f>-(IF(DAY(A75+2)=1,'Main Budget'!$H$19,IF(DAY(A75+1)=15,'Main Budget'!$H$19,0)))</f>
        <v>0</v>
      </c>
      <c r="F75" s="242">
        <f>-(IF(DAY(A75)=20,'Main Budget'!$F$19,0))</f>
        <v>0</v>
      </c>
      <c r="G75" s="242">
        <f>-(IF(DAY(A75+2)=1,'Main Budget'!$H$20,IF(DAY(A75+1)=15,'Main Budget'!$H$20,0)))</f>
        <v>0</v>
      </c>
      <c r="H75" s="242">
        <f>-(IF(DAY(A75)=20,'Main Budget'!$F$20,0))</f>
        <v>0</v>
      </c>
      <c r="I75" s="243"/>
      <c r="J75" s="242"/>
      <c r="K75" s="242">
        <f>MAX((B75+E75+F75+J75)+I75,0)</f>
        <v>100</v>
      </c>
      <c r="L75" s="242">
        <f>ROUND(IF((B75+E75+F75+J75)+I75&lt;0,(L74+G75+H75)+(B75+E75+F75+J75)+I75,(L74+G75+H75))+N74,2)</f>
        <v>100</v>
      </c>
      <c r="M75" s="244">
        <f>K75+L75</f>
        <v>200</v>
      </c>
      <c r="P75" t="str">
        <f>TEXT(A75,"dddd")</f>
        <v>Sunday</v>
      </c>
    </row>
    <row r="76" spans="1:16" x14ac:dyDescent="0.25">
      <c r="A76" s="241">
        <v>46097</v>
      </c>
      <c r="B76" s="242">
        <f>K75</f>
        <v>100</v>
      </c>
      <c r="C76" s="242">
        <f>ROUND(L75+N75,2)</f>
        <v>100</v>
      </c>
      <c r="D76" s="242">
        <f>B76+C76</f>
        <v>200</v>
      </c>
      <c r="E76" s="242">
        <f>-(IF(DAY(A76+2)=1,'Main Budget'!$H$19,IF(DAY(A76+1)=15,'Main Budget'!$H$19,0)))</f>
        <v>0</v>
      </c>
      <c r="F76" s="242">
        <f>-(IF(DAY(A76)=20,'Main Budget'!$F$19,0))</f>
        <v>0</v>
      </c>
      <c r="G76" s="242">
        <f>-(IF(DAY(A76+2)=1,'Main Budget'!$H$20,IF(DAY(A76+1)=15,'Main Budget'!$H$20,0)))</f>
        <v>0</v>
      </c>
      <c r="H76" s="242">
        <f>-(IF(DAY(A76)=20,'Main Budget'!$F$20,0))</f>
        <v>0</v>
      </c>
      <c r="I76" s="243"/>
      <c r="J76" s="242"/>
      <c r="K76" s="242">
        <f>MAX((B76+E76+F76+J76)+I76,0)</f>
        <v>100</v>
      </c>
      <c r="L76" s="242">
        <f>ROUND(IF((B76+E76+F76+J76)+I76&lt;0,(L75+G76+H76)+(B76+E76+F76+J76)+I76,(L75+G76+H76))+N75,2)</f>
        <v>100</v>
      </c>
      <c r="M76" s="244">
        <f>K76+L76</f>
        <v>200</v>
      </c>
      <c r="P76" t="str">
        <f>TEXT(A76,"dddd")</f>
        <v>Monday</v>
      </c>
    </row>
    <row r="77" spans="1:16" x14ac:dyDescent="0.25">
      <c r="A77" s="241">
        <v>46098</v>
      </c>
      <c r="B77" s="242">
        <f>K76</f>
        <v>100</v>
      </c>
      <c r="C77" s="242">
        <f>ROUND(L76+N76,2)</f>
        <v>100</v>
      </c>
      <c r="D77" s="242">
        <f>B77+C77</f>
        <v>200</v>
      </c>
      <c r="E77" s="242">
        <f>-(IF(DAY(A77+2)=1,'Main Budget'!$H$19,IF(DAY(A77+1)=15,'Main Budget'!$H$19,0)))</f>
        <v>0</v>
      </c>
      <c r="F77" s="242">
        <f>-(IF(DAY(A77)=20,'Main Budget'!$F$19,0))</f>
        <v>0</v>
      </c>
      <c r="G77" s="242">
        <f>-(IF(DAY(A77+2)=1,'Main Budget'!$H$20,IF(DAY(A77+1)=15,'Main Budget'!$H$20,0)))</f>
        <v>0</v>
      </c>
      <c r="H77" s="242">
        <f>-(IF(DAY(A77)=20,'Main Budget'!$F$20,0))</f>
        <v>0</v>
      </c>
      <c r="I77" s="243"/>
      <c r="J77" s="242"/>
      <c r="K77" s="242">
        <f>MAX((B77+E77+F77+J77)+I77,0)</f>
        <v>100</v>
      </c>
      <c r="L77" s="242">
        <f>ROUND(IF((B77+E77+F77+J77)+I77&lt;0,(L76+G77+H77)+(B77+E77+F77+J77)+I77,(L76+G77+H77))+N76,2)</f>
        <v>100</v>
      </c>
      <c r="M77" s="244">
        <f>K77+L77</f>
        <v>200</v>
      </c>
      <c r="P77" t="str">
        <f>TEXT(A77,"dddd")</f>
        <v>Tuesday</v>
      </c>
    </row>
    <row r="78" spans="1:16" x14ac:dyDescent="0.25">
      <c r="A78" s="241">
        <v>46099</v>
      </c>
      <c r="B78" s="242">
        <f>K77</f>
        <v>100</v>
      </c>
      <c r="C78" s="242">
        <f>ROUND(L77+N77,2)</f>
        <v>100</v>
      </c>
      <c r="D78" s="242">
        <f>B78+C78</f>
        <v>200</v>
      </c>
      <c r="E78" s="242">
        <f>-(IF(DAY(A78+2)=1,'Main Budget'!$H$19,IF(DAY(A78+1)=15,'Main Budget'!$H$19,0)))</f>
        <v>0</v>
      </c>
      <c r="F78" s="242">
        <f>-(IF(DAY(A78)=20,'Main Budget'!$F$19,0))</f>
        <v>0</v>
      </c>
      <c r="G78" s="242">
        <f>-(IF(DAY(A78+2)=1,'Main Budget'!$H$20,IF(DAY(A78+1)=15,'Main Budget'!$H$20,0)))</f>
        <v>0</v>
      </c>
      <c r="H78" s="242">
        <f>-(IF(DAY(A78)=20,'Main Budget'!$F$20,0))</f>
        <v>0</v>
      </c>
      <c r="I78" s="243"/>
      <c r="J78" s="242"/>
      <c r="K78" s="242">
        <f>MAX((B78+E78+F78+J78)+I78,0)</f>
        <v>100</v>
      </c>
      <c r="L78" s="242">
        <f>ROUND(IF((B78+E78+F78+J78)+I78&lt;0,(L77+G78+H78)+(B78+E78+F78+J78)+I78,(L77+G78+H78))+N77,2)</f>
        <v>100</v>
      </c>
      <c r="M78" s="244">
        <f>K78+L78</f>
        <v>200</v>
      </c>
      <c r="P78" t="str">
        <f>TEXT(A78,"dddd")</f>
        <v>Wednesday</v>
      </c>
    </row>
    <row r="79" spans="1:16" x14ac:dyDescent="0.25">
      <c r="A79" s="241">
        <v>46100</v>
      </c>
      <c r="B79" s="242">
        <f>K78</f>
        <v>100</v>
      </c>
      <c r="C79" s="242">
        <f>ROUND(L78+N78,2)</f>
        <v>100</v>
      </c>
      <c r="D79" s="242">
        <f>B79+C79</f>
        <v>200</v>
      </c>
      <c r="E79" s="242">
        <f>-(IF(DAY(A79+2)=1,'Main Budget'!$H$19,IF(DAY(A79+1)=15,'Main Budget'!$H$19,0)))</f>
        <v>0</v>
      </c>
      <c r="F79" s="242">
        <f>-(IF(DAY(A79)=20,'Main Budget'!$F$19,0))</f>
        <v>0</v>
      </c>
      <c r="G79" s="242">
        <f>-(IF(DAY(A79+2)=1,'Main Budget'!$H$20,IF(DAY(A79+1)=15,'Main Budget'!$H$20,0)))</f>
        <v>0</v>
      </c>
      <c r="H79" s="242">
        <f>-(IF(DAY(A79)=20,'Main Budget'!$F$20,0))</f>
        <v>0</v>
      </c>
      <c r="I79" s="243"/>
      <c r="J79" s="242"/>
      <c r="K79" s="242">
        <f>MAX((B79+E79+F79+J79)+I79,0)</f>
        <v>100</v>
      </c>
      <c r="L79" s="242">
        <f>ROUND(IF((B79+E79+F79+J79)+I79&lt;0,(L78+G79+H79)+(B79+E79+F79+J79)+I79,(L78+G79+H79))+N78,2)</f>
        <v>100</v>
      </c>
      <c r="M79" s="244">
        <f>K79+L79</f>
        <v>200</v>
      </c>
      <c r="P79" t="str">
        <f>TEXT(A79,"dddd")</f>
        <v>Thursday</v>
      </c>
    </row>
    <row r="80" spans="1:16" x14ac:dyDescent="0.25">
      <c r="A80" s="241">
        <v>46101</v>
      </c>
      <c r="B80" s="242">
        <f>K79</f>
        <v>100</v>
      </c>
      <c r="C80" s="242">
        <f>ROUND(L79+N79,2)</f>
        <v>100</v>
      </c>
      <c r="D80" s="242">
        <f>B80+C80</f>
        <v>200</v>
      </c>
      <c r="E80" s="242">
        <f>-(IF(DAY(A80+2)=1,'Main Budget'!$H$19,IF(DAY(A80+1)=15,'Main Budget'!$H$19,0)))</f>
        <v>0</v>
      </c>
      <c r="F80" s="242">
        <f>-(IF(DAY(A80)=20,'Main Budget'!$F$19,0))</f>
        <v>0</v>
      </c>
      <c r="G80" s="242">
        <f>-(IF(DAY(A80+2)=1,'Main Budget'!$H$20,IF(DAY(A80+1)=15,'Main Budget'!$H$20,0)))</f>
        <v>0</v>
      </c>
      <c r="H80" s="242">
        <f>-(IF(DAY(A80)=20,'Main Budget'!$F$20,0))</f>
        <v>0</v>
      </c>
      <c r="I80" s="243"/>
      <c r="J80" s="242"/>
      <c r="K80" s="242">
        <f>MAX((B80+E80+F80+J80)+I80,0)</f>
        <v>100</v>
      </c>
      <c r="L80" s="242">
        <f>ROUND(IF((B80+E80+F80+J80)+I80&lt;0,(L79+G80+H80)+(B80+E80+F80+J80)+I80,(L79+G80+H80))+N79,2)</f>
        <v>100</v>
      </c>
      <c r="M80" s="244">
        <f>K80+L80</f>
        <v>200</v>
      </c>
      <c r="P80" t="str">
        <f>TEXT(A80,"dddd")</f>
        <v>Friday</v>
      </c>
    </row>
    <row r="81" spans="1:16" x14ac:dyDescent="0.25">
      <c r="A81" s="241">
        <v>46102</v>
      </c>
      <c r="B81" s="242">
        <f>K80</f>
        <v>100</v>
      </c>
      <c r="C81" s="242">
        <f>ROUND(L80+N80,2)</f>
        <v>100</v>
      </c>
      <c r="D81" s="242">
        <f>B81+C81</f>
        <v>200</v>
      </c>
      <c r="E81" s="242">
        <f>-(IF(DAY(A81+2)=1,'Main Budget'!$H$19,IF(DAY(A81+1)=15,'Main Budget'!$H$19,0)))</f>
        <v>0</v>
      </c>
      <c r="F81" s="242">
        <f>-(IF(DAY(A81)=20,'Main Budget'!$F$19,0))</f>
        <v>0</v>
      </c>
      <c r="G81" s="242">
        <f>-(IF(DAY(A81+2)=1,'Main Budget'!$H$20,IF(DAY(A81+1)=15,'Main Budget'!$H$20,0)))</f>
        <v>0</v>
      </c>
      <c r="H81" s="242">
        <f>-(IF(DAY(A81)=20,'Main Budget'!$F$20,0))</f>
        <v>0</v>
      </c>
      <c r="I81" s="243"/>
      <c r="J81" s="242"/>
      <c r="K81" s="242">
        <f>MAX((B81+E81+F81+J81)+I81,0)</f>
        <v>100</v>
      </c>
      <c r="L81" s="242">
        <f>ROUND(IF((B81+E81+F81+J81)+I81&lt;0,(L80+G81+H81)+(B81+E81+F81+J81)+I81,(L80+G81+H81))+N80,2)</f>
        <v>100</v>
      </c>
      <c r="M81" s="244">
        <f>K81+L81</f>
        <v>200</v>
      </c>
      <c r="P81" t="str">
        <f>TEXT(A81,"dddd")</f>
        <v>Saturday</v>
      </c>
    </row>
    <row r="82" spans="1:16" x14ac:dyDescent="0.25">
      <c r="A82" s="241">
        <v>46103</v>
      </c>
      <c r="B82" s="242">
        <f>K81</f>
        <v>100</v>
      </c>
      <c r="C82" s="242">
        <f>ROUND(L81+N81,2)</f>
        <v>100</v>
      </c>
      <c r="D82" s="242">
        <f>B82+C82</f>
        <v>200</v>
      </c>
      <c r="E82" s="242">
        <f>-(IF(DAY(A82+2)=1,'Main Budget'!$H$19,IF(DAY(A82+1)=15,'Main Budget'!$H$19,0)))</f>
        <v>0</v>
      </c>
      <c r="F82" s="242">
        <f>-(IF(DAY(A82)=20,'Main Budget'!$F$19,0))</f>
        <v>0</v>
      </c>
      <c r="G82" s="242">
        <f>-(IF(DAY(A82+2)=1,'Main Budget'!$H$20,IF(DAY(A82+1)=15,'Main Budget'!$H$20,0)))</f>
        <v>0</v>
      </c>
      <c r="H82" s="242">
        <f>-(IF(DAY(A82)=20,'Main Budget'!$F$20,0))</f>
        <v>0</v>
      </c>
      <c r="I82" s="243"/>
      <c r="J82" s="242"/>
      <c r="K82" s="242">
        <f>MAX((B82+E82+F82+J82)+I82,0)</f>
        <v>100</v>
      </c>
      <c r="L82" s="242">
        <f>ROUND(IF((B82+E82+F82+J82)+I82&lt;0,(L81+G82+H82)+(B82+E82+F82+J82)+I82,(L81+G82+H82))+N81,2)</f>
        <v>100</v>
      </c>
      <c r="M82" s="244">
        <f>K82+L82</f>
        <v>200</v>
      </c>
      <c r="P82" t="str">
        <f>TEXT(A82,"dddd")</f>
        <v>Sunday</v>
      </c>
    </row>
    <row r="83" spans="1:16" x14ac:dyDescent="0.25">
      <c r="A83" s="241">
        <v>46104</v>
      </c>
      <c r="B83" s="242">
        <f>K82</f>
        <v>100</v>
      </c>
      <c r="C83" s="242">
        <f>ROUND(L82+N82,2)</f>
        <v>100</v>
      </c>
      <c r="D83" s="242">
        <f>B83+C83</f>
        <v>200</v>
      </c>
      <c r="E83" s="242">
        <f>-(IF(DAY(A83+2)=1,'Main Budget'!$H$19,IF(DAY(A83+1)=15,'Main Budget'!$H$19,0)))</f>
        <v>0</v>
      </c>
      <c r="F83" s="242">
        <f>-(IF(DAY(A83)=20,'Main Budget'!$F$19,0))</f>
        <v>0</v>
      </c>
      <c r="G83" s="242">
        <f>-(IF(DAY(A83+2)=1,'Main Budget'!$H$20,IF(DAY(A83+1)=15,'Main Budget'!$H$20,0)))</f>
        <v>0</v>
      </c>
      <c r="H83" s="242">
        <f>-(IF(DAY(A83)=20,'Main Budget'!$F$20,0))</f>
        <v>0</v>
      </c>
      <c r="I83" s="243"/>
      <c r="J83" s="242"/>
      <c r="K83" s="242">
        <f>MAX((B83+E83+F83+J83)+I83,0)</f>
        <v>100</v>
      </c>
      <c r="L83" s="242">
        <f>ROUND(IF((B83+E83+F83+J83)+I83&lt;0,(L82+G83+H83)+(B83+E83+F83+J83)+I83,(L82+G83+H83))+N82,2)</f>
        <v>100</v>
      </c>
      <c r="M83" s="244">
        <f>K83+L83</f>
        <v>200</v>
      </c>
      <c r="P83" t="str">
        <f>TEXT(A83,"dddd")</f>
        <v>Monday</v>
      </c>
    </row>
    <row r="84" spans="1:16" x14ac:dyDescent="0.25">
      <c r="A84" s="241">
        <v>46105</v>
      </c>
      <c r="B84" s="242">
        <f>K83</f>
        <v>100</v>
      </c>
      <c r="C84" s="242">
        <f>ROUND(L83+N83,2)</f>
        <v>100</v>
      </c>
      <c r="D84" s="242">
        <f>B84+C84</f>
        <v>200</v>
      </c>
      <c r="E84" s="242">
        <f>-(IF(DAY(A84+2)=1,'Main Budget'!$H$19,IF(DAY(A84+1)=15,'Main Budget'!$H$19,0)))</f>
        <v>0</v>
      </c>
      <c r="F84" s="242">
        <f>-(IF(DAY(A84)=20,'Main Budget'!$F$19,0))</f>
        <v>0</v>
      </c>
      <c r="G84" s="242">
        <f>-(IF(DAY(A84+2)=1,'Main Budget'!$H$20,IF(DAY(A84+1)=15,'Main Budget'!$H$20,0)))</f>
        <v>0</v>
      </c>
      <c r="H84" s="242">
        <f>-(IF(DAY(A84)=20,'Main Budget'!$F$20,0))</f>
        <v>0</v>
      </c>
      <c r="I84" s="243"/>
      <c r="J84" s="242"/>
      <c r="K84" s="242">
        <f>MAX((B84+E84+F84+J84)+I84,0)</f>
        <v>100</v>
      </c>
      <c r="L84" s="242">
        <f>ROUND(IF((B84+E84+F84+J84)+I84&lt;0,(L83+G84+H84)+(B84+E84+F84+J84)+I84,(L83+G84+H84))+N83,2)</f>
        <v>100</v>
      </c>
      <c r="M84" s="244">
        <f>K84+L84</f>
        <v>200</v>
      </c>
      <c r="P84" t="str">
        <f>TEXT(A84,"dddd")</f>
        <v>Tuesday</v>
      </c>
    </row>
    <row r="85" spans="1:16" x14ac:dyDescent="0.25">
      <c r="A85" s="241">
        <v>46106</v>
      </c>
      <c r="B85" s="242">
        <f>K84</f>
        <v>100</v>
      </c>
      <c r="C85" s="242">
        <f>ROUND(L84+N84,2)</f>
        <v>100</v>
      </c>
      <c r="D85" s="242">
        <f>B85+C85</f>
        <v>200</v>
      </c>
      <c r="E85" s="242">
        <f>-(IF(DAY(A85+2)=1,'Main Budget'!$H$19,IF(DAY(A85+1)=15,'Main Budget'!$H$19,0)))</f>
        <v>0</v>
      </c>
      <c r="F85" s="242">
        <f>-(IF(DAY(A85)=20,'Main Budget'!$F$19,0))</f>
        <v>0</v>
      </c>
      <c r="G85" s="242">
        <f>-(IF(DAY(A85+2)=1,'Main Budget'!$H$20,IF(DAY(A85+1)=15,'Main Budget'!$H$20,0)))</f>
        <v>0</v>
      </c>
      <c r="H85" s="242">
        <f>-(IF(DAY(A85)=20,'Main Budget'!$F$20,0))</f>
        <v>0</v>
      </c>
      <c r="I85" s="243"/>
      <c r="J85" s="242"/>
      <c r="K85" s="242">
        <f>MAX((B85+E85+F85+J85)+I85,0)</f>
        <v>100</v>
      </c>
      <c r="L85" s="242">
        <f>ROUND(IF((B85+E85+F85+J85)+I85&lt;0,(L84+G85+H85)+(B85+E85+F85+J85)+I85,(L84+G85+H85))+N84,2)</f>
        <v>100</v>
      </c>
      <c r="M85" s="244">
        <f>K85+L85</f>
        <v>200</v>
      </c>
      <c r="P85" t="str">
        <f>TEXT(A85,"dddd")</f>
        <v>Wednesday</v>
      </c>
    </row>
    <row r="86" spans="1:16" x14ac:dyDescent="0.25">
      <c r="A86" s="241">
        <v>46107</v>
      </c>
      <c r="B86" s="242">
        <f>K85</f>
        <v>100</v>
      </c>
      <c r="C86" s="242">
        <f>ROUND(L85+N85,2)</f>
        <v>100</v>
      </c>
      <c r="D86" s="242">
        <f>B86+C86</f>
        <v>200</v>
      </c>
      <c r="E86" s="242">
        <f>-(IF(DAY(A86+2)=1,'Main Budget'!$H$19,IF(DAY(A86+1)=15,'Main Budget'!$H$19,0)))</f>
        <v>0</v>
      </c>
      <c r="F86" s="242">
        <f>-(IF(DAY(A86)=20,'Main Budget'!$F$19,0))</f>
        <v>0</v>
      </c>
      <c r="G86" s="242">
        <f>-(IF(DAY(A86+2)=1,'Main Budget'!$H$20,IF(DAY(A86+1)=15,'Main Budget'!$H$20,0)))</f>
        <v>0</v>
      </c>
      <c r="H86" s="242">
        <f>-(IF(DAY(A86)=20,'Main Budget'!$F$20,0))</f>
        <v>0</v>
      </c>
      <c r="I86" s="243"/>
      <c r="J86" s="242"/>
      <c r="K86" s="242">
        <f>MAX((B86+E86+F86+J86)+I86,0)</f>
        <v>100</v>
      </c>
      <c r="L86" s="242">
        <f>ROUND(IF((B86+E86+F86+J86)+I86&lt;0,(L85+G86+H86)+(B86+E86+F86+J86)+I86,(L85+G86+H86))+N85,2)</f>
        <v>100</v>
      </c>
      <c r="M86" s="244">
        <f>K86+L86</f>
        <v>200</v>
      </c>
      <c r="P86" t="str">
        <f>TEXT(A86,"dddd")</f>
        <v>Thursday</v>
      </c>
    </row>
    <row r="87" spans="1:16" x14ac:dyDescent="0.25">
      <c r="A87" s="241">
        <v>46108</v>
      </c>
      <c r="B87" s="242">
        <f>K86</f>
        <v>100</v>
      </c>
      <c r="C87" s="242">
        <f>ROUND(L86+N86,2)</f>
        <v>100</v>
      </c>
      <c r="D87" s="242">
        <f>B87+C87</f>
        <v>200</v>
      </c>
      <c r="E87" s="242">
        <f>-(IF(DAY(A87+2)=1,'Main Budget'!$H$19,IF(DAY(A87+1)=15,'Main Budget'!$H$19,0)))</f>
        <v>0</v>
      </c>
      <c r="F87" s="242">
        <f>-(IF(DAY(A87)=20,'Main Budget'!$F$19,0))</f>
        <v>0</v>
      </c>
      <c r="G87" s="242">
        <f>-(IF(DAY(A87+2)=1,'Main Budget'!$H$20,IF(DAY(A87+1)=15,'Main Budget'!$H$20,0)))</f>
        <v>0</v>
      </c>
      <c r="H87" s="242">
        <f>-(IF(DAY(A87)=20,'Main Budget'!$F$20,0))</f>
        <v>0</v>
      </c>
      <c r="I87" s="243"/>
      <c r="J87" s="242"/>
      <c r="K87" s="242">
        <f>MAX((B87+E87+F87+J87)+I87,0)</f>
        <v>100</v>
      </c>
      <c r="L87" s="242">
        <f>ROUND(IF((B87+E87+F87+J87)+I87&lt;0,(L86+G87+H87)+(B87+E87+F87+J87)+I87,(L86+G87+H87))+N86,2)</f>
        <v>100</v>
      </c>
      <c r="M87" s="244">
        <f>K87+L87</f>
        <v>200</v>
      </c>
      <c r="P87" t="str">
        <f>TEXT(A87,"dddd")</f>
        <v>Friday</v>
      </c>
    </row>
    <row r="88" spans="1:16" x14ac:dyDescent="0.25">
      <c r="A88" s="241">
        <v>46109</v>
      </c>
      <c r="B88" s="242">
        <f>K87</f>
        <v>100</v>
      </c>
      <c r="C88" s="242">
        <f>ROUND(L87+N87,2)</f>
        <v>100</v>
      </c>
      <c r="D88" s="242">
        <f>B88+C88</f>
        <v>200</v>
      </c>
      <c r="E88" s="242">
        <f>-(IF(DAY(A88+2)=1,'Main Budget'!$H$19,IF(DAY(A88+1)=15,'Main Budget'!$H$19,0)))</f>
        <v>0</v>
      </c>
      <c r="F88" s="242">
        <f>-(IF(DAY(A88)=20,'Main Budget'!$F$19,0))</f>
        <v>0</v>
      </c>
      <c r="G88" s="242">
        <f>-(IF(DAY(A88+2)=1,'Main Budget'!$H$20,IF(DAY(A88+1)=15,'Main Budget'!$H$20,0)))</f>
        <v>0</v>
      </c>
      <c r="H88" s="242">
        <f>-(IF(DAY(A88)=20,'Main Budget'!$F$20,0))</f>
        <v>0</v>
      </c>
      <c r="I88" s="243"/>
      <c r="J88" s="242"/>
      <c r="K88" s="242">
        <f>MAX((B88+E88+F88+J88)+I88,0)</f>
        <v>100</v>
      </c>
      <c r="L88" s="242">
        <f>ROUND(IF((B88+E88+F88+J88)+I88&lt;0,(L87+G88+H88)+(B88+E88+F88+J88)+I88,(L87+G88+H88))+N87,2)</f>
        <v>100</v>
      </c>
      <c r="M88" s="244">
        <f>K88+L88</f>
        <v>200</v>
      </c>
      <c r="P88" t="str">
        <f>TEXT(A88,"dddd")</f>
        <v>Saturday</v>
      </c>
    </row>
    <row r="89" spans="1:16" x14ac:dyDescent="0.25">
      <c r="A89" s="241">
        <v>46110</v>
      </c>
      <c r="B89" s="242">
        <f>K88</f>
        <v>100</v>
      </c>
      <c r="C89" s="242">
        <f>ROUND(L88+N88,2)</f>
        <v>100</v>
      </c>
      <c r="D89" s="242">
        <f>B89+C89</f>
        <v>200</v>
      </c>
      <c r="E89" s="242">
        <f>-(IF(DAY(A89+2)=1,'Main Budget'!$H$19,IF(DAY(A89+1)=15,'Main Budget'!$H$19,0)))</f>
        <v>0</v>
      </c>
      <c r="F89" s="242">
        <f>-(IF(DAY(A89)=20,'Main Budget'!$F$19,0))</f>
        <v>0</v>
      </c>
      <c r="G89" s="242">
        <f>-(IF(DAY(A89+2)=1,'Main Budget'!$H$20,IF(DAY(A89+1)=15,'Main Budget'!$H$20,0)))</f>
        <v>0</v>
      </c>
      <c r="H89" s="242">
        <f>-(IF(DAY(A89)=20,'Main Budget'!$F$20,0))</f>
        <v>0</v>
      </c>
      <c r="I89" s="243"/>
      <c r="J89" s="242"/>
      <c r="K89" s="242">
        <f>MAX((B89+E89+F89+J89)+I89,0)</f>
        <v>100</v>
      </c>
      <c r="L89" s="242">
        <f>ROUND(IF((B89+E89+F89+J89)+I89&lt;0,(L88+G89+H89)+(B89+E89+F89+J89)+I89,(L88+G89+H89))+N88,2)</f>
        <v>100</v>
      </c>
      <c r="M89" s="244">
        <f>K89+L89</f>
        <v>200</v>
      </c>
      <c r="P89" t="str">
        <f>TEXT(A89,"dddd")</f>
        <v>Sunday</v>
      </c>
    </row>
    <row r="90" spans="1:16" x14ac:dyDescent="0.25">
      <c r="A90" s="241">
        <v>46111</v>
      </c>
      <c r="B90" s="242">
        <f>K89</f>
        <v>100</v>
      </c>
      <c r="C90" s="242">
        <f>ROUND(L89+N89,2)</f>
        <v>100</v>
      </c>
      <c r="D90" s="242">
        <f>B90+C90</f>
        <v>200</v>
      </c>
      <c r="E90" s="242">
        <f>-(IF(DAY(A90+2)=1,'Main Budget'!$H$19,IF(DAY(A90+1)=15,'Main Budget'!$H$19,0)))</f>
        <v>0</v>
      </c>
      <c r="F90" s="242">
        <f>-(IF(DAY(A90)=20,'Main Budget'!$F$19,0))</f>
        <v>0</v>
      </c>
      <c r="G90" s="242">
        <f>-(IF(DAY(A90+2)=1,'Main Budget'!$H$20,IF(DAY(A90+1)=15,'Main Budget'!$H$20,0)))</f>
        <v>0</v>
      </c>
      <c r="H90" s="242">
        <f>-(IF(DAY(A90)=20,'Main Budget'!$F$20,0))</f>
        <v>0</v>
      </c>
      <c r="I90" s="243"/>
      <c r="J90" s="242"/>
      <c r="K90" s="242">
        <f>MAX((B90+E90+F90+J90)+I90,0)</f>
        <v>100</v>
      </c>
      <c r="L90" s="242">
        <f>ROUND(IF((B90+E90+F90+J90)+I90&lt;0,(L89+G90+H90)+(B90+E90+F90+J90)+I90,(L89+G90+H90))+N89,2)</f>
        <v>100</v>
      </c>
      <c r="M90" s="244">
        <f>K90+L90</f>
        <v>200</v>
      </c>
      <c r="P90" t="str">
        <f>TEXT(A90,"dddd")</f>
        <v>Monday</v>
      </c>
    </row>
    <row r="91" spans="1:16" x14ac:dyDescent="0.25">
      <c r="A91" s="241">
        <v>46112</v>
      </c>
      <c r="B91" s="242">
        <f>K90</f>
        <v>100</v>
      </c>
      <c r="C91" s="242">
        <f>ROUND(L90+N90,2)</f>
        <v>100</v>
      </c>
      <c r="D91" s="242">
        <f>B91+C91</f>
        <v>200</v>
      </c>
      <c r="E91" s="242">
        <f>-(IF(DAY(A91+2)=1,'Main Budget'!$H$19,IF(DAY(A91+1)=15,'Main Budget'!$H$19,0)))</f>
        <v>0</v>
      </c>
      <c r="F91" s="242">
        <f>-(IF(DAY(A91)=20,'Main Budget'!$F$19,0))</f>
        <v>0</v>
      </c>
      <c r="G91" s="242">
        <f>-(IF(DAY(A91+2)=1,'Main Budget'!$H$20,IF(DAY(A91+1)=15,'Main Budget'!$H$20,0)))</f>
        <v>0</v>
      </c>
      <c r="H91" s="242">
        <f>-(IF(DAY(A91)=20,'Main Budget'!$F$20,0))</f>
        <v>0</v>
      </c>
      <c r="I91" s="243"/>
      <c r="J91" s="242"/>
      <c r="K91" s="242">
        <f>MAX((B91+E91+F91+J91)+I91,0)</f>
        <v>100</v>
      </c>
      <c r="L91" s="242">
        <f>ROUND(IF((B91+E91+F91+J91)+I91&lt;0,(L90+G91+H91)+(B91+E91+F91+J91)+I91,(L90+G91+H91))+N90,2)</f>
        <v>100</v>
      </c>
      <c r="M91" s="244">
        <f>K91+L91</f>
        <v>200</v>
      </c>
      <c r="P91" t="str">
        <f>TEXT(A91,"dddd")</f>
        <v>Tuesday</v>
      </c>
    </row>
    <row r="92" spans="1:16" x14ac:dyDescent="0.25">
      <c r="A92" s="241">
        <v>46113</v>
      </c>
      <c r="B92" s="242">
        <f>K91</f>
        <v>100</v>
      </c>
      <c r="C92" s="242">
        <f>ROUND(L91+N91,2)</f>
        <v>100</v>
      </c>
      <c r="D92" s="242">
        <f>B92+C92</f>
        <v>200</v>
      </c>
      <c r="E92" s="242">
        <f>-(IF(DAY(A92+2)=1,'Main Budget'!$H$19,IF(DAY(A92+1)=15,'Main Budget'!$H$19,0)))</f>
        <v>0</v>
      </c>
      <c r="F92" s="242">
        <f>-(IF(DAY(A92)=20,'Main Budget'!$F$19,0))</f>
        <v>0</v>
      </c>
      <c r="G92" s="242">
        <f>-(IF(DAY(A92+2)=1,'Main Budget'!$H$20,IF(DAY(A92+1)=15,'Main Budget'!$H$20,0)))</f>
        <v>0</v>
      </c>
      <c r="H92" s="242">
        <f>-(IF(DAY(A92)=20,'Main Budget'!$F$20,0))</f>
        <v>0</v>
      </c>
      <c r="I92" s="243"/>
      <c r="J92" s="242"/>
      <c r="K92" s="242">
        <f>MAX((B92+E92+F92+J92)+I92,0)</f>
        <v>100</v>
      </c>
      <c r="L92" s="242">
        <f>ROUND(IF((B92+E92+F92+J92)+I92&lt;0,(L91+G92+H92)+(B92+E92+F92+J92)+I92,(L91+G92+H92))+N91,2)</f>
        <v>100</v>
      </c>
      <c r="M92" s="244">
        <f>K92+L92</f>
        <v>200</v>
      </c>
      <c r="P92" t="str">
        <f>TEXT(A92,"dddd")</f>
        <v>Wednesday</v>
      </c>
    </row>
    <row r="93" spans="1:16" x14ac:dyDescent="0.25">
      <c r="A93" s="241">
        <v>46114</v>
      </c>
      <c r="B93" s="242">
        <f>K92</f>
        <v>100</v>
      </c>
      <c r="C93" s="242">
        <f>ROUND(L92+N92,2)</f>
        <v>100</v>
      </c>
      <c r="D93" s="242">
        <f>B93+C93</f>
        <v>200</v>
      </c>
      <c r="E93" s="242">
        <f>-(IF(DAY(A93+2)=1,'Main Budget'!$H$19,IF(DAY(A93+1)=15,'Main Budget'!$H$19,0)))</f>
        <v>0</v>
      </c>
      <c r="F93" s="242">
        <f>-(IF(DAY(A93)=20,'Main Budget'!$F$19,0))</f>
        <v>0</v>
      </c>
      <c r="G93" s="242">
        <f>-(IF(DAY(A93+2)=1,'Main Budget'!$H$20,IF(DAY(A93+1)=15,'Main Budget'!$H$20,0)))</f>
        <v>0</v>
      </c>
      <c r="H93" s="242">
        <f>-(IF(DAY(A93)=20,'Main Budget'!$F$20,0))</f>
        <v>0</v>
      </c>
      <c r="I93" s="243"/>
      <c r="J93" s="242"/>
      <c r="K93" s="242">
        <f>MAX((B93+E93+F93+J93)+I93,0)</f>
        <v>100</v>
      </c>
      <c r="L93" s="242">
        <f>ROUND(IF((B93+E93+F93+J93)+I93&lt;0,(L92+G93+H93)+(B93+E93+F93+J93)+I93,(L92+G93+H93))+N92,2)</f>
        <v>100</v>
      </c>
      <c r="M93" s="244">
        <f>K93+L93</f>
        <v>200</v>
      </c>
      <c r="P93" t="str">
        <f>TEXT(A93,"dddd")</f>
        <v>Thursday</v>
      </c>
    </row>
    <row r="94" spans="1:16" x14ac:dyDescent="0.25">
      <c r="A94" s="241">
        <v>46115</v>
      </c>
      <c r="B94" s="242">
        <f>K93</f>
        <v>100</v>
      </c>
      <c r="C94" s="242">
        <f>ROUND(L93+N93,2)</f>
        <v>100</v>
      </c>
      <c r="D94" s="242">
        <f>B94+C94</f>
        <v>200</v>
      </c>
      <c r="E94" s="242">
        <f>-(IF(DAY(A94+2)=1,'Main Budget'!$H$19,IF(DAY(A94+1)=15,'Main Budget'!$H$19,0)))</f>
        <v>0</v>
      </c>
      <c r="F94" s="242">
        <f>-(IF(DAY(A94)=20,'Main Budget'!$F$19,0))</f>
        <v>0</v>
      </c>
      <c r="G94" s="242">
        <f>-(IF(DAY(A94+2)=1,'Main Budget'!$H$20,IF(DAY(A94+1)=15,'Main Budget'!$H$20,0)))</f>
        <v>0</v>
      </c>
      <c r="H94" s="242">
        <f>-(IF(DAY(A94)=20,'Main Budget'!$F$20,0))</f>
        <v>0</v>
      </c>
      <c r="I94" s="243"/>
      <c r="J94" s="242"/>
      <c r="K94" s="242">
        <f>MAX((B94+E94+F94+J94)+I94,0)</f>
        <v>100</v>
      </c>
      <c r="L94" s="242">
        <f>ROUND(IF((B94+E94+F94+J94)+I94&lt;0,(L93+G94+H94)+(B94+E94+F94+J94)+I94,(L93+G94+H94))+N93,2)</f>
        <v>100</v>
      </c>
      <c r="M94" s="244">
        <f>K94+L94</f>
        <v>200</v>
      </c>
      <c r="P94" t="str">
        <f>TEXT(A94,"dddd")</f>
        <v>Friday</v>
      </c>
    </row>
    <row r="95" spans="1:16" x14ac:dyDescent="0.25">
      <c r="A95" s="241">
        <v>46116</v>
      </c>
      <c r="B95" s="242">
        <f>K94</f>
        <v>100</v>
      </c>
      <c r="C95" s="242">
        <f>ROUND(L94+N94,2)</f>
        <v>100</v>
      </c>
      <c r="D95" s="242">
        <f>B95+C95</f>
        <v>200</v>
      </c>
      <c r="E95" s="242">
        <f>-(IF(DAY(A95+2)=1,'Main Budget'!$H$19,IF(DAY(A95+1)=15,'Main Budget'!$H$19,0)))</f>
        <v>0</v>
      </c>
      <c r="F95" s="242">
        <f>-(IF(DAY(A95)=20,'Main Budget'!$F$19,0))</f>
        <v>0</v>
      </c>
      <c r="G95" s="242">
        <f>-(IF(DAY(A95+2)=1,'Main Budget'!$H$20,IF(DAY(A95+1)=15,'Main Budget'!$H$20,0)))</f>
        <v>0</v>
      </c>
      <c r="H95" s="242">
        <f>-(IF(DAY(A95)=20,'Main Budget'!$F$20,0))</f>
        <v>0</v>
      </c>
      <c r="I95" s="243"/>
      <c r="J95" s="242"/>
      <c r="K95" s="242">
        <f>MAX((B95+E95+F95+J95)+I95,0)</f>
        <v>100</v>
      </c>
      <c r="L95" s="242">
        <f>ROUND(IF((B95+E95+F95+J95)+I95&lt;0,(L94+G95+H95)+(B95+E95+F95+J95)+I95,(L94+G95+H95))+N94,2)</f>
        <v>100</v>
      </c>
      <c r="M95" s="244">
        <f>K95+L95</f>
        <v>200</v>
      </c>
      <c r="P95" t="str">
        <f>TEXT(A95,"dddd")</f>
        <v>Saturday</v>
      </c>
    </row>
    <row r="96" spans="1:16" x14ac:dyDescent="0.25">
      <c r="A96" s="241">
        <v>46117</v>
      </c>
      <c r="B96" s="242">
        <f>K95</f>
        <v>100</v>
      </c>
      <c r="C96" s="242">
        <f>ROUND(L95+N95,2)</f>
        <v>100</v>
      </c>
      <c r="D96" s="242">
        <f>B96+C96</f>
        <v>200</v>
      </c>
      <c r="E96" s="242">
        <f>-(IF(DAY(A96+2)=1,'Main Budget'!$H$19,IF(DAY(A96+1)=15,'Main Budget'!$H$19,0)))</f>
        <v>0</v>
      </c>
      <c r="F96" s="242">
        <f>-(IF(DAY(A96)=20,'Main Budget'!$F$19,0))</f>
        <v>0</v>
      </c>
      <c r="G96" s="242">
        <f>-(IF(DAY(A96+2)=1,'Main Budget'!$H$20,IF(DAY(A96+1)=15,'Main Budget'!$H$20,0)))</f>
        <v>0</v>
      </c>
      <c r="H96" s="242">
        <f>-(IF(DAY(A96)=20,'Main Budget'!$F$20,0))</f>
        <v>0</v>
      </c>
      <c r="I96" s="243"/>
      <c r="J96" s="242"/>
      <c r="K96" s="242">
        <f>MAX((B96+E96+F96+J96)+I96,0)</f>
        <v>100</v>
      </c>
      <c r="L96" s="242">
        <f>ROUND(IF((B96+E96+F96+J96)+I96&lt;0,(L95+G96+H96)+(B96+E96+F96+J96)+I96,(L95+G96+H96))+N95,2)</f>
        <v>100</v>
      </c>
      <c r="M96" s="244">
        <f>K96+L96</f>
        <v>200</v>
      </c>
      <c r="P96" t="str">
        <f>TEXT(A96,"dddd")</f>
        <v>Sunday</v>
      </c>
    </row>
    <row r="97" spans="1:16" x14ac:dyDescent="0.25">
      <c r="A97" s="241">
        <v>46118</v>
      </c>
      <c r="B97" s="242">
        <f>K96</f>
        <v>100</v>
      </c>
      <c r="C97" s="242">
        <f>ROUND(L96+N96,2)</f>
        <v>100</v>
      </c>
      <c r="D97" s="242">
        <f>B97+C97</f>
        <v>200</v>
      </c>
      <c r="E97" s="242">
        <f>-(IF(DAY(A97+2)=1,'Main Budget'!$H$19,IF(DAY(A97+1)=15,'Main Budget'!$H$19,0)))</f>
        <v>0</v>
      </c>
      <c r="F97" s="242">
        <f>-(IF(DAY(A97)=20,'Main Budget'!$F$19,0))</f>
        <v>0</v>
      </c>
      <c r="G97" s="242">
        <f>-(IF(DAY(A97+2)=1,'Main Budget'!$H$20,IF(DAY(A97+1)=15,'Main Budget'!$H$20,0)))</f>
        <v>0</v>
      </c>
      <c r="H97" s="242">
        <f>-(IF(DAY(A97)=20,'Main Budget'!$F$20,0))</f>
        <v>0</v>
      </c>
      <c r="I97" s="243"/>
      <c r="J97" s="242"/>
      <c r="K97" s="242">
        <f>MAX((B97+E97+F97+J97)+I97,0)</f>
        <v>100</v>
      </c>
      <c r="L97" s="242">
        <f>ROUND(IF((B97+E97+F97+J97)+I97&lt;0,(L96+G97+H97)+(B97+E97+F97+J97)+I97,(L96+G97+H97))+N96,2)</f>
        <v>100</v>
      </c>
      <c r="M97" s="244">
        <f>K97+L97</f>
        <v>200</v>
      </c>
      <c r="P97" t="str">
        <f>TEXT(A97,"dddd")</f>
        <v>Monday</v>
      </c>
    </row>
    <row r="98" spans="1:16" x14ac:dyDescent="0.25">
      <c r="A98" s="241">
        <v>46119</v>
      </c>
      <c r="B98" s="242">
        <f>K97</f>
        <v>100</v>
      </c>
      <c r="C98" s="242">
        <f>ROUND(L97+N97,2)</f>
        <v>100</v>
      </c>
      <c r="D98" s="242">
        <f>B98+C98</f>
        <v>200</v>
      </c>
      <c r="E98" s="242">
        <f>-(IF(DAY(A98+2)=1,'Main Budget'!$H$19,IF(DAY(A98+1)=15,'Main Budget'!$H$19,0)))</f>
        <v>0</v>
      </c>
      <c r="F98" s="242">
        <f>-(IF(DAY(A98)=20,'Main Budget'!$F$19,0))</f>
        <v>0</v>
      </c>
      <c r="G98" s="242">
        <f>-(IF(DAY(A98+2)=1,'Main Budget'!$H$20,IF(DAY(A98+1)=15,'Main Budget'!$H$20,0)))</f>
        <v>0</v>
      </c>
      <c r="H98" s="242">
        <f>-(IF(DAY(A98)=20,'Main Budget'!$F$20,0))</f>
        <v>0</v>
      </c>
      <c r="I98" s="243"/>
      <c r="J98" s="242"/>
      <c r="K98" s="242">
        <f>MAX((B98+E98+F98+J98)+I98,0)</f>
        <v>100</v>
      </c>
      <c r="L98" s="242">
        <f>ROUND(IF((B98+E98+F98+J98)+I98&lt;0,(L97+G98+H98)+(B98+E98+F98+J98)+I98,(L97+G98+H98))+N97,2)</f>
        <v>100</v>
      </c>
      <c r="M98" s="244">
        <f>K98+L98</f>
        <v>200</v>
      </c>
      <c r="P98" t="str">
        <f>TEXT(A98,"dddd")</f>
        <v>Tuesday</v>
      </c>
    </row>
    <row r="99" spans="1:16" x14ac:dyDescent="0.25">
      <c r="A99" s="241">
        <v>46120</v>
      </c>
      <c r="B99" s="242">
        <f>K98</f>
        <v>100</v>
      </c>
      <c r="C99" s="242">
        <f>ROUND(L98+N98,2)</f>
        <v>100</v>
      </c>
      <c r="D99" s="242">
        <f>B99+C99</f>
        <v>200</v>
      </c>
      <c r="E99" s="242">
        <f>-(IF(DAY(A99+2)=1,'Main Budget'!$H$19,IF(DAY(A99+1)=15,'Main Budget'!$H$19,0)))</f>
        <v>0</v>
      </c>
      <c r="F99" s="242">
        <f>-(IF(DAY(A99)=20,'Main Budget'!$F$19,0))</f>
        <v>0</v>
      </c>
      <c r="G99" s="242">
        <f>-(IF(DAY(A99+2)=1,'Main Budget'!$H$20,IF(DAY(A99+1)=15,'Main Budget'!$H$20,0)))</f>
        <v>0</v>
      </c>
      <c r="H99" s="242">
        <f>-(IF(DAY(A99)=20,'Main Budget'!$F$20,0))</f>
        <v>0</v>
      </c>
      <c r="I99" s="243"/>
      <c r="J99" s="242"/>
      <c r="K99" s="242">
        <f>MAX((B99+E99+F99+J99)+I99,0)</f>
        <v>100</v>
      </c>
      <c r="L99" s="242">
        <f>ROUND(IF((B99+E99+F99+J99)+I99&lt;0,(L98+G99+H99)+(B99+E99+F99+J99)+I99,(L98+G99+H99))+N98,2)</f>
        <v>100</v>
      </c>
      <c r="M99" s="244">
        <f>K99+L99</f>
        <v>200</v>
      </c>
      <c r="P99" t="str">
        <f>TEXT(A99,"dddd")</f>
        <v>Wednesday</v>
      </c>
    </row>
    <row r="100" spans="1:16" x14ac:dyDescent="0.25">
      <c r="A100" s="241">
        <v>46121</v>
      </c>
      <c r="B100" s="242"/>
      <c r="C100" s="242"/>
      <c r="D100" s="242"/>
      <c r="E100" s="242"/>
      <c r="F100" s="242"/>
      <c r="G100" s="242"/>
      <c r="H100" s="242"/>
      <c r="I100" s="243"/>
      <c r="J100" s="242"/>
      <c r="K100" s="242"/>
      <c r="L100" s="242"/>
    </row>
    <row r="101" spans="1:16" x14ac:dyDescent="0.25">
      <c r="A101" s="241">
        <v>46122</v>
      </c>
      <c r="B101" s="242"/>
      <c r="C101" s="242"/>
      <c r="D101" s="242"/>
      <c r="E101" s="242"/>
      <c r="F101" s="242"/>
      <c r="G101" s="242"/>
      <c r="H101" s="242"/>
      <c r="I101" s="243"/>
      <c r="J101" s="242"/>
      <c r="K101" s="242">
        <f>MIN(K2:K100)</f>
        <v>100</v>
      </c>
      <c r="L101" s="242"/>
    </row>
  </sheetData>
  <conditionalFormatting sqref="A1:P1">
    <cfRule type="expression" dxfId="13" priority="1">
      <formula>#REF!=TODAY()+1</formula>
    </cfRule>
  </conditionalFormatting>
  <conditionalFormatting sqref="L2:L101">
    <cfRule type="cellIs" dxfId="12" priority="3" operator="lessThan">
      <formula>0</formula>
    </cfRule>
    <cfRule type="cellIs" dxfId="11" priority="4" operator="between">
      <formula>0</formula>
      <formula>500</formula>
    </cfRule>
  </conditionalFormatting>
  <conditionalFormatting sqref="A1046699:P1048576">
    <cfRule type="expression" dxfId="10" priority="8">
      <formula>#REF!=TODAY()+1</formula>
    </cfRule>
  </conditionalFormatting>
  <conditionalFormatting sqref="A1046479:P1046698">
    <cfRule type="expression" dxfId="9" priority="9">
      <formula>$A1=TODAY()+1</formula>
    </cfRule>
  </conditionalFormatting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EF6D-FCB8-42D5-AE97-BD46D03E92A8}">
  <sheetPr>
    <tabColor theme="6" tint="0.59999389629810485"/>
  </sheetPr>
  <dimension ref="A1:M710"/>
  <sheetViews>
    <sheetView workbookViewId="0">
      <pane ySplit="1" topLeftCell="A2" activePane="bottomLeft" state="frozen"/>
      <selection activeCell="G28" sqref="G28"/>
      <selection pane="bottomLeft" activeCell="A2" sqref="A2"/>
    </sheetView>
  </sheetViews>
  <sheetFormatPr defaultRowHeight="13.2" x14ac:dyDescent="0.25"/>
  <cols>
    <col min="1" max="1" width="10.109375" bestFit="1" customWidth="1"/>
    <col min="2" max="2" width="11.88671875" style="245" bestFit="1" customWidth="1"/>
    <col min="3" max="3" width="7.5546875" style="245" bestFit="1" customWidth="1"/>
    <col min="4" max="4" width="10.88671875" style="245" bestFit="1" customWidth="1"/>
    <col min="5" max="5" width="11.21875" style="245" bestFit="1" customWidth="1"/>
    <col min="6" max="6" width="7.21875" style="245" bestFit="1" customWidth="1"/>
    <col min="7" max="7" width="10.5546875" style="245" hidden="1" customWidth="1"/>
    <col min="8" max="8" width="9.6640625" style="245" customWidth="1"/>
    <col min="9" max="9" width="8.21875" style="245" bestFit="1" customWidth="1"/>
    <col min="10" max="10" width="8.33203125" style="244" customWidth="1"/>
    <col min="11" max="11" width="2.33203125" customWidth="1"/>
    <col min="12" max="12" width="33.6640625" bestFit="1" customWidth="1"/>
    <col min="13" max="13" width="13.77734375" bestFit="1" customWidth="1"/>
  </cols>
  <sheetData>
    <row r="1" spans="1:13" s="225" customFormat="1" ht="24" customHeight="1" x14ac:dyDescent="0.25">
      <c r="A1" s="225" t="s">
        <v>119</v>
      </c>
      <c r="B1" s="239" t="s">
        <v>120</v>
      </c>
      <c r="C1" s="239" t="s">
        <v>147</v>
      </c>
      <c r="D1" s="239" t="s">
        <v>148</v>
      </c>
      <c r="E1" s="239" t="s">
        <v>149</v>
      </c>
      <c r="F1" s="239" t="s">
        <v>150</v>
      </c>
      <c r="G1" s="239" t="s">
        <v>151</v>
      </c>
      <c r="H1" s="239" t="s">
        <v>152</v>
      </c>
      <c r="I1" s="239" t="s">
        <v>132</v>
      </c>
      <c r="J1" s="239" t="s">
        <v>153</v>
      </c>
      <c r="L1" s="225" t="s">
        <v>145</v>
      </c>
      <c r="M1" s="225" t="s">
        <v>146</v>
      </c>
    </row>
    <row r="2" spans="1:13" x14ac:dyDescent="0.25">
      <c r="A2" s="246">
        <v>46023</v>
      </c>
      <c r="B2" s="247">
        <v>100</v>
      </c>
      <c r="C2" s="247">
        <f>IF(DAY(A2+2)=1,'Main Budget'!$G$39,IF(DAY(A2+2)=15,'Main Budget'!$G$39,0))</f>
        <v>0</v>
      </c>
      <c r="D2" s="247">
        <f>IF(OR(DAY(A2)=1,DAY(A2)=15),11.25,0)</f>
        <v>11.25</v>
      </c>
      <c r="E2" s="247">
        <f>IF(DAY(A2)='Main Budget'!$J$12,('Main Budget'!$G$12),0)</f>
        <v>0</v>
      </c>
      <c r="F2" s="247">
        <f>IF(DAY(A2)='Main Budget'!$J$13,('Main Budget'!$G$13)*2,0)</f>
        <v>0</v>
      </c>
      <c r="G2" s="247"/>
      <c r="H2" s="247">
        <f>IF(DAY(A2)='Main Budget'!$J$14,'Main Budget'!$G$14,0)</f>
        <v>0</v>
      </c>
      <c r="I2" s="247"/>
      <c r="J2" s="253">
        <f>B2+SUM(C2:I2)</f>
        <v>111.25</v>
      </c>
      <c r="K2" s="250"/>
      <c r="L2" s="250"/>
      <c r="M2" s="250" t="str">
        <f>TEXT(A2,"dddd")</f>
        <v>Thursday</v>
      </c>
    </row>
    <row r="3" spans="1:13" x14ac:dyDescent="0.25">
      <c r="A3" s="241">
        <v>46024</v>
      </c>
      <c r="B3" s="242">
        <f>J2</f>
        <v>111.25</v>
      </c>
      <c r="C3" s="242">
        <f>IF(DAY(A3+2)=1,'Main Budget'!$G$39,IF(DAY(A3+2)=15,'Main Budget'!$G$39,0))</f>
        <v>0</v>
      </c>
      <c r="D3" s="242">
        <f>IF(OR(DAY(A3)=1,DAY(A3)=15),11.25,0)</f>
        <v>0</v>
      </c>
      <c r="E3" s="242">
        <f>IF(DAY(A3)='Main Budget'!$J$12,('Main Budget'!$G$12),0)</f>
        <v>0</v>
      </c>
      <c r="F3" s="242">
        <f>IF(DAY(A3)='Main Budget'!$J$13,('Main Budget'!$G$13)*2,0)</f>
        <v>0</v>
      </c>
      <c r="G3" s="242"/>
      <c r="H3" s="242">
        <f>IF(DAY(A3)='Main Budget'!$J$14,'Main Budget'!$G$14,0)</f>
        <v>0</v>
      </c>
      <c r="I3" s="242"/>
      <c r="J3" s="252">
        <f>J2+(SUM(C3:I3))</f>
        <v>111.25</v>
      </c>
      <c r="M3" t="str">
        <f>TEXT(A3,"dddd")</f>
        <v>Friday</v>
      </c>
    </row>
    <row r="4" spans="1:13" x14ac:dyDescent="0.25">
      <c r="A4" s="241">
        <v>46025</v>
      </c>
      <c r="B4" s="242">
        <f>J3</f>
        <v>111.25</v>
      </c>
      <c r="C4" s="242">
        <f>IF(DAY(A4+2)=1,'Main Budget'!$G$39,IF(DAY(A4+2)=15,'Main Budget'!$G$39,0))</f>
        <v>0</v>
      </c>
      <c r="D4" s="242">
        <f>IF(OR(DAY(A4)=1,DAY(A4)=15),11.25,0)</f>
        <v>0</v>
      </c>
      <c r="E4" s="242">
        <f>IF(DAY(A4)='Main Budget'!$J$12,('Main Budget'!$G$12),0)</f>
        <v>0</v>
      </c>
      <c r="F4" s="242">
        <f>IF(DAY(A4)='Main Budget'!$J$13,('Main Budget'!$G$13)*2,0)</f>
        <v>0</v>
      </c>
      <c r="G4" s="242"/>
      <c r="H4" s="242">
        <f>IF(DAY(A4)='Main Budget'!$J$14,'Main Budget'!$G$14,0)</f>
        <v>0</v>
      </c>
      <c r="I4" s="242"/>
      <c r="J4" s="252">
        <f>J3+(SUM(C4:I4))</f>
        <v>111.25</v>
      </c>
      <c r="M4" t="str">
        <f>TEXT(A4,"dddd")</f>
        <v>Saturday</v>
      </c>
    </row>
    <row r="5" spans="1:13" x14ac:dyDescent="0.25">
      <c r="A5" s="241">
        <v>46026</v>
      </c>
      <c r="B5" s="242">
        <f>J4</f>
        <v>111.25</v>
      </c>
      <c r="C5" s="242">
        <f>IF(DAY(A5+2)=1,'Main Budget'!$G$39,IF(DAY(A5+2)=15,'Main Budget'!$G$39,0))</f>
        <v>0</v>
      </c>
      <c r="D5" s="242">
        <f>IF(OR(DAY(A5)=1,DAY(A5)=15),11.25,0)</f>
        <v>0</v>
      </c>
      <c r="E5" s="242">
        <f>IF(DAY(A5)='Main Budget'!$J$12,('Main Budget'!$G$12),0)</f>
        <v>0</v>
      </c>
      <c r="F5" s="242">
        <f>IF(DAY(A5)='Main Budget'!$J$13,('Main Budget'!$G$13)*2,0)</f>
        <v>0</v>
      </c>
      <c r="G5" s="242"/>
      <c r="H5" s="242">
        <f>IF(DAY(A5)='Main Budget'!$J$14,'Main Budget'!$G$14,0)</f>
        <v>0</v>
      </c>
      <c r="I5" s="242"/>
      <c r="J5" s="252">
        <f>J4+(SUM(C5:I5))</f>
        <v>111.25</v>
      </c>
      <c r="M5" t="str">
        <f>TEXT(A5,"dddd")</f>
        <v>Sunday</v>
      </c>
    </row>
    <row r="6" spans="1:13" x14ac:dyDescent="0.25">
      <c r="A6" s="241">
        <v>46027</v>
      </c>
      <c r="B6" s="242">
        <f>J5</f>
        <v>111.25</v>
      </c>
      <c r="C6" s="242">
        <f>IF(DAY(A6+2)=1,'Main Budget'!$G$39,IF(DAY(A6+2)=15,'Main Budget'!$G$39,0))</f>
        <v>0</v>
      </c>
      <c r="D6" s="242">
        <f>IF(OR(DAY(A6)=1,DAY(A6)=15),11.25,0)</f>
        <v>0</v>
      </c>
      <c r="E6" s="242">
        <f>IF(DAY(A6)='Main Budget'!$J$12,('Main Budget'!$G$12),0)</f>
        <v>0</v>
      </c>
      <c r="F6" s="242">
        <f>IF(DAY(A6)='Main Budget'!$J$13,('Main Budget'!$G$13)*2,0)</f>
        <v>0</v>
      </c>
      <c r="G6" s="242"/>
      <c r="H6" s="242">
        <f>IF(DAY(A6)='Main Budget'!$J$14,'Main Budget'!$G$14,0)</f>
        <v>0</v>
      </c>
      <c r="I6" s="242"/>
      <c r="J6" s="252">
        <f>J5+(SUM(C6:I6))</f>
        <v>111.25</v>
      </c>
      <c r="M6" t="str">
        <f>TEXT(A6,"dddd")</f>
        <v>Monday</v>
      </c>
    </row>
    <row r="7" spans="1:13" x14ac:dyDescent="0.25">
      <c r="A7" s="241">
        <v>46028</v>
      </c>
      <c r="B7" s="242">
        <f>J6</f>
        <v>111.25</v>
      </c>
      <c r="C7" s="242">
        <f>IF(DAY(A7+2)=1,'Main Budget'!$G$39,IF(DAY(A7+2)=15,'Main Budget'!$G$39,0))</f>
        <v>0</v>
      </c>
      <c r="D7" s="242">
        <f>IF(OR(DAY(A7)=1,DAY(A7)=15),11.25,0)</f>
        <v>0</v>
      </c>
      <c r="E7" s="242">
        <f>IF(DAY(A7)='Main Budget'!$J$12,('Main Budget'!$G$12),0)</f>
        <v>0</v>
      </c>
      <c r="F7" s="242">
        <f>IF(DAY(A7)='Main Budget'!$J$13,('Main Budget'!$G$13)*2,0)</f>
        <v>0</v>
      </c>
      <c r="G7" s="242"/>
      <c r="H7" s="242">
        <f>IF(DAY(A7)='Main Budget'!$J$14,'Main Budget'!$G$14,0)</f>
        <v>0</v>
      </c>
      <c r="I7" s="242"/>
      <c r="J7" s="252">
        <f>J6+(SUM(C7:I7))</f>
        <v>111.25</v>
      </c>
      <c r="M7" t="str">
        <f>TEXT(A7,"dddd")</f>
        <v>Tuesday</v>
      </c>
    </row>
    <row r="8" spans="1:13" x14ac:dyDescent="0.25">
      <c r="A8" s="241">
        <v>46029</v>
      </c>
      <c r="B8" s="242">
        <f>J7</f>
        <v>111.25</v>
      </c>
      <c r="C8" s="242">
        <f>IF(DAY(A8+2)=1,'Main Budget'!$G$39,IF(DAY(A8+2)=15,'Main Budget'!$G$39,0))</f>
        <v>0</v>
      </c>
      <c r="D8" s="242">
        <f>IF(OR(DAY(A8)=1,DAY(A8)=15),11.25,0)</f>
        <v>0</v>
      </c>
      <c r="E8" s="242">
        <f>IF(DAY(A8)='Main Budget'!$J$12,('Main Budget'!$G$12),0)</f>
        <v>0</v>
      </c>
      <c r="F8" s="242">
        <f>IF(DAY(A8)='Main Budget'!$J$13,('Main Budget'!$G$13)*2,0)</f>
        <v>0</v>
      </c>
      <c r="G8" s="242"/>
      <c r="H8" s="242">
        <f>IF(DAY(A8)='Main Budget'!$J$14,'Main Budget'!$G$14,0)</f>
        <v>0</v>
      </c>
      <c r="I8" s="242"/>
      <c r="J8" s="252">
        <f>J7+(SUM(C8:I8))</f>
        <v>111.25</v>
      </c>
      <c r="M8" t="str">
        <f>TEXT(A8,"dddd")</f>
        <v>Wednesday</v>
      </c>
    </row>
    <row r="9" spans="1:13" x14ac:dyDescent="0.25">
      <c r="A9" s="241">
        <v>46030</v>
      </c>
      <c r="B9" s="242">
        <f>J8</f>
        <v>111.25</v>
      </c>
      <c r="C9" s="242">
        <f>IF(DAY(A9+2)=1,'Main Budget'!$G$39,IF(DAY(A9+2)=15,'Main Budget'!$G$39,0))</f>
        <v>0</v>
      </c>
      <c r="D9" s="242">
        <f>IF(OR(DAY(A9)=1,DAY(A9)=15),11.25,0)</f>
        <v>0</v>
      </c>
      <c r="E9" s="242">
        <f>IF(DAY(A9)='Main Budget'!$J$12,('Main Budget'!$G$12),0)</f>
        <v>0</v>
      </c>
      <c r="F9" s="242">
        <f>IF(DAY(A9)='Main Budget'!$J$13,('Main Budget'!$G$13)*2,0)</f>
        <v>0</v>
      </c>
      <c r="G9" s="242"/>
      <c r="H9" s="242">
        <f>IF(DAY(A9)='Main Budget'!$J$14,'Main Budget'!$G$14,0)</f>
        <v>0</v>
      </c>
      <c r="I9" s="242"/>
      <c r="J9" s="252">
        <f>J8+(SUM(C9:I9))</f>
        <v>111.25</v>
      </c>
      <c r="M9" t="str">
        <f>TEXT(A9,"dddd")</f>
        <v>Thursday</v>
      </c>
    </row>
    <row r="10" spans="1:13" x14ac:dyDescent="0.25">
      <c r="A10" s="241">
        <v>46031</v>
      </c>
      <c r="B10" s="242">
        <f>J9</f>
        <v>111.25</v>
      </c>
      <c r="C10" s="242">
        <f>IF(DAY(A10+2)=1,'Main Budget'!$G$39,IF(DAY(A10+2)=15,'Main Budget'!$G$39,0))</f>
        <v>0</v>
      </c>
      <c r="D10" s="242">
        <f>IF(OR(DAY(A10)=1,DAY(A10)=15),11.25,0)</f>
        <v>0</v>
      </c>
      <c r="E10" s="242">
        <f>IF(DAY(A10)='Main Budget'!$J$12,('Main Budget'!$G$12),0)</f>
        <v>0</v>
      </c>
      <c r="F10" s="242">
        <f>IF(DAY(A10)='Main Budget'!$J$13,('Main Budget'!$G$13)*2,0)</f>
        <v>0</v>
      </c>
      <c r="G10" s="242"/>
      <c r="H10" s="242">
        <f>IF(DAY(A10)='Main Budget'!$J$14,'Main Budget'!$G$14,0)</f>
        <v>0</v>
      </c>
      <c r="I10" s="242"/>
      <c r="J10" s="252">
        <f>J9+(SUM(C10:I10))</f>
        <v>111.25</v>
      </c>
      <c r="M10" t="str">
        <f>TEXT(A10,"dddd")</f>
        <v>Friday</v>
      </c>
    </row>
    <row r="11" spans="1:13" x14ac:dyDescent="0.25">
      <c r="A11" s="241">
        <v>46032</v>
      </c>
      <c r="B11" s="242">
        <f>J10</f>
        <v>111.25</v>
      </c>
      <c r="C11" s="242">
        <f>IF(DAY(A11+2)=1,'Main Budget'!$G$39,IF(DAY(A11+2)=15,'Main Budget'!$G$39,0))</f>
        <v>0</v>
      </c>
      <c r="D11" s="242">
        <f>IF(OR(DAY(A11)=1,DAY(A11)=15),11.25,0)</f>
        <v>0</v>
      </c>
      <c r="E11" s="242">
        <f>IF(DAY(A11)='Main Budget'!$J$12,('Main Budget'!$G$12),0)</f>
        <v>0</v>
      </c>
      <c r="F11" s="242">
        <f>IF(DAY(A11)='Main Budget'!$J$13,('Main Budget'!$G$13)*2,0)</f>
        <v>0</v>
      </c>
      <c r="G11" s="242"/>
      <c r="H11" s="242">
        <f>IF(DAY(A11)='Main Budget'!$J$14,'Main Budget'!$G$14,0)</f>
        <v>0</v>
      </c>
      <c r="I11" s="242"/>
      <c r="J11" s="252">
        <f>J10+(SUM(C11:I11))</f>
        <v>111.25</v>
      </c>
      <c r="M11" t="str">
        <f>TEXT(A11,"dddd")</f>
        <v>Saturday</v>
      </c>
    </row>
    <row r="12" spans="1:13" x14ac:dyDescent="0.25">
      <c r="A12" s="241">
        <v>46033</v>
      </c>
      <c r="B12" s="242">
        <f>J11</f>
        <v>111.25</v>
      </c>
      <c r="C12" s="242">
        <f>IF(DAY(A12+2)=1,'Main Budget'!$G$39,IF(DAY(A12+2)=15,'Main Budget'!$G$39,0))</f>
        <v>0</v>
      </c>
      <c r="D12" s="242">
        <f>IF(OR(DAY(A12)=1,DAY(A12)=15),11.25,0)</f>
        <v>0</v>
      </c>
      <c r="E12" s="242">
        <f>IF(DAY(A12)='Main Budget'!$J$12,('Main Budget'!$G$12),0)</f>
        <v>0</v>
      </c>
      <c r="F12" s="242">
        <f>IF(DAY(A12)='Main Budget'!$J$13,('Main Budget'!$G$13)*2,0)</f>
        <v>0</v>
      </c>
      <c r="G12" s="242"/>
      <c r="H12" s="242">
        <f>IF(DAY(A12)='Main Budget'!$J$14,'Main Budget'!$G$14,0)</f>
        <v>0</v>
      </c>
      <c r="I12" s="242"/>
      <c r="J12" s="252">
        <f>J11+(SUM(C12:I12))</f>
        <v>111.25</v>
      </c>
      <c r="M12" t="str">
        <f>TEXT(A12,"dddd")</f>
        <v>Sunday</v>
      </c>
    </row>
    <row r="13" spans="1:13" x14ac:dyDescent="0.25">
      <c r="A13" s="241">
        <v>46034</v>
      </c>
      <c r="B13" s="242">
        <f>J12</f>
        <v>111.25</v>
      </c>
      <c r="C13" s="242">
        <f>IF(DAY(A13+2)=1,'Main Budget'!$G$39,IF(DAY(A13+2)=15,'Main Budget'!$G$39,0))</f>
        <v>0</v>
      </c>
      <c r="D13" s="242">
        <f>IF(OR(DAY(A13)=1,DAY(A13)=15),11.25,0)</f>
        <v>0</v>
      </c>
      <c r="E13" s="242">
        <f>IF(DAY(A13)='Main Budget'!$J$12,('Main Budget'!$G$12),0)</f>
        <v>0</v>
      </c>
      <c r="F13" s="242">
        <f>IF(DAY(A13)='Main Budget'!$J$13,('Main Budget'!$G$13)*2,0)</f>
        <v>0</v>
      </c>
      <c r="G13" s="242"/>
      <c r="H13" s="242">
        <f>IF(DAY(A13)='Main Budget'!$J$14,'Main Budget'!$G$14,0)</f>
        <v>0</v>
      </c>
      <c r="I13" s="242"/>
      <c r="J13" s="252">
        <f>J12+(SUM(C13:I13))</f>
        <v>111.25</v>
      </c>
      <c r="M13" t="str">
        <f>TEXT(A13,"dddd")</f>
        <v>Monday</v>
      </c>
    </row>
    <row r="14" spans="1:13" x14ac:dyDescent="0.25">
      <c r="A14" s="241">
        <v>46035</v>
      </c>
      <c r="B14" s="242">
        <f>J13</f>
        <v>111.25</v>
      </c>
      <c r="C14" s="242">
        <f>IF(DAY(A14+2)=1,'Main Budget'!$G$39,IF(DAY(A14+2)=15,'Main Budget'!$G$39,0))</f>
        <v>0</v>
      </c>
      <c r="D14" s="242">
        <f>IF(OR(DAY(A14)=1,DAY(A14)=15),11.25,0)</f>
        <v>0</v>
      </c>
      <c r="E14" s="242">
        <f>IF(DAY(A14)='Main Budget'!$J$12,('Main Budget'!$G$12),0)</f>
        <v>0</v>
      </c>
      <c r="F14" s="242">
        <f>IF(DAY(A14)='Main Budget'!$J$13,('Main Budget'!$G$13)*2,0)</f>
        <v>0</v>
      </c>
      <c r="G14" s="242"/>
      <c r="H14" s="242">
        <f>IF(DAY(A14)='Main Budget'!$J$14,'Main Budget'!$G$14,0)</f>
        <v>0</v>
      </c>
      <c r="I14" s="242"/>
      <c r="J14" s="252">
        <f>J13+(SUM(C14:I14))</f>
        <v>111.25</v>
      </c>
      <c r="M14" t="str">
        <f>TEXT(A14,"dddd")</f>
        <v>Tuesday</v>
      </c>
    </row>
    <row r="15" spans="1:13" x14ac:dyDescent="0.25">
      <c r="A15" s="241">
        <v>46036</v>
      </c>
      <c r="B15" s="242">
        <f>J14</f>
        <v>111.25</v>
      </c>
      <c r="C15" s="242">
        <f>IF(DAY(A15+2)=1,'Main Budget'!$G$39,IF(DAY(A15+2)=15,'Main Budget'!$G$39,0))</f>
        <v>0</v>
      </c>
      <c r="D15" s="242">
        <f>IF(OR(DAY(A15)=1,DAY(A15)=15),11.25,0)</f>
        <v>0</v>
      </c>
      <c r="E15" s="242">
        <f>IF(DAY(A15)='Main Budget'!$J$12,('Main Budget'!$G$12),0)</f>
        <v>0</v>
      </c>
      <c r="F15" s="242">
        <f>IF(DAY(A15)='Main Budget'!$J$13,('Main Budget'!$G$13)*2,0)</f>
        <v>0</v>
      </c>
      <c r="G15" s="242"/>
      <c r="H15" s="242">
        <f>IF(DAY(A15)='Main Budget'!$J$14,'Main Budget'!$G$14,0)</f>
        <v>0</v>
      </c>
      <c r="I15" s="242"/>
      <c r="J15" s="252">
        <f>J14+(SUM(C15:I15))</f>
        <v>111.25</v>
      </c>
      <c r="M15" t="str">
        <f>TEXT(A15,"dddd")</f>
        <v>Wednesday</v>
      </c>
    </row>
    <row r="16" spans="1:13" x14ac:dyDescent="0.25">
      <c r="A16" s="241">
        <v>46037</v>
      </c>
      <c r="B16" s="242">
        <f>J15</f>
        <v>111.25</v>
      </c>
      <c r="C16" s="242">
        <f>IF(DAY(A16+2)=1,'Main Budget'!$G$39,IF(DAY(A16+2)=15,'Main Budget'!$G$39,0))</f>
        <v>0</v>
      </c>
      <c r="D16" s="242">
        <f>IF(OR(DAY(A16)=1,DAY(A16)=15),11.25,0)</f>
        <v>11.25</v>
      </c>
      <c r="E16" s="242">
        <f>IF(DAY(A16)='Main Budget'!$J$12,('Main Budget'!$G$12),0)</f>
        <v>0</v>
      </c>
      <c r="F16" s="242">
        <f>IF(DAY(A16)='Main Budget'!$J$13,('Main Budget'!$G$13)*2,0)</f>
        <v>0</v>
      </c>
      <c r="G16" s="242"/>
      <c r="H16" s="242">
        <f>IF(DAY(A16)='Main Budget'!$J$14,'Main Budget'!$G$14,0)</f>
        <v>0</v>
      </c>
      <c r="I16" s="242"/>
      <c r="J16" s="252">
        <f>J15+(SUM(C16:I16))</f>
        <v>122.5</v>
      </c>
      <c r="M16" t="str">
        <f>TEXT(A16,"dddd")</f>
        <v>Thursday</v>
      </c>
    </row>
    <row r="17" spans="1:13" x14ac:dyDescent="0.25">
      <c r="A17" s="241">
        <v>46038</v>
      </c>
      <c r="B17" s="242">
        <f t="shared" ref="B17:B80" si="0">J16</f>
        <v>122.5</v>
      </c>
      <c r="C17" s="242">
        <f>IF(DAY(A17+2)=1,'Main Budget'!$G$39,IF(DAY(A17+2)=15,'Main Budget'!$G$39,0))</f>
        <v>0</v>
      </c>
      <c r="D17" s="242">
        <f t="shared" ref="D17:D80" si="1">IF(OR(DAY(A17)=1,DAY(A17)=15),11.25,0)</f>
        <v>0</v>
      </c>
      <c r="E17" s="242">
        <f>IF(DAY(A17)='Main Budget'!$J$12,('Main Budget'!$G$12),0)</f>
        <v>0</v>
      </c>
      <c r="F17" s="242">
        <f>IF(DAY(A17)='Main Budget'!$J$13,('Main Budget'!$G$13)*2,0)</f>
        <v>0</v>
      </c>
      <c r="G17" s="242"/>
      <c r="H17" s="242">
        <f>IF(DAY(A17)='Main Budget'!$J$14,'Main Budget'!$G$14,0)</f>
        <v>0</v>
      </c>
      <c r="I17" s="242"/>
      <c r="J17" s="252">
        <f t="shared" ref="J17:J80" si="2">J16+(SUM(C17:I17))</f>
        <v>122.5</v>
      </c>
      <c r="M17" t="str">
        <f t="shared" ref="M17:M80" si="3">TEXT(A17,"dddd")</f>
        <v>Friday</v>
      </c>
    </row>
    <row r="18" spans="1:13" x14ac:dyDescent="0.25">
      <c r="A18" s="241">
        <v>46039</v>
      </c>
      <c r="B18" s="242">
        <f t="shared" si="0"/>
        <v>122.5</v>
      </c>
      <c r="C18" s="242">
        <f>IF(DAY(A18+2)=1,'Main Budget'!$G$39,IF(DAY(A18+2)=15,'Main Budget'!$G$39,0))</f>
        <v>0</v>
      </c>
      <c r="D18" s="242">
        <f t="shared" si="1"/>
        <v>0</v>
      </c>
      <c r="E18" s="242">
        <f>IF(DAY(A18)='Main Budget'!$J$12,('Main Budget'!$G$12),0)</f>
        <v>0</v>
      </c>
      <c r="F18" s="242">
        <f>IF(DAY(A18)='Main Budget'!$J$13,('Main Budget'!$G$13)*2,0)</f>
        <v>0</v>
      </c>
      <c r="G18" s="242"/>
      <c r="H18" s="242">
        <f>IF(DAY(A18)='Main Budget'!$J$14,'Main Budget'!$G$14,0)</f>
        <v>0</v>
      </c>
      <c r="I18" s="242"/>
      <c r="J18" s="252">
        <f t="shared" si="2"/>
        <v>122.5</v>
      </c>
      <c r="M18" t="str">
        <f t="shared" si="3"/>
        <v>Saturday</v>
      </c>
    </row>
    <row r="19" spans="1:13" x14ac:dyDescent="0.25">
      <c r="A19" s="241">
        <v>46040</v>
      </c>
      <c r="B19" s="242">
        <f t="shared" si="0"/>
        <v>122.5</v>
      </c>
      <c r="C19" s="242">
        <f>IF(DAY(A19+2)=1,'Main Budget'!$G$39,IF(DAY(A19+2)=15,'Main Budget'!$G$39,0))</f>
        <v>0</v>
      </c>
      <c r="D19" s="242">
        <f t="shared" si="1"/>
        <v>0</v>
      </c>
      <c r="E19" s="242">
        <f>IF(DAY(A19)='Main Budget'!$J$12,('Main Budget'!$G$12),0)</f>
        <v>0</v>
      </c>
      <c r="F19" s="242">
        <f>IF(DAY(A19)='Main Budget'!$J$13,('Main Budget'!$G$13)*2,0)</f>
        <v>0</v>
      </c>
      <c r="G19" s="242"/>
      <c r="H19" s="242">
        <f>IF(DAY(A19)='Main Budget'!$J$14,'Main Budget'!$G$14,0)</f>
        <v>0</v>
      </c>
      <c r="I19" s="242"/>
      <c r="J19" s="252">
        <f t="shared" si="2"/>
        <v>122.5</v>
      </c>
      <c r="M19" t="str">
        <f t="shared" si="3"/>
        <v>Sunday</v>
      </c>
    </row>
    <row r="20" spans="1:13" x14ac:dyDescent="0.25">
      <c r="A20" s="241">
        <v>46041</v>
      </c>
      <c r="B20" s="242">
        <f t="shared" si="0"/>
        <v>122.5</v>
      </c>
      <c r="C20" s="242">
        <f>IF(DAY(A20+2)=1,'Main Budget'!$G$39,IF(DAY(A20+2)=15,'Main Budget'!$G$39,0))</f>
        <v>0</v>
      </c>
      <c r="D20" s="242">
        <f t="shared" si="1"/>
        <v>0</v>
      </c>
      <c r="E20" s="242">
        <f>IF(DAY(A20)='Main Budget'!$J$12,('Main Budget'!$G$12),0)</f>
        <v>0</v>
      </c>
      <c r="F20" s="242">
        <f>IF(DAY(A20)='Main Budget'!$J$13,('Main Budget'!$G$13)*2,0)</f>
        <v>0</v>
      </c>
      <c r="G20" s="242"/>
      <c r="H20" s="242">
        <f>IF(DAY(A20)='Main Budget'!$J$14,'Main Budget'!$G$14,0)</f>
        <v>0</v>
      </c>
      <c r="I20" s="242"/>
      <c r="J20" s="252">
        <f t="shared" si="2"/>
        <v>122.5</v>
      </c>
      <c r="M20" t="str">
        <f t="shared" si="3"/>
        <v>Monday</v>
      </c>
    </row>
    <row r="21" spans="1:13" x14ac:dyDescent="0.25">
      <c r="A21" s="241">
        <v>46042</v>
      </c>
      <c r="B21" s="242">
        <f t="shared" si="0"/>
        <v>122.5</v>
      </c>
      <c r="C21" s="242">
        <f>IF(DAY(A21+2)=1,'Main Budget'!$G$39,IF(DAY(A21+2)=15,'Main Budget'!$G$39,0))</f>
        <v>0</v>
      </c>
      <c r="D21" s="242">
        <f t="shared" si="1"/>
        <v>0</v>
      </c>
      <c r="E21" s="242">
        <f>IF(DAY(A21)='Main Budget'!$J$12,('Main Budget'!$G$12),0)</f>
        <v>0</v>
      </c>
      <c r="F21" s="242">
        <f>IF(DAY(A21)='Main Budget'!$J$13,('Main Budget'!$G$13)*2,0)</f>
        <v>0</v>
      </c>
      <c r="G21" s="242"/>
      <c r="H21" s="242">
        <f>IF(DAY(A21)='Main Budget'!$J$14,'Main Budget'!$G$14,0)</f>
        <v>0</v>
      </c>
      <c r="I21" s="242"/>
      <c r="J21" s="252">
        <f t="shared" si="2"/>
        <v>122.5</v>
      </c>
      <c r="M21" t="str">
        <f t="shared" si="3"/>
        <v>Tuesday</v>
      </c>
    </row>
    <row r="22" spans="1:13" x14ac:dyDescent="0.25">
      <c r="A22" s="241">
        <v>46043</v>
      </c>
      <c r="B22" s="242">
        <f t="shared" si="0"/>
        <v>122.5</v>
      </c>
      <c r="C22" s="242">
        <f>IF(DAY(A22+2)=1,'Main Budget'!$G$39,IF(DAY(A22+2)=15,'Main Budget'!$G$39,0))</f>
        <v>0</v>
      </c>
      <c r="D22" s="242">
        <f t="shared" si="1"/>
        <v>0</v>
      </c>
      <c r="E22" s="242">
        <f>IF(DAY(A22)='Main Budget'!$J$12,('Main Budget'!$G$12),0)</f>
        <v>0</v>
      </c>
      <c r="F22" s="242">
        <f>IF(DAY(A22)='Main Budget'!$J$13,('Main Budget'!$G$13)*2,0)</f>
        <v>0</v>
      </c>
      <c r="G22" s="242"/>
      <c r="H22" s="242">
        <f>IF(DAY(A22)='Main Budget'!$J$14,'Main Budget'!$G$14,0)</f>
        <v>0</v>
      </c>
      <c r="I22" s="242"/>
      <c r="J22" s="252">
        <f t="shared" si="2"/>
        <v>122.5</v>
      </c>
      <c r="M22" t="str">
        <f t="shared" si="3"/>
        <v>Wednesday</v>
      </c>
    </row>
    <row r="23" spans="1:13" x14ac:dyDescent="0.25">
      <c r="A23" s="241">
        <v>46044</v>
      </c>
      <c r="B23" s="242">
        <f t="shared" si="0"/>
        <v>122.5</v>
      </c>
      <c r="C23" s="242">
        <f>IF(DAY(A23+2)=1,'Main Budget'!$G$39,IF(DAY(A23+2)=15,'Main Budget'!$G$39,0))</f>
        <v>0</v>
      </c>
      <c r="D23" s="242">
        <f t="shared" si="1"/>
        <v>0</v>
      </c>
      <c r="E23" s="242">
        <f>IF(DAY(A23)='Main Budget'!$J$12,('Main Budget'!$G$12),0)</f>
        <v>0</v>
      </c>
      <c r="F23" s="242">
        <f>IF(DAY(A23)='Main Budget'!$J$13,('Main Budget'!$G$13)*2,0)</f>
        <v>0</v>
      </c>
      <c r="G23" s="242"/>
      <c r="H23" s="242">
        <f>IF(DAY(A23)='Main Budget'!$J$14,'Main Budget'!$G$14,0)</f>
        <v>0</v>
      </c>
      <c r="I23" s="242"/>
      <c r="J23" s="252">
        <f t="shared" si="2"/>
        <v>122.5</v>
      </c>
      <c r="M23" t="str">
        <f t="shared" si="3"/>
        <v>Thursday</v>
      </c>
    </row>
    <row r="24" spans="1:13" x14ac:dyDescent="0.25">
      <c r="A24" s="241">
        <v>46045</v>
      </c>
      <c r="B24" s="242">
        <f t="shared" si="0"/>
        <v>122.5</v>
      </c>
      <c r="C24" s="242">
        <f>IF(DAY(A24+2)=1,'Main Budget'!$G$39,IF(DAY(A24+2)=15,'Main Budget'!$G$39,0))</f>
        <v>0</v>
      </c>
      <c r="D24" s="242">
        <f t="shared" si="1"/>
        <v>0</v>
      </c>
      <c r="E24" s="242">
        <f>IF(DAY(A24)='Main Budget'!$J$12,('Main Budget'!$G$12),0)</f>
        <v>0</v>
      </c>
      <c r="F24" s="242">
        <f>IF(DAY(A24)='Main Budget'!$J$13,('Main Budget'!$G$13)*2,0)</f>
        <v>0</v>
      </c>
      <c r="G24" s="242"/>
      <c r="H24" s="242">
        <f>IF(DAY(A24)='Main Budget'!$J$14,'Main Budget'!$G$14,0)</f>
        <v>0</v>
      </c>
      <c r="I24" s="242"/>
      <c r="J24" s="252">
        <f t="shared" si="2"/>
        <v>122.5</v>
      </c>
      <c r="M24" t="str">
        <f t="shared" si="3"/>
        <v>Friday</v>
      </c>
    </row>
    <row r="25" spans="1:13" x14ac:dyDescent="0.25">
      <c r="A25" s="241">
        <v>46046</v>
      </c>
      <c r="B25" s="242">
        <f t="shared" si="0"/>
        <v>122.5</v>
      </c>
      <c r="C25" s="242">
        <f>IF(DAY(A25+2)=1,'Main Budget'!$G$39,IF(DAY(A25+2)=15,'Main Budget'!$G$39,0))</f>
        <v>0</v>
      </c>
      <c r="D25" s="242">
        <f t="shared" si="1"/>
        <v>0</v>
      </c>
      <c r="E25" s="242">
        <f>IF(DAY(A25)='Main Budget'!$J$12,('Main Budget'!$G$12),0)</f>
        <v>0</v>
      </c>
      <c r="F25" s="242">
        <f>IF(DAY(A25)='Main Budget'!$J$13,('Main Budget'!$G$13)*2,0)</f>
        <v>0</v>
      </c>
      <c r="G25" s="242"/>
      <c r="H25" s="242">
        <f>IF(DAY(A25)='Main Budget'!$J$14,'Main Budget'!$G$14,0)</f>
        <v>0</v>
      </c>
      <c r="I25" s="242"/>
      <c r="J25" s="252">
        <f t="shared" si="2"/>
        <v>122.5</v>
      </c>
      <c r="M25" t="str">
        <f t="shared" si="3"/>
        <v>Saturday</v>
      </c>
    </row>
    <row r="26" spans="1:13" x14ac:dyDescent="0.25">
      <c r="A26" s="241">
        <v>46047</v>
      </c>
      <c r="B26" s="242">
        <f t="shared" si="0"/>
        <v>122.5</v>
      </c>
      <c r="C26" s="242">
        <f>IF(DAY(A26+2)=1,'Main Budget'!$G$39,IF(DAY(A26+2)=15,'Main Budget'!$G$39,0))</f>
        <v>0</v>
      </c>
      <c r="D26" s="242">
        <f t="shared" si="1"/>
        <v>0</v>
      </c>
      <c r="E26" s="242">
        <f>IF(DAY(A26)='Main Budget'!$J$12,('Main Budget'!$G$12),0)</f>
        <v>0</v>
      </c>
      <c r="F26" s="242">
        <f>IF(DAY(A26)='Main Budget'!$J$13,('Main Budget'!$G$13)*2,0)</f>
        <v>0</v>
      </c>
      <c r="G26" s="242"/>
      <c r="H26" s="242">
        <f>IF(DAY(A26)='Main Budget'!$J$14,'Main Budget'!$G$14,0)</f>
        <v>0</v>
      </c>
      <c r="I26" s="242"/>
      <c r="J26" s="252">
        <f t="shared" si="2"/>
        <v>122.5</v>
      </c>
      <c r="M26" t="str">
        <f t="shared" si="3"/>
        <v>Sunday</v>
      </c>
    </row>
    <row r="27" spans="1:13" x14ac:dyDescent="0.25">
      <c r="A27" s="241">
        <v>46048</v>
      </c>
      <c r="B27" s="242">
        <f t="shared" si="0"/>
        <v>122.5</v>
      </c>
      <c r="C27" s="242">
        <f>IF(DAY(A27+2)=1,'Main Budget'!$G$39,IF(DAY(A27+2)=15,'Main Budget'!$G$39,0))</f>
        <v>0</v>
      </c>
      <c r="D27" s="242">
        <f t="shared" si="1"/>
        <v>0</v>
      </c>
      <c r="E27" s="242">
        <f>IF(DAY(A27)='Main Budget'!$J$12,('Main Budget'!$G$12),0)</f>
        <v>0</v>
      </c>
      <c r="F27" s="242">
        <f>IF(DAY(A27)='Main Budget'!$J$13,('Main Budget'!$G$13)*2,0)</f>
        <v>0</v>
      </c>
      <c r="G27" s="242"/>
      <c r="H27" s="242">
        <f>IF(DAY(A27)='Main Budget'!$J$14,'Main Budget'!$G$14,0)</f>
        <v>0</v>
      </c>
      <c r="I27" s="242"/>
      <c r="J27" s="252">
        <f t="shared" si="2"/>
        <v>122.5</v>
      </c>
      <c r="M27" t="str">
        <f t="shared" si="3"/>
        <v>Monday</v>
      </c>
    </row>
    <row r="28" spans="1:13" x14ac:dyDescent="0.25">
      <c r="A28" s="241">
        <v>46049</v>
      </c>
      <c r="B28" s="242">
        <f t="shared" si="0"/>
        <v>122.5</v>
      </c>
      <c r="C28" s="242">
        <f>IF(DAY(A28+2)=1,'Main Budget'!$G$39,IF(DAY(A28+2)=15,'Main Budget'!$G$39,0))</f>
        <v>0</v>
      </c>
      <c r="D28" s="242">
        <f t="shared" si="1"/>
        <v>0</v>
      </c>
      <c r="E28" s="242">
        <f>IF(DAY(A28)='Main Budget'!$J$12,('Main Budget'!$G$12),0)</f>
        <v>0</v>
      </c>
      <c r="F28" s="242">
        <f>IF(DAY(A28)='Main Budget'!$J$13,('Main Budget'!$G$13)*2,0)</f>
        <v>0</v>
      </c>
      <c r="G28" s="242"/>
      <c r="H28" s="242">
        <f>IF(DAY(A28)='Main Budget'!$J$14,'Main Budget'!$G$14,0)</f>
        <v>0</v>
      </c>
      <c r="I28" s="242"/>
      <c r="J28" s="252">
        <f t="shared" si="2"/>
        <v>122.5</v>
      </c>
      <c r="M28" t="str">
        <f t="shared" si="3"/>
        <v>Tuesday</v>
      </c>
    </row>
    <row r="29" spans="1:13" x14ac:dyDescent="0.25">
      <c r="A29" s="241">
        <v>46050</v>
      </c>
      <c r="B29" s="242">
        <f t="shared" si="0"/>
        <v>122.5</v>
      </c>
      <c r="C29" s="242">
        <f>IF(DAY(A29+2)=1,'Main Budget'!$G$39,IF(DAY(A29+2)=15,'Main Budget'!$G$39,0))</f>
        <v>0</v>
      </c>
      <c r="D29" s="242">
        <f t="shared" si="1"/>
        <v>0</v>
      </c>
      <c r="E29" s="242">
        <f>IF(DAY(A29)='Main Budget'!$J$12,('Main Budget'!$G$12),0)</f>
        <v>0</v>
      </c>
      <c r="F29" s="242">
        <f>IF(DAY(A29)='Main Budget'!$J$13,('Main Budget'!$G$13)*2,0)</f>
        <v>0</v>
      </c>
      <c r="G29" s="242"/>
      <c r="H29" s="242">
        <f>IF(DAY(A29)='Main Budget'!$J$14,'Main Budget'!$G$14,0)</f>
        <v>0</v>
      </c>
      <c r="I29" s="242"/>
      <c r="J29" s="252">
        <f t="shared" si="2"/>
        <v>122.5</v>
      </c>
      <c r="M29" t="str">
        <f t="shared" si="3"/>
        <v>Wednesday</v>
      </c>
    </row>
    <row r="30" spans="1:13" x14ac:dyDescent="0.25">
      <c r="A30" s="241">
        <v>46051</v>
      </c>
      <c r="B30" s="242">
        <f t="shared" si="0"/>
        <v>122.5</v>
      </c>
      <c r="C30" s="242">
        <f>IF(DAY(A30+2)=1,'Main Budget'!$G$39,IF(DAY(A30+2)=15,'Main Budget'!$G$39,0))</f>
        <v>0</v>
      </c>
      <c r="D30" s="242">
        <f t="shared" si="1"/>
        <v>0</v>
      </c>
      <c r="E30" s="242">
        <f>IF(DAY(A30)='Main Budget'!$J$12,('Main Budget'!$G$12),0)</f>
        <v>0</v>
      </c>
      <c r="F30" s="242">
        <f>IF(DAY(A30)='Main Budget'!$J$13,('Main Budget'!$G$13)*2,0)</f>
        <v>0</v>
      </c>
      <c r="G30" s="242"/>
      <c r="H30" s="242">
        <f>IF(DAY(A30)='Main Budget'!$J$14,'Main Budget'!$G$14,0)</f>
        <v>0</v>
      </c>
      <c r="I30" s="242"/>
      <c r="J30" s="252">
        <f t="shared" si="2"/>
        <v>122.5</v>
      </c>
      <c r="M30" t="str">
        <f t="shared" si="3"/>
        <v>Thursday</v>
      </c>
    </row>
    <row r="31" spans="1:13" x14ac:dyDescent="0.25">
      <c r="A31" s="241">
        <v>46052</v>
      </c>
      <c r="B31" s="242">
        <f t="shared" si="0"/>
        <v>122.5</v>
      </c>
      <c r="C31" s="242">
        <f>IF(DAY(A31+2)=1,'Main Budget'!$G$39,IF(DAY(A31+2)=15,'Main Budget'!$G$39,0))</f>
        <v>0</v>
      </c>
      <c r="D31" s="242">
        <f t="shared" si="1"/>
        <v>0</v>
      </c>
      <c r="E31" s="242">
        <f>IF(DAY(A31)='Main Budget'!$J$12,('Main Budget'!$G$12),0)</f>
        <v>0</v>
      </c>
      <c r="F31" s="242">
        <f>IF(DAY(A31)='Main Budget'!$J$13,('Main Budget'!$G$13)*2,0)</f>
        <v>0</v>
      </c>
      <c r="G31" s="242"/>
      <c r="H31" s="242">
        <f>IF(DAY(A31)='Main Budget'!$J$14,'Main Budget'!$G$14,0)</f>
        <v>0</v>
      </c>
      <c r="I31" s="242"/>
      <c r="J31" s="252">
        <f t="shared" si="2"/>
        <v>122.5</v>
      </c>
      <c r="M31" t="str">
        <f t="shared" si="3"/>
        <v>Friday</v>
      </c>
    </row>
    <row r="32" spans="1:13" x14ac:dyDescent="0.25">
      <c r="A32" s="241">
        <v>46053</v>
      </c>
      <c r="B32" s="242">
        <f t="shared" si="0"/>
        <v>122.5</v>
      </c>
      <c r="C32" s="242">
        <f>IF(DAY(A32+2)=1,'Main Budget'!$G$39,IF(DAY(A32+2)=15,'Main Budget'!$G$39,0))</f>
        <v>0</v>
      </c>
      <c r="D32" s="242">
        <f t="shared" si="1"/>
        <v>0</v>
      </c>
      <c r="E32" s="242">
        <f>IF(DAY(A32)='Main Budget'!$J$12,('Main Budget'!$G$12),0)</f>
        <v>0</v>
      </c>
      <c r="F32" s="242">
        <f>IF(DAY(A32)='Main Budget'!$J$13,('Main Budget'!$G$13)*2,0)</f>
        <v>0</v>
      </c>
      <c r="G32" s="242"/>
      <c r="H32" s="242">
        <f>IF(DAY(A32)='Main Budget'!$J$14,'Main Budget'!$G$14,0)</f>
        <v>0</v>
      </c>
      <c r="I32" s="242"/>
      <c r="J32" s="252">
        <f t="shared" si="2"/>
        <v>122.5</v>
      </c>
      <c r="M32" t="str">
        <f t="shared" si="3"/>
        <v>Saturday</v>
      </c>
    </row>
    <row r="33" spans="1:13" x14ac:dyDescent="0.25">
      <c r="A33" s="241">
        <v>46054</v>
      </c>
      <c r="B33" s="242">
        <f t="shared" si="0"/>
        <v>122.5</v>
      </c>
      <c r="C33" s="242">
        <f>IF(DAY(A33+2)=1,'Main Budget'!$G$39,IF(DAY(A33+2)=15,'Main Budget'!$G$39,0))</f>
        <v>0</v>
      </c>
      <c r="D33" s="242">
        <f t="shared" si="1"/>
        <v>11.25</v>
      </c>
      <c r="E33" s="242">
        <f>IF(DAY(A33)='Main Budget'!$J$12,('Main Budget'!$G$12),0)</f>
        <v>0</v>
      </c>
      <c r="F33" s="242">
        <f>IF(DAY(A33)='Main Budget'!$J$13,('Main Budget'!$G$13)*2,0)</f>
        <v>0</v>
      </c>
      <c r="G33" s="242"/>
      <c r="H33" s="242">
        <f>IF(DAY(A33)='Main Budget'!$J$14,'Main Budget'!$G$14,0)</f>
        <v>0</v>
      </c>
      <c r="I33" s="242"/>
      <c r="J33" s="252">
        <f t="shared" si="2"/>
        <v>133.75</v>
      </c>
      <c r="M33" t="str">
        <f t="shared" si="3"/>
        <v>Sunday</v>
      </c>
    </row>
    <row r="34" spans="1:13" x14ac:dyDescent="0.25">
      <c r="A34" s="241">
        <v>46055</v>
      </c>
      <c r="B34" s="242">
        <f t="shared" si="0"/>
        <v>133.75</v>
      </c>
      <c r="C34" s="242">
        <f>IF(DAY(A34+2)=1,'Main Budget'!$G$39,IF(DAY(A34+2)=15,'Main Budget'!$G$39,0))</f>
        <v>0</v>
      </c>
      <c r="D34" s="242">
        <f t="shared" si="1"/>
        <v>0</v>
      </c>
      <c r="E34" s="242">
        <f>IF(DAY(A34)='Main Budget'!$J$12,('Main Budget'!$G$12),0)</f>
        <v>0</v>
      </c>
      <c r="F34" s="242">
        <f>IF(DAY(A34)='Main Budget'!$J$13,('Main Budget'!$G$13)*2,0)</f>
        <v>0</v>
      </c>
      <c r="G34" s="242"/>
      <c r="H34" s="242">
        <f>IF(DAY(A34)='Main Budget'!$J$14,'Main Budget'!$G$14,0)</f>
        <v>0</v>
      </c>
      <c r="I34" s="242"/>
      <c r="J34" s="252">
        <f t="shared" si="2"/>
        <v>133.75</v>
      </c>
      <c r="M34" t="str">
        <f t="shared" si="3"/>
        <v>Monday</v>
      </c>
    </row>
    <row r="35" spans="1:13" x14ac:dyDescent="0.25">
      <c r="A35" s="241">
        <v>46056</v>
      </c>
      <c r="B35" s="242">
        <f t="shared" si="0"/>
        <v>133.75</v>
      </c>
      <c r="C35" s="242">
        <f>IF(DAY(A35+2)=1,'Main Budget'!$G$39,IF(DAY(A35+2)=15,'Main Budget'!$G$39,0))</f>
        <v>0</v>
      </c>
      <c r="D35" s="242">
        <f t="shared" si="1"/>
        <v>0</v>
      </c>
      <c r="E35" s="242">
        <f>IF(DAY(A35)='Main Budget'!$J$12,('Main Budget'!$G$12),0)</f>
        <v>0</v>
      </c>
      <c r="F35" s="242">
        <f>IF(DAY(A35)='Main Budget'!$J$13,('Main Budget'!$G$13)*2,0)</f>
        <v>0</v>
      </c>
      <c r="G35" s="242"/>
      <c r="H35" s="242">
        <f>IF(DAY(A35)='Main Budget'!$J$14,'Main Budget'!$G$14,0)</f>
        <v>0</v>
      </c>
      <c r="I35" s="242"/>
      <c r="J35" s="252">
        <f t="shared" si="2"/>
        <v>133.75</v>
      </c>
      <c r="M35" t="str">
        <f t="shared" si="3"/>
        <v>Tuesday</v>
      </c>
    </row>
    <row r="36" spans="1:13" x14ac:dyDescent="0.25">
      <c r="A36" s="241">
        <v>46057</v>
      </c>
      <c r="B36" s="242">
        <f t="shared" si="0"/>
        <v>133.75</v>
      </c>
      <c r="C36" s="242">
        <f>IF(DAY(A36+2)=1,'Main Budget'!$G$39,IF(DAY(A36+2)=15,'Main Budget'!$G$39,0))</f>
        <v>0</v>
      </c>
      <c r="D36" s="242">
        <f t="shared" si="1"/>
        <v>0</v>
      </c>
      <c r="E36" s="242">
        <f>IF(DAY(A36)='Main Budget'!$J$12,('Main Budget'!$G$12),0)</f>
        <v>0</v>
      </c>
      <c r="F36" s="242">
        <f>IF(DAY(A36)='Main Budget'!$J$13,('Main Budget'!$G$13)*2,0)</f>
        <v>0</v>
      </c>
      <c r="G36" s="242"/>
      <c r="H36" s="242">
        <f>IF(DAY(A36)='Main Budget'!$J$14,'Main Budget'!$G$14,0)</f>
        <v>0</v>
      </c>
      <c r="I36" s="242"/>
      <c r="J36" s="252">
        <f t="shared" si="2"/>
        <v>133.75</v>
      </c>
      <c r="M36" t="str">
        <f t="shared" si="3"/>
        <v>Wednesday</v>
      </c>
    </row>
    <row r="37" spans="1:13" x14ac:dyDescent="0.25">
      <c r="A37" s="241">
        <v>46058</v>
      </c>
      <c r="B37" s="242">
        <f t="shared" si="0"/>
        <v>133.75</v>
      </c>
      <c r="C37" s="242">
        <f>IF(DAY(A37+2)=1,'Main Budget'!$G$39,IF(DAY(A37+2)=15,'Main Budget'!$G$39,0))</f>
        <v>0</v>
      </c>
      <c r="D37" s="242">
        <f t="shared" si="1"/>
        <v>0</v>
      </c>
      <c r="E37" s="242">
        <f>IF(DAY(A37)='Main Budget'!$J$12,('Main Budget'!$G$12),0)</f>
        <v>0</v>
      </c>
      <c r="F37" s="242">
        <f>IF(DAY(A37)='Main Budget'!$J$13,('Main Budget'!$G$13)*2,0)</f>
        <v>0</v>
      </c>
      <c r="G37" s="242"/>
      <c r="H37" s="242">
        <f>IF(DAY(A37)='Main Budget'!$J$14,'Main Budget'!$G$14,0)</f>
        <v>0</v>
      </c>
      <c r="I37" s="242"/>
      <c r="J37" s="252">
        <f t="shared" si="2"/>
        <v>133.75</v>
      </c>
      <c r="M37" t="str">
        <f t="shared" si="3"/>
        <v>Thursday</v>
      </c>
    </row>
    <row r="38" spans="1:13" x14ac:dyDescent="0.25">
      <c r="A38" s="241">
        <v>46059</v>
      </c>
      <c r="B38" s="242">
        <f t="shared" si="0"/>
        <v>133.75</v>
      </c>
      <c r="C38" s="242">
        <f>IF(DAY(A38+2)=1,'Main Budget'!$G$39,IF(DAY(A38+2)=15,'Main Budget'!$G$39,0))</f>
        <v>0</v>
      </c>
      <c r="D38" s="242">
        <f t="shared" si="1"/>
        <v>0</v>
      </c>
      <c r="E38" s="242">
        <f>IF(DAY(A38)='Main Budget'!$J$12,('Main Budget'!$G$12),0)</f>
        <v>0</v>
      </c>
      <c r="F38" s="242">
        <f>IF(DAY(A38)='Main Budget'!$J$13,('Main Budget'!$G$13)*2,0)</f>
        <v>0</v>
      </c>
      <c r="G38" s="242"/>
      <c r="H38" s="242">
        <f>IF(DAY(A38)='Main Budget'!$J$14,'Main Budget'!$G$14,0)</f>
        <v>0</v>
      </c>
      <c r="I38" s="242"/>
      <c r="J38" s="252">
        <f t="shared" si="2"/>
        <v>133.75</v>
      </c>
      <c r="M38" t="str">
        <f t="shared" si="3"/>
        <v>Friday</v>
      </c>
    </row>
    <row r="39" spans="1:13" x14ac:dyDescent="0.25">
      <c r="A39" s="241">
        <v>46060</v>
      </c>
      <c r="B39" s="242">
        <f t="shared" si="0"/>
        <v>133.75</v>
      </c>
      <c r="C39" s="242">
        <f>IF(DAY(A39+2)=1,'Main Budget'!$G$39,IF(DAY(A39+2)=15,'Main Budget'!$G$39,0))</f>
        <v>0</v>
      </c>
      <c r="D39" s="242">
        <f t="shared" si="1"/>
        <v>0</v>
      </c>
      <c r="E39" s="242">
        <f>IF(DAY(A39)='Main Budget'!$J$12,('Main Budget'!$G$12),0)</f>
        <v>0</v>
      </c>
      <c r="F39" s="242">
        <f>IF(DAY(A39)='Main Budget'!$J$13,('Main Budget'!$G$13)*2,0)</f>
        <v>0</v>
      </c>
      <c r="G39" s="242"/>
      <c r="H39" s="242">
        <f>IF(DAY(A39)='Main Budget'!$J$14,'Main Budget'!$G$14,0)</f>
        <v>0</v>
      </c>
      <c r="I39" s="242"/>
      <c r="J39" s="252">
        <f t="shared" si="2"/>
        <v>133.75</v>
      </c>
      <c r="M39" t="str">
        <f t="shared" si="3"/>
        <v>Saturday</v>
      </c>
    </row>
    <row r="40" spans="1:13" x14ac:dyDescent="0.25">
      <c r="A40" s="241">
        <v>46061</v>
      </c>
      <c r="B40" s="242">
        <f t="shared" si="0"/>
        <v>133.75</v>
      </c>
      <c r="C40" s="242">
        <f>IF(DAY(A40+2)=1,'Main Budget'!$G$39,IF(DAY(A40+2)=15,'Main Budget'!$G$39,0))</f>
        <v>0</v>
      </c>
      <c r="D40" s="242">
        <f t="shared" si="1"/>
        <v>0</v>
      </c>
      <c r="E40" s="242">
        <f>IF(DAY(A40)='Main Budget'!$J$12,('Main Budget'!$G$12),0)</f>
        <v>0</v>
      </c>
      <c r="F40" s="242">
        <f>IF(DAY(A40)='Main Budget'!$J$13,('Main Budget'!$G$13)*2,0)</f>
        <v>0</v>
      </c>
      <c r="G40" s="242"/>
      <c r="H40" s="242">
        <f>IF(DAY(A40)='Main Budget'!$J$14,'Main Budget'!$G$14,0)</f>
        <v>0</v>
      </c>
      <c r="I40" s="242"/>
      <c r="J40" s="252">
        <f t="shared" si="2"/>
        <v>133.75</v>
      </c>
      <c r="M40" t="str">
        <f t="shared" si="3"/>
        <v>Sunday</v>
      </c>
    </row>
    <row r="41" spans="1:13" x14ac:dyDescent="0.25">
      <c r="A41" s="241">
        <v>46062</v>
      </c>
      <c r="B41" s="242">
        <f t="shared" si="0"/>
        <v>133.75</v>
      </c>
      <c r="C41" s="242">
        <f>IF(DAY(A41+2)=1,'Main Budget'!$G$39,IF(DAY(A41+2)=15,'Main Budget'!$G$39,0))</f>
        <v>0</v>
      </c>
      <c r="D41" s="242">
        <f t="shared" si="1"/>
        <v>0</v>
      </c>
      <c r="E41" s="242">
        <f>IF(DAY(A41)='Main Budget'!$J$12,('Main Budget'!$G$12),0)</f>
        <v>0</v>
      </c>
      <c r="F41" s="242">
        <f>IF(DAY(A41)='Main Budget'!$J$13,('Main Budget'!$G$13)*2,0)</f>
        <v>0</v>
      </c>
      <c r="G41" s="242"/>
      <c r="H41" s="242">
        <f>IF(DAY(A41)='Main Budget'!$J$14,'Main Budget'!$G$14,0)</f>
        <v>0</v>
      </c>
      <c r="I41" s="242"/>
      <c r="J41" s="252">
        <f t="shared" si="2"/>
        <v>133.75</v>
      </c>
      <c r="M41" t="str">
        <f t="shared" si="3"/>
        <v>Monday</v>
      </c>
    </row>
    <row r="42" spans="1:13" x14ac:dyDescent="0.25">
      <c r="A42" s="241">
        <v>46063</v>
      </c>
      <c r="B42" s="242">
        <f t="shared" si="0"/>
        <v>133.75</v>
      </c>
      <c r="C42" s="242">
        <f>IF(DAY(A42+2)=1,'Main Budget'!$G$39,IF(DAY(A42+2)=15,'Main Budget'!$G$39,0))</f>
        <v>0</v>
      </c>
      <c r="D42" s="242">
        <f t="shared" si="1"/>
        <v>0</v>
      </c>
      <c r="E42" s="242">
        <f>IF(DAY(A42)='Main Budget'!$J$12,('Main Budget'!$G$12),0)</f>
        <v>0</v>
      </c>
      <c r="F42" s="242">
        <f>IF(DAY(A42)='Main Budget'!$J$13,('Main Budget'!$G$13)*2,0)</f>
        <v>0</v>
      </c>
      <c r="G42" s="242"/>
      <c r="H42" s="242">
        <f>IF(DAY(A42)='Main Budget'!$J$14,'Main Budget'!$G$14,0)</f>
        <v>0</v>
      </c>
      <c r="I42" s="242"/>
      <c r="J42" s="252">
        <f t="shared" si="2"/>
        <v>133.75</v>
      </c>
      <c r="M42" t="str">
        <f t="shared" si="3"/>
        <v>Tuesday</v>
      </c>
    </row>
    <row r="43" spans="1:13" x14ac:dyDescent="0.25">
      <c r="A43" s="241">
        <v>46064</v>
      </c>
      <c r="B43" s="242">
        <f t="shared" si="0"/>
        <v>133.75</v>
      </c>
      <c r="C43" s="242">
        <f>IF(DAY(A43+2)=1,'Main Budget'!$G$39,IF(DAY(A43+2)=15,'Main Budget'!$G$39,0))</f>
        <v>0</v>
      </c>
      <c r="D43" s="242">
        <f t="shared" si="1"/>
        <v>0</v>
      </c>
      <c r="E43" s="242">
        <f>IF(DAY(A43)='Main Budget'!$J$12,('Main Budget'!$G$12),0)</f>
        <v>0</v>
      </c>
      <c r="F43" s="242">
        <f>IF(DAY(A43)='Main Budget'!$J$13,('Main Budget'!$G$13)*2,0)</f>
        <v>0</v>
      </c>
      <c r="G43" s="242"/>
      <c r="H43" s="242">
        <f>IF(DAY(A43)='Main Budget'!$J$14,'Main Budget'!$G$14,0)</f>
        <v>0</v>
      </c>
      <c r="I43" s="242"/>
      <c r="J43" s="252">
        <f t="shared" si="2"/>
        <v>133.75</v>
      </c>
      <c r="M43" t="str">
        <f t="shared" si="3"/>
        <v>Wednesday</v>
      </c>
    </row>
    <row r="44" spans="1:13" x14ac:dyDescent="0.25">
      <c r="A44" s="241">
        <v>46065</v>
      </c>
      <c r="B44" s="242">
        <f t="shared" si="0"/>
        <v>133.75</v>
      </c>
      <c r="C44" s="242">
        <f>IF(DAY(A44+2)=1,'Main Budget'!$G$39,IF(DAY(A44+2)=15,'Main Budget'!$G$39,0))</f>
        <v>0</v>
      </c>
      <c r="D44" s="242">
        <f t="shared" si="1"/>
        <v>0</v>
      </c>
      <c r="E44" s="242">
        <f>IF(DAY(A44)='Main Budget'!$J$12,('Main Budget'!$G$12),0)</f>
        <v>0</v>
      </c>
      <c r="F44" s="242">
        <f>IF(DAY(A44)='Main Budget'!$J$13,('Main Budget'!$G$13)*2,0)</f>
        <v>0</v>
      </c>
      <c r="G44" s="242"/>
      <c r="H44" s="242">
        <f>IF(DAY(A44)='Main Budget'!$J$14,'Main Budget'!$G$14,0)</f>
        <v>0</v>
      </c>
      <c r="I44" s="242"/>
      <c r="J44" s="252">
        <f t="shared" si="2"/>
        <v>133.75</v>
      </c>
      <c r="M44" t="str">
        <f t="shared" si="3"/>
        <v>Thursday</v>
      </c>
    </row>
    <row r="45" spans="1:13" x14ac:dyDescent="0.25">
      <c r="A45" s="241">
        <v>46066</v>
      </c>
      <c r="B45" s="242">
        <f t="shared" si="0"/>
        <v>133.75</v>
      </c>
      <c r="C45" s="242">
        <f>IF(DAY(A45+2)=1,'Main Budget'!$G$39,IF(DAY(A45+2)=15,'Main Budget'!$G$39,0))</f>
        <v>0</v>
      </c>
      <c r="D45" s="242">
        <f t="shared" si="1"/>
        <v>0</v>
      </c>
      <c r="E45" s="242">
        <f>IF(DAY(A45)='Main Budget'!$J$12,('Main Budget'!$G$12),0)</f>
        <v>0</v>
      </c>
      <c r="F45" s="242">
        <f>IF(DAY(A45)='Main Budget'!$J$13,('Main Budget'!$G$13)*2,0)</f>
        <v>0</v>
      </c>
      <c r="G45" s="242"/>
      <c r="H45" s="242">
        <f>IF(DAY(A45)='Main Budget'!$J$14,'Main Budget'!$G$14,0)</f>
        <v>0</v>
      </c>
      <c r="I45" s="242"/>
      <c r="J45" s="252">
        <f t="shared" si="2"/>
        <v>133.75</v>
      </c>
      <c r="M45" t="str">
        <f t="shared" si="3"/>
        <v>Friday</v>
      </c>
    </row>
    <row r="46" spans="1:13" x14ac:dyDescent="0.25">
      <c r="A46" s="241">
        <v>46067</v>
      </c>
      <c r="B46" s="242">
        <f t="shared" si="0"/>
        <v>133.75</v>
      </c>
      <c r="C46" s="242">
        <f>IF(DAY(A46+2)=1,'Main Budget'!$G$39,IF(DAY(A46+2)=15,'Main Budget'!$G$39,0))</f>
        <v>0</v>
      </c>
      <c r="D46" s="242">
        <f t="shared" si="1"/>
        <v>0</v>
      </c>
      <c r="E46" s="242">
        <f>IF(DAY(A46)='Main Budget'!$J$12,('Main Budget'!$G$12),0)</f>
        <v>0</v>
      </c>
      <c r="F46" s="242">
        <f>IF(DAY(A46)='Main Budget'!$J$13,('Main Budget'!$G$13)*2,0)</f>
        <v>0</v>
      </c>
      <c r="G46" s="242"/>
      <c r="H46" s="242">
        <f>IF(DAY(A46)='Main Budget'!$J$14,'Main Budget'!$G$14,0)</f>
        <v>0</v>
      </c>
      <c r="I46" s="242"/>
      <c r="J46" s="252">
        <f t="shared" si="2"/>
        <v>133.75</v>
      </c>
      <c r="M46" t="str">
        <f t="shared" si="3"/>
        <v>Saturday</v>
      </c>
    </row>
    <row r="47" spans="1:13" x14ac:dyDescent="0.25">
      <c r="A47" s="241">
        <v>46068</v>
      </c>
      <c r="B47" s="242">
        <f t="shared" si="0"/>
        <v>133.75</v>
      </c>
      <c r="C47" s="242">
        <f>IF(DAY(A47+2)=1,'Main Budget'!$G$39,IF(DAY(A47+2)=15,'Main Budget'!$G$39,0))</f>
        <v>0</v>
      </c>
      <c r="D47" s="242">
        <f t="shared" si="1"/>
        <v>11.25</v>
      </c>
      <c r="E47" s="242">
        <f>IF(DAY(A47)='Main Budget'!$J$12,('Main Budget'!$G$12),0)</f>
        <v>0</v>
      </c>
      <c r="F47" s="242">
        <f>IF(DAY(A47)='Main Budget'!$J$13,('Main Budget'!$G$13)*2,0)</f>
        <v>0</v>
      </c>
      <c r="G47" s="242"/>
      <c r="H47" s="242">
        <f>IF(DAY(A47)='Main Budget'!$J$14,'Main Budget'!$G$14,0)</f>
        <v>0</v>
      </c>
      <c r="I47" s="242"/>
      <c r="J47" s="252">
        <f t="shared" si="2"/>
        <v>145</v>
      </c>
      <c r="M47" t="str">
        <f t="shared" si="3"/>
        <v>Sunday</v>
      </c>
    </row>
    <row r="48" spans="1:13" x14ac:dyDescent="0.25">
      <c r="A48" s="241">
        <v>46069</v>
      </c>
      <c r="B48" s="242">
        <f t="shared" si="0"/>
        <v>145</v>
      </c>
      <c r="C48" s="242">
        <f>IF(DAY(A48+2)=1,'Main Budget'!$G$39,IF(DAY(A48+2)=15,'Main Budget'!$G$39,0))</f>
        <v>0</v>
      </c>
      <c r="D48" s="242">
        <f t="shared" si="1"/>
        <v>0</v>
      </c>
      <c r="E48" s="242">
        <f>IF(DAY(A48)='Main Budget'!$J$12,('Main Budget'!$G$12),0)</f>
        <v>0</v>
      </c>
      <c r="F48" s="242">
        <f>IF(DAY(A48)='Main Budget'!$J$13,('Main Budget'!$G$13)*2,0)</f>
        <v>0</v>
      </c>
      <c r="G48" s="242"/>
      <c r="H48" s="242">
        <f>IF(DAY(A48)='Main Budget'!$J$14,'Main Budget'!$G$14,0)</f>
        <v>0</v>
      </c>
      <c r="I48" s="242"/>
      <c r="J48" s="252">
        <f t="shared" si="2"/>
        <v>145</v>
      </c>
      <c r="M48" t="str">
        <f t="shared" si="3"/>
        <v>Monday</v>
      </c>
    </row>
    <row r="49" spans="1:13" x14ac:dyDescent="0.25">
      <c r="A49" s="241">
        <v>46070</v>
      </c>
      <c r="B49" s="242">
        <f t="shared" si="0"/>
        <v>145</v>
      </c>
      <c r="C49" s="242">
        <f>IF(DAY(A49+2)=1,'Main Budget'!$G$39,IF(DAY(A49+2)=15,'Main Budget'!$G$39,0))</f>
        <v>0</v>
      </c>
      <c r="D49" s="242">
        <f t="shared" si="1"/>
        <v>0</v>
      </c>
      <c r="E49" s="242">
        <f>IF(DAY(A49)='Main Budget'!$J$12,('Main Budget'!$G$12),0)</f>
        <v>0</v>
      </c>
      <c r="F49" s="242">
        <f>IF(DAY(A49)='Main Budget'!$J$13,('Main Budget'!$G$13)*2,0)</f>
        <v>0</v>
      </c>
      <c r="G49" s="242"/>
      <c r="H49" s="242">
        <f>IF(DAY(A49)='Main Budget'!$J$14,'Main Budget'!$G$14,0)</f>
        <v>0</v>
      </c>
      <c r="I49" s="242"/>
      <c r="J49" s="252">
        <f t="shared" si="2"/>
        <v>145</v>
      </c>
      <c r="M49" t="str">
        <f t="shared" si="3"/>
        <v>Tuesday</v>
      </c>
    </row>
    <row r="50" spans="1:13" x14ac:dyDescent="0.25">
      <c r="A50" s="241">
        <v>46071</v>
      </c>
      <c r="B50" s="242">
        <f t="shared" si="0"/>
        <v>145</v>
      </c>
      <c r="C50" s="242">
        <f>IF(DAY(A50+2)=1,'Main Budget'!$G$39,IF(DAY(A50+2)=15,'Main Budget'!$G$39,0))</f>
        <v>0</v>
      </c>
      <c r="D50" s="242">
        <f t="shared" si="1"/>
        <v>0</v>
      </c>
      <c r="E50" s="242">
        <f>IF(DAY(A50)='Main Budget'!$J$12,('Main Budget'!$G$12),0)</f>
        <v>0</v>
      </c>
      <c r="F50" s="242">
        <f>IF(DAY(A50)='Main Budget'!$J$13,('Main Budget'!$G$13)*2,0)</f>
        <v>0</v>
      </c>
      <c r="G50" s="242"/>
      <c r="H50" s="242">
        <f>IF(DAY(A50)='Main Budget'!$J$14,'Main Budget'!$G$14,0)</f>
        <v>0</v>
      </c>
      <c r="I50" s="242"/>
      <c r="J50" s="252">
        <f t="shared" si="2"/>
        <v>145</v>
      </c>
      <c r="M50" t="str">
        <f t="shared" si="3"/>
        <v>Wednesday</v>
      </c>
    </row>
    <row r="51" spans="1:13" x14ac:dyDescent="0.25">
      <c r="A51" s="241">
        <v>46072</v>
      </c>
      <c r="B51" s="242">
        <f t="shared" si="0"/>
        <v>145</v>
      </c>
      <c r="C51" s="242">
        <f>IF(DAY(A51+2)=1,'Main Budget'!$G$39,IF(DAY(A51+2)=15,'Main Budget'!$G$39,0))</f>
        <v>0</v>
      </c>
      <c r="D51" s="242">
        <f t="shared" si="1"/>
        <v>0</v>
      </c>
      <c r="E51" s="242">
        <f>IF(DAY(A51)='Main Budget'!$J$12,('Main Budget'!$G$12),0)</f>
        <v>0</v>
      </c>
      <c r="F51" s="242">
        <f>IF(DAY(A51)='Main Budget'!$J$13,('Main Budget'!$G$13)*2,0)</f>
        <v>0</v>
      </c>
      <c r="G51" s="242"/>
      <c r="H51" s="242">
        <f>IF(DAY(A51)='Main Budget'!$J$14,'Main Budget'!$G$14,0)</f>
        <v>0</v>
      </c>
      <c r="I51" s="242"/>
      <c r="J51" s="252">
        <f t="shared" si="2"/>
        <v>145</v>
      </c>
      <c r="M51" t="str">
        <f t="shared" si="3"/>
        <v>Thursday</v>
      </c>
    </row>
    <row r="52" spans="1:13" x14ac:dyDescent="0.25">
      <c r="A52" s="241">
        <v>46073</v>
      </c>
      <c r="B52" s="242">
        <f t="shared" si="0"/>
        <v>145</v>
      </c>
      <c r="C52" s="242">
        <f>IF(DAY(A52+2)=1,'Main Budget'!$G$39,IF(DAY(A52+2)=15,'Main Budget'!$G$39,0))</f>
        <v>0</v>
      </c>
      <c r="D52" s="242">
        <f t="shared" si="1"/>
        <v>0</v>
      </c>
      <c r="E52" s="242">
        <f>IF(DAY(A52)='Main Budget'!$J$12,('Main Budget'!$G$12),0)</f>
        <v>0</v>
      </c>
      <c r="F52" s="242">
        <f>IF(DAY(A52)='Main Budget'!$J$13,('Main Budget'!$G$13)*2,0)</f>
        <v>0</v>
      </c>
      <c r="G52" s="242"/>
      <c r="H52" s="242">
        <f>IF(DAY(A52)='Main Budget'!$J$14,'Main Budget'!$G$14,0)</f>
        <v>0</v>
      </c>
      <c r="I52" s="242"/>
      <c r="J52" s="252">
        <f t="shared" si="2"/>
        <v>145</v>
      </c>
      <c r="M52" t="str">
        <f t="shared" si="3"/>
        <v>Friday</v>
      </c>
    </row>
    <row r="53" spans="1:13" x14ac:dyDescent="0.25">
      <c r="A53" s="241">
        <v>46074</v>
      </c>
      <c r="B53" s="242">
        <f t="shared" si="0"/>
        <v>145</v>
      </c>
      <c r="C53" s="242">
        <f>IF(DAY(A53+2)=1,'Main Budget'!$G$39,IF(DAY(A53+2)=15,'Main Budget'!$G$39,0))</f>
        <v>0</v>
      </c>
      <c r="D53" s="242">
        <f t="shared" si="1"/>
        <v>0</v>
      </c>
      <c r="E53" s="242">
        <f>IF(DAY(A53)='Main Budget'!$J$12,('Main Budget'!$G$12),0)</f>
        <v>0</v>
      </c>
      <c r="F53" s="242">
        <f>IF(DAY(A53)='Main Budget'!$J$13,('Main Budget'!$G$13)*2,0)</f>
        <v>0</v>
      </c>
      <c r="G53" s="242"/>
      <c r="H53" s="242">
        <f>IF(DAY(A53)='Main Budget'!$J$14,'Main Budget'!$G$14,0)</f>
        <v>0</v>
      </c>
      <c r="I53" s="242"/>
      <c r="J53" s="252">
        <f t="shared" si="2"/>
        <v>145</v>
      </c>
      <c r="M53" t="str">
        <f t="shared" si="3"/>
        <v>Saturday</v>
      </c>
    </row>
    <row r="54" spans="1:13" x14ac:dyDescent="0.25">
      <c r="A54" s="241">
        <v>46075</v>
      </c>
      <c r="B54" s="242">
        <f t="shared" si="0"/>
        <v>145</v>
      </c>
      <c r="C54" s="242">
        <f>IF(DAY(A54+2)=1,'Main Budget'!$G$39,IF(DAY(A54+2)=15,'Main Budget'!$G$39,0))</f>
        <v>0</v>
      </c>
      <c r="D54" s="242">
        <f t="shared" si="1"/>
        <v>0</v>
      </c>
      <c r="E54" s="242">
        <f>IF(DAY(A54)='Main Budget'!$J$12,('Main Budget'!$G$12),0)</f>
        <v>0</v>
      </c>
      <c r="F54" s="242">
        <f>IF(DAY(A54)='Main Budget'!$J$13,('Main Budget'!$G$13)*2,0)</f>
        <v>0</v>
      </c>
      <c r="G54" s="242"/>
      <c r="H54" s="242">
        <f>IF(DAY(A54)='Main Budget'!$J$14,'Main Budget'!$G$14,0)</f>
        <v>0</v>
      </c>
      <c r="I54" s="242"/>
      <c r="J54" s="252">
        <f t="shared" si="2"/>
        <v>145</v>
      </c>
      <c r="M54" t="str">
        <f t="shared" si="3"/>
        <v>Sunday</v>
      </c>
    </row>
    <row r="55" spans="1:13" x14ac:dyDescent="0.25">
      <c r="A55" s="241">
        <v>46076</v>
      </c>
      <c r="B55" s="242">
        <f t="shared" si="0"/>
        <v>145</v>
      </c>
      <c r="C55" s="242">
        <f>IF(DAY(A55+2)=1,'Main Budget'!$G$39,IF(DAY(A55+2)=15,'Main Budget'!$G$39,0))</f>
        <v>0</v>
      </c>
      <c r="D55" s="242">
        <f t="shared" si="1"/>
        <v>0</v>
      </c>
      <c r="E55" s="242">
        <f>IF(DAY(A55)='Main Budget'!$J$12,('Main Budget'!$G$12),0)</f>
        <v>0</v>
      </c>
      <c r="F55" s="242">
        <f>IF(DAY(A55)='Main Budget'!$J$13,('Main Budget'!$G$13)*2,0)</f>
        <v>0</v>
      </c>
      <c r="G55" s="242"/>
      <c r="H55" s="242">
        <f>IF(DAY(A55)='Main Budget'!$J$14,'Main Budget'!$G$14,0)</f>
        <v>0</v>
      </c>
      <c r="I55" s="242"/>
      <c r="J55" s="252">
        <f t="shared" si="2"/>
        <v>145</v>
      </c>
      <c r="M55" t="str">
        <f t="shared" si="3"/>
        <v>Monday</v>
      </c>
    </row>
    <row r="56" spans="1:13" x14ac:dyDescent="0.25">
      <c r="A56" s="241">
        <v>46077</v>
      </c>
      <c r="B56" s="242">
        <f t="shared" si="0"/>
        <v>145</v>
      </c>
      <c r="C56" s="242">
        <f>IF(DAY(A56+2)=1,'Main Budget'!$G$39,IF(DAY(A56+2)=15,'Main Budget'!$G$39,0))</f>
        <v>0</v>
      </c>
      <c r="D56" s="242">
        <f t="shared" si="1"/>
        <v>0</v>
      </c>
      <c r="E56" s="242">
        <f>IF(DAY(A56)='Main Budget'!$J$12,('Main Budget'!$G$12),0)</f>
        <v>0</v>
      </c>
      <c r="F56" s="242">
        <f>IF(DAY(A56)='Main Budget'!$J$13,('Main Budget'!$G$13)*2,0)</f>
        <v>0</v>
      </c>
      <c r="G56" s="242"/>
      <c r="H56" s="242">
        <f>IF(DAY(A56)='Main Budget'!$J$14,'Main Budget'!$G$14,0)</f>
        <v>0</v>
      </c>
      <c r="I56" s="242"/>
      <c r="J56" s="252">
        <f t="shared" si="2"/>
        <v>145</v>
      </c>
      <c r="M56" t="str">
        <f t="shared" si="3"/>
        <v>Tuesday</v>
      </c>
    </row>
    <row r="57" spans="1:13" x14ac:dyDescent="0.25">
      <c r="A57" s="241">
        <v>46078</v>
      </c>
      <c r="B57" s="242">
        <f t="shared" si="0"/>
        <v>145</v>
      </c>
      <c r="C57" s="242">
        <f>IF(DAY(A57+2)=1,'Main Budget'!$G$39,IF(DAY(A57+2)=15,'Main Budget'!$G$39,0))</f>
        <v>0</v>
      </c>
      <c r="D57" s="242">
        <f t="shared" si="1"/>
        <v>0</v>
      </c>
      <c r="E57" s="242">
        <f>IF(DAY(A57)='Main Budget'!$J$12,('Main Budget'!$G$12),0)</f>
        <v>0</v>
      </c>
      <c r="F57" s="242">
        <f>IF(DAY(A57)='Main Budget'!$J$13,('Main Budget'!$G$13)*2,0)</f>
        <v>0</v>
      </c>
      <c r="G57" s="242"/>
      <c r="H57" s="242">
        <f>IF(DAY(A57)='Main Budget'!$J$14,'Main Budget'!$G$14,0)</f>
        <v>0</v>
      </c>
      <c r="I57" s="242"/>
      <c r="J57" s="252">
        <f t="shared" si="2"/>
        <v>145</v>
      </c>
      <c r="M57" t="str">
        <f t="shared" si="3"/>
        <v>Wednesday</v>
      </c>
    </row>
    <row r="58" spans="1:13" x14ac:dyDescent="0.25">
      <c r="A58" s="241">
        <v>46079</v>
      </c>
      <c r="B58" s="242">
        <f t="shared" si="0"/>
        <v>145</v>
      </c>
      <c r="C58" s="242">
        <f>IF(DAY(A58+2)=1,'Main Budget'!$G$39,IF(DAY(A58+2)=15,'Main Budget'!$G$39,0))</f>
        <v>0</v>
      </c>
      <c r="D58" s="242">
        <f t="shared" si="1"/>
        <v>0</v>
      </c>
      <c r="E58" s="242">
        <f>IF(DAY(A58)='Main Budget'!$J$12,('Main Budget'!$G$12),0)</f>
        <v>0</v>
      </c>
      <c r="F58" s="242">
        <f>IF(DAY(A58)='Main Budget'!$J$13,('Main Budget'!$G$13)*2,0)</f>
        <v>0</v>
      </c>
      <c r="G58" s="242"/>
      <c r="H58" s="242">
        <f>IF(DAY(A58)='Main Budget'!$J$14,'Main Budget'!$G$14,0)</f>
        <v>0</v>
      </c>
      <c r="I58" s="242"/>
      <c r="J58" s="252">
        <f t="shared" si="2"/>
        <v>145</v>
      </c>
      <c r="M58" t="str">
        <f t="shared" si="3"/>
        <v>Thursday</v>
      </c>
    </row>
    <row r="59" spans="1:13" x14ac:dyDescent="0.25">
      <c r="A59" s="241">
        <v>46080</v>
      </c>
      <c r="B59" s="242">
        <f t="shared" si="0"/>
        <v>145</v>
      </c>
      <c r="C59" s="242">
        <f>IF(DAY(A59+2)=1,'Main Budget'!$G$39,IF(DAY(A59+2)=15,'Main Budget'!$G$39,0))</f>
        <v>0</v>
      </c>
      <c r="D59" s="242">
        <f t="shared" si="1"/>
        <v>0</v>
      </c>
      <c r="E59" s="242">
        <f>IF(DAY(A59)='Main Budget'!$J$12,('Main Budget'!$G$12),0)</f>
        <v>0</v>
      </c>
      <c r="F59" s="242">
        <f>IF(DAY(A59)='Main Budget'!$J$13,('Main Budget'!$G$13)*2,0)</f>
        <v>0</v>
      </c>
      <c r="G59" s="242"/>
      <c r="H59" s="242">
        <f>IF(DAY(A59)='Main Budget'!$J$14,'Main Budget'!$G$14,0)</f>
        <v>0</v>
      </c>
      <c r="I59" s="242"/>
      <c r="J59" s="252">
        <f t="shared" si="2"/>
        <v>145</v>
      </c>
      <c r="M59" t="str">
        <f t="shared" si="3"/>
        <v>Friday</v>
      </c>
    </row>
    <row r="60" spans="1:13" x14ac:dyDescent="0.25">
      <c r="A60" s="241">
        <v>46081</v>
      </c>
      <c r="B60" s="242">
        <f t="shared" si="0"/>
        <v>145</v>
      </c>
      <c r="C60" s="242">
        <f>IF(DAY(A60+2)=1,'Main Budget'!$G$39,IF(DAY(A60+2)=15,'Main Budget'!$G$39,0))</f>
        <v>0</v>
      </c>
      <c r="D60" s="242">
        <f t="shared" si="1"/>
        <v>0</v>
      </c>
      <c r="E60" s="242">
        <f>IF(DAY(A60)='Main Budget'!$J$12,('Main Budget'!$G$12),0)</f>
        <v>0</v>
      </c>
      <c r="F60" s="242">
        <f>IF(DAY(A60)='Main Budget'!$J$13,('Main Budget'!$G$13)*2,0)</f>
        <v>0</v>
      </c>
      <c r="G60" s="242"/>
      <c r="H60" s="242">
        <f>IF(DAY(A60)='Main Budget'!$J$14,'Main Budget'!$G$14,0)</f>
        <v>0</v>
      </c>
      <c r="I60" s="242"/>
      <c r="J60" s="252">
        <f t="shared" si="2"/>
        <v>145</v>
      </c>
      <c r="M60" t="str">
        <f t="shared" si="3"/>
        <v>Saturday</v>
      </c>
    </row>
    <row r="61" spans="1:13" x14ac:dyDescent="0.25">
      <c r="A61" s="241">
        <v>46082</v>
      </c>
      <c r="B61" s="242">
        <f t="shared" si="0"/>
        <v>145</v>
      </c>
      <c r="C61" s="242">
        <f>IF(DAY(A61+2)=1,'Main Budget'!$G$39,IF(DAY(A61+2)=15,'Main Budget'!$G$39,0))</f>
        <v>0</v>
      </c>
      <c r="D61" s="242">
        <f t="shared" si="1"/>
        <v>11.25</v>
      </c>
      <c r="E61" s="242">
        <f>IF(DAY(A61)='Main Budget'!$J$12,('Main Budget'!$G$12),0)</f>
        <v>0</v>
      </c>
      <c r="F61" s="242">
        <f>IF(DAY(A61)='Main Budget'!$J$13,('Main Budget'!$G$13)*2,0)</f>
        <v>0</v>
      </c>
      <c r="G61" s="242"/>
      <c r="H61" s="242">
        <f>IF(DAY(A61)='Main Budget'!$J$14,'Main Budget'!$G$14,0)</f>
        <v>0</v>
      </c>
      <c r="I61" s="242"/>
      <c r="J61" s="252">
        <f t="shared" si="2"/>
        <v>156.25</v>
      </c>
      <c r="M61" t="str">
        <f t="shared" si="3"/>
        <v>Sunday</v>
      </c>
    </row>
    <row r="62" spans="1:13" x14ac:dyDescent="0.25">
      <c r="A62" s="241">
        <v>46083</v>
      </c>
      <c r="B62" s="242">
        <f t="shared" si="0"/>
        <v>156.25</v>
      </c>
      <c r="C62" s="242">
        <f>IF(DAY(A62+2)=1,'Main Budget'!$G$39,IF(DAY(A62+2)=15,'Main Budget'!$G$39,0))</f>
        <v>0</v>
      </c>
      <c r="D62" s="242">
        <f t="shared" si="1"/>
        <v>0</v>
      </c>
      <c r="E62" s="242">
        <f>IF(DAY(A62)='Main Budget'!$J$12,('Main Budget'!$G$12),0)</f>
        <v>0</v>
      </c>
      <c r="F62" s="242">
        <f>IF(DAY(A62)='Main Budget'!$J$13,('Main Budget'!$G$13)*2,0)</f>
        <v>0</v>
      </c>
      <c r="G62" s="242"/>
      <c r="H62" s="242">
        <f>IF(DAY(A62)='Main Budget'!$J$14,'Main Budget'!$G$14,0)</f>
        <v>0</v>
      </c>
      <c r="I62" s="242"/>
      <c r="J62" s="252">
        <f t="shared" si="2"/>
        <v>156.25</v>
      </c>
      <c r="M62" t="str">
        <f t="shared" si="3"/>
        <v>Monday</v>
      </c>
    </row>
    <row r="63" spans="1:13" x14ac:dyDescent="0.25">
      <c r="A63" s="241">
        <v>46084</v>
      </c>
      <c r="B63" s="242">
        <f t="shared" si="0"/>
        <v>156.25</v>
      </c>
      <c r="C63" s="242">
        <f>IF(DAY(A63+2)=1,'Main Budget'!$G$39,IF(DAY(A63+2)=15,'Main Budget'!$G$39,0))</f>
        <v>0</v>
      </c>
      <c r="D63" s="242">
        <f t="shared" si="1"/>
        <v>0</v>
      </c>
      <c r="E63" s="242">
        <f>IF(DAY(A63)='Main Budget'!$J$12,('Main Budget'!$G$12),0)</f>
        <v>0</v>
      </c>
      <c r="F63" s="242">
        <f>IF(DAY(A63)='Main Budget'!$J$13,('Main Budget'!$G$13)*2,0)</f>
        <v>0</v>
      </c>
      <c r="G63" s="242"/>
      <c r="H63" s="242">
        <f>IF(DAY(A63)='Main Budget'!$J$14,'Main Budget'!$G$14,0)</f>
        <v>0</v>
      </c>
      <c r="I63" s="242"/>
      <c r="J63" s="252">
        <f t="shared" si="2"/>
        <v>156.25</v>
      </c>
      <c r="M63" t="str">
        <f t="shared" si="3"/>
        <v>Tuesday</v>
      </c>
    </row>
    <row r="64" spans="1:13" x14ac:dyDescent="0.25">
      <c r="A64" s="241">
        <v>46085</v>
      </c>
      <c r="B64" s="242">
        <f t="shared" si="0"/>
        <v>156.25</v>
      </c>
      <c r="C64" s="242">
        <f>IF(DAY(A64+2)=1,'Main Budget'!$G$39,IF(DAY(A64+2)=15,'Main Budget'!$G$39,0))</f>
        <v>0</v>
      </c>
      <c r="D64" s="242">
        <f t="shared" si="1"/>
        <v>0</v>
      </c>
      <c r="E64" s="242">
        <f>IF(DAY(A64)='Main Budget'!$J$12,('Main Budget'!$G$12),0)</f>
        <v>0</v>
      </c>
      <c r="F64" s="242">
        <f>IF(DAY(A64)='Main Budget'!$J$13,('Main Budget'!$G$13)*2,0)</f>
        <v>0</v>
      </c>
      <c r="G64" s="242"/>
      <c r="H64" s="242">
        <f>IF(DAY(A64)='Main Budget'!$J$14,'Main Budget'!$G$14,0)</f>
        <v>0</v>
      </c>
      <c r="I64" s="242"/>
      <c r="J64" s="252">
        <f t="shared" si="2"/>
        <v>156.25</v>
      </c>
      <c r="M64" t="str">
        <f t="shared" si="3"/>
        <v>Wednesday</v>
      </c>
    </row>
    <row r="65" spans="1:13" x14ac:dyDescent="0.25">
      <c r="A65" s="241">
        <v>46086</v>
      </c>
      <c r="B65" s="242">
        <f t="shared" si="0"/>
        <v>156.25</v>
      </c>
      <c r="C65" s="242">
        <f>IF(DAY(A65+2)=1,'Main Budget'!$G$39,IF(DAY(A65+2)=15,'Main Budget'!$G$39,0))</f>
        <v>0</v>
      </c>
      <c r="D65" s="242">
        <f t="shared" si="1"/>
        <v>0</v>
      </c>
      <c r="E65" s="242">
        <f>IF(DAY(A65)='Main Budget'!$J$12,('Main Budget'!$G$12),0)</f>
        <v>0</v>
      </c>
      <c r="F65" s="242">
        <f>IF(DAY(A65)='Main Budget'!$J$13,('Main Budget'!$G$13)*2,0)</f>
        <v>0</v>
      </c>
      <c r="G65" s="242"/>
      <c r="H65" s="242">
        <f>IF(DAY(A65)='Main Budget'!$J$14,'Main Budget'!$G$14,0)</f>
        <v>0</v>
      </c>
      <c r="I65" s="242"/>
      <c r="J65" s="252">
        <f t="shared" si="2"/>
        <v>156.25</v>
      </c>
      <c r="M65" t="str">
        <f t="shared" si="3"/>
        <v>Thursday</v>
      </c>
    </row>
    <row r="66" spans="1:13" x14ac:dyDescent="0.25">
      <c r="A66" s="241">
        <v>46087</v>
      </c>
      <c r="B66" s="242">
        <f t="shared" si="0"/>
        <v>156.25</v>
      </c>
      <c r="C66" s="242">
        <f>IF(DAY(A66+2)=1,'Main Budget'!$G$39,IF(DAY(A66+2)=15,'Main Budget'!$G$39,0))</f>
        <v>0</v>
      </c>
      <c r="D66" s="242">
        <f t="shared" si="1"/>
        <v>0</v>
      </c>
      <c r="E66" s="242">
        <f>IF(DAY(A66)='Main Budget'!$J$12,('Main Budget'!$G$12),0)</f>
        <v>0</v>
      </c>
      <c r="F66" s="242">
        <f>IF(DAY(A66)='Main Budget'!$J$13,('Main Budget'!$G$13)*2,0)</f>
        <v>0</v>
      </c>
      <c r="G66" s="242"/>
      <c r="H66" s="242">
        <f>IF(DAY(A66)='Main Budget'!$J$14,'Main Budget'!$G$14,0)</f>
        <v>0</v>
      </c>
      <c r="I66" s="242"/>
      <c r="J66" s="252">
        <f t="shared" si="2"/>
        <v>156.25</v>
      </c>
      <c r="M66" t="str">
        <f t="shared" si="3"/>
        <v>Friday</v>
      </c>
    </row>
    <row r="67" spans="1:13" x14ac:dyDescent="0.25">
      <c r="A67" s="241">
        <v>46088</v>
      </c>
      <c r="B67" s="242">
        <f t="shared" si="0"/>
        <v>156.25</v>
      </c>
      <c r="C67" s="242">
        <f>IF(DAY(A67+2)=1,'Main Budget'!$G$39,IF(DAY(A67+2)=15,'Main Budget'!$G$39,0))</f>
        <v>0</v>
      </c>
      <c r="D67" s="242">
        <f t="shared" si="1"/>
        <v>0</v>
      </c>
      <c r="E67" s="242">
        <f>IF(DAY(A67)='Main Budget'!$J$12,('Main Budget'!$G$12),0)</f>
        <v>0</v>
      </c>
      <c r="F67" s="242">
        <f>IF(DAY(A67)='Main Budget'!$J$13,('Main Budget'!$G$13)*2,0)</f>
        <v>0</v>
      </c>
      <c r="G67" s="242"/>
      <c r="H67" s="242">
        <f>IF(DAY(A67)='Main Budget'!$J$14,'Main Budget'!$G$14,0)</f>
        <v>0</v>
      </c>
      <c r="I67" s="242"/>
      <c r="J67" s="252">
        <f t="shared" si="2"/>
        <v>156.25</v>
      </c>
      <c r="M67" t="str">
        <f t="shared" si="3"/>
        <v>Saturday</v>
      </c>
    </row>
    <row r="68" spans="1:13" x14ac:dyDescent="0.25">
      <c r="A68" s="241">
        <v>46089</v>
      </c>
      <c r="B68" s="242">
        <f t="shared" si="0"/>
        <v>156.25</v>
      </c>
      <c r="C68" s="242">
        <f>IF(DAY(A68+2)=1,'Main Budget'!$G$39,IF(DAY(A68+2)=15,'Main Budget'!$G$39,0))</f>
        <v>0</v>
      </c>
      <c r="D68" s="242">
        <f t="shared" si="1"/>
        <v>0</v>
      </c>
      <c r="E68" s="242">
        <f>IF(DAY(A68)='Main Budget'!$J$12,('Main Budget'!$G$12),0)</f>
        <v>0</v>
      </c>
      <c r="F68" s="242">
        <f>IF(DAY(A68)='Main Budget'!$J$13,('Main Budget'!$G$13)*2,0)</f>
        <v>0</v>
      </c>
      <c r="G68" s="242"/>
      <c r="H68" s="242">
        <f>IF(DAY(A68)='Main Budget'!$J$14,'Main Budget'!$G$14,0)</f>
        <v>0</v>
      </c>
      <c r="I68" s="242"/>
      <c r="J68" s="252">
        <f t="shared" si="2"/>
        <v>156.25</v>
      </c>
      <c r="M68" t="str">
        <f t="shared" si="3"/>
        <v>Sunday</v>
      </c>
    </row>
    <row r="69" spans="1:13" x14ac:dyDescent="0.25">
      <c r="A69" s="241">
        <v>46090</v>
      </c>
      <c r="B69" s="242">
        <f t="shared" si="0"/>
        <v>156.25</v>
      </c>
      <c r="C69" s="242">
        <f>IF(DAY(A69+2)=1,'Main Budget'!$G$39,IF(DAY(A69+2)=15,'Main Budget'!$G$39,0))</f>
        <v>0</v>
      </c>
      <c r="D69" s="242">
        <f t="shared" si="1"/>
        <v>0</v>
      </c>
      <c r="E69" s="242">
        <f>IF(DAY(A69)='Main Budget'!$J$12,('Main Budget'!$G$12),0)</f>
        <v>0</v>
      </c>
      <c r="F69" s="242">
        <f>IF(DAY(A69)='Main Budget'!$J$13,('Main Budget'!$G$13)*2,0)</f>
        <v>0</v>
      </c>
      <c r="G69" s="242"/>
      <c r="H69" s="242">
        <f>IF(DAY(A69)='Main Budget'!$J$14,'Main Budget'!$G$14,0)</f>
        <v>0</v>
      </c>
      <c r="I69" s="242"/>
      <c r="J69" s="252">
        <f t="shared" si="2"/>
        <v>156.25</v>
      </c>
      <c r="M69" t="str">
        <f t="shared" si="3"/>
        <v>Monday</v>
      </c>
    </row>
    <row r="70" spans="1:13" x14ac:dyDescent="0.25">
      <c r="A70" s="241">
        <v>46091</v>
      </c>
      <c r="B70" s="242">
        <f t="shared" si="0"/>
        <v>156.25</v>
      </c>
      <c r="C70" s="242">
        <f>IF(DAY(A70+2)=1,'Main Budget'!$G$39,IF(DAY(A70+2)=15,'Main Budget'!$G$39,0))</f>
        <v>0</v>
      </c>
      <c r="D70" s="242">
        <f t="shared" si="1"/>
        <v>0</v>
      </c>
      <c r="E70" s="242">
        <f>IF(DAY(A70)='Main Budget'!$J$12,('Main Budget'!$G$12),0)</f>
        <v>0</v>
      </c>
      <c r="F70" s="242">
        <f>IF(DAY(A70)='Main Budget'!$J$13,('Main Budget'!$G$13)*2,0)</f>
        <v>0</v>
      </c>
      <c r="G70" s="242"/>
      <c r="H70" s="242">
        <f>IF(DAY(A70)='Main Budget'!$J$14,'Main Budget'!$G$14,0)</f>
        <v>0</v>
      </c>
      <c r="I70" s="242"/>
      <c r="J70" s="252">
        <f t="shared" si="2"/>
        <v>156.25</v>
      </c>
      <c r="M70" t="str">
        <f t="shared" si="3"/>
        <v>Tuesday</v>
      </c>
    </row>
    <row r="71" spans="1:13" x14ac:dyDescent="0.25">
      <c r="A71" s="241">
        <v>46092</v>
      </c>
      <c r="B71" s="242">
        <f t="shared" si="0"/>
        <v>156.25</v>
      </c>
      <c r="C71" s="242">
        <f>IF(DAY(A71+2)=1,'Main Budget'!$G$39,IF(DAY(A71+2)=15,'Main Budget'!$G$39,0))</f>
        <v>0</v>
      </c>
      <c r="D71" s="242">
        <f t="shared" si="1"/>
        <v>0</v>
      </c>
      <c r="E71" s="242">
        <f>IF(DAY(A71)='Main Budget'!$J$12,('Main Budget'!$G$12),0)</f>
        <v>0</v>
      </c>
      <c r="F71" s="242">
        <f>IF(DAY(A71)='Main Budget'!$J$13,('Main Budget'!$G$13)*2,0)</f>
        <v>0</v>
      </c>
      <c r="G71" s="242"/>
      <c r="H71" s="242">
        <f>IF(DAY(A71)='Main Budget'!$J$14,'Main Budget'!$G$14,0)</f>
        <v>0</v>
      </c>
      <c r="I71" s="242"/>
      <c r="J71" s="252">
        <f t="shared" si="2"/>
        <v>156.25</v>
      </c>
      <c r="M71" t="str">
        <f t="shared" si="3"/>
        <v>Wednesday</v>
      </c>
    </row>
    <row r="72" spans="1:13" x14ac:dyDescent="0.25">
      <c r="A72" s="241">
        <v>46093</v>
      </c>
      <c r="B72" s="242">
        <f t="shared" si="0"/>
        <v>156.25</v>
      </c>
      <c r="C72" s="242">
        <f>IF(DAY(A72+2)=1,'Main Budget'!$G$39,IF(DAY(A72+2)=15,'Main Budget'!$G$39,0))</f>
        <v>0</v>
      </c>
      <c r="D72" s="242">
        <f t="shared" si="1"/>
        <v>0</v>
      </c>
      <c r="E72" s="242">
        <f>IF(DAY(A72)='Main Budget'!$J$12,('Main Budget'!$G$12),0)</f>
        <v>0</v>
      </c>
      <c r="F72" s="242">
        <f>IF(DAY(A72)='Main Budget'!$J$13,('Main Budget'!$G$13)*2,0)</f>
        <v>0</v>
      </c>
      <c r="G72" s="242"/>
      <c r="H72" s="242">
        <f>IF(DAY(A72)='Main Budget'!$J$14,'Main Budget'!$G$14,0)</f>
        <v>0</v>
      </c>
      <c r="I72" s="242"/>
      <c r="J72" s="252">
        <f t="shared" si="2"/>
        <v>156.25</v>
      </c>
      <c r="M72" t="str">
        <f t="shared" si="3"/>
        <v>Thursday</v>
      </c>
    </row>
    <row r="73" spans="1:13" x14ac:dyDescent="0.25">
      <c r="A73" s="241">
        <v>46094</v>
      </c>
      <c r="B73" s="242">
        <f t="shared" si="0"/>
        <v>156.25</v>
      </c>
      <c r="C73" s="242">
        <f>IF(DAY(A73+2)=1,'Main Budget'!$G$39,IF(DAY(A73+2)=15,'Main Budget'!$G$39,0))</f>
        <v>0</v>
      </c>
      <c r="D73" s="242">
        <f t="shared" si="1"/>
        <v>0</v>
      </c>
      <c r="E73" s="242">
        <f>IF(DAY(A73)='Main Budget'!$J$12,('Main Budget'!$G$12),0)</f>
        <v>0</v>
      </c>
      <c r="F73" s="242">
        <f>IF(DAY(A73)='Main Budget'!$J$13,('Main Budget'!$G$13)*2,0)</f>
        <v>0</v>
      </c>
      <c r="G73" s="242"/>
      <c r="H73" s="242">
        <f>IF(DAY(A73)='Main Budget'!$J$14,'Main Budget'!$G$14,0)</f>
        <v>0</v>
      </c>
      <c r="I73" s="242"/>
      <c r="J73" s="252">
        <f t="shared" si="2"/>
        <v>156.25</v>
      </c>
      <c r="M73" t="str">
        <f t="shared" si="3"/>
        <v>Friday</v>
      </c>
    </row>
    <row r="74" spans="1:13" x14ac:dyDescent="0.25">
      <c r="A74" s="241">
        <v>46095</v>
      </c>
      <c r="B74" s="242">
        <f t="shared" si="0"/>
        <v>156.25</v>
      </c>
      <c r="C74" s="242">
        <f>IF(DAY(A74+2)=1,'Main Budget'!$G$39,IF(DAY(A74+2)=15,'Main Budget'!$G$39,0))</f>
        <v>0</v>
      </c>
      <c r="D74" s="242">
        <f t="shared" si="1"/>
        <v>0</v>
      </c>
      <c r="E74" s="242">
        <f>IF(DAY(A74)='Main Budget'!$J$12,('Main Budget'!$G$12),0)</f>
        <v>0</v>
      </c>
      <c r="F74" s="242">
        <f>IF(DAY(A74)='Main Budget'!$J$13,('Main Budget'!$G$13)*2,0)</f>
        <v>0</v>
      </c>
      <c r="G74" s="242"/>
      <c r="H74" s="242">
        <f>IF(DAY(A74)='Main Budget'!$J$14,'Main Budget'!$G$14,0)</f>
        <v>0</v>
      </c>
      <c r="I74" s="242"/>
      <c r="J74" s="252">
        <f t="shared" si="2"/>
        <v>156.25</v>
      </c>
      <c r="M74" t="str">
        <f t="shared" si="3"/>
        <v>Saturday</v>
      </c>
    </row>
    <row r="75" spans="1:13" x14ac:dyDescent="0.25">
      <c r="A75" s="241">
        <v>46096</v>
      </c>
      <c r="B75" s="242">
        <f t="shared" si="0"/>
        <v>156.25</v>
      </c>
      <c r="C75" s="242">
        <f>IF(DAY(A75+2)=1,'Main Budget'!$G$39,IF(DAY(A75+2)=15,'Main Budget'!$G$39,0))</f>
        <v>0</v>
      </c>
      <c r="D75" s="242">
        <f t="shared" si="1"/>
        <v>11.25</v>
      </c>
      <c r="E75" s="242">
        <f>IF(DAY(A75)='Main Budget'!$J$12,('Main Budget'!$G$12),0)</f>
        <v>0</v>
      </c>
      <c r="F75" s="242">
        <f>IF(DAY(A75)='Main Budget'!$J$13,('Main Budget'!$G$13)*2,0)</f>
        <v>0</v>
      </c>
      <c r="G75" s="242"/>
      <c r="H75" s="242">
        <f>IF(DAY(A75)='Main Budget'!$J$14,'Main Budget'!$G$14,0)</f>
        <v>0</v>
      </c>
      <c r="I75" s="242"/>
      <c r="J75" s="252">
        <f t="shared" si="2"/>
        <v>167.5</v>
      </c>
      <c r="M75" t="str">
        <f t="shared" si="3"/>
        <v>Sunday</v>
      </c>
    </row>
    <row r="76" spans="1:13" x14ac:dyDescent="0.25">
      <c r="A76" s="241">
        <v>46097</v>
      </c>
      <c r="B76" s="242">
        <f t="shared" si="0"/>
        <v>167.5</v>
      </c>
      <c r="C76" s="242">
        <f>IF(DAY(A76+2)=1,'Main Budget'!$G$39,IF(DAY(A76+2)=15,'Main Budget'!$G$39,0))</f>
        <v>0</v>
      </c>
      <c r="D76" s="242">
        <f t="shared" si="1"/>
        <v>0</v>
      </c>
      <c r="E76" s="242">
        <f>IF(DAY(A76)='Main Budget'!$J$12,('Main Budget'!$G$12),0)</f>
        <v>0</v>
      </c>
      <c r="F76" s="242">
        <f>IF(DAY(A76)='Main Budget'!$J$13,('Main Budget'!$G$13)*2,0)</f>
        <v>0</v>
      </c>
      <c r="G76" s="242"/>
      <c r="H76" s="242">
        <f>IF(DAY(A76)='Main Budget'!$J$14,'Main Budget'!$G$14,0)</f>
        <v>0</v>
      </c>
      <c r="I76" s="242"/>
      <c r="J76" s="252">
        <f t="shared" si="2"/>
        <v>167.5</v>
      </c>
      <c r="M76" t="str">
        <f t="shared" si="3"/>
        <v>Monday</v>
      </c>
    </row>
    <row r="77" spans="1:13" x14ac:dyDescent="0.25">
      <c r="A77" s="241">
        <v>46098</v>
      </c>
      <c r="B77" s="242">
        <f t="shared" si="0"/>
        <v>167.5</v>
      </c>
      <c r="C77" s="242">
        <f>IF(DAY(A77+2)=1,'Main Budget'!$G$39,IF(DAY(A77+2)=15,'Main Budget'!$G$39,0))</f>
        <v>0</v>
      </c>
      <c r="D77" s="242">
        <f t="shared" si="1"/>
        <v>0</v>
      </c>
      <c r="E77" s="242">
        <f>IF(DAY(A77)='Main Budget'!$J$12,('Main Budget'!$G$12),0)</f>
        <v>0</v>
      </c>
      <c r="F77" s="242">
        <f>IF(DAY(A77)='Main Budget'!$J$13,('Main Budget'!$G$13)*2,0)</f>
        <v>0</v>
      </c>
      <c r="G77" s="242"/>
      <c r="H77" s="242">
        <f>IF(DAY(A77)='Main Budget'!$J$14,'Main Budget'!$G$14,0)</f>
        <v>0</v>
      </c>
      <c r="I77" s="242"/>
      <c r="J77" s="252">
        <f t="shared" si="2"/>
        <v>167.5</v>
      </c>
      <c r="M77" t="str">
        <f t="shared" si="3"/>
        <v>Tuesday</v>
      </c>
    </row>
    <row r="78" spans="1:13" x14ac:dyDescent="0.25">
      <c r="A78" s="241">
        <v>46099</v>
      </c>
      <c r="B78" s="242">
        <f t="shared" si="0"/>
        <v>167.5</v>
      </c>
      <c r="C78" s="242">
        <f>IF(DAY(A78+2)=1,'Main Budget'!$G$39,IF(DAY(A78+2)=15,'Main Budget'!$G$39,0))</f>
        <v>0</v>
      </c>
      <c r="D78" s="242">
        <f t="shared" si="1"/>
        <v>0</v>
      </c>
      <c r="E78" s="242">
        <f>IF(DAY(A78)='Main Budget'!$J$12,('Main Budget'!$G$12),0)</f>
        <v>0</v>
      </c>
      <c r="F78" s="242">
        <f>IF(DAY(A78)='Main Budget'!$J$13,('Main Budget'!$G$13)*2,0)</f>
        <v>0</v>
      </c>
      <c r="G78" s="242"/>
      <c r="H78" s="242">
        <f>IF(DAY(A78)='Main Budget'!$J$14,'Main Budget'!$G$14,0)</f>
        <v>0</v>
      </c>
      <c r="I78" s="242"/>
      <c r="J78" s="252">
        <f t="shared" si="2"/>
        <v>167.5</v>
      </c>
      <c r="M78" t="str">
        <f t="shared" si="3"/>
        <v>Wednesday</v>
      </c>
    </row>
    <row r="79" spans="1:13" x14ac:dyDescent="0.25">
      <c r="A79" s="241">
        <v>46100</v>
      </c>
      <c r="B79" s="242">
        <f t="shared" si="0"/>
        <v>167.5</v>
      </c>
      <c r="C79" s="242">
        <f>IF(DAY(A79+2)=1,'Main Budget'!$G$39,IF(DAY(A79+2)=15,'Main Budget'!$G$39,0))</f>
        <v>0</v>
      </c>
      <c r="D79" s="242">
        <f t="shared" si="1"/>
        <v>0</v>
      </c>
      <c r="E79" s="242">
        <f>IF(DAY(A79)='Main Budget'!$J$12,('Main Budget'!$G$12),0)</f>
        <v>0</v>
      </c>
      <c r="F79" s="242">
        <f>IF(DAY(A79)='Main Budget'!$J$13,('Main Budget'!$G$13)*2,0)</f>
        <v>0</v>
      </c>
      <c r="G79" s="242"/>
      <c r="H79" s="242">
        <f>IF(DAY(A79)='Main Budget'!$J$14,'Main Budget'!$G$14,0)</f>
        <v>0</v>
      </c>
      <c r="I79" s="242"/>
      <c r="J79" s="252">
        <f t="shared" si="2"/>
        <v>167.5</v>
      </c>
      <c r="M79" t="str">
        <f t="shared" si="3"/>
        <v>Thursday</v>
      </c>
    </row>
    <row r="80" spans="1:13" x14ac:dyDescent="0.25">
      <c r="A80" s="241">
        <v>46101</v>
      </c>
      <c r="B80" s="242">
        <f t="shared" si="0"/>
        <v>167.5</v>
      </c>
      <c r="C80" s="242">
        <f>IF(DAY(A80+2)=1,'Main Budget'!$G$39,IF(DAY(A80+2)=15,'Main Budget'!$G$39,0))</f>
        <v>0</v>
      </c>
      <c r="D80" s="242">
        <f t="shared" si="1"/>
        <v>0</v>
      </c>
      <c r="E80" s="242">
        <f>IF(DAY(A80)='Main Budget'!$J$12,('Main Budget'!$G$12),0)</f>
        <v>0</v>
      </c>
      <c r="F80" s="242">
        <f>IF(DAY(A80)='Main Budget'!$J$13,('Main Budget'!$G$13)*2,0)</f>
        <v>0</v>
      </c>
      <c r="G80" s="242"/>
      <c r="H80" s="242">
        <f>IF(DAY(A80)='Main Budget'!$J$14,'Main Budget'!$G$14,0)</f>
        <v>0</v>
      </c>
      <c r="I80" s="242"/>
      <c r="J80" s="252">
        <f t="shared" si="2"/>
        <v>167.5</v>
      </c>
      <c r="M80" t="str">
        <f t="shared" si="3"/>
        <v>Friday</v>
      </c>
    </row>
    <row r="81" spans="1:13" x14ac:dyDescent="0.25">
      <c r="A81" s="241">
        <v>46102</v>
      </c>
      <c r="B81" s="242">
        <f t="shared" ref="B81:B144" si="4">J80</f>
        <v>167.5</v>
      </c>
      <c r="C81" s="242">
        <f>IF(DAY(A81+2)=1,'Main Budget'!$G$39,IF(DAY(A81+2)=15,'Main Budget'!$G$39,0))</f>
        <v>0</v>
      </c>
      <c r="D81" s="242">
        <f t="shared" ref="D81:D144" si="5">IF(OR(DAY(A81)=1,DAY(A81)=15),11.25,0)</f>
        <v>0</v>
      </c>
      <c r="E81" s="242">
        <f>IF(DAY(A81)='Main Budget'!$J$12,('Main Budget'!$G$12),0)</f>
        <v>0</v>
      </c>
      <c r="F81" s="242">
        <f>IF(DAY(A81)='Main Budget'!$J$13,('Main Budget'!$G$13)*2,0)</f>
        <v>0</v>
      </c>
      <c r="G81" s="242"/>
      <c r="H81" s="242">
        <f>IF(DAY(A81)='Main Budget'!$J$14,'Main Budget'!$G$14,0)</f>
        <v>0</v>
      </c>
      <c r="I81" s="242"/>
      <c r="J81" s="252">
        <f t="shared" ref="J81:J144" si="6">J80+(SUM(C81:I81))</f>
        <v>167.5</v>
      </c>
      <c r="M81" t="str">
        <f t="shared" ref="M81:M144" si="7">TEXT(A81,"dddd")</f>
        <v>Saturday</v>
      </c>
    </row>
    <row r="82" spans="1:13" x14ac:dyDescent="0.25">
      <c r="A82" s="241">
        <v>46103</v>
      </c>
      <c r="B82" s="242">
        <f t="shared" si="4"/>
        <v>167.5</v>
      </c>
      <c r="C82" s="242">
        <f>IF(DAY(A82+2)=1,'Main Budget'!$G$39,IF(DAY(A82+2)=15,'Main Budget'!$G$39,0))</f>
        <v>0</v>
      </c>
      <c r="D82" s="242">
        <f t="shared" si="5"/>
        <v>0</v>
      </c>
      <c r="E82" s="242">
        <f>IF(DAY(A82)='Main Budget'!$J$12,('Main Budget'!$G$12),0)</f>
        <v>0</v>
      </c>
      <c r="F82" s="242">
        <f>IF(DAY(A82)='Main Budget'!$J$13,('Main Budget'!$G$13)*2,0)</f>
        <v>0</v>
      </c>
      <c r="G82" s="242"/>
      <c r="H82" s="242">
        <f>IF(DAY(A82)='Main Budget'!$J$14,'Main Budget'!$G$14,0)</f>
        <v>0</v>
      </c>
      <c r="I82" s="242"/>
      <c r="J82" s="252">
        <f t="shared" si="6"/>
        <v>167.5</v>
      </c>
      <c r="M82" t="str">
        <f t="shared" si="7"/>
        <v>Sunday</v>
      </c>
    </row>
    <row r="83" spans="1:13" x14ac:dyDescent="0.25">
      <c r="A83" s="241">
        <v>46104</v>
      </c>
      <c r="B83" s="242">
        <f t="shared" si="4"/>
        <v>167.5</v>
      </c>
      <c r="C83" s="242">
        <f>IF(DAY(A83+2)=1,'Main Budget'!$G$39,IF(DAY(A83+2)=15,'Main Budget'!$G$39,0))</f>
        <v>0</v>
      </c>
      <c r="D83" s="242">
        <f t="shared" si="5"/>
        <v>0</v>
      </c>
      <c r="E83" s="242">
        <f>IF(DAY(A83)='Main Budget'!$J$12,('Main Budget'!$G$12),0)</f>
        <v>0</v>
      </c>
      <c r="F83" s="242">
        <f>IF(DAY(A83)='Main Budget'!$J$13,('Main Budget'!$G$13)*2,0)</f>
        <v>0</v>
      </c>
      <c r="G83" s="242"/>
      <c r="H83" s="242">
        <f>IF(DAY(A83)='Main Budget'!$J$14,'Main Budget'!$G$14,0)</f>
        <v>0</v>
      </c>
      <c r="I83" s="242"/>
      <c r="J83" s="252">
        <f t="shared" si="6"/>
        <v>167.5</v>
      </c>
      <c r="M83" t="str">
        <f t="shared" si="7"/>
        <v>Monday</v>
      </c>
    </row>
    <row r="84" spans="1:13" x14ac:dyDescent="0.25">
      <c r="A84" s="241">
        <v>46105</v>
      </c>
      <c r="B84" s="242">
        <f t="shared" si="4"/>
        <v>167.5</v>
      </c>
      <c r="C84" s="242">
        <f>IF(DAY(A84+2)=1,'Main Budget'!$G$39,IF(DAY(A84+2)=15,'Main Budget'!$G$39,0))</f>
        <v>0</v>
      </c>
      <c r="D84" s="242">
        <f t="shared" si="5"/>
        <v>0</v>
      </c>
      <c r="E84" s="242">
        <f>IF(DAY(A84)='Main Budget'!$J$12,('Main Budget'!$G$12),0)</f>
        <v>0</v>
      </c>
      <c r="F84" s="242">
        <f>IF(DAY(A84)='Main Budget'!$J$13,('Main Budget'!$G$13)*2,0)</f>
        <v>0</v>
      </c>
      <c r="G84" s="242"/>
      <c r="H84" s="242">
        <f>IF(DAY(A84)='Main Budget'!$J$14,'Main Budget'!$G$14,0)</f>
        <v>0</v>
      </c>
      <c r="I84" s="242"/>
      <c r="J84" s="252">
        <f t="shared" si="6"/>
        <v>167.5</v>
      </c>
      <c r="M84" t="str">
        <f t="shared" si="7"/>
        <v>Tuesday</v>
      </c>
    </row>
    <row r="85" spans="1:13" x14ac:dyDescent="0.25">
      <c r="A85" s="241">
        <v>46106</v>
      </c>
      <c r="B85" s="242">
        <f t="shared" si="4"/>
        <v>167.5</v>
      </c>
      <c r="C85" s="242">
        <f>IF(DAY(A85+2)=1,'Main Budget'!$G$39,IF(DAY(A85+2)=15,'Main Budget'!$G$39,0))</f>
        <v>0</v>
      </c>
      <c r="D85" s="242">
        <f t="shared" si="5"/>
        <v>0</v>
      </c>
      <c r="E85" s="242">
        <f>IF(DAY(A85)='Main Budget'!$J$12,('Main Budget'!$G$12),0)</f>
        <v>0</v>
      </c>
      <c r="F85" s="242">
        <f>IF(DAY(A85)='Main Budget'!$J$13,('Main Budget'!$G$13)*2,0)</f>
        <v>0</v>
      </c>
      <c r="G85" s="242"/>
      <c r="H85" s="242">
        <f>IF(DAY(A85)='Main Budget'!$J$14,'Main Budget'!$G$14,0)</f>
        <v>0</v>
      </c>
      <c r="I85" s="242"/>
      <c r="J85" s="252">
        <f t="shared" si="6"/>
        <v>167.5</v>
      </c>
      <c r="M85" t="str">
        <f t="shared" si="7"/>
        <v>Wednesday</v>
      </c>
    </row>
    <row r="86" spans="1:13" x14ac:dyDescent="0.25">
      <c r="A86" s="241">
        <v>46107</v>
      </c>
      <c r="B86" s="242">
        <f t="shared" si="4"/>
        <v>167.5</v>
      </c>
      <c r="C86" s="242">
        <f>IF(DAY(A86+2)=1,'Main Budget'!$G$39,IF(DAY(A86+2)=15,'Main Budget'!$G$39,0))</f>
        <v>0</v>
      </c>
      <c r="D86" s="242">
        <f t="shared" si="5"/>
        <v>0</v>
      </c>
      <c r="E86" s="242">
        <f>IF(DAY(A86)='Main Budget'!$J$12,('Main Budget'!$G$12),0)</f>
        <v>0</v>
      </c>
      <c r="F86" s="242">
        <f>IF(DAY(A86)='Main Budget'!$J$13,('Main Budget'!$G$13)*2,0)</f>
        <v>0</v>
      </c>
      <c r="G86" s="242"/>
      <c r="H86" s="242">
        <f>IF(DAY(A86)='Main Budget'!$J$14,'Main Budget'!$G$14,0)</f>
        <v>0</v>
      </c>
      <c r="I86" s="242"/>
      <c r="J86" s="252">
        <f t="shared" si="6"/>
        <v>167.5</v>
      </c>
      <c r="M86" t="str">
        <f t="shared" si="7"/>
        <v>Thursday</v>
      </c>
    </row>
    <row r="87" spans="1:13" x14ac:dyDescent="0.25">
      <c r="A87" s="241">
        <v>46108</v>
      </c>
      <c r="B87" s="242">
        <f t="shared" si="4"/>
        <v>167.5</v>
      </c>
      <c r="C87" s="242">
        <f>IF(DAY(A87+2)=1,'Main Budget'!$G$39,IF(DAY(A87+2)=15,'Main Budget'!$G$39,0))</f>
        <v>0</v>
      </c>
      <c r="D87" s="242">
        <f t="shared" si="5"/>
        <v>0</v>
      </c>
      <c r="E87" s="242">
        <f>IF(DAY(A87)='Main Budget'!$J$12,('Main Budget'!$G$12),0)</f>
        <v>0</v>
      </c>
      <c r="F87" s="242">
        <f>IF(DAY(A87)='Main Budget'!$J$13,('Main Budget'!$G$13)*2,0)</f>
        <v>0</v>
      </c>
      <c r="G87" s="242"/>
      <c r="H87" s="242">
        <f>IF(DAY(A87)='Main Budget'!$J$14,'Main Budget'!$G$14,0)</f>
        <v>0</v>
      </c>
      <c r="I87" s="242"/>
      <c r="J87" s="252">
        <f t="shared" si="6"/>
        <v>167.5</v>
      </c>
      <c r="M87" t="str">
        <f t="shared" si="7"/>
        <v>Friday</v>
      </c>
    </row>
    <row r="88" spans="1:13" x14ac:dyDescent="0.25">
      <c r="A88" s="241">
        <v>46109</v>
      </c>
      <c r="B88" s="242">
        <f t="shared" si="4"/>
        <v>167.5</v>
      </c>
      <c r="C88" s="242">
        <f>IF(DAY(A88+2)=1,'Main Budget'!$G$39,IF(DAY(A88+2)=15,'Main Budget'!$G$39,0))</f>
        <v>0</v>
      </c>
      <c r="D88" s="242">
        <f t="shared" si="5"/>
        <v>0</v>
      </c>
      <c r="E88" s="242">
        <f>IF(DAY(A88)='Main Budget'!$J$12,('Main Budget'!$G$12),0)</f>
        <v>0</v>
      </c>
      <c r="F88" s="242">
        <f>IF(DAY(A88)='Main Budget'!$J$13,('Main Budget'!$G$13)*2,0)</f>
        <v>0</v>
      </c>
      <c r="G88" s="242"/>
      <c r="H88" s="242">
        <f>IF(DAY(A88)='Main Budget'!$J$14,'Main Budget'!$G$14,0)</f>
        <v>0</v>
      </c>
      <c r="I88" s="242"/>
      <c r="J88" s="252">
        <f t="shared" si="6"/>
        <v>167.5</v>
      </c>
      <c r="M88" t="str">
        <f t="shared" si="7"/>
        <v>Saturday</v>
      </c>
    </row>
    <row r="89" spans="1:13" x14ac:dyDescent="0.25">
      <c r="A89" s="241">
        <v>46110</v>
      </c>
      <c r="B89" s="242">
        <f t="shared" si="4"/>
        <v>167.5</v>
      </c>
      <c r="C89" s="242">
        <f>IF(DAY(A89+2)=1,'Main Budget'!$G$39,IF(DAY(A89+2)=15,'Main Budget'!$G$39,0))</f>
        <v>0</v>
      </c>
      <c r="D89" s="242">
        <f t="shared" si="5"/>
        <v>0</v>
      </c>
      <c r="E89" s="242">
        <f>IF(DAY(A89)='Main Budget'!$J$12,('Main Budget'!$G$12),0)</f>
        <v>0</v>
      </c>
      <c r="F89" s="242">
        <f>IF(DAY(A89)='Main Budget'!$J$13,('Main Budget'!$G$13)*2,0)</f>
        <v>0</v>
      </c>
      <c r="G89" s="242"/>
      <c r="H89" s="242">
        <f>IF(DAY(A89)='Main Budget'!$J$14,'Main Budget'!$G$14,0)</f>
        <v>0</v>
      </c>
      <c r="I89" s="242"/>
      <c r="J89" s="252">
        <f t="shared" si="6"/>
        <v>167.5</v>
      </c>
      <c r="M89" t="str">
        <f t="shared" si="7"/>
        <v>Sunday</v>
      </c>
    </row>
    <row r="90" spans="1:13" x14ac:dyDescent="0.25">
      <c r="A90" s="241">
        <v>46111</v>
      </c>
      <c r="B90" s="242">
        <f t="shared" si="4"/>
        <v>167.5</v>
      </c>
      <c r="C90" s="242">
        <f>IF(DAY(A90+2)=1,'Main Budget'!$G$39,IF(DAY(A90+2)=15,'Main Budget'!$G$39,0))</f>
        <v>0</v>
      </c>
      <c r="D90" s="242">
        <f t="shared" si="5"/>
        <v>0</v>
      </c>
      <c r="E90" s="242">
        <f>IF(DAY(A90)='Main Budget'!$J$12,('Main Budget'!$G$12),0)</f>
        <v>0</v>
      </c>
      <c r="F90" s="242">
        <f>IF(DAY(A90)='Main Budget'!$J$13,('Main Budget'!$G$13)*2,0)</f>
        <v>0</v>
      </c>
      <c r="G90" s="242"/>
      <c r="H90" s="242">
        <f>IF(DAY(A90)='Main Budget'!$J$14,'Main Budget'!$G$14,0)</f>
        <v>0</v>
      </c>
      <c r="I90" s="242"/>
      <c r="J90" s="252">
        <f t="shared" si="6"/>
        <v>167.5</v>
      </c>
      <c r="M90" t="str">
        <f t="shared" si="7"/>
        <v>Monday</v>
      </c>
    </row>
    <row r="91" spans="1:13" x14ac:dyDescent="0.25">
      <c r="A91" s="241">
        <v>46112</v>
      </c>
      <c r="B91" s="242">
        <f t="shared" si="4"/>
        <v>167.5</v>
      </c>
      <c r="C91" s="242">
        <f>IF(DAY(A91+2)=1,'Main Budget'!$G$39,IF(DAY(A91+2)=15,'Main Budget'!$G$39,0))</f>
        <v>0</v>
      </c>
      <c r="D91" s="242">
        <f t="shared" si="5"/>
        <v>0</v>
      </c>
      <c r="E91" s="242">
        <f>IF(DAY(A91)='Main Budget'!$J$12,('Main Budget'!$G$12),0)</f>
        <v>0</v>
      </c>
      <c r="F91" s="242">
        <f>IF(DAY(A91)='Main Budget'!$J$13,('Main Budget'!$G$13)*2,0)</f>
        <v>0</v>
      </c>
      <c r="G91" s="242"/>
      <c r="H91" s="242">
        <f>IF(DAY(A91)='Main Budget'!$J$14,'Main Budget'!$G$14,0)</f>
        <v>0</v>
      </c>
      <c r="I91" s="242"/>
      <c r="J91" s="252">
        <f t="shared" si="6"/>
        <v>167.5</v>
      </c>
      <c r="M91" t="str">
        <f t="shared" si="7"/>
        <v>Tuesday</v>
      </c>
    </row>
    <row r="92" spans="1:13" x14ac:dyDescent="0.25">
      <c r="A92" s="241">
        <v>46113</v>
      </c>
      <c r="B92" s="242">
        <f t="shared" si="4"/>
        <v>167.5</v>
      </c>
      <c r="C92" s="242">
        <f>IF(DAY(A92+2)=1,'Main Budget'!$G$39,IF(DAY(A92+2)=15,'Main Budget'!$G$39,0))</f>
        <v>0</v>
      </c>
      <c r="D92" s="242">
        <f t="shared" si="5"/>
        <v>11.25</v>
      </c>
      <c r="E92" s="242">
        <f>IF(DAY(A92)='Main Budget'!$J$12,('Main Budget'!$G$12),0)</f>
        <v>0</v>
      </c>
      <c r="F92" s="242">
        <f>IF(DAY(A92)='Main Budget'!$J$13,('Main Budget'!$G$13)*2,0)</f>
        <v>0</v>
      </c>
      <c r="G92" s="242"/>
      <c r="H92" s="242">
        <f>IF(DAY(A92)='Main Budget'!$J$14,'Main Budget'!$G$14,0)</f>
        <v>0</v>
      </c>
      <c r="I92" s="242"/>
      <c r="J92" s="252">
        <f t="shared" si="6"/>
        <v>178.75</v>
      </c>
      <c r="M92" t="str">
        <f t="shared" si="7"/>
        <v>Wednesday</v>
      </c>
    </row>
    <row r="93" spans="1:13" x14ac:dyDescent="0.25">
      <c r="A93" s="241">
        <v>46114</v>
      </c>
      <c r="B93" s="242">
        <f t="shared" si="4"/>
        <v>178.75</v>
      </c>
      <c r="C93" s="242">
        <f>IF(DAY(A93+2)=1,'Main Budget'!$G$39,IF(DAY(A93+2)=15,'Main Budget'!$G$39,0))</f>
        <v>0</v>
      </c>
      <c r="D93" s="242">
        <f t="shared" si="5"/>
        <v>0</v>
      </c>
      <c r="E93" s="242">
        <f>IF(DAY(A93)='Main Budget'!$J$12,('Main Budget'!$G$12),0)</f>
        <v>0</v>
      </c>
      <c r="F93" s="242">
        <f>IF(DAY(A93)='Main Budget'!$J$13,('Main Budget'!$G$13)*2,0)</f>
        <v>0</v>
      </c>
      <c r="G93" s="242"/>
      <c r="H93" s="242">
        <f>IF(DAY(A93)='Main Budget'!$J$14,'Main Budget'!$G$14,0)</f>
        <v>0</v>
      </c>
      <c r="I93" s="242"/>
      <c r="J93" s="252">
        <f t="shared" si="6"/>
        <v>178.75</v>
      </c>
      <c r="M93" t="str">
        <f t="shared" si="7"/>
        <v>Thursday</v>
      </c>
    </row>
    <row r="94" spans="1:13" x14ac:dyDescent="0.25">
      <c r="A94" s="241">
        <v>46115</v>
      </c>
      <c r="B94" s="242">
        <f t="shared" si="4"/>
        <v>178.75</v>
      </c>
      <c r="C94" s="242">
        <f>IF(DAY(A94+2)=1,'Main Budget'!$G$39,IF(DAY(A94+2)=15,'Main Budget'!$G$39,0))</f>
        <v>0</v>
      </c>
      <c r="D94" s="242">
        <f t="shared" si="5"/>
        <v>0</v>
      </c>
      <c r="E94" s="242">
        <f>IF(DAY(A94)='Main Budget'!$J$12,('Main Budget'!$G$12),0)</f>
        <v>0</v>
      </c>
      <c r="F94" s="242">
        <f>IF(DAY(A94)='Main Budget'!$J$13,('Main Budget'!$G$13)*2,0)</f>
        <v>0</v>
      </c>
      <c r="G94" s="242"/>
      <c r="H94" s="242">
        <f>IF(DAY(A94)='Main Budget'!$J$14,'Main Budget'!$G$14,0)</f>
        <v>0</v>
      </c>
      <c r="I94" s="242"/>
      <c r="J94" s="252">
        <f t="shared" si="6"/>
        <v>178.75</v>
      </c>
      <c r="M94" t="str">
        <f t="shared" si="7"/>
        <v>Friday</v>
      </c>
    </row>
    <row r="95" spans="1:13" x14ac:dyDescent="0.25">
      <c r="A95" s="241">
        <v>46116</v>
      </c>
      <c r="B95" s="242">
        <f t="shared" si="4"/>
        <v>178.75</v>
      </c>
      <c r="C95" s="242">
        <f>IF(DAY(A95+2)=1,'Main Budget'!$G$39,IF(DAY(A95+2)=15,'Main Budget'!$G$39,0))</f>
        <v>0</v>
      </c>
      <c r="D95" s="242">
        <f t="shared" si="5"/>
        <v>0</v>
      </c>
      <c r="E95" s="242">
        <f>IF(DAY(A95)='Main Budget'!$J$12,('Main Budget'!$G$12),0)</f>
        <v>0</v>
      </c>
      <c r="F95" s="242">
        <f>IF(DAY(A95)='Main Budget'!$J$13,('Main Budget'!$G$13)*2,0)</f>
        <v>0</v>
      </c>
      <c r="G95" s="242"/>
      <c r="H95" s="242">
        <f>IF(DAY(A95)='Main Budget'!$J$14,'Main Budget'!$G$14,0)</f>
        <v>0</v>
      </c>
      <c r="I95" s="242"/>
      <c r="J95" s="252">
        <f t="shared" si="6"/>
        <v>178.75</v>
      </c>
      <c r="M95" t="str">
        <f t="shared" si="7"/>
        <v>Saturday</v>
      </c>
    </row>
    <row r="96" spans="1:13" x14ac:dyDescent="0.25">
      <c r="A96" s="241">
        <v>46117</v>
      </c>
      <c r="B96" s="242">
        <f t="shared" si="4"/>
        <v>178.75</v>
      </c>
      <c r="C96" s="242">
        <f>IF(DAY(A96+2)=1,'Main Budget'!$G$39,IF(DAY(A96+2)=15,'Main Budget'!$G$39,0))</f>
        <v>0</v>
      </c>
      <c r="D96" s="242">
        <f t="shared" si="5"/>
        <v>0</v>
      </c>
      <c r="E96" s="242">
        <f>IF(DAY(A96)='Main Budget'!$J$12,('Main Budget'!$G$12),0)</f>
        <v>0</v>
      </c>
      <c r="F96" s="242">
        <f>IF(DAY(A96)='Main Budget'!$J$13,('Main Budget'!$G$13)*2,0)</f>
        <v>0</v>
      </c>
      <c r="G96" s="242"/>
      <c r="H96" s="242">
        <f>IF(DAY(A96)='Main Budget'!$J$14,'Main Budget'!$G$14,0)</f>
        <v>0</v>
      </c>
      <c r="I96" s="242"/>
      <c r="J96" s="252">
        <f t="shared" si="6"/>
        <v>178.75</v>
      </c>
      <c r="M96" t="str">
        <f t="shared" si="7"/>
        <v>Sunday</v>
      </c>
    </row>
    <row r="97" spans="1:13" x14ac:dyDescent="0.25">
      <c r="A97" s="241">
        <v>46118</v>
      </c>
      <c r="B97" s="242">
        <f t="shared" si="4"/>
        <v>178.75</v>
      </c>
      <c r="C97" s="242">
        <f>IF(DAY(A97+2)=1,'Main Budget'!$G$39,IF(DAY(A97+2)=15,'Main Budget'!$G$39,0))</f>
        <v>0</v>
      </c>
      <c r="D97" s="242">
        <f t="shared" si="5"/>
        <v>0</v>
      </c>
      <c r="E97" s="242">
        <f>IF(DAY(A97)='Main Budget'!$J$12,('Main Budget'!$G$12),0)</f>
        <v>0</v>
      </c>
      <c r="F97" s="242">
        <f>IF(DAY(A97)='Main Budget'!$J$13,('Main Budget'!$G$13)*2,0)</f>
        <v>0</v>
      </c>
      <c r="G97" s="242"/>
      <c r="H97" s="242">
        <f>IF(DAY(A97)='Main Budget'!$J$14,'Main Budget'!$G$14,0)</f>
        <v>0</v>
      </c>
      <c r="I97" s="242"/>
      <c r="J97" s="252">
        <f t="shared" si="6"/>
        <v>178.75</v>
      </c>
      <c r="M97" t="str">
        <f t="shared" si="7"/>
        <v>Monday</v>
      </c>
    </row>
    <row r="98" spans="1:13" x14ac:dyDescent="0.25">
      <c r="A98" s="241">
        <v>46119</v>
      </c>
      <c r="B98" s="242">
        <f t="shared" si="4"/>
        <v>178.75</v>
      </c>
      <c r="C98" s="242">
        <f>IF(DAY(A98+2)=1,'Main Budget'!$G$39,IF(DAY(A98+2)=15,'Main Budget'!$G$39,0))</f>
        <v>0</v>
      </c>
      <c r="D98" s="242">
        <f t="shared" si="5"/>
        <v>0</v>
      </c>
      <c r="E98" s="242">
        <f>IF(DAY(A98)='Main Budget'!$J$12,('Main Budget'!$G$12),0)</f>
        <v>0</v>
      </c>
      <c r="F98" s="242">
        <f>IF(DAY(A98)='Main Budget'!$J$13,('Main Budget'!$G$13)*2,0)</f>
        <v>0</v>
      </c>
      <c r="G98" s="242"/>
      <c r="H98" s="242">
        <f>IF(DAY(A98)='Main Budget'!$J$14,'Main Budget'!$G$14,0)</f>
        <v>0</v>
      </c>
      <c r="I98" s="242"/>
      <c r="J98" s="252">
        <f t="shared" si="6"/>
        <v>178.75</v>
      </c>
      <c r="M98" t="str">
        <f t="shared" si="7"/>
        <v>Tuesday</v>
      </c>
    </row>
    <row r="99" spans="1:13" x14ac:dyDescent="0.25">
      <c r="A99" s="241">
        <v>46120</v>
      </c>
      <c r="B99" s="242">
        <f t="shared" si="4"/>
        <v>178.75</v>
      </c>
      <c r="C99" s="242">
        <f>IF(DAY(A99+2)=1,'Main Budget'!$G$39,IF(DAY(A99+2)=15,'Main Budget'!$G$39,0))</f>
        <v>0</v>
      </c>
      <c r="D99" s="242">
        <f t="shared" si="5"/>
        <v>0</v>
      </c>
      <c r="E99" s="242">
        <f>IF(DAY(A99)='Main Budget'!$J$12,('Main Budget'!$G$12),0)</f>
        <v>0</v>
      </c>
      <c r="F99" s="242">
        <f>IF(DAY(A99)='Main Budget'!$J$13,('Main Budget'!$G$13)*2,0)</f>
        <v>0</v>
      </c>
      <c r="G99" s="242"/>
      <c r="H99" s="242">
        <f>IF(DAY(A99)='Main Budget'!$J$14,'Main Budget'!$G$14,0)</f>
        <v>0</v>
      </c>
      <c r="I99" s="242"/>
      <c r="J99" s="252">
        <f t="shared" si="6"/>
        <v>178.75</v>
      </c>
      <c r="M99" t="str">
        <f t="shared" si="7"/>
        <v>Wednesday</v>
      </c>
    </row>
    <row r="100" spans="1:13" x14ac:dyDescent="0.25">
      <c r="A100" s="241">
        <v>46121</v>
      </c>
      <c r="B100" s="242">
        <f t="shared" si="4"/>
        <v>178.75</v>
      </c>
      <c r="C100" s="242">
        <f>IF(DAY(A100+2)=1,'Main Budget'!$G$39,IF(DAY(A100+2)=15,'Main Budget'!$G$39,0))</f>
        <v>0</v>
      </c>
      <c r="D100" s="242">
        <f t="shared" si="5"/>
        <v>0</v>
      </c>
      <c r="E100" s="242">
        <f>IF(DAY(A100)='Main Budget'!$J$12,('Main Budget'!$G$12),0)</f>
        <v>0</v>
      </c>
      <c r="F100" s="242">
        <f>IF(DAY(A100)='Main Budget'!$J$13,('Main Budget'!$G$13)*2,0)</f>
        <v>0</v>
      </c>
      <c r="G100" s="242"/>
      <c r="H100" s="242">
        <f>IF(DAY(A100)='Main Budget'!$J$14,'Main Budget'!$G$14,0)</f>
        <v>0</v>
      </c>
      <c r="I100" s="242"/>
      <c r="J100" s="252">
        <f t="shared" si="6"/>
        <v>178.75</v>
      </c>
      <c r="M100" t="str">
        <f t="shared" si="7"/>
        <v>Thursday</v>
      </c>
    </row>
    <row r="101" spans="1:13" x14ac:dyDescent="0.25">
      <c r="A101" s="241">
        <v>46122</v>
      </c>
      <c r="B101" s="242">
        <f t="shared" si="4"/>
        <v>178.75</v>
      </c>
      <c r="C101" s="242">
        <f>IF(DAY(A101+2)=1,'Main Budget'!$G$39,IF(DAY(A101+2)=15,'Main Budget'!$G$39,0))</f>
        <v>0</v>
      </c>
      <c r="D101" s="242">
        <f t="shared" si="5"/>
        <v>0</v>
      </c>
      <c r="E101" s="242">
        <f>IF(DAY(A101)='Main Budget'!$J$12,('Main Budget'!$G$12),0)</f>
        <v>0</v>
      </c>
      <c r="F101" s="242">
        <f>IF(DAY(A101)='Main Budget'!$J$13,('Main Budget'!$G$13)*2,0)</f>
        <v>0</v>
      </c>
      <c r="G101" s="242"/>
      <c r="H101" s="242">
        <f>IF(DAY(A101)='Main Budget'!$J$14,'Main Budget'!$G$14,0)</f>
        <v>0</v>
      </c>
      <c r="I101" s="242"/>
      <c r="J101" s="252">
        <f t="shared" si="6"/>
        <v>178.75</v>
      </c>
      <c r="M101" t="str">
        <f t="shared" si="7"/>
        <v>Friday</v>
      </c>
    </row>
    <row r="102" spans="1:13" x14ac:dyDescent="0.25">
      <c r="A102" s="241">
        <v>46123</v>
      </c>
      <c r="B102" s="242">
        <f t="shared" si="4"/>
        <v>178.75</v>
      </c>
      <c r="C102" s="242">
        <f>IF(DAY(A102+2)=1,'Main Budget'!$G$39,IF(DAY(A102+2)=15,'Main Budget'!$G$39,0))</f>
        <v>0</v>
      </c>
      <c r="D102" s="242">
        <f t="shared" si="5"/>
        <v>0</v>
      </c>
      <c r="E102" s="242">
        <f>IF(DAY(A102)='Main Budget'!$J$12,('Main Budget'!$G$12),0)</f>
        <v>0</v>
      </c>
      <c r="F102" s="242">
        <f>IF(DAY(A102)='Main Budget'!$J$13,('Main Budget'!$G$13)*2,0)</f>
        <v>0</v>
      </c>
      <c r="G102" s="242"/>
      <c r="H102" s="242">
        <f>IF(DAY(A102)='Main Budget'!$J$14,'Main Budget'!$G$14,0)</f>
        <v>0</v>
      </c>
      <c r="I102" s="242"/>
      <c r="J102" s="252">
        <f t="shared" si="6"/>
        <v>178.75</v>
      </c>
      <c r="M102" t="str">
        <f t="shared" si="7"/>
        <v>Saturday</v>
      </c>
    </row>
    <row r="103" spans="1:13" x14ac:dyDescent="0.25">
      <c r="A103" s="241">
        <v>46124</v>
      </c>
      <c r="B103" s="242">
        <f t="shared" si="4"/>
        <v>178.75</v>
      </c>
      <c r="C103" s="242">
        <f>IF(DAY(A103+2)=1,'Main Budget'!$G$39,IF(DAY(A103+2)=15,'Main Budget'!$G$39,0))</f>
        <v>0</v>
      </c>
      <c r="D103" s="242">
        <f t="shared" si="5"/>
        <v>0</v>
      </c>
      <c r="E103" s="242">
        <f>IF(DAY(A103)='Main Budget'!$J$12,('Main Budget'!$G$12),0)</f>
        <v>0</v>
      </c>
      <c r="F103" s="242">
        <f>IF(DAY(A103)='Main Budget'!$J$13,('Main Budget'!$G$13)*2,0)</f>
        <v>0</v>
      </c>
      <c r="G103" s="242"/>
      <c r="H103" s="242">
        <f>IF(DAY(A103)='Main Budget'!$J$14,'Main Budget'!$G$14,0)</f>
        <v>0</v>
      </c>
      <c r="I103" s="242"/>
      <c r="J103" s="252">
        <f t="shared" si="6"/>
        <v>178.75</v>
      </c>
      <c r="M103" t="str">
        <f t="shared" si="7"/>
        <v>Sunday</v>
      </c>
    </row>
    <row r="104" spans="1:13" x14ac:dyDescent="0.25">
      <c r="A104" s="241">
        <v>46125</v>
      </c>
      <c r="B104" s="242">
        <f t="shared" si="4"/>
        <v>178.75</v>
      </c>
      <c r="C104" s="242">
        <f>IF(DAY(A104+2)=1,'Main Budget'!$G$39,IF(DAY(A104+2)=15,'Main Budget'!$G$39,0))</f>
        <v>0</v>
      </c>
      <c r="D104" s="242">
        <f t="shared" si="5"/>
        <v>0</v>
      </c>
      <c r="E104" s="242">
        <f>IF(DAY(A104)='Main Budget'!$J$12,('Main Budget'!$G$12),0)</f>
        <v>0</v>
      </c>
      <c r="F104" s="242">
        <f>IF(DAY(A104)='Main Budget'!$J$13,('Main Budget'!$G$13)*2,0)</f>
        <v>0</v>
      </c>
      <c r="G104" s="242"/>
      <c r="H104" s="242">
        <f>IF(DAY(A104)='Main Budget'!$J$14,'Main Budget'!$G$14,0)</f>
        <v>0</v>
      </c>
      <c r="I104" s="242"/>
      <c r="J104" s="252">
        <f t="shared" si="6"/>
        <v>178.75</v>
      </c>
      <c r="M104" t="str">
        <f t="shared" si="7"/>
        <v>Monday</v>
      </c>
    </row>
    <row r="105" spans="1:13" x14ac:dyDescent="0.25">
      <c r="A105" s="241">
        <v>46126</v>
      </c>
      <c r="B105" s="242">
        <f t="shared" si="4"/>
        <v>178.75</v>
      </c>
      <c r="C105" s="242">
        <f>IF(DAY(A105+2)=1,'Main Budget'!$G$39,IF(DAY(A105+2)=15,'Main Budget'!$G$39,0))</f>
        <v>0</v>
      </c>
      <c r="D105" s="242">
        <f t="shared" si="5"/>
        <v>0</v>
      </c>
      <c r="E105" s="242">
        <f>IF(DAY(A105)='Main Budget'!$J$12,('Main Budget'!$G$12),0)</f>
        <v>0</v>
      </c>
      <c r="F105" s="242">
        <f>IF(DAY(A105)='Main Budget'!$J$13,('Main Budget'!$G$13)*2,0)</f>
        <v>0</v>
      </c>
      <c r="G105" s="242"/>
      <c r="H105" s="242">
        <f>IF(DAY(A105)='Main Budget'!$J$14,'Main Budget'!$G$14,0)</f>
        <v>0</v>
      </c>
      <c r="I105" s="242"/>
      <c r="J105" s="252">
        <f t="shared" si="6"/>
        <v>178.75</v>
      </c>
      <c r="M105" t="str">
        <f t="shared" si="7"/>
        <v>Tuesday</v>
      </c>
    </row>
    <row r="106" spans="1:13" x14ac:dyDescent="0.25">
      <c r="A106" s="241">
        <v>46127</v>
      </c>
      <c r="B106" s="242">
        <f t="shared" si="4"/>
        <v>178.75</v>
      </c>
      <c r="C106" s="242">
        <f>IF(DAY(A106+2)=1,'Main Budget'!$G$39,IF(DAY(A106+2)=15,'Main Budget'!$G$39,0))</f>
        <v>0</v>
      </c>
      <c r="D106" s="242">
        <f t="shared" si="5"/>
        <v>11.25</v>
      </c>
      <c r="E106" s="242">
        <f>IF(DAY(A106)='Main Budget'!$J$12,('Main Budget'!$G$12),0)</f>
        <v>0</v>
      </c>
      <c r="F106" s="242">
        <f>IF(DAY(A106)='Main Budget'!$J$13,('Main Budget'!$G$13)*2,0)</f>
        <v>0</v>
      </c>
      <c r="G106" s="242"/>
      <c r="H106" s="242">
        <f>IF(DAY(A106)='Main Budget'!$J$14,'Main Budget'!$G$14,0)</f>
        <v>0</v>
      </c>
      <c r="I106" s="242"/>
      <c r="J106" s="252">
        <f t="shared" si="6"/>
        <v>190</v>
      </c>
      <c r="M106" t="str">
        <f t="shared" si="7"/>
        <v>Wednesday</v>
      </c>
    </row>
    <row r="107" spans="1:13" x14ac:dyDescent="0.25">
      <c r="A107" s="241">
        <v>46128</v>
      </c>
      <c r="B107" s="242">
        <f t="shared" si="4"/>
        <v>190</v>
      </c>
      <c r="C107" s="242">
        <f>IF(DAY(A107+2)=1,'Main Budget'!$G$39,IF(DAY(A107+2)=15,'Main Budget'!$G$39,0))</f>
        <v>0</v>
      </c>
      <c r="D107" s="242">
        <f t="shared" si="5"/>
        <v>0</v>
      </c>
      <c r="E107" s="242">
        <f>IF(DAY(A107)='Main Budget'!$J$12,('Main Budget'!$G$12),0)</f>
        <v>0</v>
      </c>
      <c r="F107" s="242">
        <f>IF(DAY(A107)='Main Budget'!$J$13,('Main Budget'!$G$13)*2,0)</f>
        <v>0</v>
      </c>
      <c r="G107" s="242"/>
      <c r="H107" s="242">
        <f>IF(DAY(A107)='Main Budget'!$J$14,'Main Budget'!$G$14,0)</f>
        <v>0</v>
      </c>
      <c r="I107" s="242"/>
      <c r="J107" s="252">
        <f t="shared" si="6"/>
        <v>190</v>
      </c>
      <c r="M107" t="str">
        <f t="shared" si="7"/>
        <v>Thursday</v>
      </c>
    </row>
    <row r="108" spans="1:13" x14ac:dyDescent="0.25">
      <c r="A108" s="241">
        <v>46129</v>
      </c>
      <c r="B108" s="242">
        <f t="shared" si="4"/>
        <v>190</v>
      </c>
      <c r="C108" s="242">
        <f>IF(DAY(A108+2)=1,'Main Budget'!$G$39,IF(DAY(A108+2)=15,'Main Budget'!$G$39,0))</f>
        <v>0</v>
      </c>
      <c r="D108" s="242">
        <f t="shared" si="5"/>
        <v>0</v>
      </c>
      <c r="E108" s="242">
        <f>IF(DAY(A108)='Main Budget'!$J$12,('Main Budget'!$G$12),0)</f>
        <v>0</v>
      </c>
      <c r="F108" s="242">
        <f>IF(DAY(A108)='Main Budget'!$J$13,('Main Budget'!$G$13)*2,0)</f>
        <v>0</v>
      </c>
      <c r="G108" s="242"/>
      <c r="H108" s="242">
        <f>IF(DAY(A108)='Main Budget'!$J$14,'Main Budget'!$G$14,0)</f>
        <v>0</v>
      </c>
      <c r="I108" s="242"/>
      <c r="J108" s="252">
        <f t="shared" si="6"/>
        <v>190</v>
      </c>
      <c r="M108" t="str">
        <f t="shared" si="7"/>
        <v>Friday</v>
      </c>
    </row>
    <row r="109" spans="1:13" x14ac:dyDescent="0.25">
      <c r="A109" s="241">
        <v>46130</v>
      </c>
      <c r="B109" s="242">
        <f t="shared" si="4"/>
        <v>190</v>
      </c>
      <c r="C109" s="242">
        <f>IF(DAY(A109+2)=1,'Main Budget'!$G$39,IF(DAY(A109+2)=15,'Main Budget'!$G$39,0))</f>
        <v>0</v>
      </c>
      <c r="D109" s="242">
        <f t="shared" si="5"/>
        <v>0</v>
      </c>
      <c r="E109" s="242">
        <f>IF(DAY(A109)='Main Budget'!$J$12,('Main Budget'!$G$12),0)</f>
        <v>0</v>
      </c>
      <c r="F109" s="242">
        <f>IF(DAY(A109)='Main Budget'!$J$13,('Main Budget'!$G$13)*2,0)</f>
        <v>0</v>
      </c>
      <c r="G109" s="242"/>
      <c r="H109" s="242">
        <f>IF(DAY(A109)='Main Budget'!$J$14,'Main Budget'!$G$14,0)</f>
        <v>0</v>
      </c>
      <c r="I109" s="242"/>
      <c r="J109" s="252">
        <f t="shared" si="6"/>
        <v>190</v>
      </c>
      <c r="M109" t="str">
        <f t="shared" si="7"/>
        <v>Saturday</v>
      </c>
    </row>
    <row r="110" spans="1:13" x14ac:dyDescent="0.25">
      <c r="A110" s="241">
        <v>46131</v>
      </c>
      <c r="B110" s="242">
        <f t="shared" si="4"/>
        <v>190</v>
      </c>
      <c r="C110" s="242">
        <f>IF(DAY(A110+2)=1,'Main Budget'!$G$39,IF(DAY(A110+2)=15,'Main Budget'!$G$39,0))</f>
        <v>0</v>
      </c>
      <c r="D110" s="242">
        <f t="shared" si="5"/>
        <v>0</v>
      </c>
      <c r="E110" s="242">
        <f>IF(DAY(A110)='Main Budget'!$J$12,('Main Budget'!$G$12),0)</f>
        <v>0</v>
      </c>
      <c r="F110" s="242">
        <f>IF(DAY(A110)='Main Budget'!$J$13,('Main Budget'!$G$13)*2,0)</f>
        <v>0</v>
      </c>
      <c r="G110" s="242"/>
      <c r="H110" s="242">
        <f>IF(DAY(A110)='Main Budget'!$J$14,'Main Budget'!$G$14,0)</f>
        <v>0</v>
      </c>
      <c r="I110" s="242"/>
      <c r="J110" s="252">
        <f t="shared" si="6"/>
        <v>190</v>
      </c>
      <c r="M110" t="str">
        <f t="shared" si="7"/>
        <v>Sunday</v>
      </c>
    </row>
    <row r="111" spans="1:13" x14ac:dyDescent="0.25">
      <c r="A111" s="241">
        <v>46132</v>
      </c>
      <c r="B111" s="242">
        <f t="shared" si="4"/>
        <v>190</v>
      </c>
      <c r="C111" s="242">
        <f>IF(DAY(A111+2)=1,'Main Budget'!$G$39,IF(DAY(A111+2)=15,'Main Budget'!$G$39,0))</f>
        <v>0</v>
      </c>
      <c r="D111" s="242">
        <f t="shared" si="5"/>
        <v>0</v>
      </c>
      <c r="E111" s="242">
        <f>IF(DAY(A111)='Main Budget'!$J$12,('Main Budget'!$G$12),0)</f>
        <v>0</v>
      </c>
      <c r="F111" s="242">
        <f>IF(DAY(A111)='Main Budget'!$J$13,('Main Budget'!$G$13)*2,0)</f>
        <v>0</v>
      </c>
      <c r="G111" s="242"/>
      <c r="H111" s="242">
        <f>IF(DAY(A111)='Main Budget'!$J$14,'Main Budget'!$G$14,0)</f>
        <v>0</v>
      </c>
      <c r="I111" s="242"/>
      <c r="J111" s="252">
        <f t="shared" si="6"/>
        <v>190</v>
      </c>
      <c r="M111" t="str">
        <f t="shared" si="7"/>
        <v>Monday</v>
      </c>
    </row>
    <row r="112" spans="1:13" x14ac:dyDescent="0.25">
      <c r="A112" s="241">
        <v>46133</v>
      </c>
      <c r="B112" s="242">
        <f t="shared" si="4"/>
        <v>190</v>
      </c>
      <c r="C112" s="242">
        <f>IF(DAY(A112+2)=1,'Main Budget'!$G$39,IF(DAY(A112+2)=15,'Main Budget'!$G$39,0))</f>
        <v>0</v>
      </c>
      <c r="D112" s="242">
        <f t="shared" si="5"/>
        <v>0</v>
      </c>
      <c r="E112" s="242">
        <f>IF(DAY(A112)='Main Budget'!$J$12,('Main Budget'!$G$12),0)</f>
        <v>0</v>
      </c>
      <c r="F112" s="242">
        <f>IF(DAY(A112)='Main Budget'!$J$13,('Main Budget'!$G$13)*2,0)</f>
        <v>0</v>
      </c>
      <c r="G112" s="242"/>
      <c r="H112" s="242">
        <f>IF(DAY(A112)='Main Budget'!$J$14,'Main Budget'!$G$14,0)</f>
        <v>0</v>
      </c>
      <c r="I112" s="242"/>
      <c r="J112" s="252">
        <f t="shared" si="6"/>
        <v>190</v>
      </c>
      <c r="M112" t="str">
        <f t="shared" si="7"/>
        <v>Tuesday</v>
      </c>
    </row>
    <row r="113" spans="1:13" x14ac:dyDescent="0.25">
      <c r="A113" s="241">
        <v>46134</v>
      </c>
      <c r="B113" s="242">
        <f t="shared" si="4"/>
        <v>190</v>
      </c>
      <c r="C113" s="242">
        <f>IF(DAY(A113+2)=1,'Main Budget'!$G$39,IF(DAY(A113+2)=15,'Main Budget'!$G$39,0))</f>
        <v>0</v>
      </c>
      <c r="D113" s="242">
        <f t="shared" si="5"/>
        <v>0</v>
      </c>
      <c r="E113" s="242">
        <f>IF(DAY(A113)='Main Budget'!$J$12,('Main Budget'!$G$12),0)</f>
        <v>0</v>
      </c>
      <c r="F113" s="242">
        <f>IF(DAY(A113)='Main Budget'!$J$13,('Main Budget'!$G$13)*2,0)</f>
        <v>0</v>
      </c>
      <c r="G113" s="242"/>
      <c r="H113" s="242">
        <f>IF(DAY(A113)='Main Budget'!$J$14,'Main Budget'!$G$14,0)</f>
        <v>0</v>
      </c>
      <c r="I113" s="242"/>
      <c r="J113" s="252">
        <f t="shared" si="6"/>
        <v>190</v>
      </c>
      <c r="M113" t="str">
        <f t="shared" si="7"/>
        <v>Wednesday</v>
      </c>
    </row>
    <row r="114" spans="1:13" x14ac:dyDescent="0.25">
      <c r="A114" s="241">
        <v>46135</v>
      </c>
      <c r="B114" s="242">
        <f t="shared" si="4"/>
        <v>190</v>
      </c>
      <c r="C114" s="242">
        <f>IF(DAY(A114+2)=1,'Main Budget'!$G$39,IF(DAY(A114+2)=15,'Main Budget'!$G$39,0))</f>
        <v>0</v>
      </c>
      <c r="D114" s="242">
        <f t="shared" si="5"/>
        <v>0</v>
      </c>
      <c r="E114" s="242">
        <f>IF(DAY(A114)='Main Budget'!$J$12,('Main Budget'!$G$12),0)</f>
        <v>0</v>
      </c>
      <c r="F114" s="242">
        <f>IF(DAY(A114)='Main Budget'!$J$13,('Main Budget'!$G$13)*2,0)</f>
        <v>0</v>
      </c>
      <c r="G114" s="242"/>
      <c r="H114" s="242">
        <f>IF(DAY(A114)='Main Budget'!$J$14,'Main Budget'!$G$14,0)</f>
        <v>0</v>
      </c>
      <c r="I114" s="242"/>
      <c r="J114" s="252">
        <f t="shared" si="6"/>
        <v>190</v>
      </c>
      <c r="M114" t="str">
        <f t="shared" si="7"/>
        <v>Thursday</v>
      </c>
    </row>
    <row r="115" spans="1:13" x14ac:dyDescent="0.25">
      <c r="A115" s="241">
        <v>46136</v>
      </c>
      <c r="B115" s="242">
        <f t="shared" si="4"/>
        <v>190</v>
      </c>
      <c r="C115" s="242">
        <f>IF(DAY(A115+2)=1,'Main Budget'!$G$39,IF(DAY(A115+2)=15,'Main Budget'!$G$39,0))</f>
        <v>0</v>
      </c>
      <c r="D115" s="242">
        <f t="shared" si="5"/>
        <v>0</v>
      </c>
      <c r="E115" s="242">
        <f>IF(DAY(A115)='Main Budget'!$J$12,('Main Budget'!$G$12),0)</f>
        <v>0</v>
      </c>
      <c r="F115" s="242">
        <f>IF(DAY(A115)='Main Budget'!$J$13,('Main Budget'!$G$13)*2,0)</f>
        <v>0</v>
      </c>
      <c r="G115" s="242"/>
      <c r="H115" s="242">
        <f>IF(DAY(A115)='Main Budget'!$J$14,'Main Budget'!$G$14,0)</f>
        <v>0</v>
      </c>
      <c r="I115" s="242"/>
      <c r="J115" s="252">
        <f t="shared" si="6"/>
        <v>190</v>
      </c>
      <c r="M115" t="str">
        <f t="shared" si="7"/>
        <v>Friday</v>
      </c>
    </row>
    <row r="116" spans="1:13" x14ac:dyDescent="0.25">
      <c r="A116" s="241">
        <v>46137</v>
      </c>
      <c r="B116" s="242">
        <f t="shared" si="4"/>
        <v>190</v>
      </c>
      <c r="C116" s="242">
        <f>IF(DAY(A116+2)=1,'Main Budget'!$G$39,IF(DAY(A116+2)=15,'Main Budget'!$G$39,0))</f>
        <v>0</v>
      </c>
      <c r="D116" s="242">
        <f t="shared" si="5"/>
        <v>0</v>
      </c>
      <c r="E116" s="242">
        <f>IF(DAY(A116)='Main Budget'!$J$12,('Main Budget'!$G$12),0)</f>
        <v>0</v>
      </c>
      <c r="F116" s="242">
        <f>IF(DAY(A116)='Main Budget'!$J$13,('Main Budget'!$G$13)*2,0)</f>
        <v>0</v>
      </c>
      <c r="G116" s="242"/>
      <c r="H116" s="242">
        <f>IF(DAY(A116)='Main Budget'!$J$14,'Main Budget'!$G$14,0)</f>
        <v>0</v>
      </c>
      <c r="I116" s="242"/>
      <c r="J116" s="252">
        <f t="shared" si="6"/>
        <v>190</v>
      </c>
      <c r="M116" t="str">
        <f t="shared" si="7"/>
        <v>Saturday</v>
      </c>
    </row>
    <row r="117" spans="1:13" x14ac:dyDescent="0.25">
      <c r="A117" s="241">
        <v>46138</v>
      </c>
      <c r="B117" s="242">
        <f t="shared" si="4"/>
        <v>190</v>
      </c>
      <c r="C117" s="242">
        <f>IF(DAY(A117+2)=1,'Main Budget'!$G$39,IF(DAY(A117+2)=15,'Main Budget'!$G$39,0))</f>
        <v>0</v>
      </c>
      <c r="D117" s="242">
        <f t="shared" si="5"/>
        <v>0</v>
      </c>
      <c r="E117" s="242">
        <f>IF(DAY(A117)='Main Budget'!$J$12,('Main Budget'!$G$12),0)</f>
        <v>0</v>
      </c>
      <c r="F117" s="242">
        <f>IF(DAY(A117)='Main Budget'!$J$13,('Main Budget'!$G$13)*2,0)</f>
        <v>0</v>
      </c>
      <c r="G117" s="242"/>
      <c r="H117" s="242">
        <f>IF(DAY(A117)='Main Budget'!$J$14,'Main Budget'!$G$14,0)</f>
        <v>0</v>
      </c>
      <c r="I117" s="242"/>
      <c r="J117" s="252">
        <f t="shared" si="6"/>
        <v>190</v>
      </c>
      <c r="M117" t="str">
        <f t="shared" si="7"/>
        <v>Sunday</v>
      </c>
    </row>
    <row r="118" spans="1:13" x14ac:dyDescent="0.25">
      <c r="A118" s="241">
        <v>46139</v>
      </c>
      <c r="B118" s="242">
        <f t="shared" si="4"/>
        <v>190</v>
      </c>
      <c r="C118" s="242">
        <f>IF(DAY(A118+2)=1,'Main Budget'!$G$39,IF(DAY(A118+2)=15,'Main Budget'!$G$39,0))</f>
        <v>0</v>
      </c>
      <c r="D118" s="242">
        <f t="shared" si="5"/>
        <v>0</v>
      </c>
      <c r="E118" s="242">
        <f>IF(DAY(A118)='Main Budget'!$J$12,('Main Budget'!$G$12),0)</f>
        <v>0</v>
      </c>
      <c r="F118" s="242">
        <f>IF(DAY(A118)='Main Budget'!$J$13,('Main Budget'!$G$13)*2,0)</f>
        <v>0</v>
      </c>
      <c r="G118" s="242"/>
      <c r="H118" s="242">
        <f>IF(DAY(A118)='Main Budget'!$J$14,'Main Budget'!$G$14,0)</f>
        <v>0</v>
      </c>
      <c r="I118" s="242"/>
      <c r="J118" s="252">
        <f t="shared" si="6"/>
        <v>190</v>
      </c>
      <c r="M118" t="str">
        <f t="shared" si="7"/>
        <v>Monday</v>
      </c>
    </row>
    <row r="119" spans="1:13" x14ac:dyDescent="0.25">
      <c r="A119" s="241">
        <v>46140</v>
      </c>
      <c r="B119" s="242">
        <f t="shared" si="4"/>
        <v>190</v>
      </c>
      <c r="C119" s="242">
        <f>IF(DAY(A119+2)=1,'Main Budget'!$G$39,IF(DAY(A119+2)=15,'Main Budget'!$G$39,0))</f>
        <v>0</v>
      </c>
      <c r="D119" s="242">
        <f t="shared" si="5"/>
        <v>0</v>
      </c>
      <c r="E119" s="242">
        <f>IF(DAY(A119)='Main Budget'!$J$12,('Main Budget'!$G$12),0)</f>
        <v>0</v>
      </c>
      <c r="F119" s="242">
        <f>IF(DAY(A119)='Main Budget'!$J$13,('Main Budget'!$G$13)*2,0)</f>
        <v>0</v>
      </c>
      <c r="G119" s="242"/>
      <c r="H119" s="242">
        <f>IF(DAY(A119)='Main Budget'!$J$14,'Main Budget'!$G$14,0)</f>
        <v>0</v>
      </c>
      <c r="I119" s="242"/>
      <c r="J119" s="252">
        <f t="shared" si="6"/>
        <v>190</v>
      </c>
      <c r="M119" t="str">
        <f t="shared" si="7"/>
        <v>Tuesday</v>
      </c>
    </row>
    <row r="120" spans="1:13" x14ac:dyDescent="0.25">
      <c r="A120" s="241">
        <v>46141</v>
      </c>
      <c r="B120" s="242">
        <f t="shared" si="4"/>
        <v>190</v>
      </c>
      <c r="C120" s="242">
        <f>IF(DAY(A120+2)=1,'Main Budget'!$G$39,IF(DAY(A120+2)=15,'Main Budget'!$G$39,0))</f>
        <v>0</v>
      </c>
      <c r="D120" s="242">
        <f t="shared" si="5"/>
        <v>0</v>
      </c>
      <c r="E120" s="242">
        <f>IF(DAY(A120)='Main Budget'!$J$12,('Main Budget'!$G$12),0)</f>
        <v>0</v>
      </c>
      <c r="F120" s="242">
        <f>IF(DAY(A120)='Main Budget'!$J$13,('Main Budget'!$G$13)*2,0)</f>
        <v>0</v>
      </c>
      <c r="G120" s="242"/>
      <c r="H120" s="242">
        <f>IF(DAY(A120)='Main Budget'!$J$14,'Main Budget'!$G$14,0)</f>
        <v>0</v>
      </c>
      <c r="I120" s="242"/>
      <c r="J120" s="252">
        <f t="shared" si="6"/>
        <v>190</v>
      </c>
      <c r="M120" t="str">
        <f t="shared" si="7"/>
        <v>Wednesday</v>
      </c>
    </row>
    <row r="121" spans="1:13" x14ac:dyDescent="0.25">
      <c r="A121" s="241">
        <v>46142</v>
      </c>
      <c r="B121" s="242">
        <f t="shared" si="4"/>
        <v>190</v>
      </c>
      <c r="C121" s="242">
        <f>IF(DAY(A121+2)=1,'Main Budget'!$G$39,IF(DAY(A121+2)=15,'Main Budget'!$G$39,0))</f>
        <v>0</v>
      </c>
      <c r="D121" s="242">
        <f t="shared" si="5"/>
        <v>0</v>
      </c>
      <c r="E121" s="242">
        <f>IF(DAY(A121)='Main Budget'!$J$12,('Main Budget'!$G$12),0)</f>
        <v>0</v>
      </c>
      <c r="F121" s="242">
        <f>IF(DAY(A121)='Main Budget'!$J$13,('Main Budget'!$G$13)*2,0)</f>
        <v>0</v>
      </c>
      <c r="G121" s="242"/>
      <c r="H121" s="242">
        <f>IF(DAY(A121)='Main Budget'!$J$14,'Main Budget'!$G$14,0)</f>
        <v>0</v>
      </c>
      <c r="I121" s="242"/>
      <c r="J121" s="252">
        <f t="shared" si="6"/>
        <v>190</v>
      </c>
      <c r="M121" t="str">
        <f t="shared" si="7"/>
        <v>Thursday</v>
      </c>
    </row>
    <row r="122" spans="1:13" x14ac:dyDescent="0.25">
      <c r="A122" s="241">
        <v>46143</v>
      </c>
      <c r="B122" s="242">
        <f t="shared" si="4"/>
        <v>190</v>
      </c>
      <c r="C122" s="242">
        <f>IF(DAY(A122+2)=1,'Main Budget'!$G$39,IF(DAY(A122+2)=15,'Main Budget'!$G$39,0))</f>
        <v>0</v>
      </c>
      <c r="D122" s="242">
        <f t="shared" si="5"/>
        <v>11.25</v>
      </c>
      <c r="E122" s="242">
        <f>IF(DAY(A122)='Main Budget'!$J$12,('Main Budget'!$G$12),0)</f>
        <v>0</v>
      </c>
      <c r="F122" s="242">
        <f>IF(DAY(A122)='Main Budget'!$J$13,('Main Budget'!$G$13)*2,0)</f>
        <v>0</v>
      </c>
      <c r="G122" s="242"/>
      <c r="H122" s="242">
        <f>IF(DAY(A122)='Main Budget'!$J$14,'Main Budget'!$G$14,0)</f>
        <v>0</v>
      </c>
      <c r="I122" s="242"/>
      <c r="J122" s="252">
        <f t="shared" si="6"/>
        <v>201.25</v>
      </c>
      <c r="M122" t="str">
        <f t="shared" si="7"/>
        <v>Friday</v>
      </c>
    </row>
    <row r="123" spans="1:13" x14ac:dyDescent="0.25">
      <c r="A123" s="241">
        <v>46144</v>
      </c>
      <c r="B123" s="242">
        <f t="shared" si="4"/>
        <v>201.25</v>
      </c>
      <c r="C123" s="242">
        <f>IF(DAY(A123+2)=1,'Main Budget'!$G$39,IF(DAY(A123+2)=15,'Main Budget'!$G$39,0))</f>
        <v>0</v>
      </c>
      <c r="D123" s="242">
        <f t="shared" si="5"/>
        <v>0</v>
      </c>
      <c r="E123" s="242">
        <f>IF(DAY(A123)='Main Budget'!$J$12,('Main Budget'!$G$12),0)</f>
        <v>0</v>
      </c>
      <c r="F123" s="242">
        <f>IF(DAY(A123)='Main Budget'!$J$13,('Main Budget'!$G$13)*2,0)</f>
        <v>0</v>
      </c>
      <c r="G123" s="242"/>
      <c r="H123" s="242">
        <f>IF(DAY(A123)='Main Budget'!$J$14,'Main Budget'!$G$14,0)</f>
        <v>0</v>
      </c>
      <c r="I123" s="242"/>
      <c r="J123" s="252">
        <f t="shared" si="6"/>
        <v>201.25</v>
      </c>
      <c r="M123" t="str">
        <f t="shared" si="7"/>
        <v>Saturday</v>
      </c>
    </row>
    <row r="124" spans="1:13" x14ac:dyDescent="0.25">
      <c r="A124" s="241">
        <v>46145</v>
      </c>
      <c r="B124" s="242">
        <f t="shared" si="4"/>
        <v>201.25</v>
      </c>
      <c r="C124" s="242">
        <f>IF(DAY(A124+2)=1,'Main Budget'!$G$39,IF(DAY(A124+2)=15,'Main Budget'!$G$39,0))</f>
        <v>0</v>
      </c>
      <c r="D124" s="242">
        <f t="shared" si="5"/>
        <v>0</v>
      </c>
      <c r="E124" s="242">
        <f>IF(DAY(A124)='Main Budget'!$J$12,('Main Budget'!$G$12),0)</f>
        <v>0</v>
      </c>
      <c r="F124" s="242">
        <f>IF(DAY(A124)='Main Budget'!$J$13,('Main Budget'!$G$13)*2,0)</f>
        <v>0</v>
      </c>
      <c r="G124" s="242"/>
      <c r="H124" s="242">
        <f>IF(DAY(A124)='Main Budget'!$J$14,'Main Budget'!$G$14,0)</f>
        <v>0</v>
      </c>
      <c r="I124" s="242"/>
      <c r="J124" s="252">
        <f t="shared" si="6"/>
        <v>201.25</v>
      </c>
      <c r="M124" t="str">
        <f t="shared" si="7"/>
        <v>Sunday</v>
      </c>
    </row>
    <row r="125" spans="1:13" x14ac:dyDescent="0.25">
      <c r="A125" s="241">
        <v>46146</v>
      </c>
      <c r="B125" s="242">
        <f t="shared" si="4"/>
        <v>201.25</v>
      </c>
      <c r="C125" s="242">
        <f>IF(DAY(A125+2)=1,'Main Budget'!$G$39,IF(DAY(A125+2)=15,'Main Budget'!$G$39,0))</f>
        <v>0</v>
      </c>
      <c r="D125" s="242">
        <f t="shared" si="5"/>
        <v>0</v>
      </c>
      <c r="E125" s="242">
        <f>IF(DAY(A125)='Main Budget'!$J$12,('Main Budget'!$G$12),0)</f>
        <v>0</v>
      </c>
      <c r="F125" s="242">
        <f>IF(DAY(A125)='Main Budget'!$J$13,('Main Budget'!$G$13)*2,0)</f>
        <v>0</v>
      </c>
      <c r="G125" s="242"/>
      <c r="H125" s="242">
        <f>IF(DAY(A125)='Main Budget'!$J$14,'Main Budget'!$G$14,0)</f>
        <v>0</v>
      </c>
      <c r="I125" s="242"/>
      <c r="J125" s="252">
        <f t="shared" si="6"/>
        <v>201.25</v>
      </c>
      <c r="M125" t="str">
        <f t="shared" si="7"/>
        <v>Monday</v>
      </c>
    </row>
    <row r="126" spans="1:13" x14ac:dyDescent="0.25">
      <c r="A126" s="241">
        <v>46147</v>
      </c>
      <c r="B126" s="242">
        <f t="shared" si="4"/>
        <v>201.25</v>
      </c>
      <c r="C126" s="242">
        <f>IF(DAY(A126+2)=1,'Main Budget'!$G$39,IF(DAY(A126+2)=15,'Main Budget'!$G$39,0))</f>
        <v>0</v>
      </c>
      <c r="D126" s="242">
        <f t="shared" si="5"/>
        <v>0</v>
      </c>
      <c r="E126" s="242">
        <f>IF(DAY(A126)='Main Budget'!$J$12,('Main Budget'!$G$12),0)</f>
        <v>0</v>
      </c>
      <c r="F126" s="242">
        <f>IF(DAY(A126)='Main Budget'!$J$13,('Main Budget'!$G$13)*2,0)</f>
        <v>0</v>
      </c>
      <c r="G126" s="242"/>
      <c r="H126" s="242">
        <f>IF(DAY(A126)='Main Budget'!$J$14,'Main Budget'!$G$14,0)</f>
        <v>0</v>
      </c>
      <c r="I126" s="242"/>
      <c r="J126" s="252">
        <f t="shared" si="6"/>
        <v>201.25</v>
      </c>
      <c r="M126" t="str">
        <f t="shared" si="7"/>
        <v>Tuesday</v>
      </c>
    </row>
    <row r="127" spans="1:13" x14ac:dyDescent="0.25">
      <c r="A127" s="241">
        <v>46148</v>
      </c>
      <c r="B127" s="242">
        <f t="shared" si="4"/>
        <v>201.25</v>
      </c>
      <c r="C127" s="242">
        <f>IF(DAY(A127+2)=1,'Main Budget'!$G$39,IF(DAY(A127+2)=15,'Main Budget'!$G$39,0))</f>
        <v>0</v>
      </c>
      <c r="D127" s="242">
        <f t="shared" si="5"/>
        <v>0</v>
      </c>
      <c r="E127" s="242">
        <f>IF(DAY(A127)='Main Budget'!$J$12,('Main Budget'!$G$12),0)</f>
        <v>0</v>
      </c>
      <c r="F127" s="242">
        <f>IF(DAY(A127)='Main Budget'!$J$13,('Main Budget'!$G$13)*2,0)</f>
        <v>0</v>
      </c>
      <c r="G127" s="242"/>
      <c r="H127" s="242">
        <f>IF(DAY(A127)='Main Budget'!$J$14,'Main Budget'!$G$14,0)</f>
        <v>0</v>
      </c>
      <c r="I127" s="242"/>
      <c r="J127" s="252">
        <f t="shared" si="6"/>
        <v>201.25</v>
      </c>
      <c r="M127" t="str">
        <f t="shared" si="7"/>
        <v>Wednesday</v>
      </c>
    </row>
    <row r="128" spans="1:13" x14ac:dyDescent="0.25">
      <c r="A128" s="241">
        <v>46149</v>
      </c>
      <c r="B128" s="242">
        <f t="shared" si="4"/>
        <v>201.25</v>
      </c>
      <c r="C128" s="242">
        <f>IF(DAY(A128+2)=1,'Main Budget'!$G$39,IF(DAY(A128+2)=15,'Main Budget'!$G$39,0))</f>
        <v>0</v>
      </c>
      <c r="D128" s="242">
        <f t="shared" si="5"/>
        <v>0</v>
      </c>
      <c r="E128" s="242">
        <f>IF(DAY(A128)='Main Budget'!$J$12,('Main Budget'!$G$12),0)</f>
        <v>0</v>
      </c>
      <c r="F128" s="242">
        <f>IF(DAY(A128)='Main Budget'!$J$13,('Main Budget'!$G$13)*2,0)</f>
        <v>0</v>
      </c>
      <c r="G128" s="242"/>
      <c r="H128" s="242">
        <f>IF(DAY(A128)='Main Budget'!$J$14,'Main Budget'!$G$14,0)</f>
        <v>0</v>
      </c>
      <c r="I128" s="242"/>
      <c r="J128" s="252">
        <f t="shared" si="6"/>
        <v>201.25</v>
      </c>
      <c r="M128" t="str">
        <f t="shared" si="7"/>
        <v>Thursday</v>
      </c>
    </row>
    <row r="129" spans="1:13" x14ac:dyDescent="0.25">
      <c r="A129" s="241">
        <v>46150</v>
      </c>
      <c r="B129" s="242">
        <f t="shared" si="4"/>
        <v>201.25</v>
      </c>
      <c r="C129" s="242">
        <f>IF(DAY(A129+2)=1,'Main Budget'!$G$39,IF(DAY(A129+2)=15,'Main Budget'!$G$39,0))</f>
        <v>0</v>
      </c>
      <c r="D129" s="242">
        <f t="shared" si="5"/>
        <v>0</v>
      </c>
      <c r="E129" s="242">
        <f>IF(DAY(A129)='Main Budget'!$J$12,('Main Budget'!$G$12),0)</f>
        <v>0</v>
      </c>
      <c r="F129" s="242">
        <f>IF(DAY(A129)='Main Budget'!$J$13,('Main Budget'!$G$13)*2,0)</f>
        <v>0</v>
      </c>
      <c r="G129" s="242"/>
      <c r="H129" s="242">
        <f>IF(DAY(A129)='Main Budget'!$J$14,'Main Budget'!$G$14,0)</f>
        <v>0</v>
      </c>
      <c r="I129" s="242"/>
      <c r="J129" s="252">
        <f t="shared" si="6"/>
        <v>201.25</v>
      </c>
      <c r="M129" t="str">
        <f t="shared" si="7"/>
        <v>Friday</v>
      </c>
    </row>
    <row r="130" spans="1:13" x14ac:dyDescent="0.25">
      <c r="A130" s="241">
        <v>46151</v>
      </c>
      <c r="B130" s="242">
        <f t="shared" si="4"/>
        <v>201.25</v>
      </c>
      <c r="C130" s="242">
        <f>IF(DAY(A130+2)=1,'Main Budget'!$G$39,IF(DAY(A130+2)=15,'Main Budget'!$G$39,0))</f>
        <v>0</v>
      </c>
      <c r="D130" s="242">
        <f t="shared" si="5"/>
        <v>0</v>
      </c>
      <c r="E130" s="242">
        <f>IF(DAY(A130)='Main Budget'!$J$12,('Main Budget'!$G$12),0)</f>
        <v>0</v>
      </c>
      <c r="F130" s="242">
        <f>IF(DAY(A130)='Main Budget'!$J$13,('Main Budget'!$G$13)*2,0)</f>
        <v>0</v>
      </c>
      <c r="G130" s="242"/>
      <c r="H130" s="242">
        <f>IF(DAY(A130)='Main Budget'!$J$14,'Main Budget'!$G$14,0)</f>
        <v>0</v>
      </c>
      <c r="I130" s="242"/>
      <c r="J130" s="252">
        <f t="shared" si="6"/>
        <v>201.25</v>
      </c>
      <c r="M130" t="str">
        <f t="shared" si="7"/>
        <v>Saturday</v>
      </c>
    </row>
    <row r="131" spans="1:13" x14ac:dyDescent="0.25">
      <c r="A131" s="241">
        <v>46152</v>
      </c>
      <c r="B131" s="242">
        <f t="shared" si="4"/>
        <v>201.25</v>
      </c>
      <c r="C131" s="242">
        <f>IF(DAY(A131+2)=1,'Main Budget'!$G$39,IF(DAY(A131+2)=15,'Main Budget'!$G$39,0))</f>
        <v>0</v>
      </c>
      <c r="D131" s="242">
        <f t="shared" si="5"/>
        <v>0</v>
      </c>
      <c r="E131" s="242">
        <f>IF(DAY(A131)='Main Budget'!$J$12,('Main Budget'!$G$12),0)</f>
        <v>0</v>
      </c>
      <c r="F131" s="242">
        <f>IF(DAY(A131)='Main Budget'!$J$13,('Main Budget'!$G$13)*2,0)</f>
        <v>0</v>
      </c>
      <c r="G131" s="242"/>
      <c r="H131" s="242">
        <f>IF(DAY(A131)='Main Budget'!$J$14,'Main Budget'!$G$14,0)</f>
        <v>0</v>
      </c>
      <c r="I131" s="242"/>
      <c r="J131" s="252">
        <f t="shared" si="6"/>
        <v>201.25</v>
      </c>
      <c r="M131" t="str">
        <f t="shared" si="7"/>
        <v>Sunday</v>
      </c>
    </row>
    <row r="132" spans="1:13" x14ac:dyDescent="0.25">
      <c r="A132" s="241">
        <v>46153</v>
      </c>
      <c r="B132" s="242">
        <f t="shared" si="4"/>
        <v>201.25</v>
      </c>
      <c r="C132" s="242">
        <f>IF(DAY(A132+2)=1,'Main Budget'!$G$39,IF(DAY(A132+2)=15,'Main Budget'!$G$39,0))</f>
        <v>0</v>
      </c>
      <c r="D132" s="242">
        <f t="shared" si="5"/>
        <v>0</v>
      </c>
      <c r="E132" s="242">
        <f>IF(DAY(A132)='Main Budget'!$J$12,('Main Budget'!$G$12),0)</f>
        <v>0</v>
      </c>
      <c r="F132" s="242">
        <f>IF(DAY(A132)='Main Budget'!$J$13,('Main Budget'!$G$13)*2,0)</f>
        <v>0</v>
      </c>
      <c r="G132" s="242"/>
      <c r="H132" s="242">
        <f>IF(DAY(A132)='Main Budget'!$J$14,'Main Budget'!$G$14,0)</f>
        <v>0</v>
      </c>
      <c r="I132" s="242"/>
      <c r="J132" s="252">
        <f t="shared" si="6"/>
        <v>201.25</v>
      </c>
      <c r="M132" t="str">
        <f t="shared" si="7"/>
        <v>Monday</v>
      </c>
    </row>
    <row r="133" spans="1:13" x14ac:dyDescent="0.25">
      <c r="A133" s="241">
        <v>46154</v>
      </c>
      <c r="B133" s="242">
        <f t="shared" si="4"/>
        <v>201.25</v>
      </c>
      <c r="C133" s="242">
        <f>IF(DAY(A133+2)=1,'Main Budget'!$G$39,IF(DAY(A133+2)=15,'Main Budget'!$G$39,0))</f>
        <v>0</v>
      </c>
      <c r="D133" s="242">
        <f t="shared" si="5"/>
        <v>0</v>
      </c>
      <c r="E133" s="242">
        <f>IF(DAY(A133)='Main Budget'!$J$12,('Main Budget'!$G$12),0)</f>
        <v>0</v>
      </c>
      <c r="F133" s="242">
        <f>IF(DAY(A133)='Main Budget'!$J$13,('Main Budget'!$G$13)*2,0)</f>
        <v>0</v>
      </c>
      <c r="G133" s="242"/>
      <c r="H133" s="242">
        <f>IF(DAY(A133)='Main Budget'!$J$14,'Main Budget'!$G$14,0)</f>
        <v>0</v>
      </c>
      <c r="I133" s="242"/>
      <c r="J133" s="252">
        <f t="shared" si="6"/>
        <v>201.25</v>
      </c>
      <c r="M133" t="str">
        <f t="shared" si="7"/>
        <v>Tuesday</v>
      </c>
    </row>
    <row r="134" spans="1:13" x14ac:dyDescent="0.25">
      <c r="A134" s="241">
        <v>46155</v>
      </c>
      <c r="B134" s="242">
        <f t="shared" si="4"/>
        <v>201.25</v>
      </c>
      <c r="C134" s="242">
        <f>IF(DAY(A134+2)=1,'Main Budget'!$G$39,IF(DAY(A134+2)=15,'Main Budget'!$G$39,0))</f>
        <v>0</v>
      </c>
      <c r="D134" s="242">
        <f t="shared" si="5"/>
        <v>0</v>
      </c>
      <c r="E134" s="242">
        <f>IF(DAY(A134)='Main Budget'!$J$12,('Main Budget'!$G$12),0)</f>
        <v>0</v>
      </c>
      <c r="F134" s="242">
        <f>IF(DAY(A134)='Main Budget'!$J$13,('Main Budget'!$G$13)*2,0)</f>
        <v>0</v>
      </c>
      <c r="G134" s="242"/>
      <c r="H134" s="242">
        <f>IF(DAY(A134)='Main Budget'!$J$14,'Main Budget'!$G$14,0)</f>
        <v>0</v>
      </c>
      <c r="I134" s="242"/>
      <c r="J134" s="252">
        <f t="shared" si="6"/>
        <v>201.25</v>
      </c>
      <c r="M134" t="str">
        <f t="shared" si="7"/>
        <v>Wednesday</v>
      </c>
    </row>
    <row r="135" spans="1:13" x14ac:dyDescent="0.25">
      <c r="A135" s="241">
        <v>46156</v>
      </c>
      <c r="B135" s="242">
        <f t="shared" si="4"/>
        <v>201.25</v>
      </c>
      <c r="C135" s="242">
        <f>IF(DAY(A135+2)=1,'Main Budget'!$G$39,IF(DAY(A135+2)=15,'Main Budget'!$G$39,0))</f>
        <v>0</v>
      </c>
      <c r="D135" s="242">
        <f t="shared" si="5"/>
        <v>0</v>
      </c>
      <c r="E135" s="242">
        <f>IF(DAY(A135)='Main Budget'!$J$12,('Main Budget'!$G$12),0)</f>
        <v>0</v>
      </c>
      <c r="F135" s="242">
        <f>IF(DAY(A135)='Main Budget'!$J$13,('Main Budget'!$G$13)*2,0)</f>
        <v>0</v>
      </c>
      <c r="G135" s="242"/>
      <c r="H135" s="242">
        <f>IF(DAY(A135)='Main Budget'!$J$14,'Main Budget'!$G$14,0)</f>
        <v>0</v>
      </c>
      <c r="I135" s="242"/>
      <c r="J135" s="252">
        <f t="shared" si="6"/>
        <v>201.25</v>
      </c>
      <c r="M135" t="str">
        <f t="shared" si="7"/>
        <v>Thursday</v>
      </c>
    </row>
    <row r="136" spans="1:13" x14ac:dyDescent="0.25">
      <c r="A136" s="241">
        <v>46157</v>
      </c>
      <c r="B136" s="242">
        <f t="shared" si="4"/>
        <v>201.25</v>
      </c>
      <c r="C136" s="242">
        <f>IF(DAY(A136+2)=1,'Main Budget'!$G$39,IF(DAY(A136+2)=15,'Main Budget'!$G$39,0))</f>
        <v>0</v>
      </c>
      <c r="D136" s="242">
        <f t="shared" si="5"/>
        <v>11.25</v>
      </c>
      <c r="E136" s="242">
        <f>IF(DAY(A136)='Main Budget'!$J$12,('Main Budget'!$G$12),0)</f>
        <v>0</v>
      </c>
      <c r="F136" s="242">
        <f>IF(DAY(A136)='Main Budget'!$J$13,('Main Budget'!$G$13)*2,0)</f>
        <v>0</v>
      </c>
      <c r="G136" s="242"/>
      <c r="H136" s="242">
        <f>IF(DAY(A136)='Main Budget'!$J$14,'Main Budget'!$G$14,0)</f>
        <v>0</v>
      </c>
      <c r="I136" s="242"/>
      <c r="J136" s="252">
        <f t="shared" si="6"/>
        <v>212.5</v>
      </c>
      <c r="M136" t="str">
        <f t="shared" si="7"/>
        <v>Friday</v>
      </c>
    </row>
    <row r="137" spans="1:13" x14ac:dyDescent="0.25">
      <c r="A137" s="241">
        <v>46158</v>
      </c>
      <c r="B137" s="242">
        <f t="shared" si="4"/>
        <v>212.5</v>
      </c>
      <c r="C137" s="242">
        <f>IF(DAY(A137+2)=1,'Main Budget'!$G$39,IF(DAY(A137+2)=15,'Main Budget'!$G$39,0))</f>
        <v>0</v>
      </c>
      <c r="D137" s="242">
        <f t="shared" si="5"/>
        <v>0</v>
      </c>
      <c r="E137" s="242">
        <f>IF(DAY(A137)='Main Budget'!$J$12,('Main Budget'!$G$12),0)</f>
        <v>0</v>
      </c>
      <c r="F137" s="242">
        <f>IF(DAY(A137)='Main Budget'!$J$13,('Main Budget'!$G$13)*2,0)</f>
        <v>0</v>
      </c>
      <c r="G137" s="242"/>
      <c r="H137" s="242">
        <f>IF(DAY(A137)='Main Budget'!$J$14,'Main Budget'!$G$14,0)</f>
        <v>0</v>
      </c>
      <c r="I137" s="242"/>
      <c r="J137" s="252">
        <f t="shared" si="6"/>
        <v>212.5</v>
      </c>
      <c r="M137" t="str">
        <f t="shared" si="7"/>
        <v>Saturday</v>
      </c>
    </row>
    <row r="138" spans="1:13" x14ac:dyDescent="0.25">
      <c r="A138" s="241">
        <v>46159</v>
      </c>
      <c r="B138" s="242">
        <f t="shared" si="4"/>
        <v>212.5</v>
      </c>
      <c r="C138" s="242">
        <f>IF(DAY(A138+2)=1,'Main Budget'!$G$39,IF(DAY(A138+2)=15,'Main Budget'!$G$39,0))</f>
        <v>0</v>
      </c>
      <c r="D138" s="242">
        <f t="shared" si="5"/>
        <v>0</v>
      </c>
      <c r="E138" s="242">
        <f>IF(DAY(A138)='Main Budget'!$J$12,('Main Budget'!$G$12),0)</f>
        <v>0</v>
      </c>
      <c r="F138" s="242">
        <f>IF(DAY(A138)='Main Budget'!$J$13,('Main Budget'!$G$13)*2,0)</f>
        <v>0</v>
      </c>
      <c r="G138" s="242"/>
      <c r="H138" s="242">
        <f>IF(DAY(A138)='Main Budget'!$J$14,'Main Budget'!$G$14,0)</f>
        <v>0</v>
      </c>
      <c r="I138" s="242"/>
      <c r="J138" s="252">
        <f t="shared" si="6"/>
        <v>212.5</v>
      </c>
      <c r="M138" t="str">
        <f t="shared" si="7"/>
        <v>Sunday</v>
      </c>
    </row>
    <row r="139" spans="1:13" x14ac:dyDescent="0.25">
      <c r="A139" s="241">
        <v>46160</v>
      </c>
      <c r="B139" s="242">
        <f t="shared" si="4"/>
        <v>212.5</v>
      </c>
      <c r="C139" s="242">
        <f>IF(DAY(A139+2)=1,'Main Budget'!$G$39,IF(DAY(A139+2)=15,'Main Budget'!$G$39,0))</f>
        <v>0</v>
      </c>
      <c r="D139" s="242">
        <f t="shared" si="5"/>
        <v>0</v>
      </c>
      <c r="E139" s="242">
        <f>IF(DAY(A139)='Main Budget'!$J$12,('Main Budget'!$G$12),0)</f>
        <v>0</v>
      </c>
      <c r="F139" s="242">
        <f>IF(DAY(A139)='Main Budget'!$J$13,('Main Budget'!$G$13)*2,0)</f>
        <v>0</v>
      </c>
      <c r="G139" s="242"/>
      <c r="H139" s="242">
        <f>IF(DAY(A139)='Main Budget'!$J$14,'Main Budget'!$G$14,0)</f>
        <v>0</v>
      </c>
      <c r="I139" s="242"/>
      <c r="J139" s="252">
        <f t="shared" si="6"/>
        <v>212.5</v>
      </c>
      <c r="M139" t="str">
        <f t="shared" si="7"/>
        <v>Monday</v>
      </c>
    </row>
    <row r="140" spans="1:13" x14ac:dyDescent="0.25">
      <c r="A140" s="241">
        <v>46161</v>
      </c>
      <c r="B140" s="242">
        <f t="shared" si="4"/>
        <v>212.5</v>
      </c>
      <c r="C140" s="242">
        <f>IF(DAY(A140+2)=1,'Main Budget'!$G$39,IF(DAY(A140+2)=15,'Main Budget'!$G$39,0))</f>
        <v>0</v>
      </c>
      <c r="D140" s="242">
        <f t="shared" si="5"/>
        <v>0</v>
      </c>
      <c r="E140" s="242">
        <f>IF(DAY(A140)='Main Budget'!$J$12,('Main Budget'!$G$12),0)</f>
        <v>0</v>
      </c>
      <c r="F140" s="242">
        <f>IF(DAY(A140)='Main Budget'!$J$13,('Main Budget'!$G$13)*2,0)</f>
        <v>0</v>
      </c>
      <c r="G140" s="242"/>
      <c r="H140" s="242">
        <f>IF(DAY(A140)='Main Budget'!$J$14,'Main Budget'!$G$14,0)</f>
        <v>0</v>
      </c>
      <c r="I140" s="242"/>
      <c r="J140" s="252">
        <f t="shared" si="6"/>
        <v>212.5</v>
      </c>
      <c r="M140" t="str">
        <f t="shared" si="7"/>
        <v>Tuesday</v>
      </c>
    </row>
    <row r="141" spans="1:13" x14ac:dyDescent="0.25">
      <c r="A141" s="241">
        <v>46162</v>
      </c>
      <c r="B141" s="242">
        <f t="shared" si="4"/>
        <v>212.5</v>
      </c>
      <c r="C141" s="242">
        <f>IF(DAY(A141+2)=1,'Main Budget'!$G$39,IF(DAY(A141+2)=15,'Main Budget'!$G$39,0))</f>
        <v>0</v>
      </c>
      <c r="D141" s="242">
        <f t="shared" si="5"/>
        <v>0</v>
      </c>
      <c r="E141" s="242">
        <f>IF(DAY(A141)='Main Budget'!$J$12,('Main Budget'!$G$12),0)</f>
        <v>0</v>
      </c>
      <c r="F141" s="242">
        <f>IF(DAY(A141)='Main Budget'!$J$13,('Main Budget'!$G$13)*2,0)</f>
        <v>0</v>
      </c>
      <c r="G141" s="242"/>
      <c r="H141" s="242">
        <f>IF(DAY(A141)='Main Budget'!$J$14,'Main Budget'!$G$14,0)</f>
        <v>0</v>
      </c>
      <c r="I141" s="242"/>
      <c r="J141" s="252">
        <f t="shared" si="6"/>
        <v>212.5</v>
      </c>
      <c r="M141" t="str">
        <f t="shared" si="7"/>
        <v>Wednesday</v>
      </c>
    </row>
    <row r="142" spans="1:13" x14ac:dyDescent="0.25">
      <c r="A142" s="241">
        <v>46163</v>
      </c>
      <c r="B142" s="242">
        <f t="shared" si="4"/>
        <v>212.5</v>
      </c>
      <c r="C142" s="242">
        <f>IF(DAY(A142+2)=1,'Main Budget'!$G$39,IF(DAY(A142+2)=15,'Main Budget'!$G$39,0))</f>
        <v>0</v>
      </c>
      <c r="D142" s="242">
        <f t="shared" si="5"/>
        <v>0</v>
      </c>
      <c r="E142" s="242">
        <f>IF(DAY(A142)='Main Budget'!$J$12,('Main Budget'!$G$12),0)</f>
        <v>0</v>
      </c>
      <c r="F142" s="242">
        <f>IF(DAY(A142)='Main Budget'!$J$13,('Main Budget'!$G$13)*2,0)</f>
        <v>0</v>
      </c>
      <c r="G142" s="242"/>
      <c r="H142" s="242">
        <f>IF(DAY(A142)='Main Budget'!$J$14,'Main Budget'!$G$14,0)</f>
        <v>0</v>
      </c>
      <c r="I142" s="242"/>
      <c r="J142" s="252">
        <f t="shared" si="6"/>
        <v>212.5</v>
      </c>
      <c r="M142" t="str">
        <f t="shared" si="7"/>
        <v>Thursday</v>
      </c>
    </row>
    <row r="143" spans="1:13" x14ac:dyDescent="0.25">
      <c r="A143" s="241">
        <v>46164</v>
      </c>
      <c r="B143" s="242">
        <f t="shared" si="4"/>
        <v>212.5</v>
      </c>
      <c r="C143" s="242">
        <f>IF(DAY(A143+2)=1,'Main Budget'!$G$39,IF(DAY(A143+2)=15,'Main Budget'!$G$39,0))</f>
        <v>0</v>
      </c>
      <c r="D143" s="242">
        <f t="shared" si="5"/>
        <v>0</v>
      </c>
      <c r="E143" s="242">
        <f>IF(DAY(A143)='Main Budget'!$J$12,('Main Budget'!$G$12),0)</f>
        <v>0</v>
      </c>
      <c r="F143" s="242">
        <f>IF(DAY(A143)='Main Budget'!$J$13,('Main Budget'!$G$13)*2,0)</f>
        <v>0</v>
      </c>
      <c r="G143" s="242"/>
      <c r="H143" s="242">
        <f>IF(DAY(A143)='Main Budget'!$J$14,'Main Budget'!$G$14,0)</f>
        <v>0</v>
      </c>
      <c r="I143" s="242"/>
      <c r="J143" s="252">
        <f t="shared" si="6"/>
        <v>212.5</v>
      </c>
      <c r="M143" t="str">
        <f t="shared" si="7"/>
        <v>Friday</v>
      </c>
    </row>
    <row r="144" spans="1:13" x14ac:dyDescent="0.25">
      <c r="A144" s="241">
        <v>46165</v>
      </c>
      <c r="B144" s="242">
        <f t="shared" si="4"/>
        <v>212.5</v>
      </c>
      <c r="C144" s="242">
        <f>IF(DAY(A144+2)=1,'Main Budget'!$G$39,IF(DAY(A144+2)=15,'Main Budget'!$G$39,0))</f>
        <v>0</v>
      </c>
      <c r="D144" s="242">
        <f t="shared" si="5"/>
        <v>0</v>
      </c>
      <c r="E144" s="242">
        <f>IF(DAY(A144)='Main Budget'!$J$12,('Main Budget'!$G$12),0)</f>
        <v>0</v>
      </c>
      <c r="F144" s="242">
        <f>IF(DAY(A144)='Main Budget'!$J$13,('Main Budget'!$G$13)*2,0)</f>
        <v>0</v>
      </c>
      <c r="G144" s="242"/>
      <c r="H144" s="242">
        <f>IF(DAY(A144)='Main Budget'!$J$14,'Main Budget'!$G$14,0)</f>
        <v>0</v>
      </c>
      <c r="I144" s="242"/>
      <c r="J144" s="252">
        <f t="shared" si="6"/>
        <v>212.5</v>
      </c>
      <c r="M144" t="str">
        <f t="shared" si="7"/>
        <v>Saturday</v>
      </c>
    </row>
    <row r="145" spans="1:13" x14ac:dyDescent="0.25">
      <c r="A145" s="241">
        <v>46166</v>
      </c>
      <c r="B145" s="242">
        <f t="shared" ref="B145:B208" si="8">J144</f>
        <v>212.5</v>
      </c>
      <c r="C145" s="242">
        <f>IF(DAY(A145+2)=1,'Main Budget'!$G$39,IF(DAY(A145+2)=15,'Main Budget'!$G$39,0))</f>
        <v>0</v>
      </c>
      <c r="D145" s="242">
        <f t="shared" ref="D145:D208" si="9">IF(OR(DAY(A145)=1,DAY(A145)=15),11.25,0)</f>
        <v>0</v>
      </c>
      <c r="E145" s="242">
        <f>IF(DAY(A145)='Main Budget'!$J$12,('Main Budget'!$G$12),0)</f>
        <v>0</v>
      </c>
      <c r="F145" s="242">
        <f>IF(DAY(A145)='Main Budget'!$J$13,('Main Budget'!$G$13)*2,0)</f>
        <v>0</v>
      </c>
      <c r="G145" s="242"/>
      <c r="H145" s="242">
        <f>IF(DAY(A145)='Main Budget'!$J$14,'Main Budget'!$G$14,0)</f>
        <v>0</v>
      </c>
      <c r="I145" s="242"/>
      <c r="J145" s="252">
        <f t="shared" ref="J145:J208" si="10">J144+(SUM(C145:I145))</f>
        <v>212.5</v>
      </c>
      <c r="M145" t="str">
        <f t="shared" ref="M145:M208" si="11">TEXT(A145,"dddd")</f>
        <v>Sunday</v>
      </c>
    </row>
    <row r="146" spans="1:13" x14ac:dyDescent="0.25">
      <c r="A146" s="241">
        <v>46167</v>
      </c>
      <c r="B146" s="242">
        <f t="shared" si="8"/>
        <v>212.5</v>
      </c>
      <c r="C146" s="242">
        <f>IF(DAY(A146+2)=1,'Main Budget'!$G$39,IF(DAY(A146+2)=15,'Main Budget'!$G$39,0))</f>
        <v>0</v>
      </c>
      <c r="D146" s="242">
        <f t="shared" si="9"/>
        <v>0</v>
      </c>
      <c r="E146" s="242">
        <f>IF(DAY(A146)='Main Budget'!$J$12,('Main Budget'!$G$12),0)</f>
        <v>0</v>
      </c>
      <c r="F146" s="242">
        <f>IF(DAY(A146)='Main Budget'!$J$13,('Main Budget'!$G$13)*2,0)</f>
        <v>0</v>
      </c>
      <c r="G146" s="242"/>
      <c r="H146" s="242">
        <f>IF(DAY(A146)='Main Budget'!$J$14,'Main Budget'!$G$14,0)</f>
        <v>0</v>
      </c>
      <c r="I146" s="242"/>
      <c r="J146" s="252">
        <f t="shared" si="10"/>
        <v>212.5</v>
      </c>
      <c r="M146" t="str">
        <f t="shared" si="11"/>
        <v>Monday</v>
      </c>
    </row>
    <row r="147" spans="1:13" x14ac:dyDescent="0.25">
      <c r="A147" s="241">
        <v>46168</v>
      </c>
      <c r="B147" s="242">
        <f t="shared" si="8"/>
        <v>212.5</v>
      </c>
      <c r="C147" s="242">
        <f>IF(DAY(A147+2)=1,'Main Budget'!$G$39,IF(DAY(A147+2)=15,'Main Budget'!$G$39,0))</f>
        <v>0</v>
      </c>
      <c r="D147" s="242">
        <f t="shared" si="9"/>
        <v>0</v>
      </c>
      <c r="E147" s="242">
        <f>IF(DAY(A147)='Main Budget'!$J$12,('Main Budget'!$G$12),0)</f>
        <v>0</v>
      </c>
      <c r="F147" s="242">
        <f>IF(DAY(A147)='Main Budget'!$J$13,('Main Budget'!$G$13)*2,0)</f>
        <v>0</v>
      </c>
      <c r="G147" s="242"/>
      <c r="H147" s="242">
        <f>IF(DAY(A147)='Main Budget'!$J$14,'Main Budget'!$G$14,0)</f>
        <v>0</v>
      </c>
      <c r="I147" s="242"/>
      <c r="J147" s="252">
        <f t="shared" si="10"/>
        <v>212.5</v>
      </c>
      <c r="M147" t="str">
        <f t="shared" si="11"/>
        <v>Tuesday</v>
      </c>
    </row>
    <row r="148" spans="1:13" x14ac:dyDescent="0.25">
      <c r="A148" s="241">
        <v>46169</v>
      </c>
      <c r="B148" s="242">
        <f t="shared" si="8"/>
        <v>212.5</v>
      </c>
      <c r="C148" s="242">
        <f>IF(DAY(A148+2)=1,'Main Budget'!$G$39,IF(DAY(A148+2)=15,'Main Budget'!$G$39,0))</f>
        <v>0</v>
      </c>
      <c r="D148" s="242">
        <f t="shared" si="9"/>
        <v>0</v>
      </c>
      <c r="E148" s="242">
        <f>IF(DAY(A148)='Main Budget'!$J$12,('Main Budget'!$G$12),0)</f>
        <v>0</v>
      </c>
      <c r="F148" s="242">
        <f>IF(DAY(A148)='Main Budget'!$J$13,('Main Budget'!$G$13)*2,0)</f>
        <v>0</v>
      </c>
      <c r="G148" s="242"/>
      <c r="H148" s="242">
        <f>IF(DAY(A148)='Main Budget'!$J$14,'Main Budget'!$G$14,0)</f>
        <v>0</v>
      </c>
      <c r="I148" s="242"/>
      <c r="J148" s="252">
        <f t="shared" si="10"/>
        <v>212.5</v>
      </c>
      <c r="M148" t="str">
        <f t="shared" si="11"/>
        <v>Wednesday</v>
      </c>
    </row>
    <row r="149" spans="1:13" x14ac:dyDescent="0.25">
      <c r="A149" s="241">
        <v>46170</v>
      </c>
      <c r="B149" s="242">
        <f t="shared" si="8"/>
        <v>212.5</v>
      </c>
      <c r="C149" s="242">
        <f>IF(DAY(A149+2)=1,'Main Budget'!$G$39,IF(DAY(A149+2)=15,'Main Budget'!$G$39,0))</f>
        <v>0</v>
      </c>
      <c r="D149" s="242">
        <f t="shared" si="9"/>
        <v>0</v>
      </c>
      <c r="E149" s="242">
        <f>IF(DAY(A149)='Main Budget'!$J$12,('Main Budget'!$G$12),0)</f>
        <v>0</v>
      </c>
      <c r="F149" s="242">
        <f>IF(DAY(A149)='Main Budget'!$J$13,('Main Budget'!$G$13)*2,0)</f>
        <v>0</v>
      </c>
      <c r="G149" s="242"/>
      <c r="H149" s="242">
        <f>IF(DAY(A149)='Main Budget'!$J$14,'Main Budget'!$G$14,0)</f>
        <v>0</v>
      </c>
      <c r="I149" s="242"/>
      <c r="J149" s="252">
        <f t="shared" si="10"/>
        <v>212.5</v>
      </c>
      <c r="M149" t="str">
        <f t="shared" si="11"/>
        <v>Thursday</v>
      </c>
    </row>
    <row r="150" spans="1:13" x14ac:dyDescent="0.25">
      <c r="A150" s="241">
        <v>46171</v>
      </c>
      <c r="B150" s="242">
        <f t="shared" si="8"/>
        <v>212.5</v>
      </c>
      <c r="C150" s="242">
        <f>IF(DAY(A150+2)=1,'Main Budget'!$G$39,IF(DAY(A150+2)=15,'Main Budget'!$G$39,0))</f>
        <v>0</v>
      </c>
      <c r="D150" s="242">
        <f t="shared" si="9"/>
        <v>0</v>
      </c>
      <c r="E150" s="242">
        <f>IF(DAY(A150)='Main Budget'!$J$12,('Main Budget'!$G$12),0)</f>
        <v>0</v>
      </c>
      <c r="F150" s="242">
        <f>IF(DAY(A150)='Main Budget'!$J$13,('Main Budget'!$G$13)*2,0)</f>
        <v>0</v>
      </c>
      <c r="G150" s="242"/>
      <c r="H150" s="242">
        <f>IF(DAY(A150)='Main Budget'!$J$14,'Main Budget'!$G$14,0)</f>
        <v>0</v>
      </c>
      <c r="I150" s="242"/>
      <c r="J150" s="252">
        <f t="shared" si="10"/>
        <v>212.5</v>
      </c>
      <c r="M150" t="str">
        <f t="shared" si="11"/>
        <v>Friday</v>
      </c>
    </row>
    <row r="151" spans="1:13" x14ac:dyDescent="0.25">
      <c r="A151" s="241">
        <v>46172</v>
      </c>
      <c r="B151" s="242">
        <f t="shared" si="8"/>
        <v>212.5</v>
      </c>
      <c r="C151" s="242">
        <f>IF(DAY(A151+2)=1,'Main Budget'!$G$39,IF(DAY(A151+2)=15,'Main Budget'!$G$39,0))</f>
        <v>0</v>
      </c>
      <c r="D151" s="242">
        <f t="shared" si="9"/>
        <v>0</v>
      </c>
      <c r="E151" s="242">
        <f>IF(DAY(A151)='Main Budget'!$J$12,('Main Budget'!$G$12),0)</f>
        <v>0</v>
      </c>
      <c r="F151" s="242">
        <f>IF(DAY(A151)='Main Budget'!$J$13,('Main Budget'!$G$13)*2,0)</f>
        <v>0</v>
      </c>
      <c r="G151" s="242"/>
      <c r="H151" s="242">
        <f>IF(DAY(A151)='Main Budget'!$J$14,'Main Budget'!$G$14,0)</f>
        <v>0</v>
      </c>
      <c r="I151" s="242"/>
      <c r="J151" s="252">
        <f t="shared" si="10"/>
        <v>212.5</v>
      </c>
      <c r="M151" t="str">
        <f t="shared" si="11"/>
        <v>Saturday</v>
      </c>
    </row>
    <row r="152" spans="1:13" x14ac:dyDescent="0.25">
      <c r="A152" s="241">
        <v>46173</v>
      </c>
      <c r="B152" s="242">
        <f t="shared" si="8"/>
        <v>212.5</v>
      </c>
      <c r="C152" s="242">
        <f>IF(DAY(A152+2)=1,'Main Budget'!$G$39,IF(DAY(A152+2)=15,'Main Budget'!$G$39,0))</f>
        <v>0</v>
      </c>
      <c r="D152" s="242">
        <f t="shared" si="9"/>
        <v>0</v>
      </c>
      <c r="E152" s="242">
        <f>IF(DAY(A152)='Main Budget'!$J$12,('Main Budget'!$G$12),0)</f>
        <v>0</v>
      </c>
      <c r="F152" s="242">
        <f>IF(DAY(A152)='Main Budget'!$J$13,('Main Budget'!$G$13)*2,0)</f>
        <v>0</v>
      </c>
      <c r="G152" s="242"/>
      <c r="H152" s="242">
        <f>IF(DAY(A152)='Main Budget'!$J$14,'Main Budget'!$G$14,0)</f>
        <v>0</v>
      </c>
      <c r="I152" s="242"/>
      <c r="J152" s="252">
        <f t="shared" si="10"/>
        <v>212.5</v>
      </c>
      <c r="M152" t="str">
        <f t="shared" si="11"/>
        <v>Sunday</v>
      </c>
    </row>
    <row r="153" spans="1:13" x14ac:dyDescent="0.25">
      <c r="A153" s="241">
        <v>46174</v>
      </c>
      <c r="B153" s="242">
        <f t="shared" si="8"/>
        <v>212.5</v>
      </c>
      <c r="C153" s="242">
        <f>IF(DAY(A153+2)=1,'Main Budget'!$G$39,IF(DAY(A153+2)=15,'Main Budget'!$G$39,0))</f>
        <v>0</v>
      </c>
      <c r="D153" s="242">
        <f t="shared" si="9"/>
        <v>11.25</v>
      </c>
      <c r="E153" s="242">
        <f>IF(DAY(A153)='Main Budget'!$J$12,('Main Budget'!$G$12),0)</f>
        <v>0</v>
      </c>
      <c r="F153" s="242">
        <f>IF(DAY(A153)='Main Budget'!$J$13,('Main Budget'!$G$13)*2,0)</f>
        <v>0</v>
      </c>
      <c r="G153" s="242"/>
      <c r="H153" s="242">
        <f>IF(DAY(A153)='Main Budget'!$J$14,'Main Budget'!$G$14,0)</f>
        <v>0</v>
      </c>
      <c r="I153" s="242"/>
      <c r="J153" s="252">
        <f t="shared" si="10"/>
        <v>223.75</v>
      </c>
      <c r="M153" t="str">
        <f t="shared" si="11"/>
        <v>Monday</v>
      </c>
    </row>
    <row r="154" spans="1:13" x14ac:dyDescent="0.25">
      <c r="A154" s="241">
        <v>46175</v>
      </c>
      <c r="B154" s="242">
        <f t="shared" si="8"/>
        <v>223.75</v>
      </c>
      <c r="C154" s="242">
        <f>IF(DAY(A154+2)=1,'Main Budget'!$G$39,IF(DAY(A154+2)=15,'Main Budget'!$G$39,0))</f>
        <v>0</v>
      </c>
      <c r="D154" s="242">
        <f t="shared" si="9"/>
        <v>0</v>
      </c>
      <c r="E154" s="242">
        <f>IF(DAY(A154)='Main Budget'!$J$12,('Main Budget'!$G$12),0)</f>
        <v>0</v>
      </c>
      <c r="F154" s="242">
        <f>IF(DAY(A154)='Main Budget'!$J$13,('Main Budget'!$G$13)*2,0)</f>
        <v>0</v>
      </c>
      <c r="G154" s="242"/>
      <c r="H154" s="242">
        <f>IF(DAY(A154)='Main Budget'!$J$14,'Main Budget'!$G$14,0)</f>
        <v>0</v>
      </c>
      <c r="I154" s="242"/>
      <c r="J154" s="252">
        <f t="shared" si="10"/>
        <v>223.75</v>
      </c>
      <c r="M154" t="str">
        <f t="shared" si="11"/>
        <v>Tuesday</v>
      </c>
    </row>
    <row r="155" spans="1:13" x14ac:dyDescent="0.25">
      <c r="A155" s="241">
        <v>46176</v>
      </c>
      <c r="B155" s="242">
        <f t="shared" si="8"/>
        <v>223.75</v>
      </c>
      <c r="C155" s="242">
        <f>IF(DAY(A155+2)=1,'Main Budget'!$G$39,IF(DAY(A155+2)=15,'Main Budget'!$G$39,0))</f>
        <v>0</v>
      </c>
      <c r="D155" s="242">
        <f t="shared" si="9"/>
        <v>0</v>
      </c>
      <c r="E155" s="242">
        <f>IF(DAY(A155)='Main Budget'!$J$12,('Main Budget'!$G$12),0)</f>
        <v>0</v>
      </c>
      <c r="F155" s="242">
        <f>IF(DAY(A155)='Main Budget'!$J$13,('Main Budget'!$G$13)*2,0)</f>
        <v>0</v>
      </c>
      <c r="G155" s="242"/>
      <c r="H155" s="242">
        <f>IF(DAY(A155)='Main Budget'!$J$14,'Main Budget'!$G$14,0)</f>
        <v>0</v>
      </c>
      <c r="I155" s="242"/>
      <c r="J155" s="252">
        <f t="shared" si="10"/>
        <v>223.75</v>
      </c>
      <c r="M155" t="str">
        <f t="shared" si="11"/>
        <v>Wednesday</v>
      </c>
    </row>
    <row r="156" spans="1:13" x14ac:dyDescent="0.25">
      <c r="A156" s="241">
        <v>46177</v>
      </c>
      <c r="B156" s="242">
        <f t="shared" si="8"/>
        <v>223.75</v>
      </c>
      <c r="C156" s="242">
        <f>IF(DAY(A156+2)=1,'Main Budget'!$G$39,IF(DAY(A156+2)=15,'Main Budget'!$G$39,0))</f>
        <v>0</v>
      </c>
      <c r="D156" s="242">
        <f t="shared" si="9"/>
        <v>0</v>
      </c>
      <c r="E156" s="242">
        <f>IF(DAY(A156)='Main Budget'!$J$12,('Main Budget'!$G$12),0)</f>
        <v>0</v>
      </c>
      <c r="F156" s="242">
        <f>IF(DAY(A156)='Main Budget'!$J$13,('Main Budget'!$G$13)*2,0)</f>
        <v>0</v>
      </c>
      <c r="G156" s="242"/>
      <c r="H156" s="242">
        <f>IF(DAY(A156)='Main Budget'!$J$14,'Main Budget'!$G$14,0)</f>
        <v>0</v>
      </c>
      <c r="I156" s="242"/>
      <c r="J156" s="252">
        <f t="shared" si="10"/>
        <v>223.75</v>
      </c>
      <c r="M156" t="str">
        <f t="shared" si="11"/>
        <v>Thursday</v>
      </c>
    </row>
    <row r="157" spans="1:13" x14ac:dyDescent="0.25">
      <c r="A157" s="241">
        <v>46178</v>
      </c>
      <c r="B157" s="242">
        <f t="shared" si="8"/>
        <v>223.75</v>
      </c>
      <c r="C157" s="242">
        <f>IF(DAY(A157+2)=1,'Main Budget'!$G$39,IF(DAY(A157+2)=15,'Main Budget'!$G$39,0))</f>
        <v>0</v>
      </c>
      <c r="D157" s="242">
        <f t="shared" si="9"/>
        <v>0</v>
      </c>
      <c r="E157" s="242">
        <f>IF(DAY(A157)='Main Budget'!$J$12,('Main Budget'!$G$12),0)</f>
        <v>0</v>
      </c>
      <c r="F157" s="242">
        <f>IF(DAY(A157)='Main Budget'!$J$13,('Main Budget'!$G$13)*2,0)</f>
        <v>0</v>
      </c>
      <c r="G157" s="242"/>
      <c r="H157" s="242">
        <f>IF(DAY(A157)='Main Budget'!$J$14,'Main Budget'!$G$14,0)</f>
        <v>0</v>
      </c>
      <c r="I157" s="242"/>
      <c r="J157" s="252">
        <f t="shared" si="10"/>
        <v>223.75</v>
      </c>
      <c r="M157" t="str">
        <f t="shared" si="11"/>
        <v>Friday</v>
      </c>
    </row>
    <row r="158" spans="1:13" x14ac:dyDescent="0.25">
      <c r="A158" s="241">
        <v>46179</v>
      </c>
      <c r="B158" s="242">
        <f t="shared" si="8"/>
        <v>223.75</v>
      </c>
      <c r="C158" s="242">
        <f>IF(DAY(A158+2)=1,'Main Budget'!$G$39,IF(DAY(A158+2)=15,'Main Budget'!$G$39,0))</f>
        <v>0</v>
      </c>
      <c r="D158" s="242">
        <f t="shared" si="9"/>
        <v>0</v>
      </c>
      <c r="E158" s="242">
        <f>IF(DAY(A158)='Main Budget'!$J$12,('Main Budget'!$G$12),0)</f>
        <v>0</v>
      </c>
      <c r="F158" s="242">
        <f>IF(DAY(A158)='Main Budget'!$J$13,('Main Budget'!$G$13)*2,0)</f>
        <v>0</v>
      </c>
      <c r="G158" s="242"/>
      <c r="H158" s="242">
        <f>IF(DAY(A158)='Main Budget'!$J$14,'Main Budget'!$G$14,0)</f>
        <v>0</v>
      </c>
      <c r="I158" s="242"/>
      <c r="J158" s="252">
        <f t="shared" si="10"/>
        <v>223.75</v>
      </c>
      <c r="M158" t="str">
        <f t="shared" si="11"/>
        <v>Saturday</v>
      </c>
    </row>
    <row r="159" spans="1:13" x14ac:dyDescent="0.25">
      <c r="A159" s="241">
        <v>46180</v>
      </c>
      <c r="B159" s="242">
        <f t="shared" si="8"/>
        <v>223.75</v>
      </c>
      <c r="C159" s="242">
        <f>IF(DAY(A159+2)=1,'Main Budget'!$G$39,IF(DAY(A159+2)=15,'Main Budget'!$G$39,0))</f>
        <v>0</v>
      </c>
      <c r="D159" s="242">
        <f t="shared" si="9"/>
        <v>0</v>
      </c>
      <c r="E159" s="242">
        <f>IF(DAY(A159)='Main Budget'!$J$12,('Main Budget'!$G$12),0)</f>
        <v>0</v>
      </c>
      <c r="F159" s="242">
        <f>IF(DAY(A159)='Main Budget'!$J$13,('Main Budget'!$G$13)*2,0)</f>
        <v>0</v>
      </c>
      <c r="G159" s="242"/>
      <c r="H159" s="242">
        <f>IF(DAY(A159)='Main Budget'!$J$14,'Main Budget'!$G$14,0)</f>
        <v>0</v>
      </c>
      <c r="I159" s="242"/>
      <c r="J159" s="252">
        <f t="shared" si="10"/>
        <v>223.75</v>
      </c>
      <c r="M159" t="str">
        <f t="shared" si="11"/>
        <v>Sunday</v>
      </c>
    </row>
    <row r="160" spans="1:13" x14ac:dyDescent="0.25">
      <c r="A160" s="241">
        <v>46181</v>
      </c>
      <c r="B160" s="242">
        <f t="shared" si="8"/>
        <v>223.75</v>
      </c>
      <c r="C160" s="242">
        <f>IF(DAY(A160+2)=1,'Main Budget'!$G$39,IF(DAY(A160+2)=15,'Main Budget'!$G$39,0))</f>
        <v>0</v>
      </c>
      <c r="D160" s="242">
        <f t="shared" si="9"/>
        <v>0</v>
      </c>
      <c r="E160" s="242">
        <f>IF(DAY(A160)='Main Budget'!$J$12,('Main Budget'!$G$12),0)</f>
        <v>0</v>
      </c>
      <c r="F160" s="242">
        <f>IF(DAY(A160)='Main Budget'!$J$13,('Main Budget'!$G$13)*2,0)</f>
        <v>0</v>
      </c>
      <c r="G160" s="242"/>
      <c r="H160" s="242">
        <f>IF(DAY(A160)='Main Budget'!$J$14,'Main Budget'!$G$14,0)</f>
        <v>0</v>
      </c>
      <c r="I160" s="242"/>
      <c r="J160" s="252">
        <f t="shared" si="10"/>
        <v>223.75</v>
      </c>
      <c r="M160" t="str">
        <f t="shared" si="11"/>
        <v>Monday</v>
      </c>
    </row>
    <row r="161" spans="1:13" x14ac:dyDescent="0.25">
      <c r="A161" s="241">
        <v>46182</v>
      </c>
      <c r="B161" s="242">
        <f t="shared" si="8"/>
        <v>223.75</v>
      </c>
      <c r="C161" s="242">
        <f>IF(DAY(A161+2)=1,'Main Budget'!$G$39,IF(DAY(A161+2)=15,'Main Budget'!$G$39,0))</f>
        <v>0</v>
      </c>
      <c r="D161" s="242">
        <f t="shared" si="9"/>
        <v>0</v>
      </c>
      <c r="E161" s="242">
        <f>IF(DAY(A161)='Main Budget'!$J$12,('Main Budget'!$G$12),0)</f>
        <v>0</v>
      </c>
      <c r="F161" s="242">
        <f>IF(DAY(A161)='Main Budget'!$J$13,('Main Budget'!$G$13)*2,0)</f>
        <v>0</v>
      </c>
      <c r="G161" s="242"/>
      <c r="H161" s="242">
        <f>IF(DAY(A161)='Main Budget'!$J$14,'Main Budget'!$G$14,0)</f>
        <v>0</v>
      </c>
      <c r="I161" s="242"/>
      <c r="J161" s="252">
        <f t="shared" si="10"/>
        <v>223.75</v>
      </c>
      <c r="M161" t="str">
        <f t="shared" si="11"/>
        <v>Tuesday</v>
      </c>
    </row>
    <row r="162" spans="1:13" x14ac:dyDescent="0.25">
      <c r="A162" s="241">
        <v>46183</v>
      </c>
      <c r="B162" s="242">
        <f t="shared" si="8"/>
        <v>223.75</v>
      </c>
      <c r="C162" s="242">
        <f>IF(DAY(A162+2)=1,'Main Budget'!$G$39,IF(DAY(A162+2)=15,'Main Budget'!$G$39,0))</f>
        <v>0</v>
      </c>
      <c r="D162" s="242">
        <f t="shared" si="9"/>
        <v>0</v>
      </c>
      <c r="E162" s="242">
        <f>IF(DAY(A162)='Main Budget'!$J$12,('Main Budget'!$G$12),0)</f>
        <v>0</v>
      </c>
      <c r="F162" s="242">
        <f>IF(DAY(A162)='Main Budget'!$J$13,('Main Budget'!$G$13)*2,0)</f>
        <v>0</v>
      </c>
      <c r="G162" s="242"/>
      <c r="H162" s="242">
        <f>IF(DAY(A162)='Main Budget'!$J$14,'Main Budget'!$G$14,0)</f>
        <v>0</v>
      </c>
      <c r="I162" s="242"/>
      <c r="J162" s="252">
        <f t="shared" si="10"/>
        <v>223.75</v>
      </c>
      <c r="M162" t="str">
        <f t="shared" si="11"/>
        <v>Wednesday</v>
      </c>
    </row>
    <row r="163" spans="1:13" x14ac:dyDescent="0.25">
      <c r="A163" s="241">
        <v>46184</v>
      </c>
      <c r="B163" s="242">
        <f t="shared" si="8"/>
        <v>223.75</v>
      </c>
      <c r="C163" s="242">
        <f>IF(DAY(A163+2)=1,'Main Budget'!$G$39,IF(DAY(A163+2)=15,'Main Budget'!$G$39,0))</f>
        <v>0</v>
      </c>
      <c r="D163" s="242">
        <f t="shared" si="9"/>
        <v>0</v>
      </c>
      <c r="E163" s="242">
        <f>IF(DAY(A163)='Main Budget'!$J$12,('Main Budget'!$G$12),0)</f>
        <v>0</v>
      </c>
      <c r="F163" s="242">
        <f>IF(DAY(A163)='Main Budget'!$J$13,('Main Budget'!$G$13)*2,0)</f>
        <v>0</v>
      </c>
      <c r="G163" s="242"/>
      <c r="H163" s="242">
        <f>IF(DAY(A163)='Main Budget'!$J$14,'Main Budget'!$G$14,0)</f>
        <v>0</v>
      </c>
      <c r="I163" s="242"/>
      <c r="J163" s="252">
        <f t="shared" si="10"/>
        <v>223.75</v>
      </c>
      <c r="M163" t="str">
        <f t="shared" si="11"/>
        <v>Thursday</v>
      </c>
    </row>
    <row r="164" spans="1:13" x14ac:dyDescent="0.25">
      <c r="A164" s="241">
        <v>46185</v>
      </c>
      <c r="B164" s="242">
        <f t="shared" si="8"/>
        <v>223.75</v>
      </c>
      <c r="C164" s="242">
        <f>IF(DAY(A164+2)=1,'Main Budget'!$G$39,IF(DAY(A164+2)=15,'Main Budget'!$G$39,0))</f>
        <v>0</v>
      </c>
      <c r="D164" s="242">
        <f t="shared" si="9"/>
        <v>0</v>
      </c>
      <c r="E164" s="242">
        <f>IF(DAY(A164)='Main Budget'!$J$12,('Main Budget'!$G$12),0)</f>
        <v>0</v>
      </c>
      <c r="F164" s="242">
        <f>IF(DAY(A164)='Main Budget'!$J$13,('Main Budget'!$G$13)*2,0)</f>
        <v>0</v>
      </c>
      <c r="G164" s="242"/>
      <c r="H164" s="242">
        <f>IF(DAY(A164)='Main Budget'!$J$14,'Main Budget'!$G$14,0)</f>
        <v>0</v>
      </c>
      <c r="I164" s="242"/>
      <c r="J164" s="252">
        <f t="shared" si="10"/>
        <v>223.75</v>
      </c>
      <c r="M164" t="str">
        <f t="shared" si="11"/>
        <v>Friday</v>
      </c>
    </row>
    <row r="165" spans="1:13" x14ac:dyDescent="0.25">
      <c r="A165" s="241">
        <v>46186</v>
      </c>
      <c r="B165" s="242">
        <f t="shared" si="8"/>
        <v>223.75</v>
      </c>
      <c r="C165" s="242">
        <f>IF(DAY(A165+2)=1,'Main Budget'!$G$39,IF(DAY(A165+2)=15,'Main Budget'!$G$39,0))</f>
        <v>0</v>
      </c>
      <c r="D165" s="242">
        <f t="shared" si="9"/>
        <v>0</v>
      </c>
      <c r="E165" s="242">
        <f>IF(DAY(A165)='Main Budget'!$J$12,('Main Budget'!$G$12),0)</f>
        <v>0</v>
      </c>
      <c r="F165" s="242">
        <f>IF(DAY(A165)='Main Budget'!$J$13,('Main Budget'!$G$13)*2,0)</f>
        <v>0</v>
      </c>
      <c r="G165" s="242"/>
      <c r="H165" s="242">
        <f>IF(DAY(A165)='Main Budget'!$J$14,'Main Budget'!$G$14,0)</f>
        <v>0</v>
      </c>
      <c r="I165" s="242"/>
      <c r="J165" s="252">
        <f t="shared" si="10"/>
        <v>223.75</v>
      </c>
      <c r="M165" t="str">
        <f t="shared" si="11"/>
        <v>Saturday</v>
      </c>
    </row>
    <row r="166" spans="1:13" x14ac:dyDescent="0.25">
      <c r="A166" s="241">
        <v>46187</v>
      </c>
      <c r="B166" s="242">
        <f t="shared" si="8"/>
        <v>223.75</v>
      </c>
      <c r="C166" s="242">
        <f>IF(DAY(A166+2)=1,'Main Budget'!$G$39,IF(DAY(A166+2)=15,'Main Budget'!$G$39,0))</f>
        <v>0</v>
      </c>
      <c r="D166" s="242">
        <f t="shared" si="9"/>
        <v>0</v>
      </c>
      <c r="E166" s="242">
        <f>IF(DAY(A166)='Main Budget'!$J$12,('Main Budget'!$G$12),0)</f>
        <v>0</v>
      </c>
      <c r="F166" s="242">
        <f>IF(DAY(A166)='Main Budget'!$J$13,('Main Budget'!$G$13)*2,0)</f>
        <v>0</v>
      </c>
      <c r="G166" s="242"/>
      <c r="H166" s="242">
        <f>IF(DAY(A166)='Main Budget'!$J$14,'Main Budget'!$G$14,0)</f>
        <v>0</v>
      </c>
      <c r="I166" s="242"/>
      <c r="J166" s="252">
        <f t="shared" si="10"/>
        <v>223.75</v>
      </c>
      <c r="M166" t="str">
        <f t="shared" si="11"/>
        <v>Sunday</v>
      </c>
    </row>
    <row r="167" spans="1:13" x14ac:dyDescent="0.25">
      <c r="A167" s="241">
        <v>46188</v>
      </c>
      <c r="B167" s="242">
        <f t="shared" si="8"/>
        <v>223.75</v>
      </c>
      <c r="C167" s="242">
        <f>IF(DAY(A167+2)=1,'Main Budget'!$G$39,IF(DAY(A167+2)=15,'Main Budget'!$G$39,0))</f>
        <v>0</v>
      </c>
      <c r="D167" s="242">
        <f t="shared" si="9"/>
        <v>11.25</v>
      </c>
      <c r="E167" s="242">
        <f>IF(DAY(A167)='Main Budget'!$J$12,('Main Budget'!$G$12),0)</f>
        <v>0</v>
      </c>
      <c r="F167" s="242">
        <f>IF(DAY(A167)='Main Budget'!$J$13,('Main Budget'!$G$13)*2,0)</f>
        <v>0</v>
      </c>
      <c r="G167" s="242"/>
      <c r="H167" s="242">
        <f>IF(DAY(A167)='Main Budget'!$J$14,'Main Budget'!$G$14,0)</f>
        <v>0</v>
      </c>
      <c r="I167" s="242"/>
      <c r="J167" s="252">
        <f t="shared" si="10"/>
        <v>235</v>
      </c>
      <c r="M167" t="str">
        <f t="shared" si="11"/>
        <v>Monday</v>
      </c>
    </row>
    <row r="168" spans="1:13" x14ac:dyDescent="0.25">
      <c r="A168" s="241">
        <v>46189</v>
      </c>
      <c r="B168" s="242">
        <f t="shared" si="8"/>
        <v>235</v>
      </c>
      <c r="C168" s="242">
        <f>IF(DAY(A168+2)=1,'Main Budget'!$G$39,IF(DAY(A168+2)=15,'Main Budget'!$G$39,0))</f>
        <v>0</v>
      </c>
      <c r="D168" s="242">
        <f t="shared" si="9"/>
        <v>0</v>
      </c>
      <c r="E168" s="242">
        <f>IF(DAY(A168)='Main Budget'!$J$12,('Main Budget'!$G$12),0)</f>
        <v>0</v>
      </c>
      <c r="F168" s="242">
        <f>IF(DAY(A168)='Main Budget'!$J$13,('Main Budget'!$G$13)*2,0)</f>
        <v>0</v>
      </c>
      <c r="G168" s="242"/>
      <c r="H168" s="242">
        <f>IF(DAY(A168)='Main Budget'!$J$14,'Main Budget'!$G$14,0)</f>
        <v>0</v>
      </c>
      <c r="I168" s="242"/>
      <c r="J168" s="252">
        <f t="shared" si="10"/>
        <v>235</v>
      </c>
      <c r="M168" t="str">
        <f t="shared" si="11"/>
        <v>Tuesday</v>
      </c>
    </row>
    <row r="169" spans="1:13" x14ac:dyDescent="0.25">
      <c r="A169" s="241">
        <v>46190</v>
      </c>
      <c r="B169" s="242">
        <f t="shared" si="8"/>
        <v>235</v>
      </c>
      <c r="C169" s="242">
        <f>IF(DAY(A169+2)=1,'Main Budget'!$G$39,IF(DAY(A169+2)=15,'Main Budget'!$G$39,0))</f>
        <v>0</v>
      </c>
      <c r="D169" s="242">
        <f t="shared" si="9"/>
        <v>0</v>
      </c>
      <c r="E169" s="242">
        <f>IF(DAY(A169)='Main Budget'!$J$12,('Main Budget'!$G$12),0)</f>
        <v>0</v>
      </c>
      <c r="F169" s="242">
        <f>IF(DAY(A169)='Main Budget'!$J$13,('Main Budget'!$G$13)*2,0)</f>
        <v>0</v>
      </c>
      <c r="G169" s="242"/>
      <c r="H169" s="242">
        <f>IF(DAY(A169)='Main Budget'!$J$14,'Main Budget'!$G$14,0)</f>
        <v>0</v>
      </c>
      <c r="I169" s="242"/>
      <c r="J169" s="252">
        <f t="shared" si="10"/>
        <v>235</v>
      </c>
      <c r="M169" t="str">
        <f t="shared" si="11"/>
        <v>Wednesday</v>
      </c>
    </row>
    <row r="170" spans="1:13" x14ac:dyDescent="0.25">
      <c r="A170" s="241">
        <v>46191</v>
      </c>
      <c r="B170" s="242">
        <f t="shared" si="8"/>
        <v>235</v>
      </c>
      <c r="C170" s="242">
        <f>IF(DAY(A170+2)=1,'Main Budget'!$G$39,IF(DAY(A170+2)=15,'Main Budget'!$G$39,0))</f>
        <v>0</v>
      </c>
      <c r="D170" s="242">
        <f t="shared" si="9"/>
        <v>0</v>
      </c>
      <c r="E170" s="242">
        <f>IF(DAY(A170)='Main Budget'!$J$12,('Main Budget'!$G$12),0)</f>
        <v>0</v>
      </c>
      <c r="F170" s="242">
        <f>IF(DAY(A170)='Main Budget'!$J$13,('Main Budget'!$G$13)*2,0)</f>
        <v>0</v>
      </c>
      <c r="G170" s="242"/>
      <c r="H170" s="242">
        <f>IF(DAY(A170)='Main Budget'!$J$14,'Main Budget'!$G$14,0)</f>
        <v>0</v>
      </c>
      <c r="I170" s="242"/>
      <c r="J170" s="252">
        <f t="shared" si="10"/>
        <v>235</v>
      </c>
      <c r="M170" t="str">
        <f t="shared" si="11"/>
        <v>Thursday</v>
      </c>
    </row>
    <row r="171" spans="1:13" x14ac:dyDescent="0.25">
      <c r="A171" s="241">
        <v>46192</v>
      </c>
      <c r="B171" s="242">
        <f t="shared" si="8"/>
        <v>235</v>
      </c>
      <c r="C171" s="242">
        <f>IF(DAY(A171+2)=1,'Main Budget'!$G$39,IF(DAY(A171+2)=15,'Main Budget'!$G$39,0))</f>
        <v>0</v>
      </c>
      <c r="D171" s="242">
        <f t="shared" si="9"/>
        <v>0</v>
      </c>
      <c r="E171" s="242">
        <f>IF(DAY(A171)='Main Budget'!$J$12,('Main Budget'!$G$12),0)</f>
        <v>0</v>
      </c>
      <c r="F171" s="242">
        <f>IF(DAY(A171)='Main Budget'!$J$13,('Main Budget'!$G$13)*2,0)</f>
        <v>0</v>
      </c>
      <c r="G171" s="242"/>
      <c r="H171" s="242">
        <f>IF(DAY(A171)='Main Budget'!$J$14,'Main Budget'!$G$14,0)</f>
        <v>0</v>
      </c>
      <c r="I171" s="242"/>
      <c r="J171" s="252">
        <f t="shared" si="10"/>
        <v>235</v>
      </c>
      <c r="M171" t="str">
        <f t="shared" si="11"/>
        <v>Friday</v>
      </c>
    </row>
    <row r="172" spans="1:13" x14ac:dyDescent="0.25">
      <c r="A172" s="241">
        <v>46193</v>
      </c>
      <c r="B172" s="242">
        <f t="shared" si="8"/>
        <v>235</v>
      </c>
      <c r="C172" s="242">
        <f>IF(DAY(A172+2)=1,'Main Budget'!$G$39,IF(DAY(A172+2)=15,'Main Budget'!$G$39,0))</f>
        <v>0</v>
      </c>
      <c r="D172" s="242">
        <f t="shared" si="9"/>
        <v>0</v>
      </c>
      <c r="E172" s="242">
        <f>IF(DAY(A172)='Main Budget'!$J$12,('Main Budget'!$G$12),0)</f>
        <v>0</v>
      </c>
      <c r="F172" s="242">
        <f>IF(DAY(A172)='Main Budget'!$J$13,('Main Budget'!$G$13)*2,0)</f>
        <v>0</v>
      </c>
      <c r="G172" s="242"/>
      <c r="H172" s="242">
        <f>IF(DAY(A172)='Main Budget'!$J$14,'Main Budget'!$G$14,0)</f>
        <v>0</v>
      </c>
      <c r="I172" s="242"/>
      <c r="J172" s="252">
        <f t="shared" si="10"/>
        <v>235</v>
      </c>
      <c r="M172" t="str">
        <f t="shared" si="11"/>
        <v>Saturday</v>
      </c>
    </row>
    <row r="173" spans="1:13" x14ac:dyDescent="0.25">
      <c r="A173" s="241">
        <v>46194</v>
      </c>
      <c r="B173" s="242">
        <f t="shared" si="8"/>
        <v>235</v>
      </c>
      <c r="C173" s="242">
        <f>IF(DAY(A173+2)=1,'Main Budget'!$G$39,IF(DAY(A173+2)=15,'Main Budget'!$G$39,0))</f>
        <v>0</v>
      </c>
      <c r="D173" s="242">
        <f t="shared" si="9"/>
        <v>0</v>
      </c>
      <c r="E173" s="242">
        <f>IF(DAY(A173)='Main Budget'!$J$12,('Main Budget'!$G$12),0)</f>
        <v>0</v>
      </c>
      <c r="F173" s="242">
        <f>IF(DAY(A173)='Main Budget'!$J$13,('Main Budget'!$G$13)*2,0)</f>
        <v>0</v>
      </c>
      <c r="G173" s="242"/>
      <c r="H173" s="242">
        <f>IF(DAY(A173)='Main Budget'!$J$14,'Main Budget'!$G$14,0)</f>
        <v>0</v>
      </c>
      <c r="I173" s="242"/>
      <c r="J173" s="252">
        <f t="shared" si="10"/>
        <v>235</v>
      </c>
      <c r="M173" t="str">
        <f t="shared" si="11"/>
        <v>Sunday</v>
      </c>
    </row>
    <row r="174" spans="1:13" x14ac:dyDescent="0.25">
      <c r="A174" s="241">
        <v>46195</v>
      </c>
      <c r="B174" s="242">
        <f t="shared" si="8"/>
        <v>235</v>
      </c>
      <c r="C174" s="242">
        <f>IF(DAY(A174+2)=1,'Main Budget'!$G$39,IF(DAY(A174+2)=15,'Main Budget'!$G$39,0))</f>
        <v>0</v>
      </c>
      <c r="D174" s="242">
        <f t="shared" si="9"/>
        <v>0</v>
      </c>
      <c r="E174" s="242">
        <f>IF(DAY(A174)='Main Budget'!$J$12,('Main Budget'!$G$12),0)</f>
        <v>0</v>
      </c>
      <c r="F174" s="242">
        <f>IF(DAY(A174)='Main Budget'!$J$13,('Main Budget'!$G$13)*2,0)</f>
        <v>0</v>
      </c>
      <c r="G174" s="242"/>
      <c r="H174" s="242">
        <f>IF(DAY(A174)='Main Budget'!$J$14,'Main Budget'!$G$14,0)</f>
        <v>0</v>
      </c>
      <c r="I174" s="242"/>
      <c r="J174" s="252">
        <f t="shared" si="10"/>
        <v>235</v>
      </c>
      <c r="M174" t="str">
        <f t="shared" si="11"/>
        <v>Monday</v>
      </c>
    </row>
    <row r="175" spans="1:13" x14ac:dyDescent="0.25">
      <c r="A175" s="241">
        <v>46196</v>
      </c>
      <c r="B175" s="242">
        <f t="shared" si="8"/>
        <v>235</v>
      </c>
      <c r="C175" s="242">
        <f>IF(DAY(A175+2)=1,'Main Budget'!$G$39,IF(DAY(A175+2)=15,'Main Budget'!$G$39,0))</f>
        <v>0</v>
      </c>
      <c r="D175" s="242">
        <f t="shared" si="9"/>
        <v>0</v>
      </c>
      <c r="E175" s="242">
        <f>IF(DAY(A175)='Main Budget'!$J$12,('Main Budget'!$G$12),0)</f>
        <v>0</v>
      </c>
      <c r="F175" s="242">
        <f>IF(DAY(A175)='Main Budget'!$J$13,('Main Budget'!$G$13)*2,0)</f>
        <v>0</v>
      </c>
      <c r="G175" s="242"/>
      <c r="H175" s="242">
        <f>IF(DAY(A175)='Main Budget'!$J$14,'Main Budget'!$G$14,0)</f>
        <v>0</v>
      </c>
      <c r="I175" s="242"/>
      <c r="J175" s="252">
        <f t="shared" si="10"/>
        <v>235</v>
      </c>
      <c r="M175" t="str">
        <f t="shared" si="11"/>
        <v>Tuesday</v>
      </c>
    </row>
    <row r="176" spans="1:13" x14ac:dyDescent="0.25">
      <c r="A176" s="241">
        <v>46197</v>
      </c>
      <c r="B176" s="242">
        <f t="shared" si="8"/>
        <v>235</v>
      </c>
      <c r="C176" s="242">
        <f>IF(DAY(A176+2)=1,'Main Budget'!$G$39,IF(DAY(A176+2)=15,'Main Budget'!$G$39,0))</f>
        <v>0</v>
      </c>
      <c r="D176" s="242">
        <f t="shared" si="9"/>
        <v>0</v>
      </c>
      <c r="E176" s="242">
        <f>IF(DAY(A176)='Main Budget'!$J$12,('Main Budget'!$G$12),0)</f>
        <v>0</v>
      </c>
      <c r="F176" s="242">
        <f>IF(DAY(A176)='Main Budget'!$J$13,('Main Budget'!$G$13)*2,0)</f>
        <v>0</v>
      </c>
      <c r="G176" s="242"/>
      <c r="H176" s="242">
        <f>IF(DAY(A176)='Main Budget'!$J$14,'Main Budget'!$G$14,0)</f>
        <v>0</v>
      </c>
      <c r="I176" s="242"/>
      <c r="J176" s="252">
        <f t="shared" si="10"/>
        <v>235</v>
      </c>
      <c r="M176" t="str">
        <f t="shared" si="11"/>
        <v>Wednesday</v>
      </c>
    </row>
    <row r="177" spans="1:13" x14ac:dyDescent="0.25">
      <c r="A177" s="241">
        <v>46198</v>
      </c>
      <c r="B177" s="242">
        <f t="shared" si="8"/>
        <v>235</v>
      </c>
      <c r="C177" s="242">
        <f>IF(DAY(A177+2)=1,'Main Budget'!$G$39,IF(DAY(A177+2)=15,'Main Budget'!$G$39,0))</f>
        <v>0</v>
      </c>
      <c r="D177" s="242">
        <f t="shared" si="9"/>
        <v>0</v>
      </c>
      <c r="E177" s="242">
        <f>IF(DAY(A177)='Main Budget'!$J$12,('Main Budget'!$G$12),0)</f>
        <v>0</v>
      </c>
      <c r="F177" s="242">
        <f>IF(DAY(A177)='Main Budget'!$J$13,('Main Budget'!$G$13)*2,0)</f>
        <v>0</v>
      </c>
      <c r="G177" s="242"/>
      <c r="H177" s="242">
        <f>IF(DAY(A177)='Main Budget'!$J$14,'Main Budget'!$G$14,0)</f>
        <v>0</v>
      </c>
      <c r="I177" s="242"/>
      <c r="J177" s="252">
        <f t="shared" si="10"/>
        <v>235</v>
      </c>
      <c r="M177" t="str">
        <f t="shared" si="11"/>
        <v>Thursday</v>
      </c>
    </row>
    <row r="178" spans="1:13" x14ac:dyDescent="0.25">
      <c r="A178" s="241">
        <v>46199</v>
      </c>
      <c r="B178" s="242">
        <f t="shared" si="8"/>
        <v>235</v>
      </c>
      <c r="C178" s="242">
        <f>IF(DAY(A178+2)=1,'Main Budget'!$G$39,IF(DAY(A178+2)=15,'Main Budget'!$G$39,0))</f>
        <v>0</v>
      </c>
      <c r="D178" s="242">
        <f t="shared" si="9"/>
        <v>0</v>
      </c>
      <c r="E178" s="242">
        <f>IF(DAY(A178)='Main Budget'!$J$12,('Main Budget'!$G$12),0)</f>
        <v>0</v>
      </c>
      <c r="F178" s="242">
        <f>IF(DAY(A178)='Main Budget'!$J$13,('Main Budget'!$G$13)*2,0)</f>
        <v>0</v>
      </c>
      <c r="G178" s="242"/>
      <c r="H178" s="242">
        <f>IF(DAY(A178)='Main Budget'!$J$14,'Main Budget'!$G$14,0)</f>
        <v>0</v>
      </c>
      <c r="I178" s="242"/>
      <c r="J178" s="252">
        <f t="shared" si="10"/>
        <v>235</v>
      </c>
      <c r="M178" t="str">
        <f t="shared" si="11"/>
        <v>Friday</v>
      </c>
    </row>
    <row r="179" spans="1:13" x14ac:dyDescent="0.25">
      <c r="A179" s="241">
        <v>46200</v>
      </c>
      <c r="B179" s="242">
        <f t="shared" si="8"/>
        <v>235</v>
      </c>
      <c r="C179" s="242">
        <f>IF(DAY(A179+2)=1,'Main Budget'!$G$39,IF(DAY(A179+2)=15,'Main Budget'!$G$39,0))</f>
        <v>0</v>
      </c>
      <c r="D179" s="242">
        <f t="shared" si="9"/>
        <v>0</v>
      </c>
      <c r="E179" s="242">
        <f>IF(DAY(A179)='Main Budget'!$J$12,('Main Budget'!$G$12),0)</f>
        <v>0</v>
      </c>
      <c r="F179" s="242">
        <f>IF(DAY(A179)='Main Budget'!$J$13,('Main Budget'!$G$13)*2,0)</f>
        <v>0</v>
      </c>
      <c r="G179" s="242"/>
      <c r="H179" s="242">
        <f>IF(DAY(A179)='Main Budget'!$J$14,'Main Budget'!$G$14,0)</f>
        <v>0</v>
      </c>
      <c r="I179" s="242"/>
      <c r="J179" s="252">
        <f t="shared" si="10"/>
        <v>235</v>
      </c>
      <c r="M179" t="str">
        <f t="shared" si="11"/>
        <v>Saturday</v>
      </c>
    </row>
    <row r="180" spans="1:13" x14ac:dyDescent="0.25">
      <c r="A180" s="241">
        <v>46201</v>
      </c>
      <c r="B180" s="242">
        <f t="shared" si="8"/>
        <v>235</v>
      </c>
      <c r="C180" s="242">
        <f>IF(DAY(A180+2)=1,'Main Budget'!$G$39,IF(DAY(A180+2)=15,'Main Budget'!$G$39,0))</f>
        <v>0</v>
      </c>
      <c r="D180" s="242">
        <f t="shared" si="9"/>
        <v>0</v>
      </c>
      <c r="E180" s="242">
        <f>IF(DAY(A180)='Main Budget'!$J$12,('Main Budget'!$G$12),0)</f>
        <v>0</v>
      </c>
      <c r="F180" s="242">
        <f>IF(DAY(A180)='Main Budget'!$J$13,('Main Budget'!$G$13)*2,0)</f>
        <v>0</v>
      </c>
      <c r="G180" s="242"/>
      <c r="H180" s="242">
        <f>IF(DAY(A180)='Main Budget'!$J$14,'Main Budget'!$G$14,0)</f>
        <v>0</v>
      </c>
      <c r="I180" s="242"/>
      <c r="J180" s="252">
        <f t="shared" si="10"/>
        <v>235</v>
      </c>
      <c r="M180" t="str">
        <f t="shared" si="11"/>
        <v>Sunday</v>
      </c>
    </row>
    <row r="181" spans="1:13" x14ac:dyDescent="0.25">
      <c r="A181" s="241">
        <v>46202</v>
      </c>
      <c r="B181" s="242">
        <f t="shared" si="8"/>
        <v>235</v>
      </c>
      <c r="C181" s="242">
        <f>IF(DAY(A181+2)=1,'Main Budget'!$G$39,IF(DAY(A181+2)=15,'Main Budget'!$G$39,0))</f>
        <v>0</v>
      </c>
      <c r="D181" s="242">
        <f t="shared" si="9"/>
        <v>0</v>
      </c>
      <c r="E181" s="242">
        <f>IF(DAY(A181)='Main Budget'!$J$12,('Main Budget'!$G$12),0)</f>
        <v>0</v>
      </c>
      <c r="F181" s="242">
        <f>IF(DAY(A181)='Main Budget'!$J$13,('Main Budget'!$G$13)*2,0)</f>
        <v>0</v>
      </c>
      <c r="G181" s="242"/>
      <c r="H181" s="242">
        <f>IF(DAY(A181)='Main Budget'!$J$14,'Main Budget'!$G$14,0)</f>
        <v>0</v>
      </c>
      <c r="I181" s="242"/>
      <c r="J181" s="252">
        <f t="shared" si="10"/>
        <v>235</v>
      </c>
      <c r="M181" t="str">
        <f t="shared" si="11"/>
        <v>Monday</v>
      </c>
    </row>
    <row r="182" spans="1:13" x14ac:dyDescent="0.25">
      <c r="A182" s="241">
        <v>46203</v>
      </c>
      <c r="B182" s="242">
        <f t="shared" si="8"/>
        <v>235</v>
      </c>
      <c r="C182" s="242">
        <f>IF(DAY(A182+2)=1,'Main Budget'!$G$39,IF(DAY(A182+2)=15,'Main Budget'!$G$39,0))</f>
        <v>0</v>
      </c>
      <c r="D182" s="242">
        <f t="shared" si="9"/>
        <v>0</v>
      </c>
      <c r="E182" s="242">
        <f>IF(DAY(A182)='Main Budget'!$J$12,('Main Budget'!$G$12),0)</f>
        <v>0</v>
      </c>
      <c r="F182" s="242">
        <f>IF(DAY(A182)='Main Budget'!$J$13,('Main Budget'!$G$13)*2,0)</f>
        <v>0</v>
      </c>
      <c r="G182" s="242"/>
      <c r="H182" s="242">
        <f>IF(DAY(A182)='Main Budget'!$J$14,'Main Budget'!$G$14,0)</f>
        <v>0</v>
      </c>
      <c r="I182" s="242"/>
      <c r="J182" s="252">
        <f t="shared" si="10"/>
        <v>235</v>
      </c>
      <c r="M182" t="str">
        <f t="shared" si="11"/>
        <v>Tuesday</v>
      </c>
    </row>
    <row r="183" spans="1:13" x14ac:dyDescent="0.25">
      <c r="A183" s="241">
        <v>46204</v>
      </c>
      <c r="B183" s="242">
        <f t="shared" si="8"/>
        <v>235</v>
      </c>
      <c r="C183" s="242">
        <f>IF(DAY(A183+2)=1,'Main Budget'!$G$39,IF(DAY(A183+2)=15,'Main Budget'!$G$39,0))</f>
        <v>0</v>
      </c>
      <c r="D183" s="242">
        <f t="shared" si="9"/>
        <v>11.25</v>
      </c>
      <c r="E183" s="242">
        <f>IF(DAY(A183)='Main Budget'!$J$12,('Main Budget'!$G$12),0)</f>
        <v>0</v>
      </c>
      <c r="F183" s="242">
        <f>IF(DAY(A183)='Main Budget'!$J$13,('Main Budget'!$G$13)*2,0)</f>
        <v>0</v>
      </c>
      <c r="G183" s="242"/>
      <c r="H183" s="242">
        <f>IF(DAY(A183)='Main Budget'!$J$14,'Main Budget'!$G$14,0)</f>
        <v>0</v>
      </c>
      <c r="I183" s="242"/>
      <c r="J183" s="252">
        <f t="shared" si="10"/>
        <v>246.25</v>
      </c>
      <c r="M183" t="str">
        <f t="shared" si="11"/>
        <v>Wednesday</v>
      </c>
    </row>
    <row r="184" spans="1:13" x14ac:dyDescent="0.25">
      <c r="A184" s="241">
        <v>46205</v>
      </c>
      <c r="B184" s="242">
        <f t="shared" si="8"/>
        <v>246.25</v>
      </c>
      <c r="C184" s="242">
        <f>IF(DAY(A184+2)=1,'Main Budget'!$G$39,IF(DAY(A184+2)=15,'Main Budget'!$G$39,0))</f>
        <v>0</v>
      </c>
      <c r="D184" s="242">
        <f t="shared" si="9"/>
        <v>0</v>
      </c>
      <c r="E184" s="242">
        <f>IF(DAY(A184)='Main Budget'!$J$12,('Main Budget'!$G$12),0)</f>
        <v>0</v>
      </c>
      <c r="F184" s="242">
        <f>IF(DAY(A184)='Main Budget'!$J$13,('Main Budget'!$G$13)*2,0)</f>
        <v>0</v>
      </c>
      <c r="G184" s="242"/>
      <c r="H184" s="242">
        <f>IF(DAY(A184)='Main Budget'!$J$14,'Main Budget'!$G$14,0)</f>
        <v>0</v>
      </c>
      <c r="I184" s="242"/>
      <c r="J184" s="252">
        <f t="shared" si="10"/>
        <v>246.25</v>
      </c>
      <c r="M184" t="str">
        <f t="shared" si="11"/>
        <v>Thursday</v>
      </c>
    </row>
    <row r="185" spans="1:13" x14ac:dyDescent="0.25">
      <c r="A185" s="241">
        <v>46206</v>
      </c>
      <c r="B185" s="242">
        <f t="shared" si="8"/>
        <v>246.25</v>
      </c>
      <c r="C185" s="242">
        <f>IF(DAY(A185+2)=1,'Main Budget'!$G$39,IF(DAY(A185+2)=15,'Main Budget'!$G$39,0))</f>
        <v>0</v>
      </c>
      <c r="D185" s="242">
        <f t="shared" si="9"/>
        <v>0</v>
      </c>
      <c r="E185" s="242">
        <f>IF(DAY(A185)='Main Budget'!$J$12,('Main Budget'!$G$12),0)</f>
        <v>0</v>
      </c>
      <c r="F185" s="242">
        <f>IF(DAY(A185)='Main Budget'!$J$13,('Main Budget'!$G$13)*2,0)</f>
        <v>0</v>
      </c>
      <c r="G185" s="242"/>
      <c r="H185" s="242">
        <f>IF(DAY(A185)='Main Budget'!$J$14,'Main Budget'!$G$14,0)</f>
        <v>0</v>
      </c>
      <c r="I185" s="242"/>
      <c r="J185" s="252">
        <f t="shared" si="10"/>
        <v>246.25</v>
      </c>
      <c r="M185" t="str">
        <f t="shared" si="11"/>
        <v>Friday</v>
      </c>
    </row>
    <row r="186" spans="1:13" x14ac:dyDescent="0.25">
      <c r="A186" s="241">
        <v>46207</v>
      </c>
      <c r="B186" s="242">
        <f t="shared" si="8"/>
        <v>246.25</v>
      </c>
      <c r="C186" s="242">
        <f>IF(DAY(A186+2)=1,'Main Budget'!$G$39,IF(DAY(A186+2)=15,'Main Budget'!$G$39,0))</f>
        <v>0</v>
      </c>
      <c r="D186" s="242">
        <f t="shared" si="9"/>
        <v>0</v>
      </c>
      <c r="E186" s="242">
        <f>IF(DAY(A186)='Main Budget'!$J$12,('Main Budget'!$G$12),0)</f>
        <v>0</v>
      </c>
      <c r="F186" s="242">
        <f>IF(DAY(A186)='Main Budget'!$J$13,('Main Budget'!$G$13)*2,0)</f>
        <v>0</v>
      </c>
      <c r="G186" s="242"/>
      <c r="H186" s="242">
        <f>IF(DAY(A186)='Main Budget'!$J$14,'Main Budget'!$G$14,0)</f>
        <v>0</v>
      </c>
      <c r="I186" s="242"/>
      <c r="J186" s="252">
        <f t="shared" si="10"/>
        <v>246.25</v>
      </c>
      <c r="M186" t="str">
        <f t="shared" si="11"/>
        <v>Saturday</v>
      </c>
    </row>
    <row r="187" spans="1:13" x14ac:dyDescent="0.25">
      <c r="A187" s="241">
        <v>46208</v>
      </c>
      <c r="B187" s="242">
        <f t="shared" si="8"/>
        <v>246.25</v>
      </c>
      <c r="C187" s="242">
        <f>IF(DAY(A187+2)=1,'Main Budget'!$G$39,IF(DAY(A187+2)=15,'Main Budget'!$G$39,0))</f>
        <v>0</v>
      </c>
      <c r="D187" s="242">
        <f t="shared" si="9"/>
        <v>0</v>
      </c>
      <c r="E187" s="242">
        <f>IF(DAY(A187)='Main Budget'!$J$12,('Main Budget'!$G$12),0)</f>
        <v>0</v>
      </c>
      <c r="F187" s="242">
        <f>IF(DAY(A187)='Main Budget'!$J$13,('Main Budget'!$G$13)*2,0)</f>
        <v>0</v>
      </c>
      <c r="G187" s="242"/>
      <c r="H187" s="242">
        <f>IF(DAY(A187)='Main Budget'!$J$14,'Main Budget'!$G$14,0)</f>
        <v>0</v>
      </c>
      <c r="I187" s="242"/>
      <c r="J187" s="252">
        <f t="shared" si="10"/>
        <v>246.25</v>
      </c>
      <c r="M187" t="str">
        <f t="shared" si="11"/>
        <v>Sunday</v>
      </c>
    </row>
    <row r="188" spans="1:13" x14ac:dyDescent="0.25">
      <c r="A188" s="241">
        <v>46209</v>
      </c>
      <c r="B188" s="242">
        <f t="shared" si="8"/>
        <v>246.25</v>
      </c>
      <c r="C188" s="242">
        <f>IF(DAY(A188+2)=1,'Main Budget'!$G$39,IF(DAY(A188+2)=15,'Main Budget'!$G$39,0))</f>
        <v>0</v>
      </c>
      <c r="D188" s="242">
        <f t="shared" si="9"/>
        <v>0</v>
      </c>
      <c r="E188" s="242">
        <f>IF(DAY(A188)='Main Budget'!$J$12,('Main Budget'!$G$12),0)</f>
        <v>0</v>
      </c>
      <c r="F188" s="242">
        <f>IF(DAY(A188)='Main Budget'!$J$13,('Main Budget'!$G$13)*2,0)</f>
        <v>0</v>
      </c>
      <c r="G188" s="242"/>
      <c r="H188" s="242">
        <f>IF(DAY(A188)='Main Budget'!$J$14,'Main Budget'!$G$14,0)</f>
        <v>0</v>
      </c>
      <c r="I188" s="242"/>
      <c r="J188" s="252">
        <f t="shared" si="10"/>
        <v>246.25</v>
      </c>
      <c r="M188" t="str">
        <f t="shared" si="11"/>
        <v>Monday</v>
      </c>
    </row>
    <row r="189" spans="1:13" x14ac:dyDescent="0.25">
      <c r="A189" s="241">
        <v>46210</v>
      </c>
      <c r="B189" s="242">
        <f t="shared" si="8"/>
        <v>246.25</v>
      </c>
      <c r="C189" s="242">
        <f>IF(DAY(A189+2)=1,'Main Budget'!$G$39,IF(DAY(A189+2)=15,'Main Budget'!$G$39,0))</f>
        <v>0</v>
      </c>
      <c r="D189" s="242">
        <f t="shared" si="9"/>
        <v>0</v>
      </c>
      <c r="E189" s="242">
        <f>IF(DAY(A189)='Main Budget'!$J$12,('Main Budget'!$G$12),0)</f>
        <v>0</v>
      </c>
      <c r="F189" s="242">
        <f>IF(DAY(A189)='Main Budget'!$J$13,('Main Budget'!$G$13)*2,0)</f>
        <v>0</v>
      </c>
      <c r="G189" s="242"/>
      <c r="H189" s="242">
        <f>IF(DAY(A189)='Main Budget'!$J$14,'Main Budget'!$G$14,0)</f>
        <v>0</v>
      </c>
      <c r="I189" s="242"/>
      <c r="J189" s="252">
        <f t="shared" si="10"/>
        <v>246.25</v>
      </c>
      <c r="M189" t="str">
        <f t="shared" si="11"/>
        <v>Tuesday</v>
      </c>
    </row>
    <row r="190" spans="1:13" x14ac:dyDescent="0.25">
      <c r="A190" s="241">
        <v>46211</v>
      </c>
      <c r="B190" s="242">
        <f t="shared" si="8"/>
        <v>246.25</v>
      </c>
      <c r="C190" s="242">
        <f>IF(DAY(A190+2)=1,'Main Budget'!$G$39,IF(DAY(A190+2)=15,'Main Budget'!$G$39,0))</f>
        <v>0</v>
      </c>
      <c r="D190" s="242">
        <f t="shared" si="9"/>
        <v>0</v>
      </c>
      <c r="E190" s="242">
        <f>IF(DAY(A190)='Main Budget'!$J$12,('Main Budget'!$G$12),0)</f>
        <v>0</v>
      </c>
      <c r="F190" s="242">
        <f>IF(DAY(A190)='Main Budget'!$J$13,('Main Budget'!$G$13)*2,0)</f>
        <v>0</v>
      </c>
      <c r="G190" s="242"/>
      <c r="H190" s="242">
        <f>IF(DAY(A190)='Main Budget'!$J$14,'Main Budget'!$G$14,0)</f>
        <v>0</v>
      </c>
      <c r="I190" s="242"/>
      <c r="J190" s="252">
        <f t="shared" si="10"/>
        <v>246.25</v>
      </c>
      <c r="M190" t="str">
        <f t="shared" si="11"/>
        <v>Wednesday</v>
      </c>
    </row>
    <row r="191" spans="1:13" x14ac:dyDescent="0.25">
      <c r="A191" s="241">
        <v>46212</v>
      </c>
      <c r="B191" s="242">
        <f t="shared" si="8"/>
        <v>246.25</v>
      </c>
      <c r="C191" s="242">
        <f>IF(DAY(A191+2)=1,'Main Budget'!$G$39,IF(DAY(A191+2)=15,'Main Budget'!$G$39,0))</f>
        <v>0</v>
      </c>
      <c r="D191" s="242">
        <f t="shared" si="9"/>
        <v>0</v>
      </c>
      <c r="E191" s="242">
        <f>IF(DAY(A191)='Main Budget'!$J$12,('Main Budget'!$G$12),0)</f>
        <v>0</v>
      </c>
      <c r="F191" s="242">
        <f>IF(DAY(A191)='Main Budget'!$J$13,('Main Budget'!$G$13)*2,0)</f>
        <v>0</v>
      </c>
      <c r="G191" s="242"/>
      <c r="H191" s="242">
        <f>IF(DAY(A191)='Main Budget'!$J$14,'Main Budget'!$G$14,0)</f>
        <v>0</v>
      </c>
      <c r="I191" s="242"/>
      <c r="J191" s="252">
        <f t="shared" si="10"/>
        <v>246.25</v>
      </c>
      <c r="M191" t="str">
        <f t="shared" si="11"/>
        <v>Thursday</v>
      </c>
    </row>
    <row r="192" spans="1:13" x14ac:dyDescent="0.25">
      <c r="A192" s="241">
        <v>46213</v>
      </c>
      <c r="B192" s="242">
        <f t="shared" si="8"/>
        <v>246.25</v>
      </c>
      <c r="C192" s="242">
        <f>IF(DAY(A192+2)=1,'Main Budget'!$G$39,IF(DAY(A192+2)=15,'Main Budget'!$G$39,0))</f>
        <v>0</v>
      </c>
      <c r="D192" s="242">
        <f t="shared" si="9"/>
        <v>0</v>
      </c>
      <c r="E192" s="242">
        <f>IF(DAY(A192)='Main Budget'!$J$12,('Main Budget'!$G$12),0)</f>
        <v>0</v>
      </c>
      <c r="F192" s="242">
        <f>IF(DAY(A192)='Main Budget'!$J$13,('Main Budget'!$G$13)*2,0)</f>
        <v>0</v>
      </c>
      <c r="G192" s="242"/>
      <c r="H192" s="242">
        <f>IF(DAY(A192)='Main Budget'!$J$14,'Main Budget'!$G$14,0)</f>
        <v>0</v>
      </c>
      <c r="I192" s="242"/>
      <c r="J192" s="252">
        <f t="shared" si="10"/>
        <v>246.25</v>
      </c>
      <c r="M192" t="str">
        <f t="shared" si="11"/>
        <v>Friday</v>
      </c>
    </row>
    <row r="193" spans="1:13" x14ac:dyDescent="0.25">
      <c r="A193" s="241">
        <v>46214</v>
      </c>
      <c r="B193" s="242">
        <f t="shared" si="8"/>
        <v>246.25</v>
      </c>
      <c r="C193" s="242">
        <f>IF(DAY(A193+2)=1,'Main Budget'!$G$39,IF(DAY(A193+2)=15,'Main Budget'!$G$39,0))</f>
        <v>0</v>
      </c>
      <c r="D193" s="242">
        <f t="shared" si="9"/>
        <v>0</v>
      </c>
      <c r="E193" s="242">
        <f>IF(DAY(A193)='Main Budget'!$J$12,('Main Budget'!$G$12),0)</f>
        <v>0</v>
      </c>
      <c r="F193" s="242">
        <f>IF(DAY(A193)='Main Budget'!$J$13,('Main Budget'!$G$13)*2,0)</f>
        <v>0</v>
      </c>
      <c r="G193" s="242"/>
      <c r="H193" s="242">
        <f>IF(DAY(A193)='Main Budget'!$J$14,'Main Budget'!$G$14,0)</f>
        <v>0</v>
      </c>
      <c r="I193" s="242"/>
      <c r="J193" s="252">
        <f t="shared" si="10"/>
        <v>246.25</v>
      </c>
      <c r="M193" t="str">
        <f t="shared" si="11"/>
        <v>Saturday</v>
      </c>
    </row>
    <row r="194" spans="1:13" x14ac:dyDescent="0.25">
      <c r="A194" s="241">
        <v>46215</v>
      </c>
      <c r="B194" s="242">
        <f t="shared" si="8"/>
        <v>246.25</v>
      </c>
      <c r="C194" s="242">
        <f>IF(DAY(A194+2)=1,'Main Budget'!$G$39,IF(DAY(A194+2)=15,'Main Budget'!$G$39,0))</f>
        <v>0</v>
      </c>
      <c r="D194" s="242">
        <f t="shared" si="9"/>
        <v>0</v>
      </c>
      <c r="E194" s="242">
        <f>IF(DAY(A194)='Main Budget'!$J$12,('Main Budget'!$G$12),0)</f>
        <v>0</v>
      </c>
      <c r="F194" s="242">
        <f>IF(DAY(A194)='Main Budget'!$J$13,('Main Budget'!$G$13)*2,0)</f>
        <v>0</v>
      </c>
      <c r="G194" s="242"/>
      <c r="H194" s="242">
        <f>IF(DAY(A194)='Main Budget'!$J$14,'Main Budget'!$G$14,0)</f>
        <v>0</v>
      </c>
      <c r="I194" s="242"/>
      <c r="J194" s="252">
        <f t="shared" si="10"/>
        <v>246.25</v>
      </c>
      <c r="M194" t="str">
        <f t="shared" si="11"/>
        <v>Sunday</v>
      </c>
    </row>
    <row r="195" spans="1:13" x14ac:dyDescent="0.25">
      <c r="A195" s="241">
        <v>46216</v>
      </c>
      <c r="B195" s="242">
        <f t="shared" si="8"/>
        <v>246.25</v>
      </c>
      <c r="C195" s="242">
        <f>IF(DAY(A195+2)=1,'Main Budget'!$G$39,IF(DAY(A195+2)=15,'Main Budget'!$G$39,0))</f>
        <v>0</v>
      </c>
      <c r="D195" s="242">
        <f t="shared" si="9"/>
        <v>0</v>
      </c>
      <c r="E195" s="242">
        <f>IF(DAY(A195)='Main Budget'!$J$12,('Main Budget'!$G$12),0)</f>
        <v>0</v>
      </c>
      <c r="F195" s="242">
        <f>IF(DAY(A195)='Main Budget'!$J$13,('Main Budget'!$G$13)*2,0)</f>
        <v>0</v>
      </c>
      <c r="G195" s="242"/>
      <c r="H195" s="242">
        <f>IF(DAY(A195)='Main Budget'!$J$14,'Main Budget'!$G$14,0)</f>
        <v>0</v>
      </c>
      <c r="I195" s="242"/>
      <c r="J195" s="252">
        <f t="shared" si="10"/>
        <v>246.25</v>
      </c>
      <c r="M195" t="str">
        <f t="shared" si="11"/>
        <v>Monday</v>
      </c>
    </row>
    <row r="196" spans="1:13" x14ac:dyDescent="0.25">
      <c r="A196" s="241">
        <v>46217</v>
      </c>
      <c r="B196" s="242">
        <f t="shared" si="8"/>
        <v>246.25</v>
      </c>
      <c r="C196" s="242">
        <f>IF(DAY(A196+2)=1,'Main Budget'!$G$39,IF(DAY(A196+2)=15,'Main Budget'!$G$39,0))</f>
        <v>0</v>
      </c>
      <c r="D196" s="242">
        <f t="shared" si="9"/>
        <v>0</v>
      </c>
      <c r="E196" s="242">
        <f>IF(DAY(A196)='Main Budget'!$J$12,('Main Budget'!$G$12),0)</f>
        <v>0</v>
      </c>
      <c r="F196" s="242">
        <f>IF(DAY(A196)='Main Budget'!$J$13,('Main Budget'!$G$13)*2,0)</f>
        <v>0</v>
      </c>
      <c r="G196" s="242"/>
      <c r="H196" s="242">
        <f>IF(DAY(A196)='Main Budget'!$J$14,'Main Budget'!$G$14,0)</f>
        <v>0</v>
      </c>
      <c r="I196" s="242"/>
      <c r="J196" s="252">
        <f t="shared" si="10"/>
        <v>246.25</v>
      </c>
      <c r="M196" t="str">
        <f t="shared" si="11"/>
        <v>Tuesday</v>
      </c>
    </row>
    <row r="197" spans="1:13" x14ac:dyDescent="0.25">
      <c r="A197" s="241">
        <v>46218</v>
      </c>
      <c r="B197" s="242">
        <f t="shared" si="8"/>
        <v>246.25</v>
      </c>
      <c r="C197" s="242">
        <f>IF(DAY(A197+2)=1,'Main Budget'!$G$39,IF(DAY(A197+2)=15,'Main Budget'!$G$39,0))</f>
        <v>0</v>
      </c>
      <c r="D197" s="242">
        <f t="shared" si="9"/>
        <v>11.25</v>
      </c>
      <c r="E197" s="242">
        <f>IF(DAY(A197)='Main Budget'!$J$12,('Main Budget'!$G$12),0)</f>
        <v>0</v>
      </c>
      <c r="F197" s="242">
        <f>IF(DAY(A197)='Main Budget'!$J$13,('Main Budget'!$G$13)*2,0)</f>
        <v>0</v>
      </c>
      <c r="G197" s="242"/>
      <c r="H197" s="242">
        <f>IF(DAY(A197)='Main Budget'!$J$14,'Main Budget'!$G$14,0)</f>
        <v>0</v>
      </c>
      <c r="I197" s="242"/>
      <c r="J197" s="252">
        <f t="shared" si="10"/>
        <v>257.5</v>
      </c>
      <c r="M197" t="str">
        <f t="shared" si="11"/>
        <v>Wednesday</v>
      </c>
    </row>
    <row r="198" spans="1:13" x14ac:dyDescent="0.25">
      <c r="A198" s="241">
        <v>46219</v>
      </c>
      <c r="B198" s="242">
        <f t="shared" si="8"/>
        <v>257.5</v>
      </c>
      <c r="C198" s="242">
        <f>IF(DAY(A198+2)=1,'Main Budget'!$G$39,IF(DAY(A198+2)=15,'Main Budget'!$G$39,0))</f>
        <v>0</v>
      </c>
      <c r="D198" s="242">
        <f t="shared" si="9"/>
        <v>0</v>
      </c>
      <c r="E198" s="242">
        <f>IF(DAY(A198)='Main Budget'!$J$12,('Main Budget'!$G$12),0)</f>
        <v>0</v>
      </c>
      <c r="F198" s="242">
        <f>IF(DAY(A198)='Main Budget'!$J$13,('Main Budget'!$G$13)*2,0)</f>
        <v>0</v>
      </c>
      <c r="G198" s="242"/>
      <c r="H198" s="242">
        <f>IF(DAY(A198)='Main Budget'!$J$14,'Main Budget'!$G$14,0)</f>
        <v>0</v>
      </c>
      <c r="I198" s="242"/>
      <c r="J198" s="252">
        <f t="shared" si="10"/>
        <v>257.5</v>
      </c>
      <c r="M198" t="str">
        <f t="shared" si="11"/>
        <v>Thursday</v>
      </c>
    </row>
    <row r="199" spans="1:13" x14ac:dyDescent="0.25">
      <c r="A199" s="241">
        <v>46220</v>
      </c>
      <c r="B199" s="242">
        <f t="shared" si="8"/>
        <v>257.5</v>
      </c>
      <c r="C199" s="242">
        <f>IF(DAY(A199+2)=1,'Main Budget'!$G$39,IF(DAY(A199+2)=15,'Main Budget'!$G$39,0))</f>
        <v>0</v>
      </c>
      <c r="D199" s="242">
        <f t="shared" si="9"/>
        <v>0</v>
      </c>
      <c r="E199" s="242">
        <f>IF(DAY(A199)='Main Budget'!$J$12,('Main Budget'!$G$12),0)</f>
        <v>0</v>
      </c>
      <c r="F199" s="242">
        <f>IF(DAY(A199)='Main Budget'!$J$13,('Main Budget'!$G$13)*2,0)</f>
        <v>0</v>
      </c>
      <c r="G199" s="242"/>
      <c r="H199" s="242">
        <f>IF(DAY(A199)='Main Budget'!$J$14,'Main Budget'!$G$14,0)</f>
        <v>0</v>
      </c>
      <c r="I199" s="242"/>
      <c r="J199" s="252">
        <f t="shared" si="10"/>
        <v>257.5</v>
      </c>
      <c r="M199" t="str">
        <f t="shared" si="11"/>
        <v>Friday</v>
      </c>
    </row>
    <row r="200" spans="1:13" x14ac:dyDescent="0.25">
      <c r="A200" s="241">
        <v>46221</v>
      </c>
      <c r="B200" s="242">
        <f t="shared" si="8"/>
        <v>257.5</v>
      </c>
      <c r="C200" s="242">
        <f>IF(DAY(A200+2)=1,'Main Budget'!$G$39,IF(DAY(A200+2)=15,'Main Budget'!$G$39,0))</f>
        <v>0</v>
      </c>
      <c r="D200" s="242">
        <f t="shared" si="9"/>
        <v>0</v>
      </c>
      <c r="E200" s="242">
        <f>IF(DAY(A200)='Main Budget'!$J$12,('Main Budget'!$G$12),0)</f>
        <v>0</v>
      </c>
      <c r="F200" s="242">
        <f>IF(DAY(A200)='Main Budget'!$J$13,('Main Budget'!$G$13)*2,0)</f>
        <v>0</v>
      </c>
      <c r="G200" s="242"/>
      <c r="H200" s="242">
        <f>IF(DAY(A200)='Main Budget'!$J$14,'Main Budget'!$G$14,0)</f>
        <v>0</v>
      </c>
      <c r="I200" s="242"/>
      <c r="J200" s="252">
        <f t="shared" si="10"/>
        <v>257.5</v>
      </c>
      <c r="M200" t="str">
        <f t="shared" si="11"/>
        <v>Saturday</v>
      </c>
    </row>
    <row r="201" spans="1:13" x14ac:dyDescent="0.25">
      <c r="A201" s="241">
        <v>46222</v>
      </c>
      <c r="B201" s="242">
        <f t="shared" si="8"/>
        <v>257.5</v>
      </c>
      <c r="C201" s="242">
        <f>IF(DAY(A201+2)=1,'Main Budget'!$G$39,IF(DAY(A201+2)=15,'Main Budget'!$G$39,0))</f>
        <v>0</v>
      </c>
      <c r="D201" s="242">
        <f t="shared" si="9"/>
        <v>0</v>
      </c>
      <c r="E201" s="242">
        <f>IF(DAY(A201)='Main Budget'!$J$12,('Main Budget'!$G$12),0)</f>
        <v>0</v>
      </c>
      <c r="F201" s="242">
        <f>IF(DAY(A201)='Main Budget'!$J$13,('Main Budget'!$G$13)*2,0)</f>
        <v>0</v>
      </c>
      <c r="G201" s="242"/>
      <c r="H201" s="242">
        <f>IF(DAY(A201)='Main Budget'!$J$14,'Main Budget'!$G$14,0)</f>
        <v>0</v>
      </c>
      <c r="I201" s="242"/>
      <c r="J201" s="252">
        <f t="shared" si="10"/>
        <v>257.5</v>
      </c>
      <c r="M201" t="str">
        <f t="shared" si="11"/>
        <v>Sunday</v>
      </c>
    </row>
    <row r="202" spans="1:13" x14ac:dyDescent="0.25">
      <c r="A202" s="241">
        <v>46223</v>
      </c>
      <c r="B202" s="242">
        <f t="shared" si="8"/>
        <v>257.5</v>
      </c>
      <c r="C202" s="242">
        <f>IF(DAY(A202+2)=1,'Main Budget'!$G$39,IF(DAY(A202+2)=15,'Main Budget'!$G$39,0))</f>
        <v>0</v>
      </c>
      <c r="D202" s="242">
        <f t="shared" si="9"/>
        <v>0</v>
      </c>
      <c r="E202" s="242">
        <f>IF(DAY(A202)='Main Budget'!$J$12,('Main Budget'!$G$12),0)</f>
        <v>0</v>
      </c>
      <c r="F202" s="242">
        <f>IF(DAY(A202)='Main Budget'!$J$13,('Main Budget'!$G$13)*2,0)</f>
        <v>0</v>
      </c>
      <c r="G202" s="242"/>
      <c r="H202" s="242">
        <f>IF(DAY(A202)='Main Budget'!$J$14,'Main Budget'!$G$14,0)</f>
        <v>0</v>
      </c>
      <c r="I202" s="242"/>
      <c r="J202" s="252">
        <f t="shared" si="10"/>
        <v>257.5</v>
      </c>
      <c r="M202" t="str">
        <f t="shared" si="11"/>
        <v>Monday</v>
      </c>
    </row>
    <row r="203" spans="1:13" x14ac:dyDescent="0.25">
      <c r="A203" s="241">
        <v>46224</v>
      </c>
      <c r="B203" s="242">
        <f t="shared" si="8"/>
        <v>257.5</v>
      </c>
      <c r="C203" s="242">
        <f>IF(DAY(A203+2)=1,'Main Budget'!$G$39,IF(DAY(A203+2)=15,'Main Budget'!$G$39,0))</f>
        <v>0</v>
      </c>
      <c r="D203" s="242">
        <f t="shared" si="9"/>
        <v>0</v>
      </c>
      <c r="E203" s="242">
        <f>IF(DAY(A203)='Main Budget'!$J$12,('Main Budget'!$G$12),0)</f>
        <v>0</v>
      </c>
      <c r="F203" s="242">
        <f>IF(DAY(A203)='Main Budget'!$J$13,('Main Budget'!$G$13)*2,0)</f>
        <v>0</v>
      </c>
      <c r="G203" s="242"/>
      <c r="H203" s="242">
        <f>IF(DAY(A203)='Main Budget'!$J$14,'Main Budget'!$G$14,0)</f>
        <v>0</v>
      </c>
      <c r="I203" s="242"/>
      <c r="J203" s="252">
        <f t="shared" si="10"/>
        <v>257.5</v>
      </c>
      <c r="M203" t="str">
        <f t="shared" si="11"/>
        <v>Tuesday</v>
      </c>
    </row>
    <row r="204" spans="1:13" x14ac:dyDescent="0.25">
      <c r="A204" s="241">
        <v>46225</v>
      </c>
      <c r="B204" s="242">
        <f t="shared" si="8"/>
        <v>257.5</v>
      </c>
      <c r="C204" s="242">
        <f>IF(DAY(A204+2)=1,'Main Budget'!$G$39,IF(DAY(A204+2)=15,'Main Budget'!$G$39,0))</f>
        <v>0</v>
      </c>
      <c r="D204" s="242">
        <f t="shared" si="9"/>
        <v>0</v>
      </c>
      <c r="E204" s="242">
        <f>IF(DAY(A204)='Main Budget'!$J$12,('Main Budget'!$G$12),0)</f>
        <v>0</v>
      </c>
      <c r="F204" s="242">
        <f>IF(DAY(A204)='Main Budget'!$J$13,('Main Budget'!$G$13)*2,0)</f>
        <v>0</v>
      </c>
      <c r="G204" s="242"/>
      <c r="H204" s="242">
        <f>IF(DAY(A204)='Main Budget'!$J$14,'Main Budget'!$G$14,0)</f>
        <v>0</v>
      </c>
      <c r="I204" s="242"/>
      <c r="J204" s="252">
        <f t="shared" si="10"/>
        <v>257.5</v>
      </c>
      <c r="M204" t="str">
        <f t="shared" si="11"/>
        <v>Wednesday</v>
      </c>
    </row>
    <row r="205" spans="1:13" x14ac:dyDescent="0.25">
      <c r="A205" s="241">
        <v>46226</v>
      </c>
      <c r="B205" s="242">
        <f t="shared" si="8"/>
        <v>257.5</v>
      </c>
      <c r="C205" s="242">
        <f>IF(DAY(A205+2)=1,'Main Budget'!$G$39,IF(DAY(A205+2)=15,'Main Budget'!$G$39,0))</f>
        <v>0</v>
      </c>
      <c r="D205" s="242">
        <f t="shared" si="9"/>
        <v>0</v>
      </c>
      <c r="E205" s="242">
        <f>IF(DAY(A205)='Main Budget'!$J$12,('Main Budget'!$G$12),0)</f>
        <v>0</v>
      </c>
      <c r="F205" s="242">
        <f>IF(DAY(A205)='Main Budget'!$J$13,('Main Budget'!$G$13)*2,0)</f>
        <v>0</v>
      </c>
      <c r="G205" s="242"/>
      <c r="H205" s="242">
        <f>IF(DAY(A205)='Main Budget'!$J$14,'Main Budget'!$G$14,0)</f>
        <v>0</v>
      </c>
      <c r="I205" s="242"/>
      <c r="J205" s="252">
        <f t="shared" si="10"/>
        <v>257.5</v>
      </c>
      <c r="M205" t="str">
        <f t="shared" si="11"/>
        <v>Thursday</v>
      </c>
    </row>
    <row r="206" spans="1:13" x14ac:dyDescent="0.25">
      <c r="A206" s="241">
        <v>46227</v>
      </c>
      <c r="B206" s="242">
        <f t="shared" si="8"/>
        <v>257.5</v>
      </c>
      <c r="C206" s="242">
        <f>IF(DAY(A206+2)=1,'Main Budget'!$G$39,IF(DAY(A206+2)=15,'Main Budget'!$G$39,0))</f>
        <v>0</v>
      </c>
      <c r="D206" s="242">
        <f t="shared" si="9"/>
        <v>0</v>
      </c>
      <c r="E206" s="242">
        <f>IF(DAY(A206)='Main Budget'!$J$12,('Main Budget'!$G$12),0)</f>
        <v>0</v>
      </c>
      <c r="F206" s="242">
        <f>IF(DAY(A206)='Main Budget'!$J$13,('Main Budget'!$G$13)*2,0)</f>
        <v>0</v>
      </c>
      <c r="G206" s="242"/>
      <c r="H206" s="242">
        <f>IF(DAY(A206)='Main Budget'!$J$14,'Main Budget'!$G$14,0)</f>
        <v>0</v>
      </c>
      <c r="I206" s="242"/>
      <c r="J206" s="252">
        <f t="shared" si="10"/>
        <v>257.5</v>
      </c>
      <c r="M206" t="str">
        <f t="shared" si="11"/>
        <v>Friday</v>
      </c>
    </row>
    <row r="207" spans="1:13" x14ac:dyDescent="0.25">
      <c r="A207" s="241">
        <v>46228</v>
      </c>
      <c r="B207" s="242">
        <f t="shared" si="8"/>
        <v>257.5</v>
      </c>
      <c r="C207" s="242">
        <f>IF(DAY(A207+2)=1,'Main Budget'!$G$39,IF(DAY(A207+2)=15,'Main Budget'!$G$39,0))</f>
        <v>0</v>
      </c>
      <c r="D207" s="242">
        <f t="shared" si="9"/>
        <v>0</v>
      </c>
      <c r="E207" s="242">
        <f>IF(DAY(A207)='Main Budget'!$J$12,('Main Budget'!$G$12),0)</f>
        <v>0</v>
      </c>
      <c r="F207" s="242">
        <f>IF(DAY(A207)='Main Budget'!$J$13,('Main Budget'!$G$13)*2,0)</f>
        <v>0</v>
      </c>
      <c r="G207" s="242"/>
      <c r="H207" s="242">
        <f>IF(DAY(A207)='Main Budget'!$J$14,'Main Budget'!$G$14,0)</f>
        <v>0</v>
      </c>
      <c r="I207" s="242"/>
      <c r="J207" s="252">
        <f t="shared" si="10"/>
        <v>257.5</v>
      </c>
      <c r="M207" t="str">
        <f t="shared" si="11"/>
        <v>Saturday</v>
      </c>
    </row>
    <row r="208" spans="1:13" x14ac:dyDescent="0.25">
      <c r="A208" s="241">
        <v>46229</v>
      </c>
      <c r="B208" s="242">
        <f t="shared" si="8"/>
        <v>257.5</v>
      </c>
      <c r="C208" s="242">
        <f>IF(DAY(A208+2)=1,'Main Budget'!$G$39,IF(DAY(A208+2)=15,'Main Budget'!$G$39,0))</f>
        <v>0</v>
      </c>
      <c r="D208" s="242">
        <f t="shared" si="9"/>
        <v>0</v>
      </c>
      <c r="E208" s="242">
        <f>IF(DAY(A208)='Main Budget'!$J$12,('Main Budget'!$G$12),0)</f>
        <v>0</v>
      </c>
      <c r="F208" s="242">
        <f>IF(DAY(A208)='Main Budget'!$J$13,('Main Budget'!$G$13)*2,0)</f>
        <v>0</v>
      </c>
      <c r="G208" s="242"/>
      <c r="H208" s="242">
        <f>IF(DAY(A208)='Main Budget'!$J$14,'Main Budget'!$G$14,0)</f>
        <v>0</v>
      </c>
      <c r="I208" s="242"/>
      <c r="J208" s="252">
        <f t="shared" si="10"/>
        <v>257.5</v>
      </c>
      <c r="M208" t="str">
        <f t="shared" si="11"/>
        <v>Sunday</v>
      </c>
    </row>
    <row r="209" spans="1:13" x14ac:dyDescent="0.25">
      <c r="A209" s="241">
        <v>46230</v>
      </c>
      <c r="B209" s="242">
        <f t="shared" ref="B209:B272" si="12">J208</f>
        <v>257.5</v>
      </c>
      <c r="C209" s="242">
        <f>IF(DAY(A209+2)=1,'Main Budget'!$G$39,IF(DAY(A209+2)=15,'Main Budget'!$G$39,0))</f>
        <v>0</v>
      </c>
      <c r="D209" s="242">
        <f t="shared" ref="D209:D272" si="13">IF(OR(DAY(A209)=1,DAY(A209)=15),11.25,0)</f>
        <v>0</v>
      </c>
      <c r="E209" s="242">
        <f>IF(DAY(A209)='Main Budget'!$J$12,('Main Budget'!$G$12),0)</f>
        <v>0</v>
      </c>
      <c r="F209" s="242">
        <f>IF(DAY(A209)='Main Budget'!$J$13,('Main Budget'!$G$13)*2,0)</f>
        <v>0</v>
      </c>
      <c r="G209" s="242"/>
      <c r="H209" s="242">
        <f>IF(DAY(A209)='Main Budget'!$J$14,'Main Budget'!$G$14,0)</f>
        <v>0</v>
      </c>
      <c r="I209" s="242"/>
      <c r="J209" s="252">
        <f t="shared" ref="J209:J272" si="14">J208+(SUM(C209:I209))</f>
        <v>257.5</v>
      </c>
      <c r="M209" t="str">
        <f t="shared" ref="M209:M272" si="15">TEXT(A209,"dddd")</f>
        <v>Monday</v>
      </c>
    </row>
    <row r="210" spans="1:13" x14ac:dyDescent="0.25">
      <c r="A210" s="241">
        <v>46231</v>
      </c>
      <c r="B210" s="242">
        <f t="shared" si="12"/>
        <v>257.5</v>
      </c>
      <c r="C210" s="242">
        <f>IF(DAY(A210+2)=1,'Main Budget'!$G$39,IF(DAY(A210+2)=15,'Main Budget'!$G$39,0))</f>
        <v>0</v>
      </c>
      <c r="D210" s="242">
        <f t="shared" si="13"/>
        <v>0</v>
      </c>
      <c r="E210" s="242">
        <f>IF(DAY(A210)='Main Budget'!$J$12,('Main Budget'!$G$12),0)</f>
        <v>0</v>
      </c>
      <c r="F210" s="242">
        <f>IF(DAY(A210)='Main Budget'!$J$13,('Main Budget'!$G$13)*2,0)</f>
        <v>0</v>
      </c>
      <c r="G210" s="242"/>
      <c r="H210" s="242">
        <f>IF(DAY(A210)='Main Budget'!$J$14,'Main Budget'!$G$14,0)</f>
        <v>0</v>
      </c>
      <c r="I210" s="242"/>
      <c r="J210" s="252">
        <f t="shared" si="14"/>
        <v>257.5</v>
      </c>
      <c r="M210" t="str">
        <f t="shared" si="15"/>
        <v>Tuesday</v>
      </c>
    </row>
    <row r="211" spans="1:13" x14ac:dyDescent="0.25">
      <c r="A211" s="241">
        <v>46232</v>
      </c>
      <c r="B211" s="242">
        <f t="shared" si="12"/>
        <v>257.5</v>
      </c>
      <c r="C211" s="242">
        <f>IF(DAY(A211+2)=1,'Main Budget'!$G$39,IF(DAY(A211+2)=15,'Main Budget'!$G$39,0))</f>
        <v>0</v>
      </c>
      <c r="D211" s="242">
        <f t="shared" si="13"/>
        <v>0</v>
      </c>
      <c r="E211" s="242">
        <f>IF(DAY(A211)='Main Budget'!$J$12,('Main Budget'!$G$12),0)</f>
        <v>0</v>
      </c>
      <c r="F211" s="242">
        <f>IF(DAY(A211)='Main Budget'!$J$13,('Main Budget'!$G$13)*2,0)</f>
        <v>0</v>
      </c>
      <c r="G211" s="242"/>
      <c r="H211" s="242">
        <f>IF(DAY(A211)='Main Budget'!$J$14,'Main Budget'!$G$14,0)</f>
        <v>0</v>
      </c>
      <c r="I211" s="242"/>
      <c r="J211" s="252">
        <f t="shared" si="14"/>
        <v>257.5</v>
      </c>
      <c r="M211" t="str">
        <f t="shared" si="15"/>
        <v>Wednesday</v>
      </c>
    </row>
    <row r="212" spans="1:13" x14ac:dyDescent="0.25">
      <c r="A212" s="241">
        <v>46233</v>
      </c>
      <c r="B212" s="242">
        <f t="shared" si="12"/>
        <v>257.5</v>
      </c>
      <c r="C212" s="242">
        <f>IF(DAY(A212+2)=1,'Main Budget'!$G$39,IF(DAY(A212+2)=15,'Main Budget'!$G$39,0))</f>
        <v>0</v>
      </c>
      <c r="D212" s="242">
        <f t="shared" si="13"/>
        <v>0</v>
      </c>
      <c r="E212" s="242">
        <f>IF(DAY(A212)='Main Budget'!$J$12,('Main Budget'!$G$12),0)</f>
        <v>0</v>
      </c>
      <c r="F212" s="242">
        <f>IF(DAY(A212)='Main Budget'!$J$13,('Main Budget'!$G$13)*2,0)</f>
        <v>0</v>
      </c>
      <c r="G212" s="242"/>
      <c r="H212" s="242">
        <f>IF(DAY(A212)='Main Budget'!$J$14,'Main Budget'!$G$14,0)</f>
        <v>0</v>
      </c>
      <c r="I212" s="242"/>
      <c r="J212" s="252">
        <f t="shared" si="14"/>
        <v>257.5</v>
      </c>
      <c r="M212" t="str">
        <f t="shared" si="15"/>
        <v>Thursday</v>
      </c>
    </row>
    <row r="213" spans="1:13" x14ac:dyDescent="0.25">
      <c r="A213" s="241">
        <v>46234</v>
      </c>
      <c r="B213" s="242">
        <f t="shared" si="12"/>
        <v>257.5</v>
      </c>
      <c r="C213" s="242">
        <f>IF(DAY(A213+2)=1,'Main Budget'!$G$39,IF(DAY(A213+2)=15,'Main Budget'!$G$39,0))</f>
        <v>0</v>
      </c>
      <c r="D213" s="242">
        <f t="shared" si="13"/>
        <v>0</v>
      </c>
      <c r="E213" s="242">
        <f>IF(DAY(A213)='Main Budget'!$J$12,('Main Budget'!$G$12),0)</f>
        <v>0</v>
      </c>
      <c r="F213" s="242">
        <f>IF(DAY(A213)='Main Budget'!$J$13,('Main Budget'!$G$13)*2,0)</f>
        <v>0</v>
      </c>
      <c r="G213" s="242"/>
      <c r="H213" s="242">
        <f>IF(DAY(A213)='Main Budget'!$J$14,'Main Budget'!$G$14,0)</f>
        <v>0</v>
      </c>
      <c r="I213" s="242"/>
      <c r="J213" s="252">
        <f t="shared" si="14"/>
        <v>257.5</v>
      </c>
      <c r="M213" t="str">
        <f t="shared" si="15"/>
        <v>Friday</v>
      </c>
    </row>
    <row r="214" spans="1:13" x14ac:dyDescent="0.25">
      <c r="A214" s="241">
        <v>46235</v>
      </c>
      <c r="B214" s="242">
        <f t="shared" si="12"/>
        <v>257.5</v>
      </c>
      <c r="C214" s="242">
        <f>IF(DAY(A214+2)=1,'Main Budget'!$G$39,IF(DAY(A214+2)=15,'Main Budget'!$G$39,0))</f>
        <v>0</v>
      </c>
      <c r="D214" s="242">
        <f t="shared" si="13"/>
        <v>11.25</v>
      </c>
      <c r="E214" s="242">
        <f>IF(DAY(A214)='Main Budget'!$J$12,('Main Budget'!$G$12),0)</f>
        <v>0</v>
      </c>
      <c r="F214" s="242">
        <f>IF(DAY(A214)='Main Budget'!$J$13,('Main Budget'!$G$13)*2,0)</f>
        <v>0</v>
      </c>
      <c r="G214" s="242"/>
      <c r="H214" s="242">
        <f>IF(DAY(A214)='Main Budget'!$J$14,'Main Budget'!$G$14,0)</f>
        <v>0</v>
      </c>
      <c r="I214" s="242"/>
      <c r="J214" s="252">
        <f t="shared" si="14"/>
        <v>268.75</v>
      </c>
      <c r="M214" t="str">
        <f t="shared" si="15"/>
        <v>Saturday</v>
      </c>
    </row>
    <row r="215" spans="1:13" x14ac:dyDescent="0.25">
      <c r="A215" s="241">
        <v>46236</v>
      </c>
      <c r="B215" s="242">
        <f t="shared" si="12"/>
        <v>268.75</v>
      </c>
      <c r="C215" s="242">
        <f>IF(DAY(A215+2)=1,'Main Budget'!$G$39,IF(DAY(A215+2)=15,'Main Budget'!$G$39,0))</f>
        <v>0</v>
      </c>
      <c r="D215" s="242">
        <f t="shared" si="13"/>
        <v>0</v>
      </c>
      <c r="E215" s="242">
        <f>IF(DAY(A215)='Main Budget'!$J$12,('Main Budget'!$G$12),0)</f>
        <v>0</v>
      </c>
      <c r="F215" s="242">
        <f>IF(DAY(A215)='Main Budget'!$J$13,('Main Budget'!$G$13)*2,0)</f>
        <v>0</v>
      </c>
      <c r="G215" s="242"/>
      <c r="H215" s="242">
        <f>IF(DAY(A215)='Main Budget'!$J$14,'Main Budget'!$G$14,0)</f>
        <v>0</v>
      </c>
      <c r="I215" s="242"/>
      <c r="J215" s="252">
        <f t="shared" si="14"/>
        <v>268.75</v>
      </c>
      <c r="M215" t="str">
        <f t="shared" si="15"/>
        <v>Sunday</v>
      </c>
    </row>
    <row r="216" spans="1:13" x14ac:dyDescent="0.25">
      <c r="A216" s="241">
        <v>46237</v>
      </c>
      <c r="B216" s="242">
        <f t="shared" si="12"/>
        <v>268.75</v>
      </c>
      <c r="C216" s="242">
        <f>IF(DAY(A216+2)=1,'Main Budget'!$G$39,IF(DAY(A216+2)=15,'Main Budget'!$G$39,0))</f>
        <v>0</v>
      </c>
      <c r="D216" s="242">
        <f t="shared" si="13"/>
        <v>0</v>
      </c>
      <c r="E216" s="242">
        <f>IF(DAY(A216)='Main Budget'!$J$12,('Main Budget'!$G$12),0)</f>
        <v>0</v>
      </c>
      <c r="F216" s="242">
        <f>IF(DAY(A216)='Main Budget'!$J$13,('Main Budget'!$G$13)*2,0)</f>
        <v>0</v>
      </c>
      <c r="G216" s="242"/>
      <c r="H216" s="242">
        <f>IF(DAY(A216)='Main Budget'!$J$14,'Main Budget'!$G$14,0)</f>
        <v>0</v>
      </c>
      <c r="I216" s="242"/>
      <c r="J216" s="252">
        <f t="shared" si="14"/>
        <v>268.75</v>
      </c>
      <c r="M216" t="str">
        <f t="shared" si="15"/>
        <v>Monday</v>
      </c>
    </row>
    <row r="217" spans="1:13" x14ac:dyDescent="0.25">
      <c r="A217" s="241">
        <v>46238</v>
      </c>
      <c r="B217" s="242">
        <f t="shared" si="12"/>
        <v>268.75</v>
      </c>
      <c r="C217" s="242">
        <f>IF(DAY(A217+2)=1,'Main Budget'!$G$39,IF(DAY(A217+2)=15,'Main Budget'!$G$39,0))</f>
        <v>0</v>
      </c>
      <c r="D217" s="242">
        <f t="shared" si="13"/>
        <v>0</v>
      </c>
      <c r="E217" s="242">
        <f>IF(DAY(A217)='Main Budget'!$J$12,('Main Budget'!$G$12),0)</f>
        <v>0</v>
      </c>
      <c r="F217" s="242">
        <f>IF(DAY(A217)='Main Budget'!$J$13,('Main Budget'!$G$13)*2,0)</f>
        <v>0</v>
      </c>
      <c r="G217" s="242"/>
      <c r="H217" s="242">
        <f>IF(DAY(A217)='Main Budget'!$J$14,'Main Budget'!$G$14,0)</f>
        <v>0</v>
      </c>
      <c r="I217" s="242"/>
      <c r="J217" s="252">
        <f t="shared" si="14"/>
        <v>268.75</v>
      </c>
      <c r="M217" t="str">
        <f t="shared" si="15"/>
        <v>Tuesday</v>
      </c>
    </row>
    <row r="218" spans="1:13" x14ac:dyDescent="0.25">
      <c r="A218" s="241">
        <v>46239</v>
      </c>
      <c r="B218" s="242">
        <f t="shared" si="12"/>
        <v>268.75</v>
      </c>
      <c r="C218" s="242">
        <f>IF(DAY(A218+2)=1,'Main Budget'!$G$39,IF(DAY(A218+2)=15,'Main Budget'!$G$39,0))</f>
        <v>0</v>
      </c>
      <c r="D218" s="242">
        <f t="shared" si="13"/>
        <v>0</v>
      </c>
      <c r="E218" s="242">
        <f>IF(DAY(A218)='Main Budget'!$J$12,('Main Budget'!$G$12),0)</f>
        <v>0</v>
      </c>
      <c r="F218" s="242">
        <f>IF(DAY(A218)='Main Budget'!$J$13,('Main Budget'!$G$13)*2,0)</f>
        <v>0</v>
      </c>
      <c r="G218" s="242"/>
      <c r="H218" s="242">
        <f>IF(DAY(A218)='Main Budget'!$J$14,'Main Budget'!$G$14,0)</f>
        <v>0</v>
      </c>
      <c r="I218" s="242"/>
      <c r="J218" s="252">
        <f t="shared" si="14"/>
        <v>268.75</v>
      </c>
      <c r="M218" t="str">
        <f t="shared" si="15"/>
        <v>Wednesday</v>
      </c>
    </row>
    <row r="219" spans="1:13" x14ac:dyDescent="0.25">
      <c r="A219" s="241">
        <v>46240</v>
      </c>
      <c r="B219" s="242">
        <f t="shared" si="12"/>
        <v>268.75</v>
      </c>
      <c r="C219" s="242">
        <f>IF(DAY(A219+2)=1,'Main Budget'!$G$39,IF(DAY(A219+2)=15,'Main Budget'!$G$39,0))</f>
        <v>0</v>
      </c>
      <c r="D219" s="242">
        <f t="shared" si="13"/>
        <v>0</v>
      </c>
      <c r="E219" s="242">
        <f>IF(DAY(A219)='Main Budget'!$J$12,('Main Budget'!$G$12),0)</f>
        <v>0</v>
      </c>
      <c r="F219" s="242">
        <f>IF(DAY(A219)='Main Budget'!$J$13,('Main Budget'!$G$13)*2,0)</f>
        <v>0</v>
      </c>
      <c r="G219" s="242"/>
      <c r="H219" s="242">
        <f>IF(DAY(A219)='Main Budget'!$J$14,'Main Budget'!$G$14,0)</f>
        <v>0</v>
      </c>
      <c r="I219" s="242"/>
      <c r="J219" s="252">
        <f t="shared" si="14"/>
        <v>268.75</v>
      </c>
      <c r="M219" t="str">
        <f t="shared" si="15"/>
        <v>Thursday</v>
      </c>
    </row>
    <row r="220" spans="1:13" x14ac:dyDescent="0.25">
      <c r="A220" s="241">
        <v>46241</v>
      </c>
      <c r="B220" s="242">
        <f t="shared" si="12"/>
        <v>268.75</v>
      </c>
      <c r="C220" s="242">
        <f>IF(DAY(A220+2)=1,'Main Budget'!$G$39,IF(DAY(A220+2)=15,'Main Budget'!$G$39,0))</f>
        <v>0</v>
      </c>
      <c r="D220" s="242">
        <f t="shared" si="13"/>
        <v>0</v>
      </c>
      <c r="E220" s="242">
        <f>IF(DAY(A220)='Main Budget'!$J$12,('Main Budget'!$G$12),0)</f>
        <v>0</v>
      </c>
      <c r="F220" s="242">
        <f>IF(DAY(A220)='Main Budget'!$J$13,('Main Budget'!$G$13)*2,0)</f>
        <v>0</v>
      </c>
      <c r="G220" s="242"/>
      <c r="H220" s="242">
        <f>IF(DAY(A220)='Main Budget'!$J$14,'Main Budget'!$G$14,0)</f>
        <v>0</v>
      </c>
      <c r="I220" s="242"/>
      <c r="J220" s="252">
        <f t="shared" si="14"/>
        <v>268.75</v>
      </c>
      <c r="M220" t="str">
        <f t="shared" si="15"/>
        <v>Friday</v>
      </c>
    </row>
    <row r="221" spans="1:13" x14ac:dyDescent="0.25">
      <c r="A221" s="241">
        <v>46242</v>
      </c>
      <c r="B221" s="242">
        <f t="shared" si="12"/>
        <v>268.75</v>
      </c>
      <c r="C221" s="242">
        <f>IF(DAY(A221+2)=1,'Main Budget'!$G$39,IF(DAY(A221+2)=15,'Main Budget'!$G$39,0))</f>
        <v>0</v>
      </c>
      <c r="D221" s="242">
        <f t="shared" si="13"/>
        <v>0</v>
      </c>
      <c r="E221" s="242">
        <f>IF(DAY(A221)='Main Budget'!$J$12,('Main Budget'!$G$12),0)</f>
        <v>0</v>
      </c>
      <c r="F221" s="242">
        <f>IF(DAY(A221)='Main Budget'!$J$13,('Main Budget'!$G$13)*2,0)</f>
        <v>0</v>
      </c>
      <c r="G221" s="242"/>
      <c r="H221" s="242">
        <f>IF(DAY(A221)='Main Budget'!$J$14,'Main Budget'!$G$14,0)</f>
        <v>0</v>
      </c>
      <c r="I221" s="242"/>
      <c r="J221" s="252">
        <f t="shared" si="14"/>
        <v>268.75</v>
      </c>
      <c r="M221" t="str">
        <f t="shared" si="15"/>
        <v>Saturday</v>
      </c>
    </row>
    <row r="222" spans="1:13" x14ac:dyDescent="0.25">
      <c r="A222" s="241">
        <v>46243</v>
      </c>
      <c r="B222" s="242">
        <f t="shared" si="12"/>
        <v>268.75</v>
      </c>
      <c r="C222" s="242">
        <f>IF(DAY(A222+2)=1,'Main Budget'!$G$39,IF(DAY(A222+2)=15,'Main Budget'!$G$39,0))</f>
        <v>0</v>
      </c>
      <c r="D222" s="242">
        <f t="shared" si="13"/>
        <v>0</v>
      </c>
      <c r="E222" s="242">
        <f>IF(DAY(A222)='Main Budget'!$J$12,('Main Budget'!$G$12),0)</f>
        <v>0</v>
      </c>
      <c r="F222" s="242">
        <f>IF(DAY(A222)='Main Budget'!$J$13,('Main Budget'!$G$13)*2,0)</f>
        <v>0</v>
      </c>
      <c r="G222" s="242"/>
      <c r="H222" s="242">
        <f>IF(DAY(A222)='Main Budget'!$J$14,'Main Budget'!$G$14,0)</f>
        <v>0</v>
      </c>
      <c r="I222" s="242"/>
      <c r="J222" s="252">
        <f t="shared" si="14"/>
        <v>268.75</v>
      </c>
      <c r="M222" t="str">
        <f t="shared" si="15"/>
        <v>Sunday</v>
      </c>
    </row>
    <row r="223" spans="1:13" x14ac:dyDescent="0.25">
      <c r="A223" s="241">
        <v>46244</v>
      </c>
      <c r="B223" s="242">
        <f t="shared" si="12"/>
        <v>268.75</v>
      </c>
      <c r="C223" s="242">
        <f>IF(DAY(A223+2)=1,'Main Budget'!$G$39,IF(DAY(A223+2)=15,'Main Budget'!$G$39,0))</f>
        <v>0</v>
      </c>
      <c r="D223" s="242">
        <f t="shared" si="13"/>
        <v>0</v>
      </c>
      <c r="E223" s="242">
        <f>IF(DAY(A223)='Main Budget'!$J$12,('Main Budget'!$G$12),0)</f>
        <v>0</v>
      </c>
      <c r="F223" s="242">
        <f>IF(DAY(A223)='Main Budget'!$J$13,('Main Budget'!$G$13)*2,0)</f>
        <v>0</v>
      </c>
      <c r="G223" s="242"/>
      <c r="H223" s="242">
        <f>IF(DAY(A223)='Main Budget'!$J$14,'Main Budget'!$G$14,0)</f>
        <v>0</v>
      </c>
      <c r="I223" s="242"/>
      <c r="J223" s="252">
        <f t="shared" si="14"/>
        <v>268.75</v>
      </c>
      <c r="M223" t="str">
        <f t="shared" si="15"/>
        <v>Monday</v>
      </c>
    </row>
    <row r="224" spans="1:13" x14ac:dyDescent="0.25">
      <c r="A224" s="241">
        <v>46245</v>
      </c>
      <c r="B224" s="242">
        <f t="shared" si="12"/>
        <v>268.75</v>
      </c>
      <c r="C224" s="242">
        <f>IF(DAY(A224+2)=1,'Main Budget'!$G$39,IF(DAY(A224+2)=15,'Main Budget'!$G$39,0))</f>
        <v>0</v>
      </c>
      <c r="D224" s="242">
        <f t="shared" si="13"/>
        <v>0</v>
      </c>
      <c r="E224" s="242">
        <f>IF(DAY(A224)='Main Budget'!$J$12,('Main Budget'!$G$12),0)</f>
        <v>0</v>
      </c>
      <c r="F224" s="242">
        <f>IF(DAY(A224)='Main Budget'!$J$13,('Main Budget'!$G$13)*2,0)</f>
        <v>0</v>
      </c>
      <c r="G224" s="242"/>
      <c r="H224" s="242">
        <f>IF(DAY(A224)='Main Budget'!$J$14,'Main Budget'!$G$14,0)</f>
        <v>0</v>
      </c>
      <c r="I224" s="242"/>
      <c r="J224" s="252">
        <f t="shared" si="14"/>
        <v>268.75</v>
      </c>
      <c r="M224" t="str">
        <f t="shared" si="15"/>
        <v>Tuesday</v>
      </c>
    </row>
    <row r="225" spans="1:13" x14ac:dyDescent="0.25">
      <c r="A225" s="241">
        <v>46246</v>
      </c>
      <c r="B225" s="242">
        <f t="shared" si="12"/>
        <v>268.75</v>
      </c>
      <c r="C225" s="242">
        <f>IF(DAY(A225+2)=1,'Main Budget'!$G$39,IF(DAY(A225+2)=15,'Main Budget'!$G$39,0))</f>
        <v>0</v>
      </c>
      <c r="D225" s="242">
        <f t="shared" si="13"/>
        <v>0</v>
      </c>
      <c r="E225" s="242">
        <f>IF(DAY(A225)='Main Budget'!$J$12,('Main Budget'!$G$12),0)</f>
        <v>0</v>
      </c>
      <c r="F225" s="242">
        <f>IF(DAY(A225)='Main Budget'!$J$13,('Main Budget'!$G$13)*2,0)</f>
        <v>0</v>
      </c>
      <c r="G225" s="242"/>
      <c r="H225" s="242">
        <f>IF(DAY(A225)='Main Budget'!$J$14,'Main Budget'!$G$14,0)</f>
        <v>0</v>
      </c>
      <c r="I225" s="242"/>
      <c r="J225" s="252">
        <f t="shared" si="14"/>
        <v>268.75</v>
      </c>
      <c r="M225" t="str">
        <f t="shared" si="15"/>
        <v>Wednesday</v>
      </c>
    </row>
    <row r="226" spans="1:13" x14ac:dyDescent="0.25">
      <c r="A226" s="241">
        <v>46247</v>
      </c>
      <c r="B226" s="242">
        <f t="shared" si="12"/>
        <v>268.75</v>
      </c>
      <c r="C226" s="242">
        <f>IF(DAY(A226+2)=1,'Main Budget'!$G$39,IF(DAY(A226+2)=15,'Main Budget'!$G$39,0))</f>
        <v>0</v>
      </c>
      <c r="D226" s="242">
        <f t="shared" si="13"/>
        <v>0</v>
      </c>
      <c r="E226" s="242">
        <f>IF(DAY(A226)='Main Budget'!$J$12,('Main Budget'!$G$12),0)</f>
        <v>0</v>
      </c>
      <c r="F226" s="242">
        <f>IF(DAY(A226)='Main Budget'!$J$13,('Main Budget'!$G$13)*2,0)</f>
        <v>0</v>
      </c>
      <c r="G226" s="242"/>
      <c r="H226" s="242">
        <f>IF(DAY(A226)='Main Budget'!$J$14,'Main Budget'!$G$14,0)</f>
        <v>0</v>
      </c>
      <c r="I226" s="242"/>
      <c r="J226" s="252">
        <f t="shared" si="14"/>
        <v>268.75</v>
      </c>
      <c r="M226" t="str">
        <f t="shared" si="15"/>
        <v>Thursday</v>
      </c>
    </row>
    <row r="227" spans="1:13" x14ac:dyDescent="0.25">
      <c r="A227" s="241">
        <v>46248</v>
      </c>
      <c r="B227" s="242">
        <f t="shared" si="12"/>
        <v>268.75</v>
      </c>
      <c r="C227" s="242">
        <f>IF(DAY(A227+2)=1,'Main Budget'!$G$39,IF(DAY(A227+2)=15,'Main Budget'!$G$39,0))</f>
        <v>0</v>
      </c>
      <c r="D227" s="242">
        <f t="shared" si="13"/>
        <v>0</v>
      </c>
      <c r="E227" s="242">
        <f>IF(DAY(A227)='Main Budget'!$J$12,('Main Budget'!$G$12),0)</f>
        <v>0</v>
      </c>
      <c r="F227" s="242">
        <f>IF(DAY(A227)='Main Budget'!$J$13,('Main Budget'!$G$13)*2,0)</f>
        <v>0</v>
      </c>
      <c r="G227" s="242"/>
      <c r="H227" s="242">
        <f>IF(DAY(A227)='Main Budget'!$J$14,'Main Budget'!$G$14,0)</f>
        <v>0</v>
      </c>
      <c r="I227" s="242"/>
      <c r="J227" s="252">
        <f t="shared" si="14"/>
        <v>268.75</v>
      </c>
      <c r="M227" t="str">
        <f t="shared" si="15"/>
        <v>Friday</v>
      </c>
    </row>
    <row r="228" spans="1:13" x14ac:dyDescent="0.25">
      <c r="A228" s="241">
        <v>46249</v>
      </c>
      <c r="B228" s="242">
        <f t="shared" si="12"/>
        <v>268.75</v>
      </c>
      <c r="C228" s="242">
        <f>IF(DAY(A228+2)=1,'Main Budget'!$G$39,IF(DAY(A228+2)=15,'Main Budget'!$G$39,0))</f>
        <v>0</v>
      </c>
      <c r="D228" s="242">
        <f t="shared" si="13"/>
        <v>11.25</v>
      </c>
      <c r="E228" s="242">
        <f>IF(DAY(A228)='Main Budget'!$J$12,('Main Budget'!$G$12),0)</f>
        <v>0</v>
      </c>
      <c r="F228" s="242">
        <f>IF(DAY(A228)='Main Budget'!$J$13,('Main Budget'!$G$13)*2,0)</f>
        <v>0</v>
      </c>
      <c r="G228" s="242"/>
      <c r="H228" s="242">
        <f>IF(DAY(A228)='Main Budget'!$J$14,'Main Budget'!$G$14,0)</f>
        <v>0</v>
      </c>
      <c r="I228" s="242"/>
      <c r="J228" s="252">
        <f t="shared" si="14"/>
        <v>280</v>
      </c>
      <c r="M228" t="str">
        <f t="shared" si="15"/>
        <v>Saturday</v>
      </c>
    </row>
    <row r="229" spans="1:13" x14ac:dyDescent="0.25">
      <c r="A229" s="241">
        <v>46250</v>
      </c>
      <c r="B229" s="242">
        <f t="shared" si="12"/>
        <v>280</v>
      </c>
      <c r="C229" s="242">
        <f>IF(DAY(A229+2)=1,'Main Budget'!$G$39,IF(DAY(A229+2)=15,'Main Budget'!$G$39,0))</f>
        <v>0</v>
      </c>
      <c r="D229" s="242">
        <f t="shared" si="13"/>
        <v>0</v>
      </c>
      <c r="E229" s="242">
        <f>IF(DAY(A229)='Main Budget'!$J$12,('Main Budget'!$G$12),0)</f>
        <v>0</v>
      </c>
      <c r="F229" s="242">
        <f>IF(DAY(A229)='Main Budget'!$J$13,('Main Budget'!$G$13)*2,0)</f>
        <v>0</v>
      </c>
      <c r="G229" s="242"/>
      <c r="H229" s="242">
        <f>IF(DAY(A229)='Main Budget'!$J$14,'Main Budget'!$G$14,0)</f>
        <v>0</v>
      </c>
      <c r="I229" s="242"/>
      <c r="J229" s="252">
        <f t="shared" si="14"/>
        <v>280</v>
      </c>
      <c r="M229" t="str">
        <f t="shared" si="15"/>
        <v>Sunday</v>
      </c>
    </row>
    <row r="230" spans="1:13" x14ac:dyDescent="0.25">
      <c r="A230" s="241">
        <v>46251</v>
      </c>
      <c r="B230" s="242">
        <f t="shared" si="12"/>
        <v>280</v>
      </c>
      <c r="C230" s="242">
        <f>IF(DAY(A230+2)=1,'Main Budget'!$G$39,IF(DAY(A230+2)=15,'Main Budget'!$G$39,0))</f>
        <v>0</v>
      </c>
      <c r="D230" s="242">
        <f t="shared" si="13"/>
        <v>0</v>
      </c>
      <c r="E230" s="242">
        <f>IF(DAY(A230)='Main Budget'!$J$12,('Main Budget'!$G$12),0)</f>
        <v>0</v>
      </c>
      <c r="F230" s="242">
        <f>IF(DAY(A230)='Main Budget'!$J$13,('Main Budget'!$G$13)*2,0)</f>
        <v>0</v>
      </c>
      <c r="G230" s="242"/>
      <c r="H230" s="242">
        <f>IF(DAY(A230)='Main Budget'!$J$14,'Main Budget'!$G$14,0)</f>
        <v>0</v>
      </c>
      <c r="I230" s="242"/>
      <c r="J230" s="252">
        <f t="shared" si="14"/>
        <v>280</v>
      </c>
      <c r="M230" t="str">
        <f t="shared" si="15"/>
        <v>Monday</v>
      </c>
    </row>
    <row r="231" spans="1:13" x14ac:dyDescent="0.25">
      <c r="A231" s="241">
        <v>46252</v>
      </c>
      <c r="B231" s="242">
        <f t="shared" si="12"/>
        <v>280</v>
      </c>
      <c r="C231" s="242">
        <f>IF(DAY(A231+2)=1,'Main Budget'!$G$39,IF(DAY(A231+2)=15,'Main Budget'!$G$39,0))</f>
        <v>0</v>
      </c>
      <c r="D231" s="242">
        <f t="shared" si="13"/>
        <v>0</v>
      </c>
      <c r="E231" s="242">
        <f>IF(DAY(A231)='Main Budget'!$J$12,('Main Budget'!$G$12),0)</f>
        <v>0</v>
      </c>
      <c r="F231" s="242">
        <f>IF(DAY(A231)='Main Budget'!$J$13,('Main Budget'!$G$13)*2,0)</f>
        <v>0</v>
      </c>
      <c r="G231" s="242"/>
      <c r="H231" s="242">
        <f>IF(DAY(A231)='Main Budget'!$J$14,'Main Budget'!$G$14,0)</f>
        <v>0</v>
      </c>
      <c r="I231" s="242"/>
      <c r="J231" s="252">
        <f t="shared" si="14"/>
        <v>280</v>
      </c>
      <c r="M231" t="str">
        <f t="shared" si="15"/>
        <v>Tuesday</v>
      </c>
    </row>
    <row r="232" spans="1:13" x14ac:dyDescent="0.25">
      <c r="A232" s="241">
        <v>46253</v>
      </c>
      <c r="B232" s="242">
        <f t="shared" si="12"/>
        <v>280</v>
      </c>
      <c r="C232" s="242">
        <f>IF(DAY(A232+2)=1,'Main Budget'!$G$39,IF(DAY(A232+2)=15,'Main Budget'!$G$39,0))</f>
        <v>0</v>
      </c>
      <c r="D232" s="242">
        <f t="shared" si="13"/>
        <v>0</v>
      </c>
      <c r="E232" s="242">
        <f>IF(DAY(A232)='Main Budget'!$J$12,('Main Budget'!$G$12),0)</f>
        <v>0</v>
      </c>
      <c r="F232" s="242">
        <f>IF(DAY(A232)='Main Budget'!$J$13,('Main Budget'!$G$13)*2,0)</f>
        <v>0</v>
      </c>
      <c r="G232" s="242"/>
      <c r="H232" s="242">
        <f>IF(DAY(A232)='Main Budget'!$J$14,'Main Budget'!$G$14,0)</f>
        <v>0</v>
      </c>
      <c r="I232" s="242"/>
      <c r="J232" s="252">
        <f t="shared" si="14"/>
        <v>280</v>
      </c>
      <c r="M232" t="str">
        <f t="shared" si="15"/>
        <v>Wednesday</v>
      </c>
    </row>
    <row r="233" spans="1:13" x14ac:dyDescent="0.25">
      <c r="A233" s="241">
        <v>46254</v>
      </c>
      <c r="B233" s="242">
        <f t="shared" si="12"/>
        <v>280</v>
      </c>
      <c r="C233" s="242">
        <f>IF(DAY(A233+2)=1,'Main Budget'!$G$39,IF(DAY(A233+2)=15,'Main Budget'!$G$39,0))</f>
        <v>0</v>
      </c>
      <c r="D233" s="242">
        <f t="shared" si="13"/>
        <v>0</v>
      </c>
      <c r="E233" s="242">
        <f>IF(DAY(A233)='Main Budget'!$J$12,('Main Budget'!$G$12),0)</f>
        <v>0</v>
      </c>
      <c r="F233" s="242">
        <f>IF(DAY(A233)='Main Budget'!$J$13,('Main Budget'!$G$13)*2,0)</f>
        <v>0</v>
      </c>
      <c r="G233" s="242"/>
      <c r="H233" s="242">
        <f>IF(DAY(A233)='Main Budget'!$J$14,'Main Budget'!$G$14,0)</f>
        <v>0</v>
      </c>
      <c r="I233" s="242"/>
      <c r="J233" s="252">
        <f t="shared" si="14"/>
        <v>280</v>
      </c>
      <c r="M233" t="str">
        <f t="shared" si="15"/>
        <v>Thursday</v>
      </c>
    </row>
    <row r="234" spans="1:13" x14ac:dyDescent="0.25">
      <c r="A234" s="241">
        <v>46255</v>
      </c>
      <c r="B234" s="242">
        <f t="shared" si="12"/>
        <v>280</v>
      </c>
      <c r="C234" s="242">
        <f>IF(DAY(A234+2)=1,'Main Budget'!$G$39,IF(DAY(A234+2)=15,'Main Budget'!$G$39,0))</f>
        <v>0</v>
      </c>
      <c r="D234" s="242">
        <f t="shared" si="13"/>
        <v>0</v>
      </c>
      <c r="E234" s="242">
        <f>IF(DAY(A234)='Main Budget'!$J$12,('Main Budget'!$G$12),0)</f>
        <v>0</v>
      </c>
      <c r="F234" s="242">
        <f>IF(DAY(A234)='Main Budget'!$J$13,('Main Budget'!$G$13)*2,0)</f>
        <v>0</v>
      </c>
      <c r="G234" s="242"/>
      <c r="H234" s="242">
        <f>IF(DAY(A234)='Main Budget'!$J$14,'Main Budget'!$G$14,0)</f>
        <v>0</v>
      </c>
      <c r="I234" s="242"/>
      <c r="J234" s="252">
        <f t="shared" si="14"/>
        <v>280</v>
      </c>
      <c r="M234" t="str">
        <f t="shared" si="15"/>
        <v>Friday</v>
      </c>
    </row>
    <row r="235" spans="1:13" x14ac:dyDescent="0.25">
      <c r="A235" s="241">
        <v>46256</v>
      </c>
      <c r="B235" s="242">
        <f t="shared" si="12"/>
        <v>280</v>
      </c>
      <c r="C235" s="242">
        <f>IF(DAY(A235+2)=1,'Main Budget'!$G$39,IF(DAY(A235+2)=15,'Main Budget'!$G$39,0))</f>
        <v>0</v>
      </c>
      <c r="D235" s="242">
        <f t="shared" si="13"/>
        <v>0</v>
      </c>
      <c r="E235" s="242">
        <f>IF(DAY(A235)='Main Budget'!$J$12,('Main Budget'!$G$12),0)</f>
        <v>0</v>
      </c>
      <c r="F235" s="242">
        <f>IF(DAY(A235)='Main Budget'!$J$13,('Main Budget'!$G$13)*2,0)</f>
        <v>0</v>
      </c>
      <c r="G235" s="242"/>
      <c r="H235" s="242">
        <f>IF(DAY(A235)='Main Budget'!$J$14,'Main Budget'!$G$14,0)</f>
        <v>0</v>
      </c>
      <c r="I235" s="242"/>
      <c r="J235" s="252">
        <f t="shared" si="14"/>
        <v>280</v>
      </c>
      <c r="M235" t="str">
        <f t="shared" si="15"/>
        <v>Saturday</v>
      </c>
    </row>
    <row r="236" spans="1:13" x14ac:dyDescent="0.25">
      <c r="A236" s="241">
        <v>46257</v>
      </c>
      <c r="B236" s="242">
        <f t="shared" si="12"/>
        <v>280</v>
      </c>
      <c r="C236" s="242">
        <f>IF(DAY(A236+2)=1,'Main Budget'!$G$39,IF(DAY(A236+2)=15,'Main Budget'!$G$39,0))</f>
        <v>0</v>
      </c>
      <c r="D236" s="242">
        <f t="shared" si="13"/>
        <v>0</v>
      </c>
      <c r="E236" s="242">
        <f>IF(DAY(A236)='Main Budget'!$J$12,('Main Budget'!$G$12),0)</f>
        <v>0</v>
      </c>
      <c r="F236" s="242">
        <f>IF(DAY(A236)='Main Budget'!$J$13,('Main Budget'!$G$13)*2,0)</f>
        <v>0</v>
      </c>
      <c r="G236" s="242"/>
      <c r="H236" s="242">
        <f>IF(DAY(A236)='Main Budget'!$J$14,'Main Budget'!$G$14,0)</f>
        <v>0</v>
      </c>
      <c r="I236" s="242"/>
      <c r="J236" s="252">
        <f t="shared" si="14"/>
        <v>280</v>
      </c>
      <c r="M236" t="str">
        <f t="shared" si="15"/>
        <v>Sunday</v>
      </c>
    </row>
    <row r="237" spans="1:13" x14ac:dyDescent="0.25">
      <c r="A237" s="241">
        <v>46258</v>
      </c>
      <c r="B237" s="242">
        <f t="shared" si="12"/>
        <v>280</v>
      </c>
      <c r="C237" s="242">
        <f>IF(DAY(A237+2)=1,'Main Budget'!$G$39,IF(DAY(A237+2)=15,'Main Budget'!$G$39,0))</f>
        <v>0</v>
      </c>
      <c r="D237" s="242">
        <f t="shared" si="13"/>
        <v>0</v>
      </c>
      <c r="E237" s="242">
        <f>IF(DAY(A237)='Main Budget'!$J$12,('Main Budget'!$G$12),0)</f>
        <v>0</v>
      </c>
      <c r="F237" s="242">
        <f>IF(DAY(A237)='Main Budget'!$J$13,('Main Budget'!$G$13)*2,0)</f>
        <v>0</v>
      </c>
      <c r="G237" s="242"/>
      <c r="H237" s="242">
        <f>IF(DAY(A237)='Main Budget'!$J$14,'Main Budget'!$G$14,0)</f>
        <v>0</v>
      </c>
      <c r="I237" s="242"/>
      <c r="J237" s="252">
        <f t="shared" si="14"/>
        <v>280</v>
      </c>
      <c r="M237" t="str">
        <f t="shared" si="15"/>
        <v>Monday</v>
      </c>
    </row>
    <row r="238" spans="1:13" x14ac:dyDescent="0.25">
      <c r="A238" s="241">
        <v>46259</v>
      </c>
      <c r="B238" s="242">
        <f t="shared" si="12"/>
        <v>280</v>
      </c>
      <c r="C238" s="242">
        <f>IF(DAY(A238+2)=1,'Main Budget'!$G$39,IF(DAY(A238+2)=15,'Main Budget'!$G$39,0))</f>
        <v>0</v>
      </c>
      <c r="D238" s="242">
        <f t="shared" si="13"/>
        <v>0</v>
      </c>
      <c r="E238" s="242">
        <f>IF(DAY(A238)='Main Budget'!$J$12,('Main Budget'!$G$12),0)</f>
        <v>0</v>
      </c>
      <c r="F238" s="242">
        <f>IF(DAY(A238)='Main Budget'!$J$13,('Main Budget'!$G$13)*2,0)</f>
        <v>0</v>
      </c>
      <c r="G238" s="242"/>
      <c r="H238" s="242">
        <f>IF(DAY(A238)='Main Budget'!$J$14,'Main Budget'!$G$14,0)</f>
        <v>0</v>
      </c>
      <c r="I238" s="242"/>
      <c r="J238" s="252">
        <f t="shared" si="14"/>
        <v>280</v>
      </c>
      <c r="M238" t="str">
        <f t="shared" si="15"/>
        <v>Tuesday</v>
      </c>
    </row>
    <row r="239" spans="1:13" x14ac:dyDescent="0.25">
      <c r="A239" s="241">
        <v>46260</v>
      </c>
      <c r="B239" s="242">
        <f t="shared" si="12"/>
        <v>280</v>
      </c>
      <c r="C239" s="242">
        <f>IF(DAY(A239+2)=1,'Main Budget'!$G$39,IF(DAY(A239+2)=15,'Main Budget'!$G$39,0))</f>
        <v>0</v>
      </c>
      <c r="D239" s="242">
        <f t="shared" si="13"/>
        <v>0</v>
      </c>
      <c r="E239" s="242">
        <f>IF(DAY(A239)='Main Budget'!$J$12,('Main Budget'!$G$12),0)</f>
        <v>0</v>
      </c>
      <c r="F239" s="242">
        <f>IF(DAY(A239)='Main Budget'!$J$13,('Main Budget'!$G$13)*2,0)</f>
        <v>0</v>
      </c>
      <c r="G239" s="242"/>
      <c r="H239" s="242">
        <f>IF(DAY(A239)='Main Budget'!$J$14,'Main Budget'!$G$14,0)</f>
        <v>0</v>
      </c>
      <c r="I239" s="242"/>
      <c r="J239" s="252">
        <f t="shared" si="14"/>
        <v>280</v>
      </c>
      <c r="M239" t="str">
        <f t="shared" si="15"/>
        <v>Wednesday</v>
      </c>
    </row>
    <row r="240" spans="1:13" x14ac:dyDescent="0.25">
      <c r="A240" s="241">
        <v>46261</v>
      </c>
      <c r="B240" s="242">
        <f t="shared" si="12"/>
        <v>280</v>
      </c>
      <c r="C240" s="242">
        <f>IF(DAY(A240+2)=1,'Main Budget'!$G$39,IF(DAY(A240+2)=15,'Main Budget'!$G$39,0))</f>
        <v>0</v>
      </c>
      <c r="D240" s="242">
        <f t="shared" si="13"/>
        <v>0</v>
      </c>
      <c r="E240" s="242">
        <f>IF(DAY(A240)='Main Budget'!$J$12,('Main Budget'!$G$12),0)</f>
        <v>0</v>
      </c>
      <c r="F240" s="242">
        <f>IF(DAY(A240)='Main Budget'!$J$13,('Main Budget'!$G$13)*2,0)</f>
        <v>0</v>
      </c>
      <c r="G240" s="242"/>
      <c r="H240" s="242">
        <f>IF(DAY(A240)='Main Budget'!$J$14,'Main Budget'!$G$14,0)</f>
        <v>0</v>
      </c>
      <c r="I240" s="242"/>
      <c r="J240" s="252">
        <f t="shared" si="14"/>
        <v>280</v>
      </c>
      <c r="M240" t="str">
        <f t="shared" si="15"/>
        <v>Thursday</v>
      </c>
    </row>
    <row r="241" spans="1:13" x14ac:dyDescent="0.25">
      <c r="A241" s="241">
        <v>46262</v>
      </c>
      <c r="B241" s="242">
        <f t="shared" si="12"/>
        <v>280</v>
      </c>
      <c r="C241" s="242">
        <f>IF(DAY(A241+2)=1,'Main Budget'!$G$39,IF(DAY(A241+2)=15,'Main Budget'!$G$39,0))</f>
        <v>0</v>
      </c>
      <c r="D241" s="242">
        <f t="shared" si="13"/>
        <v>0</v>
      </c>
      <c r="E241" s="242">
        <f>IF(DAY(A241)='Main Budget'!$J$12,('Main Budget'!$G$12),0)</f>
        <v>0</v>
      </c>
      <c r="F241" s="242">
        <f>IF(DAY(A241)='Main Budget'!$J$13,('Main Budget'!$G$13)*2,0)</f>
        <v>0</v>
      </c>
      <c r="G241" s="242"/>
      <c r="H241" s="242">
        <f>IF(DAY(A241)='Main Budget'!$J$14,'Main Budget'!$G$14,0)</f>
        <v>0</v>
      </c>
      <c r="I241" s="242"/>
      <c r="J241" s="252">
        <f t="shared" si="14"/>
        <v>280</v>
      </c>
      <c r="M241" t="str">
        <f t="shared" si="15"/>
        <v>Friday</v>
      </c>
    </row>
    <row r="242" spans="1:13" x14ac:dyDescent="0.25">
      <c r="A242" s="241">
        <v>46263</v>
      </c>
      <c r="B242" s="242">
        <f t="shared" si="12"/>
        <v>280</v>
      </c>
      <c r="C242" s="242">
        <f>IF(DAY(A242+2)=1,'Main Budget'!$G$39,IF(DAY(A242+2)=15,'Main Budget'!$G$39,0))</f>
        <v>0</v>
      </c>
      <c r="D242" s="242">
        <f t="shared" si="13"/>
        <v>0</v>
      </c>
      <c r="E242" s="242">
        <f>IF(DAY(A242)='Main Budget'!$J$12,('Main Budget'!$G$12),0)</f>
        <v>0</v>
      </c>
      <c r="F242" s="242">
        <f>IF(DAY(A242)='Main Budget'!$J$13,('Main Budget'!$G$13)*2,0)</f>
        <v>0</v>
      </c>
      <c r="G242" s="242"/>
      <c r="H242" s="242">
        <f>IF(DAY(A242)='Main Budget'!$J$14,'Main Budget'!$G$14,0)</f>
        <v>0</v>
      </c>
      <c r="I242" s="242"/>
      <c r="J242" s="252">
        <f t="shared" si="14"/>
        <v>280</v>
      </c>
      <c r="M242" t="str">
        <f t="shared" si="15"/>
        <v>Saturday</v>
      </c>
    </row>
    <row r="243" spans="1:13" x14ac:dyDescent="0.25">
      <c r="A243" s="241">
        <v>46264</v>
      </c>
      <c r="B243" s="242">
        <f t="shared" si="12"/>
        <v>280</v>
      </c>
      <c r="C243" s="242">
        <f>IF(DAY(A243+2)=1,'Main Budget'!$G$39,IF(DAY(A243+2)=15,'Main Budget'!$G$39,0))</f>
        <v>0</v>
      </c>
      <c r="D243" s="242">
        <f t="shared" si="13"/>
        <v>0</v>
      </c>
      <c r="E243" s="242">
        <f>IF(DAY(A243)='Main Budget'!$J$12,('Main Budget'!$G$12),0)</f>
        <v>0</v>
      </c>
      <c r="F243" s="242">
        <f>IF(DAY(A243)='Main Budget'!$J$13,('Main Budget'!$G$13)*2,0)</f>
        <v>0</v>
      </c>
      <c r="G243" s="242"/>
      <c r="H243" s="242">
        <f>IF(DAY(A243)='Main Budget'!$J$14,'Main Budget'!$G$14,0)</f>
        <v>0</v>
      </c>
      <c r="I243" s="242"/>
      <c r="J243" s="252">
        <f t="shared" si="14"/>
        <v>280</v>
      </c>
      <c r="M243" t="str">
        <f t="shared" si="15"/>
        <v>Sunday</v>
      </c>
    </row>
    <row r="244" spans="1:13" x14ac:dyDescent="0.25">
      <c r="A244" s="241">
        <v>46265</v>
      </c>
      <c r="B244" s="242">
        <f t="shared" si="12"/>
        <v>280</v>
      </c>
      <c r="C244" s="242">
        <f>IF(DAY(A244+2)=1,'Main Budget'!$G$39,IF(DAY(A244+2)=15,'Main Budget'!$G$39,0))</f>
        <v>0</v>
      </c>
      <c r="D244" s="242">
        <f t="shared" si="13"/>
        <v>0</v>
      </c>
      <c r="E244" s="242">
        <f>IF(DAY(A244)='Main Budget'!$J$12,('Main Budget'!$G$12),0)</f>
        <v>0</v>
      </c>
      <c r="F244" s="242">
        <f>IF(DAY(A244)='Main Budget'!$J$13,('Main Budget'!$G$13)*2,0)</f>
        <v>0</v>
      </c>
      <c r="G244" s="242"/>
      <c r="H244" s="242">
        <f>IF(DAY(A244)='Main Budget'!$J$14,'Main Budget'!$G$14,0)</f>
        <v>0</v>
      </c>
      <c r="I244" s="242"/>
      <c r="J244" s="252">
        <f t="shared" si="14"/>
        <v>280</v>
      </c>
      <c r="M244" t="str">
        <f t="shared" si="15"/>
        <v>Monday</v>
      </c>
    </row>
    <row r="245" spans="1:13" x14ac:dyDescent="0.25">
      <c r="A245" s="241">
        <v>46266</v>
      </c>
      <c r="B245" s="242">
        <f t="shared" si="12"/>
        <v>280</v>
      </c>
      <c r="C245" s="242">
        <f>IF(DAY(A245+2)=1,'Main Budget'!$G$39,IF(DAY(A245+2)=15,'Main Budget'!$G$39,0))</f>
        <v>0</v>
      </c>
      <c r="D245" s="242">
        <f t="shared" si="13"/>
        <v>11.25</v>
      </c>
      <c r="E245" s="242">
        <f>IF(DAY(A245)='Main Budget'!$J$12,('Main Budget'!$G$12),0)</f>
        <v>0</v>
      </c>
      <c r="F245" s="242">
        <f>IF(DAY(A245)='Main Budget'!$J$13,('Main Budget'!$G$13)*2,0)</f>
        <v>0</v>
      </c>
      <c r="G245" s="242"/>
      <c r="H245" s="242">
        <f>IF(DAY(A245)='Main Budget'!$J$14,'Main Budget'!$G$14,0)</f>
        <v>0</v>
      </c>
      <c r="I245" s="242"/>
      <c r="J245" s="252">
        <f t="shared" si="14"/>
        <v>291.25</v>
      </c>
      <c r="M245" t="str">
        <f t="shared" si="15"/>
        <v>Tuesday</v>
      </c>
    </row>
    <row r="246" spans="1:13" x14ac:dyDescent="0.25">
      <c r="A246" s="241">
        <v>46267</v>
      </c>
      <c r="B246" s="242">
        <f t="shared" si="12"/>
        <v>291.25</v>
      </c>
      <c r="C246" s="242">
        <f>IF(DAY(A246+2)=1,'Main Budget'!$G$39,IF(DAY(A246+2)=15,'Main Budget'!$G$39,0))</f>
        <v>0</v>
      </c>
      <c r="D246" s="242">
        <f t="shared" si="13"/>
        <v>0</v>
      </c>
      <c r="E246" s="242">
        <f>IF(DAY(A246)='Main Budget'!$J$12,('Main Budget'!$G$12),0)</f>
        <v>0</v>
      </c>
      <c r="F246" s="242">
        <f>IF(DAY(A246)='Main Budget'!$J$13,('Main Budget'!$G$13)*2,0)</f>
        <v>0</v>
      </c>
      <c r="G246" s="242"/>
      <c r="H246" s="242">
        <f>IF(DAY(A246)='Main Budget'!$J$14,'Main Budget'!$G$14,0)</f>
        <v>0</v>
      </c>
      <c r="I246" s="242"/>
      <c r="J246" s="252">
        <f t="shared" si="14"/>
        <v>291.25</v>
      </c>
      <c r="M246" t="str">
        <f t="shared" si="15"/>
        <v>Wednesday</v>
      </c>
    </row>
    <row r="247" spans="1:13" x14ac:dyDescent="0.25">
      <c r="A247" s="241">
        <v>46268</v>
      </c>
      <c r="B247" s="242">
        <f t="shared" si="12"/>
        <v>291.25</v>
      </c>
      <c r="C247" s="242">
        <f>IF(DAY(A247+2)=1,'Main Budget'!$G$39,IF(DAY(A247+2)=15,'Main Budget'!$G$39,0))</f>
        <v>0</v>
      </c>
      <c r="D247" s="242">
        <f t="shared" si="13"/>
        <v>0</v>
      </c>
      <c r="E247" s="242">
        <f>IF(DAY(A247)='Main Budget'!$J$12,('Main Budget'!$G$12),0)</f>
        <v>0</v>
      </c>
      <c r="F247" s="242">
        <f>IF(DAY(A247)='Main Budget'!$J$13,('Main Budget'!$G$13)*2,0)</f>
        <v>0</v>
      </c>
      <c r="G247" s="242"/>
      <c r="H247" s="242">
        <f>IF(DAY(A247)='Main Budget'!$J$14,'Main Budget'!$G$14,0)</f>
        <v>0</v>
      </c>
      <c r="I247" s="242"/>
      <c r="J247" s="252">
        <f t="shared" si="14"/>
        <v>291.25</v>
      </c>
      <c r="M247" t="str">
        <f t="shared" si="15"/>
        <v>Thursday</v>
      </c>
    </row>
    <row r="248" spans="1:13" x14ac:dyDescent="0.25">
      <c r="A248" s="241">
        <v>46269</v>
      </c>
      <c r="B248" s="242">
        <f t="shared" si="12"/>
        <v>291.25</v>
      </c>
      <c r="C248" s="242">
        <f>IF(DAY(A248+2)=1,'Main Budget'!$G$39,IF(DAY(A248+2)=15,'Main Budget'!$G$39,0))</f>
        <v>0</v>
      </c>
      <c r="D248" s="242">
        <f t="shared" si="13"/>
        <v>0</v>
      </c>
      <c r="E248" s="242">
        <f>IF(DAY(A248)='Main Budget'!$J$12,('Main Budget'!$G$12),0)</f>
        <v>0</v>
      </c>
      <c r="F248" s="242">
        <f>IF(DAY(A248)='Main Budget'!$J$13,('Main Budget'!$G$13)*2,0)</f>
        <v>0</v>
      </c>
      <c r="G248" s="242"/>
      <c r="H248" s="242">
        <f>IF(DAY(A248)='Main Budget'!$J$14,'Main Budget'!$G$14,0)</f>
        <v>0</v>
      </c>
      <c r="I248" s="242"/>
      <c r="J248" s="252">
        <f t="shared" si="14"/>
        <v>291.25</v>
      </c>
      <c r="M248" t="str">
        <f t="shared" si="15"/>
        <v>Friday</v>
      </c>
    </row>
    <row r="249" spans="1:13" x14ac:dyDescent="0.25">
      <c r="A249" s="241">
        <v>46270</v>
      </c>
      <c r="B249" s="242">
        <f t="shared" si="12"/>
        <v>291.25</v>
      </c>
      <c r="C249" s="242">
        <f>IF(DAY(A249+2)=1,'Main Budget'!$G$39,IF(DAY(A249+2)=15,'Main Budget'!$G$39,0))</f>
        <v>0</v>
      </c>
      <c r="D249" s="242">
        <f t="shared" si="13"/>
        <v>0</v>
      </c>
      <c r="E249" s="242">
        <f>IF(DAY(A249)='Main Budget'!$J$12,('Main Budget'!$G$12),0)</f>
        <v>0</v>
      </c>
      <c r="F249" s="242">
        <f>IF(DAY(A249)='Main Budget'!$J$13,('Main Budget'!$G$13)*2,0)</f>
        <v>0</v>
      </c>
      <c r="G249" s="242"/>
      <c r="H249" s="242">
        <f>IF(DAY(A249)='Main Budget'!$J$14,'Main Budget'!$G$14,0)</f>
        <v>0</v>
      </c>
      <c r="I249" s="242"/>
      <c r="J249" s="252">
        <f t="shared" si="14"/>
        <v>291.25</v>
      </c>
      <c r="M249" t="str">
        <f t="shared" si="15"/>
        <v>Saturday</v>
      </c>
    </row>
    <row r="250" spans="1:13" x14ac:dyDescent="0.25">
      <c r="A250" s="241">
        <v>46271</v>
      </c>
      <c r="B250" s="242">
        <f t="shared" si="12"/>
        <v>291.25</v>
      </c>
      <c r="C250" s="242">
        <f>IF(DAY(A250+2)=1,'Main Budget'!$G$39,IF(DAY(A250+2)=15,'Main Budget'!$G$39,0))</f>
        <v>0</v>
      </c>
      <c r="D250" s="242">
        <f t="shared" si="13"/>
        <v>0</v>
      </c>
      <c r="E250" s="242">
        <f>IF(DAY(A250)='Main Budget'!$J$12,('Main Budget'!$G$12),0)</f>
        <v>0</v>
      </c>
      <c r="F250" s="242">
        <f>IF(DAY(A250)='Main Budget'!$J$13,('Main Budget'!$G$13)*2,0)</f>
        <v>0</v>
      </c>
      <c r="G250" s="242"/>
      <c r="H250" s="242">
        <f>IF(DAY(A250)='Main Budget'!$J$14,'Main Budget'!$G$14,0)</f>
        <v>0</v>
      </c>
      <c r="I250" s="242"/>
      <c r="J250" s="252">
        <f t="shared" si="14"/>
        <v>291.25</v>
      </c>
      <c r="M250" t="str">
        <f t="shared" si="15"/>
        <v>Sunday</v>
      </c>
    </row>
    <row r="251" spans="1:13" x14ac:dyDescent="0.25">
      <c r="A251" s="241">
        <v>46272</v>
      </c>
      <c r="B251" s="242">
        <f t="shared" si="12"/>
        <v>291.25</v>
      </c>
      <c r="C251" s="242">
        <f>IF(DAY(A251+2)=1,'Main Budget'!$G$39,IF(DAY(A251+2)=15,'Main Budget'!$G$39,0))</f>
        <v>0</v>
      </c>
      <c r="D251" s="242">
        <f t="shared" si="13"/>
        <v>0</v>
      </c>
      <c r="E251" s="242">
        <f>IF(DAY(A251)='Main Budget'!$J$12,('Main Budget'!$G$12),0)</f>
        <v>0</v>
      </c>
      <c r="F251" s="242">
        <f>IF(DAY(A251)='Main Budget'!$J$13,('Main Budget'!$G$13)*2,0)</f>
        <v>0</v>
      </c>
      <c r="G251" s="242"/>
      <c r="H251" s="242">
        <f>IF(DAY(A251)='Main Budget'!$J$14,'Main Budget'!$G$14,0)</f>
        <v>0</v>
      </c>
      <c r="I251" s="242"/>
      <c r="J251" s="252">
        <f t="shared" si="14"/>
        <v>291.25</v>
      </c>
      <c r="M251" t="str">
        <f t="shared" si="15"/>
        <v>Monday</v>
      </c>
    </row>
    <row r="252" spans="1:13" x14ac:dyDescent="0.25">
      <c r="A252" s="241">
        <v>46273</v>
      </c>
      <c r="B252" s="242">
        <f t="shared" si="12"/>
        <v>291.25</v>
      </c>
      <c r="C252" s="242">
        <f>IF(DAY(A252+2)=1,'Main Budget'!$G$39,IF(DAY(A252+2)=15,'Main Budget'!$G$39,0))</f>
        <v>0</v>
      </c>
      <c r="D252" s="242">
        <f t="shared" si="13"/>
        <v>0</v>
      </c>
      <c r="E252" s="242">
        <f>IF(DAY(A252)='Main Budget'!$J$12,('Main Budget'!$G$12),0)</f>
        <v>0</v>
      </c>
      <c r="F252" s="242">
        <f>IF(DAY(A252)='Main Budget'!$J$13,('Main Budget'!$G$13)*2,0)</f>
        <v>0</v>
      </c>
      <c r="G252" s="242"/>
      <c r="H252" s="242">
        <f>IF(DAY(A252)='Main Budget'!$J$14,'Main Budget'!$G$14,0)</f>
        <v>0</v>
      </c>
      <c r="I252" s="242"/>
      <c r="J252" s="252">
        <f t="shared" si="14"/>
        <v>291.25</v>
      </c>
      <c r="M252" t="str">
        <f t="shared" si="15"/>
        <v>Tuesday</v>
      </c>
    </row>
    <row r="253" spans="1:13" x14ac:dyDescent="0.25">
      <c r="A253" s="241">
        <v>46274</v>
      </c>
      <c r="B253" s="242">
        <f t="shared" si="12"/>
        <v>291.25</v>
      </c>
      <c r="C253" s="242">
        <f>IF(DAY(A253+2)=1,'Main Budget'!$G$39,IF(DAY(A253+2)=15,'Main Budget'!$G$39,0))</f>
        <v>0</v>
      </c>
      <c r="D253" s="242">
        <f t="shared" si="13"/>
        <v>0</v>
      </c>
      <c r="E253" s="242">
        <f>IF(DAY(A253)='Main Budget'!$J$12,('Main Budget'!$G$12),0)</f>
        <v>0</v>
      </c>
      <c r="F253" s="242">
        <f>IF(DAY(A253)='Main Budget'!$J$13,('Main Budget'!$G$13)*2,0)</f>
        <v>0</v>
      </c>
      <c r="G253" s="242"/>
      <c r="H253" s="242">
        <f>IF(DAY(A253)='Main Budget'!$J$14,'Main Budget'!$G$14,0)</f>
        <v>0</v>
      </c>
      <c r="I253" s="242"/>
      <c r="J253" s="252">
        <f t="shared" si="14"/>
        <v>291.25</v>
      </c>
      <c r="M253" t="str">
        <f t="shared" si="15"/>
        <v>Wednesday</v>
      </c>
    </row>
    <row r="254" spans="1:13" x14ac:dyDescent="0.25">
      <c r="A254" s="241">
        <v>46275</v>
      </c>
      <c r="B254" s="242">
        <f t="shared" si="12"/>
        <v>291.25</v>
      </c>
      <c r="C254" s="242">
        <f>IF(DAY(A254+2)=1,'Main Budget'!$G$39,IF(DAY(A254+2)=15,'Main Budget'!$G$39,0))</f>
        <v>0</v>
      </c>
      <c r="D254" s="242">
        <f t="shared" si="13"/>
        <v>0</v>
      </c>
      <c r="E254" s="242">
        <f>IF(DAY(A254)='Main Budget'!$J$12,('Main Budget'!$G$12),0)</f>
        <v>0</v>
      </c>
      <c r="F254" s="242">
        <f>IF(DAY(A254)='Main Budget'!$J$13,('Main Budget'!$G$13)*2,0)</f>
        <v>0</v>
      </c>
      <c r="G254" s="242"/>
      <c r="H254" s="242">
        <f>IF(DAY(A254)='Main Budget'!$J$14,'Main Budget'!$G$14,0)</f>
        <v>0</v>
      </c>
      <c r="I254" s="242"/>
      <c r="J254" s="252">
        <f t="shared" si="14"/>
        <v>291.25</v>
      </c>
      <c r="M254" t="str">
        <f t="shared" si="15"/>
        <v>Thursday</v>
      </c>
    </row>
    <row r="255" spans="1:13" x14ac:dyDescent="0.25">
      <c r="A255" s="241">
        <v>46276</v>
      </c>
      <c r="B255" s="242">
        <f t="shared" si="12"/>
        <v>291.25</v>
      </c>
      <c r="C255" s="242">
        <f>IF(DAY(A255+2)=1,'Main Budget'!$G$39,IF(DAY(A255+2)=15,'Main Budget'!$G$39,0))</f>
        <v>0</v>
      </c>
      <c r="D255" s="242">
        <f t="shared" si="13"/>
        <v>0</v>
      </c>
      <c r="E255" s="242">
        <f>IF(DAY(A255)='Main Budget'!$J$12,('Main Budget'!$G$12),0)</f>
        <v>0</v>
      </c>
      <c r="F255" s="242">
        <f>IF(DAY(A255)='Main Budget'!$J$13,('Main Budget'!$G$13)*2,0)</f>
        <v>0</v>
      </c>
      <c r="G255" s="242"/>
      <c r="H255" s="242">
        <f>IF(DAY(A255)='Main Budget'!$J$14,'Main Budget'!$G$14,0)</f>
        <v>0</v>
      </c>
      <c r="I255" s="242"/>
      <c r="J255" s="252">
        <f t="shared" si="14"/>
        <v>291.25</v>
      </c>
      <c r="M255" t="str">
        <f t="shared" si="15"/>
        <v>Friday</v>
      </c>
    </row>
    <row r="256" spans="1:13" x14ac:dyDescent="0.25">
      <c r="A256" s="241">
        <v>46277</v>
      </c>
      <c r="B256" s="242">
        <f t="shared" si="12"/>
        <v>291.25</v>
      </c>
      <c r="C256" s="242">
        <f>IF(DAY(A256+2)=1,'Main Budget'!$G$39,IF(DAY(A256+2)=15,'Main Budget'!$G$39,0))</f>
        <v>0</v>
      </c>
      <c r="D256" s="242">
        <f t="shared" si="13"/>
        <v>0</v>
      </c>
      <c r="E256" s="242">
        <f>IF(DAY(A256)='Main Budget'!$J$12,('Main Budget'!$G$12),0)</f>
        <v>0</v>
      </c>
      <c r="F256" s="242">
        <f>IF(DAY(A256)='Main Budget'!$J$13,('Main Budget'!$G$13)*2,0)</f>
        <v>0</v>
      </c>
      <c r="G256" s="242"/>
      <c r="H256" s="242">
        <f>IF(DAY(A256)='Main Budget'!$J$14,'Main Budget'!$G$14,0)</f>
        <v>0</v>
      </c>
      <c r="I256" s="242"/>
      <c r="J256" s="252">
        <f t="shared" si="14"/>
        <v>291.25</v>
      </c>
      <c r="M256" t="str">
        <f t="shared" si="15"/>
        <v>Saturday</v>
      </c>
    </row>
    <row r="257" spans="1:13" x14ac:dyDescent="0.25">
      <c r="A257" s="241">
        <v>46278</v>
      </c>
      <c r="B257" s="242">
        <f t="shared" si="12"/>
        <v>291.25</v>
      </c>
      <c r="C257" s="242">
        <f>IF(DAY(A257+2)=1,'Main Budget'!$G$39,IF(DAY(A257+2)=15,'Main Budget'!$G$39,0))</f>
        <v>0</v>
      </c>
      <c r="D257" s="242">
        <f t="shared" si="13"/>
        <v>0</v>
      </c>
      <c r="E257" s="242">
        <f>IF(DAY(A257)='Main Budget'!$J$12,('Main Budget'!$G$12),0)</f>
        <v>0</v>
      </c>
      <c r="F257" s="242">
        <f>IF(DAY(A257)='Main Budget'!$J$13,('Main Budget'!$G$13)*2,0)</f>
        <v>0</v>
      </c>
      <c r="G257" s="242"/>
      <c r="H257" s="242">
        <f>IF(DAY(A257)='Main Budget'!$J$14,'Main Budget'!$G$14,0)</f>
        <v>0</v>
      </c>
      <c r="I257" s="242"/>
      <c r="J257" s="252">
        <f t="shared" si="14"/>
        <v>291.25</v>
      </c>
      <c r="M257" t="str">
        <f t="shared" si="15"/>
        <v>Sunday</v>
      </c>
    </row>
    <row r="258" spans="1:13" x14ac:dyDescent="0.25">
      <c r="A258" s="241">
        <v>46279</v>
      </c>
      <c r="B258" s="242">
        <f t="shared" si="12"/>
        <v>291.25</v>
      </c>
      <c r="C258" s="242">
        <f>IF(DAY(A258+2)=1,'Main Budget'!$G$39,IF(DAY(A258+2)=15,'Main Budget'!$G$39,0))</f>
        <v>0</v>
      </c>
      <c r="D258" s="242">
        <f t="shared" si="13"/>
        <v>0</v>
      </c>
      <c r="E258" s="242">
        <f>IF(DAY(A258)='Main Budget'!$J$12,('Main Budget'!$G$12),0)</f>
        <v>0</v>
      </c>
      <c r="F258" s="242">
        <f>IF(DAY(A258)='Main Budget'!$J$13,('Main Budget'!$G$13)*2,0)</f>
        <v>0</v>
      </c>
      <c r="G258" s="242"/>
      <c r="H258" s="242">
        <f>IF(DAY(A258)='Main Budget'!$J$14,'Main Budget'!$G$14,0)</f>
        <v>0</v>
      </c>
      <c r="I258" s="242"/>
      <c r="J258" s="252">
        <f t="shared" si="14"/>
        <v>291.25</v>
      </c>
      <c r="M258" t="str">
        <f t="shared" si="15"/>
        <v>Monday</v>
      </c>
    </row>
    <row r="259" spans="1:13" x14ac:dyDescent="0.25">
      <c r="A259" s="241">
        <v>46280</v>
      </c>
      <c r="B259" s="242">
        <f t="shared" si="12"/>
        <v>291.25</v>
      </c>
      <c r="C259" s="242">
        <f>IF(DAY(A259+2)=1,'Main Budget'!$G$39,IF(DAY(A259+2)=15,'Main Budget'!$G$39,0))</f>
        <v>0</v>
      </c>
      <c r="D259" s="242">
        <f t="shared" si="13"/>
        <v>11.25</v>
      </c>
      <c r="E259" s="242">
        <f>IF(DAY(A259)='Main Budget'!$J$12,('Main Budget'!$G$12),0)</f>
        <v>0</v>
      </c>
      <c r="F259" s="242">
        <f>IF(DAY(A259)='Main Budget'!$J$13,('Main Budget'!$G$13)*2,0)</f>
        <v>0</v>
      </c>
      <c r="G259" s="242"/>
      <c r="H259" s="242">
        <f>IF(DAY(A259)='Main Budget'!$J$14,'Main Budget'!$G$14,0)</f>
        <v>0</v>
      </c>
      <c r="I259" s="242"/>
      <c r="J259" s="252">
        <f t="shared" si="14"/>
        <v>302.5</v>
      </c>
      <c r="M259" t="str">
        <f t="shared" si="15"/>
        <v>Tuesday</v>
      </c>
    </row>
    <row r="260" spans="1:13" x14ac:dyDescent="0.25">
      <c r="A260" s="241">
        <v>46281</v>
      </c>
      <c r="B260" s="242">
        <f t="shared" si="12"/>
        <v>302.5</v>
      </c>
      <c r="C260" s="242">
        <f>IF(DAY(A260+2)=1,'Main Budget'!$G$39,IF(DAY(A260+2)=15,'Main Budget'!$G$39,0))</f>
        <v>0</v>
      </c>
      <c r="D260" s="242">
        <f t="shared" si="13"/>
        <v>0</v>
      </c>
      <c r="E260" s="242">
        <f>IF(DAY(A260)='Main Budget'!$J$12,('Main Budget'!$G$12),0)</f>
        <v>0</v>
      </c>
      <c r="F260" s="242">
        <f>IF(DAY(A260)='Main Budget'!$J$13,('Main Budget'!$G$13)*2,0)</f>
        <v>0</v>
      </c>
      <c r="G260" s="242"/>
      <c r="H260" s="242">
        <f>IF(DAY(A260)='Main Budget'!$J$14,'Main Budget'!$G$14,0)</f>
        <v>0</v>
      </c>
      <c r="I260" s="242"/>
      <c r="J260" s="252">
        <f t="shared" si="14"/>
        <v>302.5</v>
      </c>
      <c r="M260" t="str">
        <f t="shared" si="15"/>
        <v>Wednesday</v>
      </c>
    </row>
    <row r="261" spans="1:13" x14ac:dyDescent="0.25">
      <c r="A261" s="241">
        <v>46282</v>
      </c>
      <c r="B261" s="242">
        <f t="shared" si="12"/>
        <v>302.5</v>
      </c>
      <c r="C261" s="242">
        <f>IF(DAY(A261+2)=1,'Main Budget'!$G$39,IF(DAY(A261+2)=15,'Main Budget'!$G$39,0))</f>
        <v>0</v>
      </c>
      <c r="D261" s="242">
        <f t="shared" si="13"/>
        <v>0</v>
      </c>
      <c r="E261" s="242">
        <f>IF(DAY(A261)='Main Budget'!$J$12,('Main Budget'!$G$12),0)</f>
        <v>0</v>
      </c>
      <c r="F261" s="242">
        <f>IF(DAY(A261)='Main Budget'!$J$13,('Main Budget'!$G$13)*2,0)</f>
        <v>0</v>
      </c>
      <c r="G261" s="242"/>
      <c r="H261" s="242">
        <f>IF(DAY(A261)='Main Budget'!$J$14,'Main Budget'!$G$14,0)</f>
        <v>0</v>
      </c>
      <c r="I261" s="242"/>
      <c r="J261" s="252">
        <f t="shared" si="14"/>
        <v>302.5</v>
      </c>
      <c r="M261" t="str">
        <f t="shared" si="15"/>
        <v>Thursday</v>
      </c>
    </row>
    <row r="262" spans="1:13" x14ac:dyDescent="0.25">
      <c r="A262" s="241">
        <v>46283</v>
      </c>
      <c r="B262" s="242">
        <f t="shared" si="12"/>
        <v>302.5</v>
      </c>
      <c r="C262" s="242">
        <f>IF(DAY(A262+2)=1,'Main Budget'!$G$39,IF(DAY(A262+2)=15,'Main Budget'!$G$39,0))</f>
        <v>0</v>
      </c>
      <c r="D262" s="242">
        <f t="shared" si="13"/>
        <v>0</v>
      </c>
      <c r="E262" s="242">
        <f>IF(DAY(A262)='Main Budget'!$J$12,('Main Budget'!$G$12),0)</f>
        <v>0</v>
      </c>
      <c r="F262" s="242">
        <f>IF(DAY(A262)='Main Budget'!$J$13,('Main Budget'!$G$13)*2,0)</f>
        <v>0</v>
      </c>
      <c r="G262" s="242"/>
      <c r="H262" s="242">
        <f>IF(DAY(A262)='Main Budget'!$J$14,'Main Budget'!$G$14,0)</f>
        <v>0</v>
      </c>
      <c r="I262" s="242"/>
      <c r="J262" s="252">
        <f t="shared" si="14"/>
        <v>302.5</v>
      </c>
      <c r="M262" t="str">
        <f t="shared" si="15"/>
        <v>Friday</v>
      </c>
    </row>
    <row r="263" spans="1:13" x14ac:dyDescent="0.25">
      <c r="A263" s="241">
        <v>46284</v>
      </c>
      <c r="B263" s="242">
        <f t="shared" si="12"/>
        <v>302.5</v>
      </c>
      <c r="C263" s="242">
        <f>IF(DAY(A263+2)=1,'Main Budget'!$G$39,IF(DAY(A263+2)=15,'Main Budget'!$G$39,0))</f>
        <v>0</v>
      </c>
      <c r="D263" s="242">
        <f t="shared" si="13"/>
        <v>0</v>
      </c>
      <c r="E263" s="242">
        <f>IF(DAY(A263)='Main Budget'!$J$12,('Main Budget'!$G$12),0)</f>
        <v>0</v>
      </c>
      <c r="F263" s="242">
        <f>IF(DAY(A263)='Main Budget'!$J$13,('Main Budget'!$G$13)*2,0)</f>
        <v>0</v>
      </c>
      <c r="G263" s="242"/>
      <c r="H263" s="242">
        <f>IF(DAY(A263)='Main Budget'!$J$14,'Main Budget'!$G$14,0)</f>
        <v>0</v>
      </c>
      <c r="I263" s="242"/>
      <c r="J263" s="252">
        <f t="shared" si="14"/>
        <v>302.5</v>
      </c>
      <c r="M263" t="str">
        <f t="shared" si="15"/>
        <v>Saturday</v>
      </c>
    </row>
    <row r="264" spans="1:13" x14ac:dyDescent="0.25">
      <c r="A264" s="241">
        <v>46285</v>
      </c>
      <c r="B264" s="242">
        <f t="shared" si="12"/>
        <v>302.5</v>
      </c>
      <c r="C264" s="242">
        <f>IF(DAY(A264+2)=1,'Main Budget'!$G$39,IF(DAY(A264+2)=15,'Main Budget'!$G$39,0))</f>
        <v>0</v>
      </c>
      <c r="D264" s="242">
        <f t="shared" si="13"/>
        <v>0</v>
      </c>
      <c r="E264" s="242">
        <f>IF(DAY(A264)='Main Budget'!$J$12,('Main Budget'!$G$12),0)</f>
        <v>0</v>
      </c>
      <c r="F264" s="242">
        <f>IF(DAY(A264)='Main Budget'!$J$13,('Main Budget'!$G$13)*2,0)</f>
        <v>0</v>
      </c>
      <c r="G264" s="242"/>
      <c r="H264" s="242">
        <f>IF(DAY(A264)='Main Budget'!$J$14,'Main Budget'!$G$14,0)</f>
        <v>0</v>
      </c>
      <c r="I264" s="242"/>
      <c r="J264" s="252">
        <f t="shared" si="14"/>
        <v>302.5</v>
      </c>
      <c r="M264" t="str">
        <f t="shared" si="15"/>
        <v>Sunday</v>
      </c>
    </row>
    <row r="265" spans="1:13" x14ac:dyDescent="0.25">
      <c r="A265" s="241">
        <v>46286</v>
      </c>
      <c r="B265" s="242">
        <f t="shared" si="12"/>
        <v>302.5</v>
      </c>
      <c r="C265" s="242">
        <f>IF(DAY(A265+2)=1,'Main Budget'!$G$39,IF(DAY(A265+2)=15,'Main Budget'!$G$39,0))</f>
        <v>0</v>
      </c>
      <c r="D265" s="242">
        <f t="shared" si="13"/>
        <v>0</v>
      </c>
      <c r="E265" s="242">
        <f>IF(DAY(A265)='Main Budget'!$J$12,('Main Budget'!$G$12),0)</f>
        <v>0</v>
      </c>
      <c r="F265" s="242">
        <f>IF(DAY(A265)='Main Budget'!$J$13,('Main Budget'!$G$13)*2,0)</f>
        <v>0</v>
      </c>
      <c r="G265" s="242"/>
      <c r="H265" s="242">
        <f>IF(DAY(A265)='Main Budget'!$J$14,'Main Budget'!$G$14,0)</f>
        <v>0</v>
      </c>
      <c r="I265" s="242"/>
      <c r="J265" s="252">
        <f t="shared" si="14"/>
        <v>302.5</v>
      </c>
      <c r="M265" t="str">
        <f t="shared" si="15"/>
        <v>Monday</v>
      </c>
    </row>
    <row r="266" spans="1:13" x14ac:dyDescent="0.25">
      <c r="A266" s="241">
        <v>46287</v>
      </c>
      <c r="B266" s="242">
        <f t="shared" si="12"/>
        <v>302.5</v>
      </c>
      <c r="C266" s="242">
        <f>IF(DAY(A266+2)=1,'Main Budget'!$G$39,IF(DAY(A266+2)=15,'Main Budget'!$G$39,0))</f>
        <v>0</v>
      </c>
      <c r="D266" s="242">
        <f t="shared" si="13"/>
        <v>0</v>
      </c>
      <c r="E266" s="242">
        <f>IF(DAY(A266)='Main Budget'!$J$12,('Main Budget'!$G$12),0)</f>
        <v>0</v>
      </c>
      <c r="F266" s="242">
        <f>IF(DAY(A266)='Main Budget'!$J$13,('Main Budget'!$G$13)*2,0)</f>
        <v>0</v>
      </c>
      <c r="G266" s="242"/>
      <c r="H266" s="242">
        <f>IF(DAY(A266)='Main Budget'!$J$14,'Main Budget'!$G$14,0)</f>
        <v>0</v>
      </c>
      <c r="I266" s="242"/>
      <c r="J266" s="252">
        <f t="shared" si="14"/>
        <v>302.5</v>
      </c>
      <c r="M266" t="str">
        <f t="shared" si="15"/>
        <v>Tuesday</v>
      </c>
    </row>
    <row r="267" spans="1:13" x14ac:dyDescent="0.25">
      <c r="A267" s="241">
        <v>46288</v>
      </c>
      <c r="B267" s="242">
        <f t="shared" si="12"/>
        <v>302.5</v>
      </c>
      <c r="C267" s="242">
        <f>IF(DAY(A267+2)=1,'Main Budget'!$G$39,IF(DAY(A267+2)=15,'Main Budget'!$G$39,0))</f>
        <v>0</v>
      </c>
      <c r="D267" s="242">
        <f t="shared" si="13"/>
        <v>0</v>
      </c>
      <c r="E267" s="242">
        <f>IF(DAY(A267)='Main Budget'!$J$12,('Main Budget'!$G$12),0)</f>
        <v>0</v>
      </c>
      <c r="F267" s="242">
        <f>IF(DAY(A267)='Main Budget'!$J$13,('Main Budget'!$G$13)*2,0)</f>
        <v>0</v>
      </c>
      <c r="G267" s="242"/>
      <c r="H267" s="242">
        <f>IF(DAY(A267)='Main Budget'!$J$14,'Main Budget'!$G$14,0)</f>
        <v>0</v>
      </c>
      <c r="I267" s="242"/>
      <c r="J267" s="252">
        <f t="shared" si="14"/>
        <v>302.5</v>
      </c>
      <c r="M267" t="str">
        <f t="shared" si="15"/>
        <v>Wednesday</v>
      </c>
    </row>
    <row r="268" spans="1:13" x14ac:dyDescent="0.25">
      <c r="A268" s="241">
        <v>46289</v>
      </c>
      <c r="B268" s="242">
        <f t="shared" si="12"/>
        <v>302.5</v>
      </c>
      <c r="C268" s="242">
        <f>IF(DAY(A268+2)=1,'Main Budget'!$G$39,IF(DAY(A268+2)=15,'Main Budget'!$G$39,0))</f>
        <v>0</v>
      </c>
      <c r="D268" s="242">
        <f t="shared" si="13"/>
        <v>0</v>
      </c>
      <c r="E268" s="242">
        <f>IF(DAY(A268)='Main Budget'!$J$12,('Main Budget'!$G$12),0)</f>
        <v>0</v>
      </c>
      <c r="F268" s="242">
        <f>IF(DAY(A268)='Main Budget'!$J$13,('Main Budget'!$G$13)*2,0)</f>
        <v>0</v>
      </c>
      <c r="G268" s="242"/>
      <c r="H268" s="242">
        <f>IF(DAY(A268)='Main Budget'!$J$14,'Main Budget'!$G$14,0)</f>
        <v>0</v>
      </c>
      <c r="I268" s="242"/>
      <c r="J268" s="252">
        <f t="shared" si="14"/>
        <v>302.5</v>
      </c>
      <c r="M268" t="str">
        <f t="shared" si="15"/>
        <v>Thursday</v>
      </c>
    </row>
    <row r="269" spans="1:13" x14ac:dyDescent="0.25">
      <c r="A269" s="241">
        <v>46290</v>
      </c>
      <c r="B269" s="242">
        <f t="shared" si="12"/>
        <v>302.5</v>
      </c>
      <c r="C269" s="242">
        <f>IF(DAY(A269+2)=1,'Main Budget'!$G$39,IF(DAY(A269+2)=15,'Main Budget'!$G$39,0))</f>
        <v>0</v>
      </c>
      <c r="D269" s="242">
        <f t="shared" si="13"/>
        <v>0</v>
      </c>
      <c r="E269" s="242">
        <f>IF(DAY(A269)='Main Budget'!$J$12,('Main Budget'!$G$12),0)</f>
        <v>0</v>
      </c>
      <c r="F269" s="242">
        <f>IF(DAY(A269)='Main Budget'!$J$13,('Main Budget'!$G$13)*2,0)</f>
        <v>0</v>
      </c>
      <c r="G269" s="242"/>
      <c r="H269" s="242">
        <f>IF(DAY(A269)='Main Budget'!$J$14,'Main Budget'!$G$14,0)</f>
        <v>0</v>
      </c>
      <c r="I269" s="242"/>
      <c r="J269" s="252">
        <f t="shared" si="14"/>
        <v>302.5</v>
      </c>
      <c r="M269" t="str">
        <f t="shared" si="15"/>
        <v>Friday</v>
      </c>
    </row>
    <row r="270" spans="1:13" x14ac:dyDescent="0.25">
      <c r="A270" s="241">
        <v>46291</v>
      </c>
      <c r="B270" s="242">
        <f t="shared" si="12"/>
        <v>302.5</v>
      </c>
      <c r="C270" s="242">
        <f>IF(DAY(A270+2)=1,'Main Budget'!$G$39,IF(DAY(A270+2)=15,'Main Budget'!$G$39,0))</f>
        <v>0</v>
      </c>
      <c r="D270" s="242">
        <f t="shared" si="13"/>
        <v>0</v>
      </c>
      <c r="E270" s="242">
        <f>IF(DAY(A270)='Main Budget'!$J$12,('Main Budget'!$G$12),0)</f>
        <v>0</v>
      </c>
      <c r="F270" s="242">
        <f>IF(DAY(A270)='Main Budget'!$J$13,('Main Budget'!$G$13)*2,0)</f>
        <v>0</v>
      </c>
      <c r="G270" s="242"/>
      <c r="H270" s="242">
        <f>IF(DAY(A270)='Main Budget'!$J$14,'Main Budget'!$G$14,0)</f>
        <v>0</v>
      </c>
      <c r="I270" s="242"/>
      <c r="J270" s="252">
        <f t="shared" si="14"/>
        <v>302.5</v>
      </c>
      <c r="M270" t="str">
        <f t="shared" si="15"/>
        <v>Saturday</v>
      </c>
    </row>
    <row r="271" spans="1:13" x14ac:dyDescent="0.25">
      <c r="A271" s="241">
        <v>46292</v>
      </c>
      <c r="B271" s="242">
        <f t="shared" si="12"/>
        <v>302.5</v>
      </c>
      <c r="C271" s="242">
        <f>IF(DAY(A271+2)=1,'Main Budget'!$G$39,IF(DAY(A271+2)=15,'Main Budget'!$G$39,0))</f>
        <v>0</v>
      </c>
      <c r="D271" s="242">
        <f t="shared" si="13"/>
        <v>0</v>
      </c>
      <c r="E271" s="242">
        <f>IF(DAY(A271)='Main Budget'!$J$12,('Main Budget'!$G$12),0)</f>
        <v>0</v>
      </c>
      <c r="F271" s="242">
        <f>IF(DAY(A271)='Main Budget'!$J$13,('Main Budget'!$G$13)*2,0)</f>
        <v>0</v>
      </c>
      <c r="G271" s="242"/>
      <c r="H271" s="242">
        <f>IF(DAY(A271)='Main Budget'!$J$14,'Main Budget'!$G$14,0)</f>
        <v>0</v>
      </c>
      <c r="I271" s="242"/>
      <c r="J271" s="252">
        <f t="shared" si="14"/>
        <v>302.5</v>
      </c>
      <c r="M271" t="str">
        <f t="shared" si="15"/>
        <v>Sunday</v>
      </c>
    </row>
    <row r="272" spans="1:13" x14ac:dyDescent="0.25">
      <c r="A272" s="241">
        <v>46293</v>
      </c>
      <c r="B272" s="242">
        <f t="shared" si="12"/>
        <v>302.5</v>
      </c>
      <c r="C272" s="242">
        <f>IF(DAY(A272+2)=1,'Main Budget'!$G$39,IF(DAY(A272+2)=15,'Main Budget'!$G$39,0))</f>
        <v>0</v>
      </c>
      <c r="D272" s="242">
        <f t="shared" si="13"/>
        <v>0</v>
      </c>
      <c r="E272" s="242">
        <f>IF(DAY(A272)='Main Budget'!$J$12,('Main Budget'!$G$12),0)</f>
        <v>0</v>
      </c>
      <c r="F272" s="242">
        <f>IF(DAY(A272)='Main Budget'!$J$13,('Main Budget'!$G$13)*2,0)</f>
        <v>0</v>
      </c>
      <c r="G272" s="242"/>
      <c r="H272" s="242">
        <f>IF(DAY(A272)='Main Budget'!$J$14,'Main Budget'!$G$14,0)</f>
        <v>0</v>
      </c>
      <c r="I272" s="242"/>
      <c r="J272" s="252">
        <f t="shared" si="14"/>
        <v>302.5</v>
      </c>
      <c r="M272" t="str">
        <f t="shared" si="15"/>
        <v>Monday</v>
      </c>
    </row>
    <row r="273" spans="1:13" x14ac:dyDescent="0.25">
      <c r="A273" s="241">
        <v>46294</v>
      </c>
      <c r="B273" s="242">
        <f t="shared" ref="B273:B336" si="16">J272</f>
        <v>302.5</v>
      </c>
      <c r="C273" s="242">
        <f>IF(DAY(A273+2)=1,'Main Budget'!$G$39,IF(DAY(A273+2)=15,'Main Budget'!$G$39,0))</f>
        <v>0</v>
      </c>
      <c r="D273" s="242">
        <f t="shared" ref="D273:D336" si="17">IF(OR(DAY(A273)=1,DAY(A273)=15),11.25,0)</f>
        <v>0</v>
      </c>
      <c r="E273" s="242">
        <f>IF(DAY(A273)='Main Budget'!$J$12,('Main Budget'!$G$12),0)</f>
        <v>0</v>
      </c>
      <c r="F273" s="242">
        <f>IF(DAY(A273)='Main Budget'!$J$13,('Main Budget'!$G$13)*2,0)</f>
        <v>0</v>
      </c>
      <c r="G273" s="242"/>
      <c r="H273" s="242">
        <f>IF(DAY(A273)='Main Budget'!$J$14,'Main Budget'!$G$14,0)</f>
        <v>0</v>
      </c>
      <c r="I273" s="242"/>
      <c r="J273" s="252">
        <f t="shared" ref="J273:J336" si="18">J272+(SUM(C273:I273))</f>
        <v>302.5</v>
      </c>
      <c r="M273" t="str">
        <f t="shared" ref="M273:M336" si="19">TEXT(A273,"dddd")</f>
        <v>Tuesday</v>
      </c>
    </row>
    <row r="274" spans="1:13" x14ac:dyDescent="0.25">
      <c r="A274" s="241">
        <v>46295</v>
      </c>
      <c r="B274" s="242">
        <f t="shared" si="16"/>
        <v>302.5</v>
      </c>
      <c r="C274" s="242">
        <f>IF(DAY(A274+2)=1,'Main Budget'!$G$39,IF(DAY(A274+2)=15,'Main Budget'!$G$39,0))</f>
        <v>0</v>
      </c>
      <c r="D274" s="242">
        <f t="shared" si="17"/>
        <v>0</v>
      </c>
      <c r="E274" s="242">
        <f>IF(DAY(A274)='Main Budget'!$J$12,('Main Budget'!$G$12),0)</f>
        <v>0</v>
      </c>
      <c r="F274" s="242">
        <f>IF(DAY(A274)='Main Budget'!$J$13,('Main Budget'!$G$13)*2,0)</f>
        <v>0</v>
      </c>
      <c r="G274" s="242"/>
      <c r="H274" s="242">
        <f>IF(DAY(A274)='Main Budget'!$J$14,'Main Budget'!$G$14,0)</f>
        <v>0</v>
      </c>
      <c r="I274" s="242"/>
      <c r="J274" s="252">
        <f t="shared" si="18"/>
        <v>302.5</v>
      </c>
      <c r="M274" t="str">
        <f t="shared" si="19"/>
        <v>Wednesday</v>
      </c>
    </row>
    <row r="275" spans="1:13" x14ac:dyDescent="0.25">
      <c r="A275" s="241">
        <v>46296</v>
      </c>
      <c r="B275" s="242">
        <f t="shared" si="16"/>
        <v>302.5</v>
      </c>
      <c r="C275" s="242">
        <f>IF(DAY(A275+2)=1,'Main Budget'!$G$39,IF(DAY(A275+2)=15,'Main Budget'!$G$39,0))</f>
        <v>0</v>
      </c>
      <c r="D275" s="242">
        <f t="shared" si="17"/>
        <v>11.25</v>
      </c>
      <c r="E275" s="242">
        <f>IF(DAY(A275)='Main Budget'!$J$12,('Main Budget'!$G$12),0)</f>
        <v>0</v>
      </c>
      <c r="F275" s="242">
        <f>IF(DAY(A275)='Main Budget'!$J$13,('Main Budget'!$G$13)*2,0)</f>
        <v>0</v>
      </c>
      <c r="G275" s="242"/>
      <c r="H275" s="242">
        <f>IF(DAY(A275)='Main Budget'!$J$14,'Main Budget'!$G$14,0)</f>
        <v>0</v>
      </c>
      <c r="I275" s="242"/>
      <c r="J275" s="252">
        <f t="shared" si="18"/>
        <v>313.75</v>
      </c>
      <c r="M275" t="str">
        <f t="shared" si="19"/>
        <v>Thursday</v>
      </c>
    </row>
    <row r="276" spans="1:13" x14ac:dyDescent="0.25">
      <c r="A276" s="241">
        <v>46297</v>
      </c>
      <c r="B276" s="242">
        <f t="shared" si="16"/>
        <v>313.75</v>
      </c>
      <c r="C276" s="242">
        <f>IF(DAY(A276+2)=1,'Main Budget'!$G$39,IF(DAY(A276+2)=15,'Main Budget'!$G$39,0))</f>
        <v>0</v>
      </c>
      <c r="D276" s="242">
        <f t="shared" si="17"/>
        <v>0</v>
      </c>
      <c r="E276" s="242">
        <f>IF(DAY(A276)='Main Budget'!$J$12,('Main Budget'!$G$12),0)</f>
        <v>0</v>
      </c>
      <c r="F276" s="242">
        <f>IF(DAY(A276)='Main Budget'!$J$13,('Main Budget'!$G$13)*2,0)</f>
        <v>0</v>
      </c>
      <c r="G276" s="242"/>
      <c r="H276" s="242">
        <f>IF(DAY(A276)='Main Budget'!$J$14,'Main Budget'!$G$14,0)</f>
        <v>0</v>
      </c>
      <c r="I276" s="242"/>
      <c r="J276" s="252">
        <f t="shared" si="18"/>
        <v>313.75</v>
      </c>
      <c r="M276" t="str">
        <f t="shared" si="19"/>
        <v>Friday</v>
      </c>
    </row>
    <row r="277" spans="1:13" x14ac:dyDescent="0.25">
      <c r="A277" s="241">
        <v>46298</v>
      </c>
      <c r="B277" s="242">
        <f t="shared" si="16"/>
        <v>313.75</v>
      </c>
      <c r="C277" s="242">
        <f>IF(DAY(A277+2)=1,'Main Budget'!$G$39,IF(DAY(A277+2)=15,'Main Budget'!$G$39,0))</f>
        <v>0</v>
      </c>
      <c r="D277" s="242">
        <f t="shared" si="17"/>
        <v>0</v>
      </c>
      <c r="E277" s="242">
        <f>IF(DAY(A277)='Main Budget'!$J$12,('Main Budget'!$G$12),0)</f>
        <v>0</v>
      </c>
      <c r="F277" s="242">
        <f>IF(DAY(A277)='Main Budget'!$J$13,('Main Budget'!$G$13)*2,0)</f>
        <v>0</v>
      </c>
      <c r="G277" s="242"/>
      <c r="H277" s="242">
        <f>IF(DAY(A277)='Main Budget'!$J$14,'Main Budget'!$G$14,0)</f>
        <v>0</v>
      </c>
      <c r="I277" s="242"/>
      <c r="J277" s="252">
        <f t="shared" si="18"/>
        <v>313.75</v>
      </c>
      <c r="M277" t="str">
        <f t="shared" si="19"/>
        <v>Saturday</v>
      </c>
    </row>
    <row r="278" spans="1:13" x14ac:dyDescent="0.25">
      <c r="A278" s="241">
        <v>46299</v>
      </c>
      <c r="B278" s="242">
        <f t="shared" si="16"/>
        <v>313.75</v>
      </c>
      <c r="C278" s="242">
        <f>IF(DAY(A278+2)=1,'Main Budget'!$G$39,IF(DAY(A278+2)=15,'Main Budget'!$G$39,0))</f>
        <v>0</v>
      </c>
      <c r="D278" s="242">
        <f t="shared" si="17"/>
        <v>0</v>
      </c>
      <c r="E278" s="242">
        <f>IF(DAY(A278)='Main Budget'!$J$12,('Main Budget'!$G$12),0)</f>
        <v>0</v>
      </c>
      <c r="F278" s="242">
        <f>IF(DAY(A278)='Main Budget'!$J$13,('Main Budget'!$G$13)*2,0)</f>
        <v>0</v>
      </c>
      <c r="G278" s="242"/>
      <c r="H278" s="242">
        <f>IF(DAY(A278)='Main Budget'!$J$14,'Main Budget'!$G$14,0)</f>
        <v>0</v>
      </c>
      <c r="I278" s="242"/>
      <c r="J278" s="252">
        <f t="shared" si="18"/>
        <v>313.75</v>
      </c>
      <c r="M278" t="str">
        <f t="shared" si="19"/>
        <v>Sunday</v>
      </c>
    </row>
    <row r="279" spans="1:13" x14ac:dyDescent="0.25">
      <c r="A279" s="241">
        <v>46300</v>
      </c>
      <c r="B279" s="242">
        <f t="shared" si="16"/>
        <v>313.75</v>
      </c>
      <c r="C279" s="242">
        <f>IF(DAY(A279+2)=1,'Main Budget'!$G$39,IF(DAY(A279+2)=15,'Main Budget'!$G$39,0))</f>
        <v>0</v>
      </c>
      <c r="D279" s="242">
        <f t="shared" si="17"/>
        <v>0</v>
      </c>
      <c r="E279" s="242">
        <f>IF(DAY(A279)='Main Budget'!$J$12,('Main Budget'!$G$12),0)</f>
        <v>0</v>
      </c>
      <c r="F279" s="242">
        <f>IF(DAY(A279)='Main Budget'!$J$13,('Main Budget'!$G$13)*2,0)</f>
        <v>0</v>
      </c>
      <c r="G279" s="242"/>
      <c r="H279" s="242">
        <f>IF(DAY(A279)='Main Budget'!$J$14,'Main Budget'!$G$14,0)</f>
        <v>0</v>
      </c>
      <c r="I279" s="242"/>
      <c r="J279" s="252">
        <f t="shared" si="18"/>
        <v>313.75</v>
      </c>
      <c r="M279" t="str">
        <f t="shared" si="19"/>
        <v>Monday</v>
      </c>
    </row>
    <row r="280" spans="1:13" x14ac:dyDescent="0.25">
      <c r="A280" s="241">
        <v>46301</v>
      </c>
      <c r="B280" s="242">
        <f t="shared" si="16"/>
        <v>313.75</v>
      </c>
      <c r="C280" s="242">
        <f>IF(DAY(A280+2)=1,'Main Budget'!$G$39,IF(DAY(A280+2)=15,'Main Budget'!$G$39,0))</f>
        <v>0</v>
      </c>
      <c r="D280" s="242">
        <f t="shared" si="17"/>
        <v>0</v>
      </c>
      <c r="E280" s="242">
        <f>IF(DAY(A280)='Main Budget'!$J$12,('Main Budget'!$G$12),0)</f>
        <v>0</v>
      </c>
      <c r="F280" s="242">
        <f>IF(DAY(A280)='Main Budget'!$J$13,('Main Budget'!$G$13)*2,0)</f>
        <v>0</v>
      </c>
      <c r="G280" s="242"/>
      <c r="H280" s="242">
        <f>IF(DAY(A280)='Main Budget'!$J$14,'Main Budget'!$G$14,0)</f>
        <v>0</v>
      </c>
      <c r="I280" s="242"/>
      <c r="J280" s="252">
        <f t="shared" si="18"/>
        <v>313.75</v>
      </c>
      <c r="M280" t="str">
        <f t="shared" si="19"/>
        <v>Tuesday</v>
      </c>
    </row>
    <row r="281" spans="1:13" x14ac:dyDescent="0.25">
      <c r="A281" s="241">
        <v>46302</v>
      </c>
      <c r="B281" s="242">
        <f t="shared" si="16"/>
        <v>313.75</v>
      </c>
      <c r="C281" s="242">
        <f>IF(DAY(A281+2)=1,'Main Budget'!$G$39,IF(DAY(A281+2)=15,'Main Budget'!$G$39,0))</f>
        <v>0</v>
      </c>
      <c r="D281" s="242">
        <f t="shared" si="17"/>
        <v>0</v>
      </c>
      <c r="E281" s="242">
        <f>IF(DAY(A281)='Main Budget'!$J$12,('Main Budget'!$G$12),0)</f>
        <v>0</v>
      </c>
      <c r="F281" s="242">
        <f>IF(DAY(A281)='Main Budget'!$J$13,('Main Budget'!$G$13)*2,0)</f>
        <v>0</v>
      </c>
      <c r="G281" s="242"/>
      <c r="H281" s="242">
        <f>IF(DAY(A281)='Main Budget'!$J$14,'Main Budget'!$G$14,0)</f>
        <v>0</v>
      </c>
      <c r="I281" s="242"/>
      <c r="J281" s="252">
        <f t="shared" si="18"/>
        <v>313.75</v>
      </c>
      <c r="M281" t="str">
        <f t="shared" si="19"/>
        <v>Wednesday</v>
      </c>
    </row>
    <row r="282" spans="1:13" x14ac:dyDescent="0.25">
      <c r="A282" s="241">
        <v>46303</v>
      </c>
      <c r="B282" s="242">
        <f t="shared" si="16"/>
        <v>313.75</v>
      </c>
      <c r="C282" s="242">
        <f>IF(DAY(A282+2)=1,'Main Budget'!$G$39,IF(DAY(A282+2)=15,'Main Budget'!$G$39,0))</f>
        <v>0</v>
      </c>
      <c r="D282" s="242">
        <f t="shared" si="17"/>
        <v>0</v>
      </c>
      <c r="E282" s="242">
        <f>IF(DAY(A282)='Main Budget'!$J$12,('Main Budget'!$G$12),0)</f>
        <v>0</v>
      </c>
      <c r="F282" s="242">
        <f>IF(DAY(A282)='Main Budget'!$J$13,('Main Budget'!$G$13)*2,0)</f>
        <v>0</v>
      </c>
      <c r="G282" s="242"/>
      <c r="H282" s="242">
        <f>IF(DAY(A282)='Main Budget'!$J$14,'Main Budget'!$G$14,0)</f>
        <v>0</v>
      </c>
      <c r="I282" s="242"/>
      <c r="J282" s="252">
        <f t="shared" si="18"/>
        <v>313.75</v>
      </c>
      <c r="M282" t="str">
        <f t="shared" si="19"/>
        <v>Thursday</v>
      </c>
    </row>
    <row r="283" spans="1:13" x14ac:dyDescent="0.25">
      <c r="A283" s="241">
        <v>46304</v>
      </c>
      <c r="B283" s="242">
        <f t="shared" si="16"/>
        <v>313.75</v>
      </c>
      <c r="C283" s="242">
        <f>IF(DAY(A283+2)=1,'Main Budget'!$G$39,IF(DAY(A283+2)=15,'Main Budget'!$G$39,0))</f>
        <v>0</v>
      </c>
      <c r="D283" s="242">
        <f t="shared" si="17"/>
        <v>0</v>
      </c>
      <c r="E283" s="242">
        <f>IF(DAY(A283)='Main Budget'!$J$12,('Main Budget'!$G$12),0)</f>
        <v>0</v>
      </c>
      <c r="F283" s="242">
        <f>IF(DAY(A283)='Main Budget'!$J$13,('Main Budget'!$G$13)*2,0)</f>
        <v>0</v>
      </c>
      <c r="G283" s="242"/>
      <c r="H283" s="242">
        <f>IF(DAY(A283)='Main Budget'!$J$14,'Main Budget'!$G$14,0)</f>
        <v>0</v>
      </c>
      <c r="I283" s="242"/>
      <c r="J283" s="252">
        <f t="shared" si="18"/>
        <v>313.75</v>
      </c>
      <c r="M283" t="str">
        <f t="shared" si="19"/>
        <v>Friday</v>
      </c>
    </row>
    <row r="284" spans="1:13" x14ac:dyDescent="0.25">
      <c r="A284" s="241">
        <v>46305</v>
      </c>
      <c r="B284" s="242">
        <f t="shared" si="16"/>
        <v>313.75</v>
      </c>
      <c r="C284" s="242">
        <f>IF(DAY(A284+2)=1,'Main Budget'!$G$39,IF(DAY(A284+2)=15,'Main Budget'!$G$39,0))</f>
        <v>0</v>
      </c>
      <c r="D284" s="242">
        <f t="shared" si="17"/>
        <v>0</v>
      </c>
      <c r="E284" s="242">
        <f>IF(DAY(A284)='Main Budget'!$J$12,('Main Budget'!$G$12),0)</f>
        <v>0</v>
      </c>
      <c r="F284" s="242">
        <f>IF(DAY(A284)='Main Budget'!$J$13,('Main Budget'!$G$13)*2,0)</f>
        <v>0</v>
      </c>
      <c r="G284" s="242"/>
      <c r="H284" s="242">
        <f>IF(DAY(A284)='Main Budget'!$J$14,'Main Budget'!$G$14,0)</f>
        <v>0</v>
      </c>
      <c r="I284" s="242"/>
      <c r="J284" s="252">
        <f t="shared" si="18"/>
        <v>313.75</v>
      </c>
      <c r="M284" t="str">
        <f t="shared" si="19"/>
        <v>Saturday</v>
      </c>
    </row>
    <row r="285" spans="1:13" x14ac:dyDescent="0.25">
      <c r="A285" s="241">
        <v>46306</v>
      </c>
      <c r="B285" s="242">
        <f t="shared" si="16"/>
        <v>313.75</v>
      </c>
      <c r="C285" s="242">
        <f>IF(DAY(A285+2)=1,'Main Budget'!$G$39,IF(DAY(A285+2)=15,'Main Budget'!$G$39,0))</f>
        <v>0</v>
      </c>
      <c r="D285" s="242">
        <f t="shared" si="17"/>
        <v>0</v>
      </c>
      <c r="E285" s="242">
        <f>IF(DAY(A285)='Main Budget'!$J$12,('Main Budget'!$G$12),0)</f>
        <v>0</v>
      </c>
      <c r="F285" s="242">
        <f>IF(DAY(A285)='Main Budget'!$J$13,('Main Budget'!$G$13)*2,0)</f>
        <v>0</v>
      </c>
      <c r="G285" s="242"/>
      <c r="H285" s="242">
        <f>IF(DAY(A285)='Main Budget'!$J$14,'Main Budget'!$G$14,0)</f>
        <v>0</v>
      </c>
      <c r="I285" s="242"/>
      <c r="J285" s="252">
        <f t="shared" si="18"/>
        <v>313.75</v>
      </c>
      <c r="M285" t="str">
        <f t="shared" si="19"/>
        <v>Sunday</v>
      </c>
    </row>
    <row r="286" spans="1:13" x14ac:dyDescent="0.25">
      <c r="A286" s="241">
        <v>46307</v>
      </c>
      <c r="B286" s="242">
        <f t="shared" si="16"/>
        <v>313.75</v>
      </c>
      <c r="C286" s="242">
        <f>IF(DAY(A286+2)=1,'Main Budget'!$G$39,IF(DAY(A286+2)=15,'Main Budget'!$G$39,0))</f>
        <v>0</v>
      </c>
      <c r="D286" s="242">
        <f t="shared" si="17"/>
        <v>0</v>
      </c>
      <c r="E286" s="242">
        <f>IF(DAY(A286)='Main Budget'!$J$12,('Main Budget'!$G$12),0)</f>
        <v>0</v>
      </c>
      <c r="F286" s="242">
        <f>IF(DAY(A286)='Main Budget'!$J$13,('Main Budget'!$G$13)*2,0)</f>
        <v>0</v>
      </c>
      <c r="G286" s="242"/>
      <c r="H286" s="242">
        <f>IF(DAY(A286)='Main Budget'!$J$14,'Main Budget'!$G$14,0)</f>
        <v>0</v>
      </c>
      <c r="I286" s="242"/>
      <c r="J286" s="252">
        <f t="shared" si="18"/>
        <v>313.75</v>
      </c>
      <c r="M286" t="str">
        <f t="shared" si="19"/>
        <v>Monday</v>
      </c>
    </row>
    <row r="287" spans="1:13" x14ac:dyDescent="0.25">
      <c r="A287" s="241">
        <v>46308</v>
      </c>
      <c r="B287" s="242">
        <f t="shared" si="16"/>
        <v>313.75</v>
      </c>
      <c r="C287" s="242">
        <f>IF(DAY(A287+2)=1,'Main Budget'!$G$39,IF(DAY(A287+2)=15,'Main Budget'!$G$39,0))</f>
        <v>0</v>
      </c>
      <c r="D287" s="242">
        <f t="shared" si="17"/>
        <v>0</v>
      </c>
      <c r="E287" s="242">
        <f>IF(DAY(A287)='Main Budget'!$J$12,('Main Budget'!$G$12),0)</f>
        <v>0</v>
      </c>
      <c r="F287" s="242">
        <f>IF(DAY(A287)='Main Budget'!$J$13,('Main Budget'!$G$13)*2,0)</f>
        <v>0</v>
      </c>
      <c r="G287" s="242"/>
      <c r="H287" s="242">
        <f>IF(DAY(A287)='Main Budget'!$J$14,'Main Budget'!$G$14,0)</f>
        <v>0</v>
      </c>
      <c r="I287" s="242"/>
      <c r="J287" s="252">
        <f t="shared" si="18"/>
        <v>313.75</v>
      </c>
      <c r="M287" t="str">
        <f t="shared" si="19"/>
        <v>Tuesday</v>
      </c>
    </row>
    <row r="288" spans="1:13" x14ac:dyDescent="0.25">
      <c r="A288" s="241">
        <v>46309</v>
      </c>
      <c r="B288" s="242">
        <f t="shared" si="16"/>
        <v>313.75</v>
      </c>
      <c r="C288" s="242">
        <f>IF(DAY(A288+2)=1,'Main Budget'!$G$39,IF(DAY(A288+2)=15,'Main Budget'!$G$39,0))</f>
        <v>0</v>
      </c>
      <c r="D288" s="242">
        <f t="shared" si="17"/>
        <v>0</v>
      </c>
      <c r="E288" s="242">
        <f>IF(DAY(A288)='Main Budget'!$J$12,('Main Budget'!$G$12),0)</f>
        <v>0</v>
      </c>
      <c r="F288" s="242">
        <f>IF(DAY(A288)='Main Budget'!$J$13,('Main Budget'!$G$13)*2,0)</f>
        <v>0</v>
      </c>
      <c r="G288" s="242"/>
      <c r="H288" s="242">
        <f>IF(DAY(A288)='Main Budget'!$J$14,'Main Budget'!$G$14,0)</f>
        <v>0</v>
      </c>
      <c r="I288" s="242"/>
      <c r="J288" s="252">
        <f t="shared" si="18"/>
        <v>313.75</v>
      </c>
      <c r="M288" t="str">
        <f t="shared" si="19"/>
        <v>Wednesday</v>
      </c>
    </row>
    <row r="289" spans="1:13" x14ac:dyDescent="0.25">
      <c r="A289" s="241">
        <v>46310</v>
      </c>
      <c r="B289" s="242">
        <f t="shared" si="16"/>
        <v>313.75</v>
      </c>
      <c r="C289" s="242">
        <f>IF(DAY(A289+2)=1,'Main Budget'!$G$39,IF(DAY(A289+2)=15,'Main Budget'!$G$39,0))</f>
        <v>0</v>
      </c>
      <c r="D289" s="242">
        <f t="shared" si="17"/>
        <v>11.25</v>
      </c>
      <c r="E289" s="242">
        <f>IF(DAY(A289)='Main Budget'!$J$12,('Main Budget'!$G$12),0)</f>
        <v>0</v>
      </c>
      <c r="F289" s="242">
        <f>IF(DAY(A289)='Main Budget'!$J$13,('Main Budget'!$G$13)*2,0)</f>
        <v>0</v>
      </c>
      <c r="G289" s="242"/>
      <c r="H289" s="242">
        <f>IF(DAY(A289)='Main Budget'!$J$14,'Main Budget'!$G$14,0)</f>
        <v>0</v>
      </c>
      <c r="I289" s="242"/>
      <c r="J289" s="252">
        <f t="shared" si="18"/>
        <v>325</v>
      </c>
      <c r="M289" t="str">
        <f t="shared" si="19"/>
        <v>Thursday</v>
      </c>
    </row>
    <row r="290" spans="1:13" x14ac:dyDescent="0.25">
      <c r="A290" s="241">
        <v>46311</v>
      </c>
      <c r="B290" s="242">
        <f t="shared" si="16"/>
        <v>325</v>
      </c>
      <c r="C290" s="242">
        <f>IF(DAY(A290+2)=1,'Main Budget'!$G$39,IF(DAY(A290+2)=15,'Main Budget'!$G$39,0))</f>
        <v>0</v>
      </c>
      <c r="D290" s="242">
        <f t="shared" si="17"/>
        <v>0</v>
      </c>
      <c r="E290" s="242">
        <f>IF(DAY(A290)='Main Budget'!$J$12,('Main Budget'!$G$12),0)</f>
        <v>0</v>
      </c>
      <c r="F290" s="242">
        <f>IF(DAY(A290)='Main Budget'!$J$13,('Main Budget'!$G$13)*2,0)</f>
        <v>0</v>
      </c>
      <c r="G290" s="242"/>
      <c r="H290" s="242">
        <f>IF(DAY(A290)='Main Budget'!$J$14,'Main Budget'!$G$14,0)</f>
        <v>0</v>
      </c>
      <c r="I290" s="242"/>
      <c r="J290" s="252">
        <f t="shared" si="18"/>
        <v>325</v>
      </c>
      <c r="M290" t="str">
        <f t="shared" si="19"/>
        <v>Friday</v>
      </c>
    </row>
    <row r="291" spans="1:13" x14ac:dyDescent="0.25">
      <c r="A291" s="241">
        <v>46312</v>
      </c>
      <c r="B291" s="242">
        <f t="shared" si="16"/>
        <v>325</v>
      </c>
      <c r="C291" s="242">
        <f>IF(DAY(A291+2)=1,'Main Budget'!$G$39,IF(DAY(A291+2)=15,'Main Budget'!$G$39,0))</f>
        <v>0</v>
      </c>
      <c r="D291" s="242">
        <f t="shared" si="17"/>
        <v>0</v>
      </c>
      <c r="E291" s="242">
        <f>IF(DAY(A291)='Main Budget'!$J$12,('Main Budget'!$G$12),0)</f>
        <v>0</v>
      </c>
      <c r="F291" s="242">
        <f>IF(DAY(A291)='Main Budget'!$J$13,('Main Budget'!$G$13)*2,0)</f>
        <v>0</v>
      </c>
      <c r="G291" s="242"/>
      <c r="H291" s="242">
        <f>IF(DAY(A291)='Main Budget'!$J$14,'Main Budget'!$G$14,0)</f>
        <v>0</v>
      </c>
      <c r="I291" s="242"/>
      <c r="J291" s="252">
        <f t="shared" si="18"/>
        <v>325</v>
      </c>
      <c r="M291" t="str">
        <f t="shared" si="19"/>
        <v>Saturday</v>
      </c>
    </row>
    <row r="292" spans="1:13" x14ac:dyDescent="0.25">
      <c r="A292" s="241">
        <v>46313</v>
      </c>
      <c r="B292" s="242">
        <f t="shared" si="16"/>
        <v>325</v>
      </c>
      <c r="C292" s="242">
        <f>IF(DAY(A292+2)=1,'Main Budget'!$G$39,IF(DAY(A292+2)=15,'Main Budget'!$G$39,0))</f>
        <v>0</v>
      </c>
      <c r="D292" s="242">
        <f t="shared" si="17"/>
        <v>0</v>
      </c>
      <c r="E292" s="242">
        <f>IF(DAY(A292)='Main Budget'!$J$12,('Main Budget'!$G$12),0)</f>
        <v>0</v>
      </c>
      <c r="F292" s="242">
        <f>IF(DAY(A292)='Main Budget'!$J$13,('Main Budget'!$G$13)*2,0)</f>
        <v>0</v>
      </c>
      <c r="G292" s="242"/>
      <c r="H292" s="242">
        <f>IF(DAY(A292)='Main Budget'!$J$14,'Main Budget'!$G$14,0)</f>
        <v>0</v>
      </c>
      <c r="I292" s="242"/>
      <c r="J292" s="252">
        <f t="shared" si="18"/>
        <v>325</v>
      </c>
      <c r="M292" t="str">
        <f t="shared" si="19"/>
        <v>Sunday</v>
      </c>
    </row>
    <row r="293" spans="1:13" x14ac:dyDescent="0.25">
      <c r="A293" s="241">
        <v>46314</v>
      </c>
      <c r="B293" s="242">
        <f t="shared" si="16"/>
        <v>325</v>
      </c>
      <c r="C293" s="242">
        <f>IF(DAY(A293+2)=1,'Main Budget'!$G$39,IF(DAY(A293+2)=15,'Main Budget'!$G$39,0))</f>
        <v>0</v>
      </c>
      <c r="D293" s="242">
        <f t="shared" si="17"/>
        <v>0</v>
      </c>
      <c r="E293" s="242">
        <f>IF(DAY(A293)='Main Budget'!$J$12,('Main Budget'!$G$12),0)</f>
        <v>0</v>
      </c>
      <c r="F293" s="242">
        <f>IF(DAY(A293)='Main Budget'!$J$13,('Main Budget'!$G$13)*2,0)</f>
        <v>0</v>
      </c>
      <c r="G293" s="242"/>
      <c r="H293" s="242">
        <f>IF(DAY(A293)='Main Budget'!$J$14,'Main Budget'!$G$14,0)</f>
        <v>0</v>
      </c>
      <c r="I293" s="242"/>
      <c r="J293" s="252">
        <f t="shared" si="18"/>
        <v>325</v>
      </c>
      <c r="M293" t="str">
        <f t="shared" si="19"/>
        <v>Monday</v>
      </c>
    </row>
    <row r="294" spans="1:13" x14ac:dyDescent="0.25">
      <c r="A294" s="241">
        <v>46315</v>
      </c>
      <c r="B294" s="242">
        <f t="shared" si="16"/>
        <v>325</v>
      </c>
      <c r="C294" s="242">
        <f>IF(DAY(A294+2)=1,'Main Budget'!$G$39,IF(DAY(A294+2)=15,'Main Budget'!$G$39,0))</f>
        <v>0</v>
      </c>
      <c r="D294" s="242">
        <f t="shared" si="17"/>
        <v>0</v>
      </c>
      <c r="E294" s="242">
        <f>IF(DAY(A294)='Main Budget'!$J$12,('Main Budget'!$G$12),0)</f>
        <v>0</v>
      </c>
      <c r="F294" s="242">
        <f>IF(DAY(A294)='Main Budget'!$J$13,('Main Budget'!$G$13)*2,0)</f>
        <v>0</v>
      </c>
      <c r="G294" s="242"/>
      <c r="H294" s="242">
        <f>IF(DAY(A294)='Main Budget'!$J$14,'Main Budget'!$G$14,0)</f>
        <v>0</v>
      </c>
      <c r="I294" s="242"/>
      <c r="J294" s="252">
        <f t="shared" si="18"/>
        <v>325</v>
      </c>
      <c r="M294" t="str">
        <f t="shared" si="19"/>
        <v>Tuesday</v>
      </c>
    </row>
    <row r="295" spans="1:13" x14ac:dyDescent="0.25">
      <c r="A295" s="241">
        <v>46316</v>
      </c>
      <c r="B295" s="242">
        <f t="shared" si="16"/>
        <v>325</v>
      </c>
      <c r="C295" s="242">
        <f>IF(DAY(A295+2)=1,'Main Budget'!$G$39,IF(DAY(A295+2)=15,'Main Budget'!$G$39,0))</f>
        <v>0</v>
      </c>
      <c r="D295" s="242">
        <f t="shared" si="17"/>
        <v>0</v>
      </c>
      <c r="E295" s="242">
        <f>IF(DAY(A295)='Main Budget'!$J$12,('Main Budget'!$G$12),0)</f>
        <v>0</v>
      </c>
      <c r="F295" s="242">
        <f>IF(DAY(A295)='Main Budget'!$J$13,('Main Budget'!$G$13)*2,0)</f>
        <v>0</v>
      </c>
      <c r="G295" s="242"/>
      <c r="H295" s="242">
        <f>IF(DAY(A295)='Main Budget'!$J$14,'Main Budget'!$G$14,0)</f>
        <v>0</v>
      </c>
      <c r="I295" s="242"/>
      <c r="J295" s="252">
        <f t="shared" si="18"/>
        <v>325</v>
      </c>
      <c r="M295" t="str">
        <f t="shared" si="19"/>
        <v>Wednesday</v>
      </c>
    </row>
    <row r="296" spans="1:13" x14ac:dyDescent="0.25">
      <c r="A296" s="241">
        <v>46317</v>
      </c>
      <c r="B296" s="242">
        <f t="shared" si="16"/>
        <v>325</v>
      </c>
      <c r="C296" s="242">
        <f>IF(DAY(A296+2)=1,'Main Budget'!$G$39,IF(DAY(A296+2)=15,'Main Budget'!$G$39,0))</f>
        <v>0</v>
      </c>
      <c r="D296" s="242">
        <f t="shared" si="17"/>
        <v>0</v>
      </c>
      <c r="E296" s="242">
        <f>IF(DAY(A296)='Main Budget'!$J$12,('Main Budget'!$G$12),0)</f>
        <v>0</v>
      </c>
      <c r="F296" s="242">
        <f>IF(DAY(A296)='Main Budget'!$J$13,('Main Budget'!$G$13)*2,0)</f>
        <v>0</v>
      </c>
      <c r="G296" s="242"/>
      <c r="H296" s="242">
        <f>IF(DAY(A296)='Main Budget'!$J$14,'Main Budget'!$G$14,0)</f>
        <v>0</v>
      </c>
      <c r="I296" s="242"/>
      <c r="J296" s="252">
        <f t="shared" si="18"/>
        <v>325</v>
      </c>
      <c r="M296" t="str">
        <f t="shared" si="19"/>
        <v>Thursday</v>
      </c>
    </row>
    <row r="297" spans="1:13" x14ac:dyDescent="0.25">
      <c r="A297" s="241">
        <v>46318</v>
      </c>
      <c r="B297" s="242">
        <f t="shared" si="16"/>
        <v>325</v>
      </c>
      <c r="C297" s="242">
        <f>IF(DAY(A297+2)=1,'Main Budget'!$G$39,IF(DAY(A297+2)=15,'Main Budget'!$G$39,0))</f>
        <v>0</v>
      </c>
      <c r="D297" s="242">
        <f t="shared" si="17"/>
        <v>0</v>
      </c>
      <c r="E297" s="242">
        <f>IF(DAY(A297)='Main Budget'!$J$12,('Main Budget'!$G$12),0)</f>
        <v>0</v>
      </c>
      <c r="F297" s="242">
        <f>IF(DAY(A297)='Main Budget'!$J$13,('Main Budget'!$G$13)*2,0)</f>
        <v>0</v>
      </c>
      <c r="G297" s="242"/>
      <c r="H297" s="242">
        <f>IF(DAY(A297)='Main Budget'!$J$14,'Main Budget'!$G$14,0)</f>
        <v>0</v>
      </c>
      <c r="I297" s="242"/>
      <c r="J297" s="252">
        <f t="shared" si="18"/>
        <v>325</v>
      </c>
      <c r="M297" t="str">
        <f t="shared" si="19"/>
        <v>Friday</v>
      </c>
    </row>
    <row r="298" spans="1:13" x14ac:dyDescent="0.25">
      <c r="A298" s="241">
        <v>46319</v>
      </c>
      <c r="B298" s="242">
        <f t="shared" si="16"/>
        <v>325</v>
      </c>
      <c r="C298" s="242">
        <f>IF(DAY(A298+2)=1,'Main Budget'!$G$39,IF(DAY(A298+2)=15,'Main Budget'!$G$39,0))</f>
        <v>0</v>
      </c>
      <c r="D298" s="242">
        <f t="shared" si="17"/>
        <v>0</v>
      </c>
      <c r="E298" s="242">
        <f>IF(DAY(A298)='Main Budget'!$J$12,('Main Budget'!$G$12),0)</f>
        <v>0</v>
      </c>
      <c r="F298" s="242">
        <f>IF(DAY(A298)='Main Budget'!$J$13,('Main Budget'!$G$13)*2,0)</f>
        <v>0</v>
      </c>
      <c r="G298" s="242"/>
      <c r="H298" s="242">
        <f>IF(DAY(A298)='Main Budget'!$J$14,'Main Budget'!$G$14,0)</f>
        <v>0</v>
      </c>
      <c r="I298" s="242"/>
      <c r="J298" s="252">
        <f t="shared" si="18"/>
        <v>325</v>
      </c>
      <c r="M298" t="str">
        <f t="shared" si="19"/>
        <v>Saturday</v>
      </c>
    </row>
    <row r="299" spans="1:13" x14ac:dyDescent="0.25">
      <c r="A299" s="241">
        <v>46320</v>
      </c>
      <c r="B299" s="242">
        <f t="shared" si="16"/>
        <v>325</v>
      </c>
      <c r="C299" s="242">
        <f>IF(DAY(A299+2)=1,'Main Budget'!$G$39,IF(DAY(A299+2)=15,'Main Budget'!$G$39,0))</f>
        <v>0</v>
      </c>
      <c r="D299" s="242">
        <f t="shared" si="17"/>
        <v>0</v>
      </c>
      <c r="E299" s="242">
        <f>IF(DAY(A299)='Main Budget'!$J$12,('Main Budget'!$G$12),0)</f>
        <v>0</v>
      </c>
      <c r="F299" s="242">
        <f>IF(DAY(A299)='Main Budget'!$J$13,('Main Budget'!$G$13)*2,0)</f>
        <v>0</v>
      </c>
      <c r="G299" s="242"/>
      <c r="H299" s="242">
        <f>IF(DAY(A299)='Main Budget'!$J$14,'Main Budget'!$G$14,0)</f>
        <v>0</v>
      </c>
      <c r="I299" s="242"/>
      <c r="J299" s="252">
        <f t="shared" si="18"/>
        <v>325</v>
      </c>
      <c r="M299" t="str">
        <f t="shared" si="19"/>
        <v>Sunday</v>
      </c>
    </row>
    <row r="300" spans="1:13" x14ac:dyDescent="0.25">
      <c r="A300" s="241">
        <v>46321</v>
      </c>
      <c r="B300" s="242">
        <f t="shared" si="16"/>
        <v>325</v>
      </c>
      <c r="C300" s="242">
        <f>IF(DAY(A300+2)=1,'Main Budget'!$G$39,IF(DAY(A300+2)=15,'Main Budget'!$G$39,0))</f>
        <v>0</v>
      </c>
      <c r="D300" s="242">
        <f t="shared" si="17"/>
        <v>0</v>
      </c>
      <c r="E300" s="242">
        <f>IF(DAY(A300)='Main Budget'!$J$12,('Main Budget'!$G$12),0)</f>
        <v>0</v>
      </c>
      <c r="F300" s="242">
        <f>IF(DAY(A300)='Main Budget'!$J$13,('Main Budget'!$G$13)*2,0)</f>
        <v>0</v>
      </c>
      <c r="G300" s="242"/>
      <c r="H300" s="242">
        <f>IF(DAY(A300)='Main Budget'!$J$14,'Main Budget'!$G$14,0)</f>
        <v>0</v>
      </c>
      <c r="I300" s="242"/>
      <c r="J300" s="252">
        <f t="shared" si="18"/>
        <v>325</v>
      </c>
      <c r="M300" t="str">
        <f t="shared" si="19"/>
        <v>Monday</v>
      </c>
    </row>
    <row r="301" spans="1:13" x14ac:dyDescent="0.25">
      <c r="A301" s="241">
        <v>46322</v>
      </c>
      <c r="B301" s="242">
        <f t="shared" si="16"/>
        <v>325</v>
      </c>
      <c r="C301" s="242">
        <f>IF(DAY(A301+2)=1,'Main Budget'!$G$39,IF(DAY(A301+2)=15,'Main Budget'!$G$39,0))</f>
        <v>0</v>
      </c>
      <c r="D301" s="242">
        <f t="shared" si="17"/>
        <v>0</v>
      </c>
      <c r="E301" s="242">
        <f>IF(DAY(A301)='Main Budget'!$J$12,('Main Budget'!$G$12),0)</f>
        <v>0</v>
      </c>
      <c r="F301" s="242">
        <f>IF(DAY(A301)='Main Budget'!$J$13,('Main Budget'!$G$13)*2,0)</f>
        <v>0</v>
      </c>
      <c r="G301" s="242"/>
      <c r="H301" s="242">
        <f>IF(DAY(A301)='Main Budget'!$J$14,'Main Budget'!$G$14,0)</f>
        <v>0</v>
      </c>
      <c r="I301" s="242"/>
      <c r="J301" s="252">
        <f t="shared" si="18"/>
        <v>325</v>
      </c>
      <c r="M301" t="str">
        <f t="shared" si="19"/>
        <v>Tuesday</v>
      </c>
    </row>
    <row r="302" spans="1:13" x14ac:dyDescent="0.25">
      <c r="A302" s="241">
        <v>46323</v>
      </c>
      <c r="B302" s="242">
        <f t="shared" si="16"/>
        <v>325</v>
      </c>
      <c r="C302" s="242">
        <f>IF(DAY(A302+2)=1,'Main Budget'!$G$39,IF(DAY(A302+2)=15,'Main Budget'!$G$39,0))</f>
        <v>0</v>
      </c>
      <c r="D302" s="242">
        <f t="shared" si="17"/>
        <v>0</v>
      </c>
      <c r="E302" s="242">
        <f>IF(DAY(A302)='Main Budget'!$J$12,('Main Budget'!$G$12),0)</f>
        <v>0</v>
      </c>
      <c r="F302" s="242">
        <f>IF(DAY(A302)='Main Budget'!$J$13,('Main Budget'!$G$13)*2,0)</f>
        <v>0</v>
      </c>
      <c r="G302" s="242"/>
      <c r="H302" s="242">
        <f>IF(DAY(A302)='Main Budget'!$J$14,'Main Budget'!$G$14,0)</f>
        <v>0</v>
      </c>
      <c r="I302" s="242"/>
      <c r="J302" s="252">
        <f t="shared" si="18"/>
        <v>325</v>
      </c>
      <c r="M302" t="str">
        <f t="shared" si="19"/>
        <v>Wednesday</v>
      </c>
    </row>
    <row r="303" spans="1:13" x14ac:dyDescent="0.25">
      <c r="A303" s="241">
        <v>46324</v>
      </c>
      <c r="B303" s="242">
        <f t="shared" si="16"/>
        <v>325</v>
      </c>
      <c r="C303" s="242">
        <f>IF(DAY(A303+2)=1,'Main Budget'!$G$39,IF(DAY(A303+2)=15,'Main Budget'!$G$39,0))</f>
        <v>0</v>
      </c>
      <c r="D303" s="242">
        <f t="shared" si="17"/>
        <v>0</v>
      </c>
      <c r="E303" s="242">
        <f>IF(DAY(A303)='Main Budget'!$J$12,('Main Budget'!$G$12),0)</f>
        <v>0</v>
      </c>
      <c r="F303" s="242">
        <f>IF(DAY(A303)='Main Budget'!$J$13,('Main Budget'!$G$13)*2,0)</f>
        <v>0</v>
      </c>
      <c r="G303" s="242"/>
      <c r="H303" s="242">
        <f>IF(DAY(A303)='Main Budget'!$J$14,'Main Budget'!$G$14,0)</f>
        <v>0</v>
      </c>
      <c r="I303" s="242"/>
      <c r="J303" s="252">
        <f t="shared" si="18"/>
        <v>325</v>
      </c>
      <c r="M303" t="str">
        <f t="shared" si="19"/>
        <v>Thursday</v>
      </c>
    </row>
    <row r="304" spans="1:13" x14ac:dyDescent="0.25">
      <c r="A304" s="241">
        <v>46325</v>
      </c>
      <c r="B304" s="242">
        <f t="shared" si="16"/>
        <v>325</v>
      </c>
      <c r="C304" s="242">
        <f>IF(DAY(A304+2)=1,'Main Budget'!$G$39,IF(DAY(A304+2)=15,'Main Budget'!$G$39,0))</f>
        <v>0</v>
      </c>
      <c r="D304" s="242">
        <f t="shared" si="17"/>
        <v>0</v>
      </c>
      <c r="E304" s="242">
        <f>IF(DAY(A304)='Main Budget'!$J$12,('Main Budget'!$G$12),0)</f>
        <v>0</v>
      </c>
      <c r="F304" s="242">
        <f>IF(DAY(A304)='Main Budget'!$J$13,('Main Budget'!$G$13)*2,0)</f>
        <v>0</v>
      </c>
      <c r="G304" s="242"/>
      <c r="H304" s="242">
        <f>IF(DAY(A304)='Main Budget'!$J$14,'Main Budget'!$G$14,0)</f>
        <v>0</v>
      </c>
      <c r="I304" s="242"/>
      <c r="J304" s="252">
        <f t="shared" si="18"/>
        <v>325</v>
      </c>
      <c r="M304" t="str">
        <f t="shared" si="19"/>
        <v>Friday</v>
      </c>
    </row>
    <row r="305" spans="1:13" x14ac:dyDescent="0.25">
      <c r="A305" s="241">
        <v>46326</v>
      </c>
      <c r="B305" s="242">
        <f t="shared" si="16"/>
        <v>325</v>
      </c>
      <c r="C305" s="242">
        <f>IF(DAY(A305+2)=1,'Main Budget'!$G$39,IF(DAY(A305+2)=15,'Main Budget'!$G$39,0))</f>
        <v>0</v>
      </c>
      <c r="D305" s="242">
        <f t="shared" si="17"/>
        <v>0</v>
      </c>
      <c r="E305" s="242">
        <f>IF(DAY(A305)='Main Budget'!$J$12,('Main Budget'!$G$12),0)</f>
        <v>0</v>
      </c>
      <c r="F305" s="242">
        <f>IF(DAY(A305)='Main Budget'!$J$13,('Main Budget'!$G$13)*2,0)</f>
        <v>0</v>
      </c>
      <c r="G305" s="242"/>
      <c r="H305" s="242">
        <f>IF(DAY(A305)='Main Budget'!$J$14,'Main Budget'!$G$14,0)</f>
        <v>0</v>
      </c>
      <c r="I305" s="242"/>
      <c r="J305" s="252">
        <f t="shared" si="18"/>
        <v>325</v>
      </c>
      <c r="M305" t="str">
        <f t="shared" si="19"/>
        <v>Saturday</v>
      </c>
    </row>
    <row r="306" spans="1:13" x14ac:dyDescent="0.25">
      <c r="A306" s="241">
        <v>46327</v>
      </c>
      <c r="B306" s="242">
        <f t="shared" si="16"/>
        <v>325</v>
      </c>
      <c r="C306" s="242">
        <f>IF(DAY(A306+2)=1,'Main Budget'!$G$39,IF(DAY(A306+2)=15,'Main Budget'!$G$39,0))</f>
        <v>0</v>
      </c>
      <c r="D306" s="242">
        <f t="shared" si="17"/>
        <v>11.25</v>
      </c>
      <c r="E306" s="242">
        <f>IF(DAY(A306)='Main Budget'!$J$12,('Main Budget'!$G$12),0)</f>
        <v>0</v>
      </c>
      <c r="F306" s="242">
        <f>IF(DAY(A306)='Main Budget'!$J$13,('Main Budget'!$G$13)*2,0)</f>
        <v>0</v>
      </c>
      <c r="G306" s="242"/>
      <c r="H306" s="242">
        <f>IF(DAY(A306)='Main Budget'!$J$14,'Main Budget'!$G$14,0)</f>
        <v>0</v>
      </c>
      <c r="I306" s="242"/>
      <c r="J306" s="252">
        <f t="shared" si="18"/>
        <v>336.25</v>
      </c>
      <c r="M306" t="str">
        <f t="shared" si="19"/>
        <v>Sunday</v>
      </c>
    </row>
    <row r="307" spans="1:13" x14ac:dyDescent="0.25">
      <c r="A307" s="241">
        <v>46328</v>
      </c>
      <c r="B307" s="242">
        <f t="shared" si="16"/>
        <v>336.25</v>
      </c>
      <c r="C307" s="242">
        <f>IF(DAY(A307+2)=1,'Main Budget'!$G$39,IF(DAY(A307+2)=15,'Main Budget'!$G$39,0))</f>
        <v>0</v>
      </c>
      <c r="D307" s="242">
        <f t="shared" si="17"/>
        <v>0</v>
      </c>
      <c r="E307" s="242">
        <f>IF(DAY(A307)='Main Budget'!$J$12,('Main Budget'!$G$12),0)</f>
        <v>0</v>
      </c>
      <c r="F307" s="242">
        <f>IF(DAY(A307)='Main Budget'!$J$13,('Main Budget'!$G$13)*2,0)</f>
        <v>0</v>
      </c>
      <c r="G307" s="242"/>
      <c r="H307" s="242">
        <f>IF(DAY(A307)='Main Budget'!$J$14,'Main Budget'!$G$14,0)</f>
        <v>0</v>
      </c>
      <c r="I307" s="242"/>
      <c r="J307" s="252">
        <f t="shared" si="18"/>
        <v>336.25</v>
      </c>
      <c r="M307" t="str">
        <f t="shared" si="19"/>
        <v>Monday</v>
      </c>
    </row>
    <row r="308" spans="1:13" x14ac:dyDescent="0.25">
      <c r="A308" s="241">
        <v>46329</v>
      </c>
      <c r="B308" s="242">
        <f t="shared" si="16"/>
        <v>336.25</v>
      </c>
      <c r="C308" s="242">
        <f>IF(DAY(A308+2)=1,'Main Budget'!$G$39,IF(DAY(A308+2)=15,'Main Budget'!$G$39,0))</f>
        <v>0</v>
      </c>
      <c r="D308" s="242">
        <f t="shared" si="17"/>
        <v>0</v>
      </c>
      <c r="E308" s="242">
        <f>IF(DAY(A308)='Main Budget'!$J$12,('Main Budget'!$G$12),0)</f>
        <v>0</v>
      </c>
      <c r="F308" s="242">
        <f>IF(DAY(A308)='Main Budget'!$J$13,('Main Budget'!$G$13)*2,0)</f>
        <v>0</v>
      </c>
      <c r="G308" s="242"/>
      <c r="H308" s="242">
        <f>IF(DAY(A308)='Main Budget'!$J$14,'Main Budget'!$G$14,0)</f>
        <v>0</v>
      </c>
      <c r="I308" s="242"/>
      <c r="J308" s="252">
        <f t="shared" si="18"/>
        <v>336.25</v>
      </c>
      <c r="M308" t="str">
        <f t="shared" si="19"/>
        <v>Tuesday</v>
      </c>
    </row>
    <row r="309" spans="1:13" x14ac:dyDescent="0.25">
      <c r="A309" s="241">
        <v>46330</v>
      </c>
      <c r="B309" s="242">
        <f t="shared" si="16"/>
        <v>336.25</v>
      </c>
      <c r="C309" s="242">
        <f>IF(DAY(A309+2)=1,'Main Budget'!$G$39,IF(DAY(A309+2)=15,'Main Budget'!$G$39,0))</f>
        <v>0</v>
      </c>
      <c r="D309" s="242">
        <f t="shared" si="17"/>
        <v>0</v>
      </c>
      <c r="E309" s="242">
        <f>IF(DAY(A309)='Main Budget'!$J$12,('Main Budget'!$G$12),0)</f>
        <v>0</v>
      </c>
      <c r="F309" s="242">
        <f>IF(DAY(A309)='Main Budget'!$J$13,('Main Budget'!$G$13)*2,0)</f>
        <v>0</v>
      </c>
      <c r="G309" s="242"/>
      <c r="H309" s="242">
        <f>IF(DAY(A309)='Main Budget'!$J$14,'Main Budget'!$G$14,0)</f>
        <v>0</v>
      </c>
      <c r="I309" s="242"/>
      <c r="J309" s="252">
        <f t="shared" si="18"/>
        <v>336.25</v>
      </c>
      <c r="M309" t="str">
        <f t="shared" si="19"/>
        <v>Wednesday</v>
      </c>
    </row>
    <row r="310" spans="1:13" x14ac:dyDescent="0.25">
      <c r="A310" s="241">
        <v>46331</v>
      </c>
      <c r="B310" s="242">
        <f t="shared" si="16"/>
        <v>336.25</v>
      </c>
      <c r="C310" s="242">
        <f>IF(DAY(A310+2)=1,'Main Budget'!$G$39,IF(DAY(A310+2)=15,'Main Budget'!$G$39,0))</f>
        <v>0</v>
      </c>
      <c r="D310" s="242">
        <f t="shared" si="17"/>
        <v>0</v>
      </c>
      <c r="E310" s="242">
        <f>IF(DAY(A310)='Main Budget'!$J$12,('Main Budget'!$G$12),0)</f>
        <v>0</v>
      </c>
      <c r="F310" s="242">
        <f>IF(DAY(A310)='Main Budget'!$J$13,('Main Budget'!$G$13)*2,0)</f>
        <v>0</v>
      </c>
      <c r="G310" s="242"/>
      <c r="H310" s="242">
        <f>IF(DAY(A310)='Main Budget'!$J$14,'Main Budget'!$G$14,0)</f>
        <v>0</v>
      </c>
      <c r="I310" s="242"/>
      <c r="J310" s="252">
        <f t="shared" si="18"/>
        <v>336.25</v>
      </c>
      <c r="M310" t="str">
        <f t="shared" si="19"/>
        <v>Thursday</v>
      </c>
    </row>
    <row r="311" spans="1:13" x14ac:dyDescent="0.25">
      <c r="A311" s="241">
        <v>46332</v>
      </c>
      <c r="B311" s="242">
        <f t="shared" si="16"/>
        <v>336.25</v>
      </c>
      <c r="C311" s="242">
        <f>IF(DAY(A311+2)=1,'Main Budget'!$G$39,IF(DAY(A311+2)=15,'Main Budget'!$G$39,0))</f>
        <v>0</v>
      </c>
      <c r="D311" s="242">
        <f t="shared" si="17"/>
        <v>0</v>
      </c>
      <c r="E311" s="242">
        <f>IF(DAY(A311)='Main Budget'!$J$12,('Main Budget'!$G$12),0)</f>
        <v>0</v>
      </c>
      <c r="F311" s="242">
        <f>IF(DAY(A311)='Main Budget'!$J$13,('Main Budget'!$G$13)*2,0)</f>
        <v>0</v>
      </c>
      <c r="G311" s="242"/>
      <c r="H311" s="242">
        <f>IF(DAY(A311)='Main Budget'!$J$14,'Main Budget'!$G$14,0)</f>
        <v>0</v>
      </c>
      <c r="I311" s="242"/>
      <c r="J311" s="252">
        <f t="shared" si="18"/>
        <v>336.25</v>
      </c>
      <c r="M311" t="str">
        <f t="shared" si="19"/>
        <v>Friday</v>
      </c>
    </row>
    <row r="312" spans="1:13" x14ac:dyDescent="0.25">
      <c r="A312" s="241">
        <v>46333</v>
      </c>
      <c r="B312" s="242">
        <f t="shared" si="16"/>
        <v>336.25</v>
      </c>
      <c r="C312" s="242">
        <f>IF(DAY(A312+2)=1,'Main Budget'!$G$39,IF(DAY(A312+2)=15,'Main Budget'!$G$39,0))</f>
        <v>0</v>
      </c>
      <c r="D312" s="242">
        <f t="shared" si="17"/>
        <v>0</v>
      </c>
      <c r="E312" s="242">
        <f>IF(DAY(A312)='Main Budget'!$J$12,('Main Budget'!$G$12),0)</f>
        <v>0</v>
      </c>
      <c r="F312" s="242">
        <f>IF(DAY(A312)='Main Budget'!$J$13,('Main Budget'!$G$13)*2,0)</f>
        <v>0</v>
      </c>
      <c r="G312" s="242"/>
      <c r="H312" s="242">
        <f>IF(DAY(A312)='Main Budget'!$J$14,'Main Budget'!$G$14,0)</f>
        <v>0</v>
      </c>
      <c r="I312" s="242"/>
      <c r="J312" s="252">
        <f t="shared" si="18"/>
        <v>336.25</v>
      </c>
      <c r="M312" t="str">
        <f t="shared" si="19"/>
        <v>Saturday</v>
      </c>
    </row>
    <row r="313" spans="1:13" x14ac:dyDescent="0.25">
      <c r="A313" s="241">
        <v>46334</v>
      </c>
      <c r="B313" s="242">
        <f t="shared" si="16"/>
        <v>336.25</v>
      </c>
      <c r="C313" s="242">
        <f>IF(DAY(A313+2)=1,'Main Budget'!$G$39,IF(DAY(A313+2)=15,'Main Budget'!$G$39,0))</f>
        <v>0</v>
      </c>
      <c r="D313" s="242">
        <f t="shared" si="17"/>
        <v>0</v>
      </c>
      <c r="E313" s="242">
        <f>IF(DAY(A313)='Main Budget'!$J$12,('Main Budget'!$G$12),0)</f>
        <v>0</v>
      </c>
      <c r="F313" s="242">
        <f>IF(DAY(A313)='Main Budget'!$J$13,('Main Budget'!$G$13)*2,0)</f>
        <v>0</v>
      </c>
      <c r="G313" s="242"/>
      <c r="H313" s="242">
        <f>IF(DAY(A313)='Main Budget'!$J$14,'Main Budget'!$G$14,0)</f>
        <v>0</v>
      </c>
      <c r="I313" s="242"/>
      <c r="J313" s="252">
        <f t="shared" si="18"/>
        <v>336.25</v>
      </c>
      <c r="M313" t="str">
        <f t="shared" si="19"/>
        <v>Sunday</v>
      </c>
    </row>
    <row r="314" spans="1:13" x14ac:dyDescent="0.25">
      <c r="A314" s="241">
        <v>46335</v>
      </c>
      <c r="B314" s="242">
        <f t="shared" si="16"/>
        <v>336.25</v>
      </c>
      <c r="C314" s="242">
        <f>IF(DAY(A314+2)=1,'Main Budget'!$G$39,IF(DAY(A314+2)=15,'Main Budget'!$G$39,0))</f>
        <v>0</v>
      </c>
      <c r="D314" s="242">
        <f t="shared" si="17"/>
        <v>0</v>
      </c>
      <c r="E314" s="242">
        <f>IF(DAY(A314)='Main Budget'!$J$12,('Main Budget'!$G$12),0)</f>
        <v>0</v>
      </c>
      <c r="F314" s="242">
        <f>IF(DAY(A314)='Main Budget'!$J$13,('Main Budget'!$G$13)*2,0)</f>
        <v>0</v>
      </c>
      <c r="G314" s="242"/>
      <c r="H314" s="242">
        <f>IF(DAY(A314)='Main Budget'!$J$14,'Main Budget'!$G$14,0)</f>
        <v>0</v>
      </c>
      <c r="I314" s="242"/>
      <c r="J314" s="252">
        <f t="shared" si="18"/>
        <v>336.25</v>
      </c>
      <c r="M314" t="str">
        <f t="shared" si="19"/>
        <v>Monday</v>
      </c>
    </row>
    <row r="315" spans="1:13" x14ac:dyDescent="0.25">
      <c r="A315" s="241">
        <v>46336</v>
      </c>
      <c r="B315" s="242">
        <f t="shared" si="16"/>
        <v>336.25</v>
      </c>
      <c r="C315" s="242">
        <f>IF(DAY(A315+2)=1,'Main Budget'!$G$39,IF(DAY(A315+2)=15,'Main Budget'!$G$39,0))</f>
        <v>0</v>
      </c>
      <c r="D315" s="242">
        <f t="shared" si="17"/>
        <v>0</v>
      </c>
      <c r="E315" s="242">
        <f>IF(DAY(A315)='Main Budget'!$J$12,('Main Budget'!$G$12),0)</f>
        <v>0</v>
      </c>
      <c r="F315" s="242">
        <f>IF(DAY(A315)='Main Budget'!$J$13,('Main Budget'!$G$13)*2,0)</f>
        <v>0</v>
      </c>
      <c r="G315" s="242"/>
      <c r="H315" s="242">
        <f>IF(DAY(A315)='Main Budget'!$J$14,'Main Budget'!$G$14,0)</f>
        <v>0</v>
      </c>
      <c r="I315" s="242"/>
      <c r="J315" s="252">
        <f t="shared" si="18"/>
        <v>336.25</v>
      </c>
      <c r="M315" t="str">
        <f t="shared" si="19"/>
        <v>Tuesday</v>
      </c>
    </row>
    <row r="316" spans="1:13" x14ac:dyDescent="0.25">
      <c r="A316" s="241">
        <v>46337</v>
      </c>
      <c r="B316" s="242">
        <f t="shared" si="16"/>
        <v>336.25</v>
      </c>
      <c r="C316" s="242">
        <f>IF(DAY(A316+2)=1,'Main Budget'!$G$39,IF(DAY(A316+2)=15,'Main Budget'!$G$39,0))</f>
        <v>0</v>
      </c>
      <c r="D316" s="242">
        <f t="shared" si="17"/>
        <v>0</v>
      </c>
      <c r="E316" s="242">
        <f>IF(DAY(A316)='Main Budget'!$J$12,('Main Budget'!$G$12),0)</f>
        <v>0</v>
      </c>
      <c r="F316" s="242">
        <f>IF(DAY(A316)='Main Budget'!$J$13,('Main Budget'!$G$13)*2,0)</f>
        <v>0</v>
      </c>
      <c r="G316" s="242"/>
      <c r="H316" s="242">
        <f>IF(DAY(A316)='Main Budget'!$J$14,'Main Budget'!$G$14,0)</f>
        <v>0</v>
      </c>
      <c r="I316" s="242"/>
      <c r="J316" s="252">
        <f t="shared" si="18"/>
        <v>336.25</v>
      </c>
      <c r="M316" t="str">
        <f t="shared" si="19"/>
        <v>Wednesday</v>
      </c>
    </row>
    <row r="317" spans="1:13" x14ac:dyDescent="0.25">
      <c r="A317" s="241">
        <v>46338</v>
      </c>
      <c r="B317" s="242">
        <f t="shared" si="16"/>
        <v>336.25</v>
      </c>
      <c r="C317" s="242">
        <f>IF(DAY(A317+2)=1,'Main Budget'!$G$39,IF(DAY(A317+2)=15,'Main Budget'!$G$39,0))</f>
        <v>0</v>
      </c>
      <c r="D317" s="242">
        <f t="shared" si="17"/>
        <v>0</v>
      </c>
      <c r="E317" s="242">
        <f>IF(DAY(A317)='Main Budget'!$J$12,('Main Budget'!$G$12),0)</f>
        <v>0</v>
      </c>
      <c r="F317" s="242">
        <f>IF(DAY(A317)='Main Budget'!$J$13,('Main Budget'!$G$13)*2,0)</f>
        <v>0</v>
      </c>
      <c r="G317" s="242"/>
      <c r="H317" s="242">
        <f>IF(DAY(A317)='Main Budget'!$J$14,'Main Budget'!$G$14,0)</f>
        <v>0</v>
      </c>
      <c r="I317" s="242"/>
      <c r="J317" s="252">
        <f t="shared" si="18"/>
        <v>336.25</v>
      </c>
      <c r="M317" t="str">
        <f t="shared" si="19"/>
        <v>Thursday</v>
      </c>
    </row>
    <row r="318" spans="1:13" x14ac:dyDescent="0.25">
      <c r="A318" s="241">
        <v>46339</v>
      </c>
      <c r="B318" s="242">
        <f t="shared" si="16"/>
        <v>336.25</v>
      </c>
      <c r="C318" s="242">
        <f>IF(DAY(A318+2)=1,'Main Budget'!$G$39,IF(DAY(A318+2)=15,'Main Budget'!$G$39,0))</f>
        <v>0</v>
      </c>
      <c r="D318" s="242">
        <f t="shared" si="17"/>
        <v>0</v>
      </c>
      <c r="E318" s="242">
        <f>IF(DAY(A318)='Main Budget'!$J$12,('Main Budget'!$G$12),0)</f>
        <v>0</v>
      </c>
      <c r="F318" s="242">
        <f>IF(DAY(A318)='Main Budget'!$J$13,('Main Budget'!$G$13)*2,0)</f>
        <v>0</v>
      </c>
      <c r="G318" s="242"/>
      <c r="H318" s="242">
        <f>IF(DAY(A318)='Main Budget'!$J$14,'Main Budget'!$G$14,0)</f>
        <v>0</v>
      </c>
      <c r="I318" s="242"/>
      <c r="J318" s="252">
        <f t="shared" si="18"/>
        <v>336.25</v>
      </c>
      <c r="M318" t="str">
        <f t="shared" si="19"/>
        <v>Friday</v>
      </c>
    </row>
    <row r="319" spans="1:13" x14ac:dyDescent="0.25">
      <c r="A319" s="241">
        <v>46340</v>
      </c>
      <c r="B319" s="242">
        <f t="shared" si="16"/>
        <v>336.25</v>
      </c>
      <c r="C319" s="242">
        <f>IF(DAY(A319+2)=1,'Main Budget'!$G$39,IF(DAY(A319+2)=15,'Main Budget'!$G$39,0))</f>
        <v>0</v>
      </c>
      <c r="D319" s="242">
        <f t="shared" si="17"/>
        <v>0</v>
      </c>
      <c r="E319" s="242">
        <f>IF(DAY(A319)='Main Budget'!$J$12,('Main Budget'!$G$12),0)</f>
        <v>0</v>
      </c>
      <c r="F319" s="242">
        <f>IF(DAY(A319)='Main Budget'!$J$13,('Main Budget'!$G$13)*2,0)</f>
        <v>0</v>
      </c>
      <c r="G319" s="242"/>
      <c r="H319" s="242">
        <f>IF(DAY(A319)='Main Budget'!$J$14,'Main Budget'!$G$14,0)</f>
        <v>0</v>
      </c>
      <c r="I319" s="242"/>
      <c r="J319" s="252">
        <f t="shared" si="18"/>
        <v>336.25</v>
      </c>
      <c r="M319" t="str">
        <f t="shared" si="19"/>
        <v>Saturday</v>
      </c>
    </row>
    <row r="320" spans="1:13" x14ac:dyDescent="0.25">
      <c r="A320" s="241">
        <v>46341</v>
      </c>
      <c r="B320" s="242">
        <f t="shared" si="16"/>
        <v>336.25</v>
      </c>
      <c r="C320" s="242">
        <f>IF(DAY(A320+2)=1,'Main Budget'!$G$39,IF(DAY(A320+2)=15,'Main Budget'!$G$39,0))</f>
        <v>0</v>
      </c>
      <c r="D320" s="242">
        <f t="shared" si="17"/>
        <v>11.25</v>
      </c>
      <c r="E320" s="242">
        <f>IF(DAY(A320)='Main Budget'!$J$12,('Main Budget'!$G$12),0)</f>
        <v>0</v>
      </c>
      <c r="F320" s="242">
        <f>IF(DAY(A320)='Main Budget'!$J$13,('Main Budget'!$G$13)*2,0)</f>
        <v>0</v>
      </c>
      <c r="G320" s="242"/>
      <c r="H320" s="242">
        <f>IF(DAY(A320)='Main Budget'!$J$14,'Main Budget'!$G$14,0)</f>
        <v>0</v>
      </c>
      <c r="I320" s="242"/>
      <c r="J320" s="252">
        <f t="shared" si="18"/>
        <v>347.5</v>
      </c>
      <c r="M320" t="str">
        <f t="shared" si="19"/>
        <v>Sunday</v>
      </c>
    </row>
    <row r="321" spans="1:13" x14ac:dyDescent="0.25">
      <c r="A321" s="241">
        <v>46342</v>
      </c>
      <c r="B321" s="242">
        <f t="shared" si="16"/>
        <v>347.5</v>
      </c>
      <c r="C321" s="242">
        <f>IF(DAY(A321+2)=1,'Main Budget'!$G$39,IF(DAY(A321+2)=15,'Main Budget'!$G$39,0))</f>
        <v>0</v>
      </c>
      <c r="D321" s="242">
        <f t="shared" si="17"/>
        <v>0</v>
      </c>
      <c r="E321" s="242">
        <f>IF(DAY(A321)='Main Budget'!$J$12,('Main Budget'!$G$12),0)</f>
        <v>0</v>
      </c>
      <c r="F321" s="242">
        <f>IF(DAY(A321)='Main Budget'!$J$13,('Main Budget'!$G$13)*2,0)</f>
        <v>0</v>
      </c>
      <c r="G321" s="242"/>
      <c r="H321" s="242">
        <f>IF(DAY(A321)='Main Budget'!$J$14,'Main Budget'!$G$14,0)</f>
        <v>0</v>
      </c>
      <c r="I321" s="242"/>
      <c r="J321" s="252">
        <f t="shared" si="18"/>
        <v>347.5</v>
      </c>
      <c r="M321" t="str">
        <f t="shared" si="19"/>
        <v>Monday</v>
      </c>
    </row>
    <row r="322" spans="1:13" x14ac:dyDescent="0.25">
      <c r="A322" s="241">
        <v>46343</v>
      </c>
      <c r="B322" s="242">
        <f t="shared" si="16"/>
        <v>347.5</v>
      </c>
      <c r="C322" s="242">
        <f>IF(DAY(A322+2)=1,'Main Budget'!$G$39,IF(DAY(A322+2)=15,'Main Budget'!$G$39,0))</f>
        <v>0</v>
      </c>
      <c r="D322" s="242">
        <f t="shared" si="17"/>
        <v>0</v>
      </c>
      <c r="E322" s="242">
        <f>IF(DAY(A322)='Main Budget'!$J$12,('Main Budget'!$G$12),0)</f>
        <v>0</v>
      </c>
      <c r="F322" s="242">
        <f>IF(DAY(A322)='Main Budget'!$J$13,('Main Budget'!$G$13)*2,0)</f>
        <v>0</v>
      </c>
      <c r="G322" s="242"/>
      <c r="H322" s="242">
        <f>IF(DAY(A322)='Main Budget'!$J$14,'Main Budget'!$G$14,0)</f>
        <v>0</v>
      </c>
      <c r="I322" s="242"/>
      <c r="J322" s="252">
        <f t="shared" si="18"/>
        <v>347.5</v>
      </c>
      <c r="M322" t="str">
        <f t="shared" si="19"/>
        <v>Tuesday</v>
      </c>
    </row>
    <row r="323" spans="1:13" x14ac:dyDescent="0.25">
      <c r="A323" s="241">
        <v>46344</v>
      </c>
      <c r="B323" s="242">
        <f t="shared" si="16"/>
        <v>347.5</v>
      </c>
      <c r="C323" s="242">
        <f>IF(DAY(A323+2)=1,'Main Budget'!$G$39,IF(DAY(A323+2)=15,'Main Budget'!$G$39,0))</f>
        <v>0</v>
      </c>
      <c r="D323" s="242">
        <f t="shared" si="17"/>
        <v>0</v>
      </c>
      <c r="E323" s="242">
        <f>IF(DAY(A323)='Main Budget'!$J$12,('Main Budget'!$G$12),0)</f>
        <v>0</v>
      </c>
      <c r="F323" s="242">
        <f>IF(DAY(A323)='Main Budget'!$J$13,('Main Budget'!$G$13)*2,0)</f>
        <v>0</v>
      </c>
      <c r="G323" s="242"/>
      <c r="H323" s="242">
        <f>IF(DAY(A323)='Main Budget'!$J$14,'Main Budget'!$G$14,0)</f>
        <v>0</v>
      </c>
      <c r="I323" s="242"/>
      <c r="J323" s="252">
        <f t="shared" si="18"/>
        <v>347.5</v>
      </c>
      <c r="M323" t="str">
        <f t="shared" si="19"/>
        <v>Wednesday</v>
      </c>
    </row>
    <row r="324" spans="1:13" x14ac:dyDescent="0.25">
      <c r="A324" s="241">
        <v>46345</v>
      </c>
      <c r="B324" s="242">
        <f t="shared" si="16"/>
        <v>347.5</v>
      </c>
      <c r="C324" s="242">
        <f>IF(DAY(A324+2)=1,'Main Budget'!$G$39,IF(DAY(A324+2)=15,'Main Budget'!$G$39,0))</f>
        <v>0</v>
      </c>
      <c r="D324" s="242">
        <f t="shared" si="17"/>
        <v>0</v>
      </c>
      <c r="E324" s="242">
        <f>IF(DAY(A324)='Main Budget'!$J$12,('Main Budget'!$G$12),0)</f>
        <v>0</v>
      </c>
      <c r="F324" s="242">
        <f>IF(DAY(A324)='Main Budget'!$J$13,('Main Budget'!$G$13)*2,0)</f>
        <v>0</v>
      </c>
      <c r="G324" s="242"/>
      <c r="H324" s="242">
        <f>IF(DAY(A324)='Main Budget'!$J$14,'Main Budget'!$G$14,0)</f>
        <v>0</v>
      </c>
      <c r="I324" s="242"/>
      <c r="J324" s="252">
        <f t="shared" si="18"/>
        <v>347.5</v>
      </c>
      <c r="M324" t="str">
        <f t="shared" si="19"/>
        <v>Thursday</v>
      </c>
    </row>
    <row r="325" spans="1:13" x14ac:dyDescent="0.25">
      <c r="A325" s="241">
        <v>46346</v>
      </c>
      <c r="B325" s="242">
        <f t="shared" si="16"/>
        <v>347.5</v>
      </c>
      <c r="C325" s="242">
        <f>IF(DAY(A325+2)=1,'Main Budget'!$G$39,IF(DAY(A325+2)=15,'Main Budget'!$G$39,0))</f>
        <v>0</v>
      </c>
      <c r="D325" s="242">
        <f t="shared" si="17"/>
        <v>0</v>
      </c>
      <c r="E325" s="242">
        <f>IF(DAY(A325)='Main Budget'!$J$12,('Main Budget'!$G$12),0)</f>
        <v>0</v>
      </c>
      <c r="F325" s="242">
        <f>IF(DAY(A325)='Main Budget'!$J$13,('Main Budget'!$G$13)*2,0)</f>
        <v>0</v>
      </c>
      <c r="G325" s="242"/>
      <c r="H325" s="242">
        <f>IF(DAY(A325)='Main Budget'!$J$14,'Main Budget'!$G$14,0)</f>
        <v>0</v>
      </c>
      <c r="I325" s="242"/>
      <c r="J325" s="252">
        <f t="shared" si="18"/>
        <v>347.5</v>
      </c>
      <c r="M325" t="str">
        <f t="shared" si="19"/>
        <v>Friday</v>
      </c>
    </row>
    <row r="326" spans="1:13" x14ac:dyDescent="0.25">
      <c r="A326" s="241">
        <v>46347</v>
      </c>
      <c r="B326" s="242">
        <f t="shared" si="16"/>
        <v>347.5</v>
      </c>
      <c r="C326" s="242">
        <f>IF(DAY(A326+2)=1,'Main Budget'!$G$39,IF(DAY(A326+2)=15,'Main Budget'!$G$39,0))</f>
        <v>0</v>
      </c>
      <c r="D326" s="242">
        <f t="shared" si="17"/>
        <v>0</v>
      </c>
      <c r="E326" s="242">
        <f>IF(DAY(A326)='Main Budget'!$J$12,('Main Budget'!$G$12),0)</f>
        <v>0</v>
      </c>
      <c r="F326" s="242">
        <f>IF(DAY(A326)='Main Budget'!$J$13,('Main Budget'!$G$13)*2,0)</f>
        <v>0</v>
      </c>
      <c r="G326" s="242"/>
      <c r="H326" s="242">
        <f>IF(DAY(A326)='Main Budget'!$J$14,'Main Budget'!$G$14,0)</f>
        <v>0</v>
      </c>
      <c r="I326" s="242"/>
      <c r="J326" s="252">
        <f t="shared" si="18"/>
        <v>347.5</v>
      </c>
      <c r="M326" t="str">
        <f t="shared" si="19"/>
        <v>Saturday</v>
      </c>
    </row>
    <row r="327" spans="1:13" x14ac:dyDescent="0.25">
      <c r="A327" s="241">
        <v>46348</v>
      </c>
      <c r="B327" s="242">
        <f t="shared" si="16"/>
        <v>347.5</v>
      </c>
      <c r="C327" s="242">
        <f>IF(DAY(A327+2)=1,'Main Budget'!$G$39,IF(DAY(A327+2)=15,'Main Budget'!$G$39,0))</f>
        <v>0</v>
      </c>
      <c r="D327" s="242">
        <f t="shared" si="17"/>
        <v>0</v>
      </c>
      <c r="E327" s="242">
        <f>IF(DAY(A327)='Main Budget'!$J$12,('Main Budget'!$G$12),0)</f>
        <v>0</v>
      </c>
      <c r="F327" s="242">
        <f>IF(DAY(A327)='Main Budget'!$J$13,('Main Budget'!$G$13)*2,0)</f>
        <v>0</v>
      </c>
      <c r="G327" s="242"/>
      <c r="H327" s="242">
        <f>IF(DAY(A327)='Main Budget'!$J$14,'Main Budget'!$G$14,0)</f>
        <v>0</v>
      </c>
      <c r="I327" s="242"/>
      <c r="J327" s="252">
        <f t="shared" si="18"/>
        <v>347.5</v>
      </c>
      <c r="M327" t="str">
        <f t="shared" si="19"/>
        <v>Sunday</v>
      </c>
    </row>
    <row r="328" spans="1:13" x14ac:dyDescent="0.25">
      <c r="A328" s="241">
        <v>46349</v>
      </c>
      <c r="B328" s="242">
        <f t="shared" si="16"/>
        <v>347.5</v>
      </c>
      <c r="C328" s="242">
        <f>IF(DAY(A328+2)=1,'Main Budget'!$G$39,IF(DAY(A328+2)=15,'Main Budget'!$G$39,0))</f>
        <v>0</v>
      </c>
      <c r="D328" s="242">
        <f t="shared" si="17"/>
        <v>0</v>
      </c>
      <c r="E328" s="242">
        <f>IF(DAY(A328)='Main Budget'!$J$12,('Main Budget'!$G$12),0)</f>
        <v>0</v>
      </c>
      <c r="F328" s="242">
        <f>IF(DAY(A328)='Main Budget'!$J$13,('Main Budget'!$G$13)*2,0)</f>
        <v>0</v>
      </c>
      <c r="G328" s="242"/>
      <c r="H328" s="242">
        <f>IF(DAY(A328)='Main Budget'!$J$14,'Main Budget'!$G$14,0)</f>
        <v>0</v>
      </c>
      <c r="I328" s="242"/>
      <c r="J328" s="252">
        <f t="shared" si="18"/>
        <v>347.5</v>
      </c>
      <c r="M328" t="str">
        <f t="shared" si="19"/>
        <v>Monday</v>
      </c>
    </row>
    <row r="329" spans="1:13" x14ac:dyDescent="0.25">
      <c r="A329" s="241">
        <v>46350</v>
      </c>
      <c r="B329" s="242">
        <f t="shared" si="16"/>
        <v>347.5</v>
      </c>
      <c r="C329" s="242">
        <f>IF(DAY(A329+2)=1,'Main Budget'!$G$39,IF(DAY(A329+2)=15,'Main Budget'!$G$39,0))</f>
        <v>0</v>
      </c>
      <c r="D329" s="242">
        <f t="shared" si="17"/>
        <v>0</v>
      </c>
      <c r="E329" s="242">
        <f>IF(DAY(A329)='Main Budget'!$J$12,('Main Budget'!$G$12),0)</f>
        <v>0</v>
      </c>
      <c r="F329" s="242">
        <f>IF(DAY(A329)='Main Budget'!$J$13,('Main Budget'!$G$13)*2,0)</f>
        <v>0</v>
      </c>
      <c r="G329" s="242"/>
      <c r="H329" s="242">
        <f>IF(DAY(A329)='Main Budget'!$J$14,'Main Budget'!$G$14,0)</f>
        <v>0</v>
      </c>
      <c r="I329" s="242"/>
      <c r="J329" s="252">
        <f t="shared" si="18"/>
        <v>347.5</v>
      </c>
      <c r="M329" t="str">
        <f t="shared" si="19"/>
        <v>Tuesday</v>
      </c>
    </row>
    <row r="330" spans="1:13" x14ac:dyDescent="0.25">
      <c r="A330" s="241">
        <v>46351</v>
      </c>
      <c r="B330" s="242">
        <f t="shared" si="16"/>
        <v>347.5</v>
      </c>
      <c r="C330" s="242">
        <f>IF(DAY(A330+2)=1,'Main Budget'!$G$39,IF(DAY(A330+2)=15,'Main Budget'!$G$39,0))</f>
        <v>0</v>
      </c>
      <c r="D330" s="242">
        <f t="shared" si="17"/>
        <v>0</v>
      </c>
      <c r="E330" s="242">
        <f>IF(DAY(A330)='Main Budget'!$J$12,('Main Budget'!$G$12),0)</f>
        <v>0</v>
      </c>
      <c r="F330" s="242">
        <f>IF(DAY(A330)='Main Budget'!$J$13,('Main Budget'!$G$13)*2,0)</f>
        <v>0</v>
      </c>
      <c r="G330" s="242"/>
      <c r="H330" s="242">
        <f>IF(DAY(A330)='Main Budget'!$J$14,'Main Budget'!$G$14,0)</f>
        <v>0</v>
      </c>
      <c r="I330" s="242"/>
      <c r="J330" s="252">
        <f t="shared" si="18"/>
        <v>347.5</v>
      </c>
      <c r="M330" t="str">
        <f t="shared" si="19"/>
        <v>Wednesday</v>
      </c>
    </row>
    <row r="331" spans="1:13" x14ac:dyDescent="0.25">
      <c r="A331" s="241">
        <v>46352</v>
      </c>
      <c r="B331" s="242">
        <f t="shared" si="16"/>
        <v>347.5</v>
      </c>
      <c r="C331" s="242">
        <f>IF(DAY(A331+2)=1,'Main Budget'!$G$39,IF(DAY(A331+2)=15,'Main Budget'!$G$39,0))</f>
        <v>0</v>
      </c>
      <c r="D331" s="242">
        <f t="shared" si="17"/>
        <v>0</v>
      </c>
      <c r="E331" s="242">
        <f>IF(DAY(A331)='Main Budget'!$J$12,('Main Budget'!$G$12),0)</f>
        <v>0</v>
      </c>
      <c r="F331" s="242">
        <f>IF(DAY(A331)='Main Budget'!$J$13,('Main Budget'!$G$13)*2,0)</f>
        <v>0</v>
      </c>
      <c r="G331" s="242"/>
      <c r="H331" s="242">
        <f>IF(DAY(A331)='Main Budget'!$J$14,'Main Budget'!$G$14,0)</f>
        <v>0</v>
      </c>
      <c r="I331" s="242"/>
      <c r="J331" s="252">
        <f t="shared" si="18"/>
        <v>347.5</v>
      </c>
      <c r="M331" t="str">
        <f t="shared" si="19"/>
        <v>Thursday</v>
      </c>
    </row>
    <row r="332" spans="1:13" x14ac:dyDescent="0.25">
      <c r="A332" s="241">
        <v>46353</v>
      </c>
      <c r="B332" s="242">
        <f t="shared" si="16"/>
        <v>347.5</v>
      </c>
      <c r="C332" s="242">
        <f>IF(DAY(A332+2)=1,'Main Budget'!$G$39,IF(DAY(A332+2)=15,'Main Budget'!$G$39,0))</f>
        <v>0</v>
      </c>
      <c r="D332" s="242">
        <f t="shared" si="17"/>
        <v>0</v>
      </c>
      <c r="E332" s="242">
        <f>IF(DAY(A332)='Main Budget'!$J$12,('Main Budget'!$G$12),0)</f>
        <v>0</v>
      </c>
      <c r="F332" s="242">
        <f>IF(DAY(A332)='Main Budget'!$J$13,('Main Budget'!$G$13)*2,0)</f>
        <v>0</v>
      </c>
      <c r="G332" s="242"/>
      <c r="H332" s="242">
        <f>IF(DAY(A332)='Main Budget'!$J$14,'Main Budget'!$G$14,0)</f>
        <v>0</v>
      </c>
      <c r="I332" s="242"/>
      <c r="J332" s="252">
        <f t="shared" si="18"/>
        <v>347.5</v>
      </c>
      <c r="M332" t="str">
        <f t="shared" si="19"/>
        <v>Friday</v>
      </c>
    </row>
    <row r="333" spans="1:13" x14ac:dyDescent="0.25">
      <c r="A333" s="241">
        <v>46354</v>
      </c>
      <c r="B333" s="242">
        <f t="shared" si="16"/>
        <v>347.5</v>
      </c>
      <c r="C333" s="242">
        <f>IF(DAY(A333+2)=1,'Main Budget'!$G$39,IF(DAY(A333+2)=15,'Main Budget'!$G$39,0))</f>
        <v>0</v>
      </c>
      <c r="D333" s="242">
        <f t="shared" si="17"/>
        <v>0</v>
      </c>
      <c r="E333" s="242">
        <f>IF(DAY(A333)='Main Budget'!$J$12,('Main Budget'!$G$12),0)</f>
        <v>0</v>
      </c>
      <c r="F333" s="242">
        <f>IF(DAY(A333)='Main Budget'!$J$13,('Main Budget'!$G$13)*2,0)</f>
        <v>0</v>
      </c>
      <c r="G333" s="242"/>
      <c r="H333" s="242">
        <f>IF(DAY(A333)='Main Budget'!$J$14,'Main Budget'!$G$14,0)</f>
        <v>0</v>
      </c>
      <c r="I333" s="242"/>
      <c r="J333" s="252">
        <f t="shared" si="18"/>
        <v>347.5</v>
      </c>
      <c r="M333" t="str">
        <f t="shared" si="19"/>
        <v>Saturday</v>
      </c>
    </row>
    <row r="334" spans="1:13" x14ac:dyDescent="0.25">
      <c r="A334" s="241">
        <v>46355</v>
      </c>
      <c r="B334" s="242">
        <f t="shared" si="16"/>
        <v>347.5</v>
      </c>
      <c r="C334" s="242">
        <f>IF(DAY(A334+2)=1,'Main Budget'!$G$39,IF(DAY(A334+2)=15,'Main Budget'!$G$39,0))</f>
        <v>0</v>
      </c>
      <c r="D334" s="242">
        <f t="shared" si="17"/>
        <v>0</v>
      </c>
      <c r="E334" s="242">
        <f>IF(DAY(A334)='Main Budget'!$J$12,('Main Budget'!$G$12),0)</f>
        <v>0</v>
      </c>
      <c r="F334" s="242">
        <f>IF(DAY(A334)='Main Budget'!$J$13,('Main Budget'!$G$13)*2,0)</f>
        <v>0</v>
      </c>
      <c r="G334" s="242"/>
      <c r="H334" s="242">
        <f>IF(DAY(A334)='Main Budget'!$J$14,'Main Budget'!$G$14,0)</f>
        <v>0</v>
      </c>
      <c r="I334" s="242"/>
      <c r="J334" s="252">
        <f t="shared" si="18"/>
        <v>347.5</v>
      </c>
      <c r="M334" t="str">
        <f t="shared" si="19"/>
        <v>Sunday</v>
      </c>
    </row>
    <row r="335" spans="1:13" x14ac:dyDescent="0.25">
      <c r="A335" s="241">
        <v>46356</v>
      </c>
      <c r="B335" s="242">
        <f t="shared" si="16"/>
        <v>347.5</v>
      </c>
      <c r="C335" s="242">
        <f>IF(DAY(A335+2)=1,'Main Budget'!$G$39,IF(DAY(A335+2)=15,'Main Budget'!$G$39,0))</f>
        <v>0</v>
      </c>
      <c r="D335" s="242">
        <f t="shared" si="17"/>
        <v>0</v>
      </c>
      <c r="E335" s="242">
        <f>IF(DAY(A335)='Main Budget'!$J$12,('Main Budget'!$G$12),0)</f>
        <v>0</v>
      </c>
      <c r="F335" s="242">
        <f>IF(DAY(A335)='Main Budget'!$J$13,('Main Budget'!$G$13)*2,0)</f>
        <v>0</v>
      </c>
      <c r="G335" s="242"/>
      <c r="H335" s="242">
        <f>IF(DAY(A335)='Main Budget'!$J$14,'Main Budget'!$G$14,0)</f>
        <v>0</v>
      </c>
      <c r="I335" s="242"/>
      <c r="J335" s="252">
        <f t="shared" si="18"/>
        <v>347.5</v>
      </c>
      <c r="M335" t="str">
        <f t="shared" si="19"/>
        <v>Monday</v>
      </c>
    </row>
    <row r="336" spans="1:13" x14ac:dyDescent="0.25">
      <c r="A336" s="241">
        <v>46357</v>
      </c>
      <c r="B336" s="242">
        <f t="shared" si="16"/>
        <v>347.5</v>
      </c>
      <c r="C336" s="242">
        <f>IF(DAY(A336+2)=1,'Main Budget'!$G$39,IF(DAY(A336+2)=15,'Main Budget'!$G$39,0))</f>
        <v>0</v>
      </c>
      <c r="D336" s="242">
        <f t="shared" si="17"/>
        <v>11.25</v>
      </c>
      <c r="E336" s="242">
        <f>IF(DAY(A336)='Main Budget'!$J$12,('Main Budget'!$G$12),0)</f>
        <v>0</v>
      </c>
      <c r="F336" s="242">
        <f>IF(DAY(A336)='Main Budget'!$J$13,('Main Budget'!$G$13)*2,0)</f>
        <v>0</v>
      </c>
      <c r="G336" s="242"/>
      <c r="H336" s="242">
        <f>IF(DAY(A336)='Main Budget'!$J$14,'Main Budget'!$G$14,0)</f>
        <v>0</v>
      </c>
      <c r="I336" s="242"/>
      <c r="J336" s="252">
        <f t="shared" si="18"/>
        <v>358.75</v>
      </c>
      <c r="M336" t="str">
        <f t="shared" si="19"/>
        <v>Tuesday</v>
      </c>
    </row>
    <row r="337" spans="1:13" x14ac:dyDescent="0.25">
      <c r="A337" s="241">
        <v>46358</v>
      </c>
      <c r="B337" s="242">
        <f t="shared" ref="B337:B400" si="20">J336</f>
        <v>358.75</v>
      </c>
      <c r="C337" s="242">
        <f>IF(DAY(A337+2)=1,'Main Budget'!$G$39,IF(DAY(A337+2)=15,'Main Budget'!$G$39,0))</f>
        <v>0</v>
      </c>
      <c r="D337" s="242">
        <f t="shared" ref="D337:D400" si="21">IF(OR(DAY(A337)=1,DAY(A337)=15),11.25,0)</f>
        <v>0</v>
      </c>
      <c r="E337" s="242">
        <f>IF(DAY(A337)='Main Budget'!$J$12,('Main Budget'!$G$12),0)</f>
        <v>0</v>
      </c>
      <c r="F337" s="242">
        <f>IF(DAY(A337)='Main Budget'!$J$13,('Main Budget'!$G$13)*2,0)</f>
        <v>0</v>
      </c>
      <c r="G337" s="242"/>
      <c r="H337" s="242">
        <f>IF(DAY(A337)='Main Budget'!$J$14,'Main Budget'!$G$14,0)</f>
        <v>0</v>
      </c>
      <c r="I337" s="242"/>
      <c r="J337" s="252">
        <f t="shared" ref="J337:J400" si="22">J336+(SUM(C337:I337))</f>
        <v>358.75</v>
      </c>
      <c r="M337" t="str">
        <f t="shared" ref="M337:M400" si="23">TEXT(A337,"dddd")</f>
        <v>Wednesday</v>
      </c>
    </row>
    <row r="338" spans="1:13" x14ac:dyDescent="0.25">
      <c r="A338" s="241">
        <v>46359</v>
      </c>
      <c r="B338" s="242">
        <f t="shared" si="20"/>
        <v>358.75</v>
      </c>
      <c r="C338" s="242">
        <f>IF(DAY(A338+2)=1,'Main Budget'!$G$39,IF(DAY(A338+2)=15,'Main Budget'!$G$39,0))</f>
        <v>0</v>
      </c>
      <c r="D338" s="242">
        <f t="shared" si="21"/>
        <v>0</v>
      </c>
      <c r="E338" s="242">
        <f>IF(DAY(A338)='Main Budget'!$J$12,('Main Budget'!$G$12),0)</f>
        <v>0</v>
      </c>
      <c r="F338" s="242">
        <f>IF(DAY(A338)='Main Budget'!$J$13,('Main Budget'!$G$13)*2,0)</f>
        <v>0</v>
      </c>
      <c r="G338" s="242"/>
      <c r="H338" s="242">
        <f>IF(DAY(A338)='Main Budget'!$J$14,'Main Budget'!$G$14,0)</f>
        <v>0</v>
      </c>
      <c r="I338" s="242"/>
      <c r="J338" s="252">
        <f t="shared" si="22"/>
        <v>358.75</v>
      </c>
      <c r="M338" t="str">
        <f t="shared" si="23"/>
        <v>Thursday</v>
      </c>
    </row>
    <row r="339" spans="1:13" x14ac:dyDescent="0.25">
      <c r="A339" s="241">
        <v>46360</v>
      </c>
      <c r="B339" s="242">
        <f t="shared" si="20"/>
        <v>358.75</v>
      </c>
      <c r="C339" s="242">
        <f>IF(DAY(A339+2)=1,'Main Budget'!$G$39,IF(DAY(A339+2)=15,'Main Budget'!$G$39,0))</f>
        <v>0</v>
      </c>
      <c r="D339" s="242">
        <f t="shared" si="21"/>
        <v>0</v>
      </c>
      <c r="E339" s="242">
        <f>IF(DAY(A339)='Main Budget'!$J$12,('Main Budget'!$G$12),0)</f>
        <v>0</v>
      </c>
      <c r="F339" s="242">
        <f>IF(DAY(A339)='Main Budget'!$J$13,('Main Budget'!$G$13)*2,0)</f>
        <v>0</v>
      </c>
      <c r="G339" s="242"/>
      <c r="H339" s="242">
        <f>IF(DAY(A339)='Main Budget'!$J$14,'Main Budget'!$G$14,0)</f>
        <v>0</v>
      </c>
      <c r="I339" s="242"/>
      <c r="J339" s="252">
        <f t="shared" si="22"/>
        <v>358.75</v>
      </c>
      <c r="M339" t="str">
        <f t="shared" si="23"/>
        <v>Friday</v>
      </c>
    </row>
    <row r="340" spans="1:13" x14ac:dyDescent="0.25">
      <c r="A340" s="241">
        <v>46361</v>
      </c>
      <c r="B340" s="242">
        <f t="shared" si="20"/>
        <v>358.75</v>
      </c>
      <c r="C340" s="242">
        <f>IF(DAY(A340+2)=1,'Main Budget'!$G$39,IF(DAY(A340+2)=15,'Main Budget'!$G$39,0))</f>
        <v>0</v>
      </c>
      <c r="D340" s="242">
        <f t="shared" si="21"/>
        <v>0</v>
      </c>
      <c r="E340" s="242">
        <f>IF(DAY(A340)='Main Budget'!$J$12,('Main Budget'!$G$12),0)</f>
        <v>0</v>
      </c>
      <c r="F340" s="242">
        <f>IF(DAY(A340)='Main Budget'!$J$13,('Main Budget'!$G$13)*2,0)</f>
        <v>0</v>
      </c>
      <c r="G340" s="242"/>
      <c r="H340" s="242">
        <f>IF(DAY(A340)='Main Budget'!$J$14,'Main Budget'!$G$14,0)</f>
        <v>0</v>
      </c>
      <c r="I340" s="242"/>
      <c r="J340" s="252">
        <f t="shared" si="22"/>
        <v>358.75</v>
      </c>
      <c r="M340" t="str">
        <f t="shared" si="23"/>
        <v>Saturday</v>
      </c>
    </row>
    <row r="341" spans="1:13" x14ac:dyDescent="0.25">
      <c r="A341" s="241">
        <v>46362</v>
      </c>
      <c r="B341" s="242">
        <f t="shared" si="20"/>
        <v>358.75</v>
      </c>
      <c r="C341" s="242">
        <f>IF(DAY(A341+2)=1,'Main Budget'!$G$39,IF(DAY(A341+2)=15,'Main Budget'!$G$39,0))</f>
        <v>0</v>
      </c>
      <c r="D341" s="242">
        <f t="shared" si="21"/>
        <v>0</v>
      </c>
      <c r="E341" s="242">
        <f>IF(DAY(A341)='Main Budget'!$J$12,('Main Budget'!$G$12),0)</f>
        <v>0</v>
      </c>
      <c r="F341" s="242">
        <f>IF(DAY(A341)='Main Budget'!$J$13,('Main Budget'!$G$13)*2,0)</f>
        <v>0</v>
      </c>
      <c r="G341" s="242"/>
      <c r="H341" s="242">
        <f>IF(DAY(A341)='Main Budget'!$J$14,'Main Budget'!$G$14,0)</f>
        <v>0</v>
      </c>
      <c r="I341" s="242"/>
      <c r="J341" s="252">
        <f t="shared" si="22"/>
        <v>358.75</v>
      </c>
      <c r="M341" t="str">
        <f t="shared" si="23"/>
        <v>Sunday</v>
      </c>
    </row>
    <row r="342" spans="1:13" x14ac:dyDescent="0.25">
      <c r="A342" s="241">
        <v>46363</v>
      </c>
      <c r="B342" s="242">
        <f t="shared" si="20"/>
        <v>358.75</v>
      </c>
      <c r="C342" s="242">
        <f>IF(DAY(A342+2)=1,'Main Budget'!$G$39,IF(DAY(A342+2)=15,'Main Budget'!$G$39,0))</f>
        <v>0</v>
      </c>
      <c r="D342" s="242">
        <f t="shared" si="21"/>
        <v>0</v>
      </c>
      <c r="E342" s="242">
        <f>IF(DAY(A342)='Main Budget'!$J$12,('Main Budget'!$G$12),0)</f>
        <v>0</v>
      </c>
      <c r="F342" s="242">
        <f>IF(DAY(A342)='Main Budget'!$J$13,('Main Budget'!$G$13)*2,0)</f>
        <v>0</v>
      </c>
      <c r="G342" s="242"/>
      <c r="H342" s="242">
        <f>IF(DAY(A342)='Main Budget'!$J$14,'Main Budget'!$G$14,0)</f>
        <v>0</v>
      </c>
      <c r="I342" s="242"/>
      <c r="J342" s="252">
        <f t="shared" si="22"/>
        <v>358.75</v>
      </c>
      <c r="M342" t="str">
        <f t="shared" si="23"/>
        <v>Monday</v>
      </c>
    </row>
    <row r="343" spans="1:13" x14ac:dyDescent="0.25">
      <c r="A343" s="241">
        <v>46364</v>
      </c>
      <c r="B343" s="242">
        <f t="shared" si="20"/>
        <v>358.75</v>
      </c>
      <c r="C343" s="242">
        <f>IF(DAY(A343+2)=1,'Main Budget'!$G$39,IF(DAY(A343+2)=15,'Main Budget'!$G$39,0))</f>
        <v>0</v>
      </c>
      <c r="D343" s="242">
        <f t="shared" si="21"/>
        <v>0</v>
      </c>
      <c r="E343" s="242">
        <f>IF(DAY(A343)='Main Budget'!$J$12,('Main Budget'!$G$12),0)</f>
        <v>0</v>
      </c>
      <c r="F343" s="242">
        <f>IF(DAY(A343)='Main Budget'!$J$13,('Main Budget'!$G$13)*2,0)</f>
        <v>0</v>
      </c>
      <c r="G343" s="242"/>
      <c r="H343" s="242">
        <f>IF(DAY(A343)='Main Budget'!$J$14,'Main Budget'!$G$14,0)</f>
        <v>0</v>
      </c>
      <c r="I343" s="242"/>
      <c r="J343" s="252">
        <f t="shared" si="22"/>
        <v>358.75</v>
      </c>
      <c r="M343" t="str">
        <f t="shared" si="23"/>
        <v>Tuesday</v>
      </c>
    </row>
    <row r="344" spans="1:13" x14ac:dyDescent="0.25">
      <c r="A344" s="241">
        <v>46365</v>
      </c>
      <c r="B344" s="242">
        <f t="shared" si="20"/>
        <v>358.75</v>
      </c>
      <c r="C344" s="242">
        <f>IF(DAY(A344+2)=1,'Main Budget'!$G$39,IF(DAY(A344+2)=15,'Main Budget'!$G$39,0))</f>
        <v>0</v>
      </c>
      <c r="D344" s="242">
        <f t="shared" si="21"/>
        <v>0</v>
      </c>
      <c r="E344" s="242">
        <f>IF(DAY(A344)='Main Budget'!$J$12,('Main Budget'!$G$12),0)</f>
        <v>0</v>
      </c>
      <c r="F344" s="242">
        <f>IF(DAY(A344)='Main Budget'!$J$13,('Main Budget'!$G$13)*2,0)</f>
        <v>0</v>
      </c>
      <c r="G344" s="242"/>
      <c r="H344" s="242">
        <f>IF(DAY(A344)='Main Budget'!$J$14,'Main Budget'!$G$14,0)</f>
        <v>0</v>
      </c>
      <c r="I344" s="242"/>
      <c r="J344" s="252">
        <f t="shared" si="22"/>
        <v>358.75</v>
      </c>
      <c r="M344" t="str">
        <f t="shared" si="23"/>
        <v>Wednesday</v>
      </c>
    </row>
    <row r="345" spans="1:13" x14ac:dyDescent="0.25">
      <c r="A345" s="241">
        <v>46366</v>
      </c>
      <c r="B345" s="242">
        <f t="shared" si="20"/>
        <v>358.75</v>
      </c>
      <c r="C345" s="242">
        <f>IF(DAY(A345+2)=1,'Main Budget'!$G$39,IF(DAY(A345+2)=15,'Main Budget'!$G$39,0))</f>
        <v>0</v>
      </c>
      <c r="D345" s="242">
        <f t="shared" si="21"/>
        <v>0</v>
      </c>
      <c r="E345" s="242">
        <f>IF(DAY(A345)='Main Budget'!$J$12,('Main Budget'!$G$12),0)</f>
        <v>0</v>
      </c>
      <c r="F345" s="242">
        <f>IF(DAY(A345)='Main Budget'!$J$13,('Main Budget'!$G$13)*2,0)</f>
        <v>0</v>
      </c>
      <c r="G345" s="242"/>
      <c r="H345" s="242">
        <f>IF(DAY(A345)='Main Budget'!$J$14,'Main Budget'!$G$14,0)</f>
        <v>0</v>
      </c>
      <c r="I345" s="242"/>
      <c r="J345" s="252">
        <f t="shared" si="22"/>
        <v>358.75</v>
      </c>
      <c r="M345" t="str">
        <f t="shared" si="23"/>
        <v>Thursday</v>
      </c>
    </row>
    <row r="346" spans="1:13" x14ac:dyDescent="0.25">
      <c r="A346" s="241">
        <v>46367</v>
      </c>
      <c r="B346" s="242">
        <f t="shared" si="20"/>
        <v>358.75</v>
      </c>
      <c r="C346" s="242">
        <f>IF(DAY(A346+2)=1,'Main Budget'!$G$39,IF(DAY(A346+2)=15,'Main Budget'!$G$39,0))</f>
        <v>0</v>
      </c>
      <c r="D346" s="242">
        <f t="shared" si="21"/>
        <v>0</v>
      </c>
      <c r="E346" s="242">
        <f>IF(DAY(A346)='Main Budget'!$J$12,('Main Budget'!$G$12),0)</f>
        <v>0</v>
      </c>
      <c r="F346" s="242">
        <f>IF(DAY(A346)='Main Budget'!$J$13,('Main Budget'!$G$13)*2,0)</f>
        <v>0</v>
      </c>
      <c r="G346" s="242"/>
      <c r="H346" s="242">
        <f>IF(DAY(A346)='Main Budget'!$J$14,'Main Budget'!$G$14,0)</f>
        <v>0</v>
      </c>
      <c r="I346" s="242"/>
      <c r="J346" s="252">
        <f t="shared" si="22"/>
        <v>358.75</v>
      </c>
      <c r="M346" t="str">
        <f t="shared" si="23"/>
        <v>Friday</v>
      </c>
    </row>
    <row r="347" spans="1:13" x14ac:dyDescent="0.25">
      <c r="A347" s="241">
        <v>46368</v>
      </c>
      <c r="B347" s="242">
        <f t="shared" si="20"/>
        <v>358.75</v>
      </c>
      <c r="C347" s="242">
        <f>IF(DAY(A347+2)=1,'Main Budget'!$G$39,IF(DAY(A347+2)=15,'Main Budget'!$G$39,0))</f>
        <v>0</v>
      </c>
      <c r="D347" s="242">
        <f t="shared" si="21"/>
        <v>0</v>
      </c>
      <c r="E347" s="242">
        <f>IF(DAY(A347)='Main Budget'!$J$12,('Main Budget'!$G$12),0)</f>
        <v>0</v>
      </c>
      <c r="F347" s="242">
        <f>IF(DAY(A347)='Main Budget'!$J$13,('Main Budget'!$G$13)*2,0)</f>
        <v>0</v>
      </c>
      <c r="G347" s="242"/>
      <c r="H347" s="242">
        <f>IF(DAY(A347)='Main Budget'!$J$14,'Main Budget'!$G$14,0)</f>
        <v>0</v>
      </c>
      <c r="I347" s="242"/>
      <c r="J347" s="252">
        <f t="shared" si="22"/>
        <v>358.75</v>
      </c>
      <c r="M347" t="str">
        <f t="shared" si="23"/>
        <v>Saturday</v>
      </c>
    </row>
    <row r="348" spans="1:13" x14ac:dyDescent="0.25">
      <c r="A348" s="241">
        <v>46369</v>
      </c>
      <c r="B348" s="242">
        <f t="shared" si="20"/>
        <v>358.75</v>
      </c>
      <c r="C348" s="242">
        <f>IF(DAY(A348+2)=1,'Main Budget'!$G$39,IF(DAY(A348+2)=15,'Main Budget'!$G$39,0))</f>
        <v>0</v>
      </c>
      <c r="D348" s="242">
        <f t="shared" si="21"/>
        <v>0</v>
      </c>
      <c r="E348" s="242">
        <f>IF(DAY(A348)='Main Budget'!$J$12,('Main Budget'!$G$12),0)</f>
        <v>0</v>
      </c>
      <c r="F348" s="242">
        <f>IF(DAY(A348)='Main Budget'!$J$13,('Main Budget'!$G$13)*2,0)</f>
        <v>0</v>
      </c>
      <c r="G348" s="242"/>
      <c r="H348" s="242">
        <f>IF(DAY(A348)='Main Budget'!$J$14,'Main Budget'!$G$14,0)</f>
        <v>0</v>
      </c>
      <c r="I348" s="242"/>
      <c r="J348" s="252">
        <f t="shared" si="22"/>
        <v>358.75</v>
      </c>
      <c r="M348" t="str">
        <f t="shared" si="23"/>
        <v>Sunday</v>
      </c>
    </row>
    <row r="349" spans="1:13" x14ac:dyDescent="0.25">
      <c r="A349" s="241">
        <v>46370</v>
      </c>
      <c r="B349" s="242">
        <f t="shared" si="20"/>
        <v>358.75</v>
      </c>
      <c r="C349" s="242">
        <f>IF(DAY(A349+2)=1,'Main Budget'!$G$39,IF(DAY(A349+2)=15,'Main Budget'!$G$39,0))</f>
        <v>0</v>
      </c>
      <c r="D349" s="242">
        <f t="shared" si="21"/>
        <v>0</v>
      </c>
      <c r="E349" s="242">
        <f>IF(DAY(A349)='Main Budget'!$J$12,('Main Budget'!$G$12),0)</f>
        <v>0</v>
      </c>
      <c r="F349" s="242">
        <f>IF(DAY(A349)='Main Budget'!$J$13,('Main Budget'!$G$13)*2,0)</f>
        <v>0</v>
      </c>
      <c r="G349" s="242"/>
      <c r="H349" s="242">
        <f>IF(DAY(A349)='Main Budget'!$J$14,'Main Budget'!$G$14,0)</f>
        <v>0</v>
      </c>
      <c r="I349" s="242"/>
      <c r="J349" s="252">
        <f t="shared" si="22"/>
        <v>358.75</v>
      </c>
      <c r="M349" t="str">
        <f t="shared" si="23"/>
        <v>Monday</v>
      </c>
    </row>
    <row r="350" spans="1:13" x14ac:dyDescent="0.25">
      <c r="A350" s="241">
        <v>46371</v>
      </c>
      <c r="B350" s="242">
        <f t="shared" si="20"/>
        <v>358.75</v>
      </c>
      <c r="C350" s="242">
        <f>IF(DAY(A350+2)=1,'Main Budget'!$G$39,IF(DAY(A350+2)=15,'Main Budget'!$G$39,0))</f>
        <v>0</v>
      </c>
      <c r="D350" s="242">
        <f t="shared" si="21"/>
        <v>11.25</v>
      </c>
      <c r="E350" s="242">
        <f>IF(DAY(A350)='Main Budget'!$J$12,('Main Budget'!$G$12),0)</f>
        <v>0</v>
      </c>
      <c r="F350" s="242">
        <f>IF(DAY(A350)='Main Budget'!$J$13,('Main Budget'!$G$13)*2,0)</f>
        <v>0</v>
      </c>
      <c r="G350" s="242"/>
      <c r="H350" s="242">
        <f>IF(DAY(A350)='Main Budget'!$J$14,'Main Budget'!$G$14,0)</f>
        <v>0</v>
      </c>
      <c r="I350" s="242"/>
      <c r="J350" s="252">
        <f t="shared" si="22"/>
        <v>370</v>
      </c>
      <c r="M350" t="str">
        <f t="shared" si="23"/>
        <v>Tuesday</v>
      </c>
    </row>
    <row r="351" spans="1:13" x14ac:dyDescent="0.25">
      <c r="A351" s="241">
        <v>46372</v>
      </c>
      <c r="B351" s="242">
        <f t="shared" si="20"/>
        <v>370</v>
      </c>
      <c r="C351" s="242">
        <f>IF(DAY(A351+2)=1,'Main Budget'!$G$39,IF(DAY(A351+2)=15,'Main Budget'!$G$39,0))</f>
        <v>0</v>
      </c>
      <c r="D351" s="242">
        <f t="shared" si="21"/>
        <v>0</v>
      </c>
      <c r="E351" s="242">
        <f>IF(DAY(A351)='Main Budget'!$J$12,('Main Budget'!$G$12),0)</f>
        <v>0</v>
      </c>
      <c r="F351" s="242">
        <f>IF(DAY(A351)='Main Budget'!$J$13,('Main Budget'!$G$13)*2,0)</f>
        <v>0</v>
      </c>
      <c r="G351" s="242"/>
      <c r="H351" s="242">
        <f>IF(DAY(A351)='Main Budget'!$J$14,'Main Budget'!$G$14,0)</f>
        <v>0</v>
      </c>
      <c r="I351" s="242"/>
      <c r="J351" s="252">
        <f t="shared" si="22"/>
        <v>370</v>
      </c>
      <c r="M351" t="str">
        <f t="shared" si="23"/>
        <v>Wednesday</v>
      </c>
    </row>
    <row r="352" spans="1:13" x14ac:dyDescent="0.25">
      <c r="A352" s="241">
        <v>46373</v>
      </c>
      <c r="B352" s="242">
        <f t="shared" si="20"/>
        <v>370</v>
      </c>
      <c r="C352" s="242">
        <f>IF(DAY(A352+2)=1,'Main Budget'!$G$39,IF(DAY(A352+2)=15,'Main Budget'!$G$39,0))</f>
        <v>0</v>
      </c>
      <c r="D352" s="242">
        <f t="shared" si="21"/>
        <v>0</v>
      </c>
      <c r="E352" s="242">
        <f>IF(DAY(A352)='Main Budget'!$J$12,('Main Budget'!$G$12),0)</f>
        <v>0</v>
      </c>
      <c r="F352" s="242">
        <f>IF(DAY(A352)='Main Budget'!$J$13,('Main Budget'!$G$13)*2,0)</f>
        <v>0</v>
      </c>
      <c r="G352" s="242"/>
      <c r="H352" s="242">
        <f>IF(DAY(A352)='Main Budget'!$J$14,'Main Budget'!$G$14,0)</f>
        <v>0</v>
      </c>
      <c r="I352" s="242"/>
      <c r="J352" s="252">
        <f t="shared" si="22"/>
        <v>370</v>
      </c>
      <c r="M352" t="str">
        <f t="shared" si="23"/>
        <v>Thursday</v>
      </c>
    </row>
    <row r="353" spans="1:13" x14ac:dyDescent="0.25">
      <c r="A353" s="241">
        <v>46374</v>
      </c>
      <c r="B353" s="242">
        <f t="shared" si="20"/>
        <v>370</v>
      </c>
      <c r="C353" s="242">
        <f>IF(DAY(A353+2)=1,'Main Budget'!$G$39,IF(DAY(A353+2)=15,'Main Budget'!$G$39,0))</f>
        <v>0</v>
      </c>
      <c r="D353" s="242">
        <f t="shared" si="21"/>
        <v>0</v>
      </c>
      <c r="E353" s="242">
        <f>IF(DAY(A353)='Main Budget'!$J$12,('Main Budget'!$G$12),0)</f>
        <v>0</v>
      </c>
      <c r="F353" s="242">
        <f>IF(DAY(A353)='Main Budget'!$J$13,('Main Budget'!$G$13)*2,0)</f>
        <v>0</v>
      </c>
      <c r="G353" s="242"/>
      <c r="H353" s="242">
        <f>IF(DAY(A353)='Main Budget'!$J$14,'Main Budget'!$G$14,0)</f>
        <v>0</v>
      </c>
      <c r="I353" s="242"/>
      <c r="J353" s="252">
        <f t="shared" si="22"/>
        <v>370</v>
      </c>
      <c r="M353" t="str">
        <f t="shared" si="23"/>
        <v>Friday</v>
      </c>
    </row>
    <row r="354" spans="1:13" x14ac:dyDescent="0.25">
      <c r="A354" s="241">
        <v>46375</v>
      </c>
      <c r="B354" s="242">
        <f t="shared" si="20"/>
        <v>370</v>
      </c>
      <c r="C354" s="242">
        <f>IF(DAY(A354+2)=1,'Main Budget'!$G$39,IF(DAY(A354+2)=15,'Main Budget'!$G$39,0))</f>
        <v>0</v>
      </c>
      <c r="D354" s="242">
        <f t="shared" si="21"/>
        <v>0</v>
      </c>
      <c r="E354" s="242">
        <f>IF(DAY(A354)='Main Budget'!$J$12,('Main Budget'!$G$12),0)</f>
        <v>0</v>
      </c>
      <c r="F354" s="242">
        <f>IF(DAY(A354)='Main Budget'!$J$13,('Main Budget'!$G$13)*2,0)</f>
        <v>0</v>
      </c>
      <c r="G354" s="242"/>
      <c r="H354" s="242">
        <f>IF(DAY(A354)='Main Budget'!$J$14,'Main Budget'!$G$14,0)</f>
        <v>0</v>
      </c>
      <c r="I354" s="242"/>
      <c r="J354" s="252">
        <f t="shared" si="22"/>
        <v>370</v>
      </c>
      <c r="M354" t="str">
        <f t="shared" si="23"/>
        <v>Saturday</v>
      </c>
    </row>
    <row r="355" spans="1:13" x14ac:dyDescent="0.25">
      <c r="A355" s="241">
        <v>46376</v>
      </c>
      <c r="B355" s="242">
        <f t="shared" si="20"/>
        <v>370</v>
      </c>
      <c r="C355" s="242">
        <f>IF(DAY(A355+2)=1,'Main Budget'!$G$39,IF(DAY(A355+2)=15,'Main Budget'!$G$39,0))</f>
        <v>0</v>
      </c>
      <c r="D355" s="242">
        <f t="shared" si="21"/>
        <v>0</v>
      </c>
      <c r="E355" s="242">
        <f>IF(DAY(A355)='Main Budget'!$J$12,('Main Budget'!$G$12),0)</f>
        <v>0</v>
      </c>
      <c r="F355" s="242">
        <f>IF(DAY(A355)='Main Budget'!$J$13,('Main Budget'!$G$13)*2,0)</f>
        <v>0</v>
      </c>
      <c r="G355" s="242"/>
      <c r="H355" s="242">
        <f>IF(DAY(A355)='Main Budget'!$J$14,'Main Budget'!$G$14,0)</f>
        <v>0</v>
      </c>
      <c r="I355" s="242"/>
      <c r="J355" s="252">
        <f t="shared" si="22"/>
        <v>370</v>
      </c>
      <c r="M355" t="str">
        <f t="shared" si="23"/>
        <v>Sunday</v>
      </c>
    </row>
    <row r="356" spans="1:13" x14ac:dyDescent="0.25">
      <c r="A356" s="241">
        <v>46377</v>
      </c>
      <c r="B356" s="242">
        <f t="shared" si="20"/>
        <v>370</v>
      </c>
      <c r="C356" s="242">
        <f>IF(DAY(A356+2)=1,'Main Budget'!$G$39,IF(DAY(A356+2)=15,'Main Budget'!$G$39,0))</f>
        <v>0</v>
      </c>
      <c r="D356" s="242">
        <f t="shared" si="21"/>
        <v>0</v>
      </c>
      <c r="E356" s="242">
        <f>IF(DAY(A356)='Main Budget'!$J$12,('Main Budget'!$G$12),0)</f>
        <v>0</v>
      </c>
      <c r="F356" s="242">
        <f>IF(DAY(A356)='Main Budget'!$J$13,('Main Budget'!$G$13)*2,0)</f>
        <v>0</v>
      </c>
      <c r="G356" s="242"/>
      <c r="H356" s="242">
        <f>IF(DAY(A356)='Main Budget'!$J$14,'Main Budget'!$G$14,0)</f>
        <v>0</v>
      </c>
      <c r="I356" s="242"/>
      <c r="J356" s="252">
        <f t="shared" si="22"/>
        <v>370</v>
      </c>
      <c r="M356" t="str">
        <f t="shared" si="23"/>
        <v>Monday</v>
      </c>
    </row>
    <row r="357" spans="1:13" x14ac:dyDescent="0.25">
      <c r="A357" s="241">
        <v>46378</v>
      </c>
      <c r="B357" s="242">
        <f t="shared" si="20"/>
        <v>370</v>
      </c>
      <c r="C357" s="242">
        <f>IF(DAY(A357+2)=1,'Main Budget'!$G$39,IF(DAY(A357+2)=15,'Main Budget'!$G$39,0))</f>
        <v>0</v>
      </c>
      <c r="D357" s="242">
        <f t="shared" si="21"/>
        <v>0</v>
      </c>
      <c r="E357" s="242">
        <f>IF(DAY(A357)='Main Budget'!$J$12,('Main Budget'!$G$12),0)</f>
        <v>0</v>
      </c>
      <c r="F357" s="242">
        <f>IF(DAY(A357)='Main Budget'!$J$13,('Main Budget'!$G$13)*2,0)</f>
        <v>0</v>
      </c>
      <c r="G357" s="242"/>
      <c r="H357" s="242">
        <f>IF(DAY(A357)='Main Budget'!$J$14,'Main Budget'!$G$14,0)</f>
        <v>0</v>
      </c>
      <c r="I357" s="242"/>
      <c r="J357" s="252">
        <f t="shared" si="22"/>
        <v>370</v>
      </c>
      <c r="M357" t="str">
        <f t="shared" si="23"/>
        <v>Tuesday</v>
      </c>
    </row>
    <row r="358" spans="1:13" x14ac:dyDescent="0.25">
      <c r="A358" s="241">
        <v>46379</v>
      </c>
      <c r="B358" s="242">
        <f t="shared" si="20"/>
        <v>370</v>
      </c>
      <c r="C358" s="242">
        <f>IF(DAY(A358+2)=1,'Main Budget'!$G$39,IF(DAY(A358+2)=15,'Main Budget'!$G$39,0))</f>
        <v>0</v>
      </c>
      <c r="D358" s="242">
        <f t="shared" si="21"/>
        <v>0</v>
      </c>
      <c r="E358" s="242">
        <f>IF(DAY(A358)='Main Budget'!$J$12,('Main Budget'!$G$12),0)</f>
        <v>0</v>
      </c>
      <c r="F358" s="242">
        <f>IF(DAY(A358)='Main Budget'!$J$13,('Main Budget'!$G$13)*2,0)</f>
        <v>0</v>
      </c>
      <c r="G358" s="242"/>
      <c r="H358" s="242">
        <f>IF(DAY(A358)='Main Budget'!$J$14,'Main Budget'!$G$14,0)</f>
        <v>0</v>
      </c>
      <c r="I358" s="242"/>
      <c r="J358" s="252">
        <f t="shared" si="22"/>
        <v>370</v>
      </c>
      <c r="M358" t="str">
        <f t="shared" si="23"/>
        <v>Wednesday</v>
      </c>
    </row>
    <row r="359" spans="1:13" x14ac:dyDescent="0.25">
      <c r="A359" s="241">
        <v>46380</v>
      </c>
      <c r="B359" s="242">
        <f t="shared" si="20"/>
        <v>370</v>
      </c>
      <c r="C359" s="242">
        <f>IF(DAY(A359+2)=1,'Main Budget'!$G$39,IF(DAY(A359+2)=15,'Main Budget'!$G$39,0))</f>
        <v>0</v>
      </c>
      <c r="D359" s="242">
        <f t="shared" si="21"/>
        <v>0</v>
      </c>
      <c r="E359" s="242">
        <f>IF(DAY(A359)='Main Budget'!$J$12,('Main Budget'!$G$12),0)</f>
        <v>0</v>
      </c>
      <c r="F359" s="242">
        <f>IF(DAY(A359)='Main Budget'!$J$13,('Main Budget'!$G$13)*2,0)</f>
        <v>0</v>
      </c>
      <c r="G359" s="242"/>
      <c r="H359" s="242">
        <f>IF(DAY(A359)='Main Budget'!$J$14,'Main Budget'!$G$14,0)</f>
        <v>0</v>
      </c>
      <c r="I359" s="242"/>
      <c r="J359" s="252">
        <f t="shared" si="22"/>
        <v>370</v>
      </c>
      <c r="M359" t="str">
        <f t="shared" si="23"/>
        <v>Thursday</v>
      </c>
    </row>
    <row r="360" spans="1:13" x14ac:dyDescent="0.25">
      <c r="A360" s="241">
        <v>46381</v>
      </c>
      <c r="B360" s="242">
        <f t="shared" si="20"/>
        <v>370</v>
      </c>
      <c r="C360" s="242">
        <f>IF(DAY(A360+2)=1,'Main Budget'!$G$39,IF(DAY(A360+2)=15,'Main Budget'!$G$39,0))</f>
        <v>0</v>
      </c>
      <c r="D360" s="242">
        <f t="shared" si="21"/>
        <v>0</v>
      </c>
      <c r="E360" s="242">
        <f>IF(DAY(A360)='Main Budget'!$J$12,('Main Budget'!$G$12),0)</f>
        <v>0</v>
      </c>
      <c r="F360" s="242">
        <f>IF(DAY(A360)='Main Budget'!$J$13,('Main Budget'!$G$13)*2,0)</f>
        <v>0</v>
      </c>
      <c r="G360" s="242"/>
      <c r="H360" s="242">
        <f>IF(DAY(A360)='Main Budget'!$J$14,'Main Budget'!$G$14,0)</f>
        <v>0</v>
      </c>
      <c r="I360" s="242"/>
      <c r="J360" s="252">
        <f t="shared" si="22"/>
        <v>370</v>
      </c>
      <c r="M360" t="str">
        <f t="shared" si="23"/>
        <v>Friday</v>
      </c>
    </row>
    <row r="361" spans="1:13" x14ac:dyDescent="0.25">
      <c r="A361" s="241">
        <v>46382</v>
      </c>
      <c r="B361" s="242">
        <f t="shared" si="20"/>
        <v>370</v>
      </c>
      <c r="C361" s="242">
        <f>IF(DAY(A361+2)=1,'Main Budget'!$G$39,IF(DAY(A361+2)=15,'Main Budget'!$G$39,0))</f>
        <v>0</v>
      </c>
      <c r="D361" s="242">
        <f t="shared" si="21"/>
        <v>0</v>
      </c>
      <c r="E361" s="242">
        <f>IF(DAY(A361)='Main Budget'!$J$12,('Main Budget'!$G$12),0)</f>
        <v>0</v>
      </c>
      <c r="F361" s="242">
        <f>IF(DAY(A361)='Main Budget'!$J$13,('Main Budget'!$G$13)*2,0)</f>
        <v>0</v>
      </c>
      <c r="G361" s="242"/>
      <c r="H361" s="242">
        <f>IF(DAY(A361)='Main Budget'!$J$14,'Main Budget'!$G$14,0)</f>
        <v>0</v>
      </c>
      <c r="I361" s="242"/>
      <c r="J361" s="252">
        <f t="shared" si="22"/>
        <v>370</v>
      </c>
      <c r="M361" t="str">
        <f t="shared" si="23"/>
        <v>Saturday</v>
      </c>
    </row>
    <row r="362" spans="1:13" x14ac:dyDescent="0.25">
      <c r="A362" s="241">
        <v>46383</v>
      </c>
      <c r="B362" s="242">
        <f t="shared" si="20"/>
        <v>370</v>
      </c>
      <c r="C362" s="242">
        <f>IF(DAY(A362+2)=1,'Main Budget'!$G$39,IF(DAY(A362+2)=15,'Main Budget'!$G$39,0))</f>
        <v>0</v>
      </c>
      <c r="D362" s="242">
        <f t="shared" si="21"/>
        <v>0</v>
      </c>
      <c r="E362" s="242">
        <f>IF(DAY(A362)='Main Budget'!$J$12,('Main Budget'!$G$12),0)</f>
        <v>0</v>
      </c>
      <c r="F362" s="242">
        <f>IF(DAY(A362)='Main Budget'!$J$13,('Main Budget'!$G$13)*2,0)</f>
        <v>0</v>
      </c>
      <c r="G362" s="242"/>
      <c r="H362" s="242">
        <f>IF(DAY(A362)='Main Budget'!$J$14,'Main Budget'!$G$14,0)</f>
        <v>0</v>
      </c>
      <c r="I362" s="242"/>
      <c r="J362" s="252">
        <f t="shared" si="22"/>
        <v>370</v>
      </c>
      <c r="M362" t="str">
        <f t="shared" si="23"/>
        <v>Sunday</v>
      </c>
    </row>
    <row r="363" spans="1:13" x14ac:dyDescent="0.25">
      <c r="A363" s="241">
        <v>46384</v>
      </c>
      <c r="B363" s="242">
        <f t="shared" si="20"/>
        <v>370</v>
      </c>
      <c r="C363" s="242">
        <f>IF(DAY(A363+2)=1,'Main Budget'!$G$39,IF(DAY(A363+2)=15,'Main Budget'!$G$39,0))</f>
        <v>0</v>
      </c>
      <c r="D363" s="242">
        <f t="shared" si="21"/>
        <v>0</v>
      </c>
      <c r="E363" s="242">
        <f>IF(DAY(A363)='Main Budget'!$J$12,('Main Budget'!$G$12),0)</f>
        <v>0</v>
      </c>
      <c r="F363" s="242">
        <f>IF(DAY(A363)='Main Budget'!$J$13,('Main Budget'!$G$13)*2,0)</f>
        <v>0</v>
      </c>
      <c r="G363" s="242"/>
      <c r="H363" s="242">
        <f>IF(DAY(A363)='Main Budget'!$J$14,'Main Budget'!$G$14,0)</f>
        <v>0</v>
      </c>
      <c r="I363" s="242"/>
      <c r="J363" s="252">
        <f t="shared" si="22"/>
        <v>370</v>
      </c>
      <c r="M363" t="str">
        <f t="shared" si="23"/>
        <v>Monday</v>
      </c>
    </row>
    <row r="364" spans="1:13" x14ac:dyDescent="0.25">
      <c r="A364" s="241">
        <v>46385</v>
      </c>
      <c r="B364" s="242">
        <f t="shared" si="20"/>
        <v>370</v>
      </c>
      <c r="C364" s="242">
        <f>IF(DAY(A364+2)=1,'Main Budget'!$G$39,IF(DAY(A364+2)=15,'Main Budget'!$G$39,0))</f>
        <v>0</v>
      </c>
      <c r="D364" s="242">
        <f t="shared" si="21"/>
        <v>0</v>
      </c>
      <c r="E364" s="242">
        <f>IF(DAY(A364)='Main Budget'!$J$12,('Main Budget'!$G$12),0)</f>
        <v>0</v>
      </c>
      <c r="F364" s="242">
        <f>IF(DAY(A364)='Main Budget'!$J$13,('Main Budget'!$G$13)*2,0)</f>
        <v>0</v>
      </c>
      <c r="G364" s="242"/>
      <c r="H364" s="242">
        <f>IF(DAY(A364)='Main Budget'!$J$14,'Main Budget'!$G$14,0)</f>
        <v>0</v>
      </c>
      <c r="I364" s="242"/>
      <c r="J364" s="252">
        <f t="shared" si="22"/>
        <v>370</v>
      </c>
      <c r="M364" t="str">
        <f t="shared" si="23"/>
        <v>Tuesday</v>
      </c>
    </row>
    <row r="365" spans="1:13" x14ac:dyDescent="0.25">
      <c r="A365" s="241">
        <v>46386</v>
      </c>
      <c r="B365" s="242">
        <f t="shared" si="20"/>
        <v>370</v>
      </c>
      <c r="C365" s="242">
        <f>IF(DAY(A365+2)=1,'Main Budget'!$G$39,IF(DAY(A365+2)=15,'Main Budget'!$G$39,0))</f>
        <v>0</v>
      </c>
      <c r="D365" s="242">
        <f t="shared" si="21"/>
        <v>0</v>
      </c>
      <c r="E365" s="242">
        <f>IF(DAY(A365)='Main Budget'!$J$12,('Main Budget'!$G$12),0)</f>
        <v>0</v>
      </c>
      <c r="F365" s="242">
        <f>IF(DAY(A365)='Main Budget'!$J$13,('Main Budget'!$G$13)*2,0)</f>
        <v>0</v>
      </c>
      <c r="G365" s="242"/>
      <c r="H365" s="242">
        <f>IF(DAY(A365)='Main Budget'!$J$14,'Main Budget'!$G$14,0)</f>
        <v>0</v>
      </c>
      <c r="I365" s="242"/>
      <c r="J365" s="252">
        <f t="shared" si="22"/>
        <v>370</v>
      </c>
      <c r="M365" t="str">
        <f t="shared" si="23"/>
        <v>Wednesday</v>
      </c>
    </row>
    <row r="366" spans="1:13" x14ac:dyDescent="0.25">
      <c r="A366" s="241">
        <v>46387</v>
      </c>
      <c r="B366" s="242">
        <f t="shared" si="20"/>
        <v>370</v>
      </c>
      <c r="C366" s="242">
        <f>IF(DAY(A366+2)=1,'Main Budget'!$G$39,IF(DAY(A366+2)=15,'Main Budget'!$G$39,0))</f>
        <v>0</v>
      </c>
      <c r="D366" s="242">
        <f t="shared" si="21"/>
        <v>0</v>
      </c>
      <c r="E366" s="242">
        <f>IF(DAY(A366)='Main Budget'!$J$12,('Main Budget'!$G$12),0)</f>
        <v>0</v>
      </c>
      <c r="F366" s="242">
        <f>IF(DAY(A366)='Main Budget'!$J$13,('Main Budget'!$G$13)*2,0)</f>
        <v>0</v>
      </c>
      <c r="G366" s="242"/>
      <c r="H366" s="242">
        <f>IF(DAY(A366)='Main Budget'!$J$14,'Main Budget'!$G$14,0)</f>
        <v>0</v>
      </c>
      <c r="I366" s="242"/>
      <c r="J366" s="252">
        <f t="shared" si="22"/>
        <v>370</v>
      </c>
      <c r="M366" t="str">
        <f t="shared" si="23"/>
        <v>Thursday</v>
      </c>
    </row>
    <row r="367" spans="1:13" x14ac:dyDescent="0.25">
      <c r="A367" s="241">
        <v>46388</v>
      </c>
      <c r="B367" s="242">
        <f t="shared" si="20"/>
        <v>370</v>
      </c>
      <c r="C367" s="242">
        <f>IF(DAY(A367+2)=1,'Main Budget'!$G$39,IF(DAY(A367+2)=15,'Main Budget'!$G$39,0))</f>
        <v>0</v>
      </c>
      <c r="D367" s="242">
        <f t="shared" si="21"/>
        <v>11.25</v>
      </c>
      <c r="E367" s="242">
        <f>IF(DAY(A367)='Main Budget'!$J$12,('Main Budget'!$G$12),0)</f>
        <v>0</v>
      </c>
      <c r="F367" s="242">
        <f>IF(DAY(A367)='Main Budget'!$J$13,('Main Budget'!$G$13)*2,0)</f>
        <v>0</v>
      </c>
      <c r="G367" s="242"/>
      <c r="H367" s="242">
        <f>IF(DAY(A367)='Main Budget'!$J$14,'Main Budget'!$G$14,0)</f>
        <v>0</v>
      </c>
      <c r="I367" s="242"/>
      <c r="J367" s="252">
        <f t="shared" si="22"/>
        <v>381.25</v>
      </c>
      <c r="M367" t="str">
        <f t="shared" si="23"/>
        <v>Friday</v>
      </c>
    </row>
    <row r="368" spans="1:13" x14ac:dyDescent="0.25">
      <c r="A368" s="241">
        <v>46389</v>
      </c>
      <c r="B368" s="242">
        <f t="shared" si="20"/>
        <v>381.25</v>
      </c>
      <c r="C368" s="242">
        <f>IF(DAY(A368+2)=1,'Main Budget'!$G$39,IF(DAY(A368+2)=15,'Main Budget'!$G$39,0))</f>
        <v>0</v>
      </c>
      <c r="D368" s="242">
        <f t="shared" si="21"/>
        <v>0</v>
      </c>
      <c r="E368" s="242">
        <f>IF(DAY(A368)='Main Budget'!$J$12,('Main Budget'!$G$12),0)</f>
        <v>0</v>
      </c>
      <c r="F368" s="242">
        <f>IF(DAY(A368)='Main Budget'!$J$13,('Main Budget'!$G$13)*2,0)</f>
        <v>0</v>
      </c>
      <c r="G368" s="242"/>
      <c r="H368" s="242">
        <f>IF(DAY(A368)='Main Budget'!$J$14,'Main Budget'!$G$14,0)</f>
        <v>0</v>
      </c>
      <c r="I368" s="242"/>
      <c r="J368" s="252">
        <f t="shared" si="22"/>
        <v>381.25</v>
      </c>
      <c r="M368" t="str">
        <f t="shared" si="23"/>
        <v>Saturday</v>
      </c>
    </row>
    <row r="369" spans="1:13" x14ac:dyDescent="0.25">
      <c r="A369" s="241">
        <v>46390</v>
      </c>
      <c r="B369" s="242">
        <f t="shared" si="20"/>
        <v>381.25</v>
      </c>
      <c r="C369" s="242">
        <f>IF(DAY(A369+2)=1,'Main Budget'!$G$39,IF(DAY(A369+2)=15,'Main Budget'!$G$39,0))</f>
        <v>0</v>
      </c>
      <c r="D369" s="242">
        <f t="shared" si="21"/>
        <v>0</v>
      </c>
      <c r="E369" s="242">
        <f>IF(DAY(A369)='Main Budget'!$J$12,('Main Budget'!$G$12),0)</f>
        <v>0</v>
      </c>
      <c r="F369" s="242">
        <f>IF(DAY(A369)='Main Budget'!$J$13,('Main Budget'!$G$13)*2,0)</f>
        <v>0</v>
      </c>
      <c r="G369" s="242"/>
      <c r="H369" s="242">
        <f>IF(DAY(A369)='Main Budget'!$J$14,'Main Budget'!$G$14,0)</f>
        <v>0</v>
      </c>
      <c r="I369" s="242"/>
      <c r="J369" s="252">
        <f t="shared" si="22"/>
        <v>381.25</v>
      </c>
      <c r="M369" t="str">
        <f t="shared" si="23"/>
        <v>Sunday</v>
      </c>
    </row>
    <row r="370" spans="1:13" x14ac:dyDescent="0.25">
      <c r="A370" s="241">
        <v>46391</v>
      </c>
      <c r="B370" s="242">
        <f t="shared" si="20"/>
        <v>381.25</v>
      </c>
      <c r="C370" s="242">
        <f>IF(DAY(A370+2)=1,'Main Budget'!$G$39,IF(DAY(A370+2)=15,'Main Budget'!$G$39,0))</f>
        <v>0</v>
      </c>
      <c r="D370" s="242">
        <f t="shared" si="21"/>
        <v>0</v>
      </c>
      <c r="E370" s="242">
        <f>IF(DAY(A370)='Main Budget'!$J$12,('Main Budget'!$G$12),0)</f>
        <v>0</v>
      </c>
      <c r="F370" s="242">
        <f>IF(DAY(A370)='Main Budget'!$J$13,('Main Budget'!$G$13)*2,0)</f>
        <v>0</v>
      </c>
      <c r="G370" s="242"/>
      <c r="H370" s="242">
        <f>IF(DAY(A370)='Main Budget'!$J$14,'Main Budget'!$G$14,0)</f>
        <v>0</v>
      </c>
      <c r="I370" s="242"/>
      <c r="J370" s="252">
        <f t="shared" si="22"/>
        <v>381.25</v>
      </c>
      <c r="M370" t="str">
        <f t="shared" si="23"/>
        <v>Monday</v>
      </c>
    </row>
    <row r="371" spans="1:13" x14ac:dyDescent="0.25">
      <c r="A371" s="241">
        <v>46392</v>
      </c>
      <c r="B371" s="242">
        <f t="shared" si="20"/>
        <v>381.25</v>
      </c>
      <c r="C371" s="242">
        <f>IF(DAY(A371+2)=1,'Main Budget'!$G$39,IF(DAY(A371+2)=15,'Main Budget'!$G$39,0))</f>
        <v>0</v>
      </c>
      <c r="D371" s="242">
        <f t="shared" si="21"/>
        <v>0</v>
      </c>
      <c r="E371" s="242">
        <f>IF(DAY(A371)='Main Budget'!$J$12,('Main Budget'!$G$12),0)</f>
        <v>0</v>
      </c>
      <c r="F371" s="242">
        <f>IF(DAY(A371)='Main Budget'!$J$13,('Main Budget'!$G$13)*2,0)</f>
        <v>0</v>
      </c>
      <c r="G371" s="242"/>
      <c r="H371" s="242">
        <f>IF(DAY(A371)='Main Budget'!$J$14,'Main Budget'!$G$14,0)</f>
        <v>0</v>
      </c>
      <c r="I371" s="242"/>
      <c r="J371" s="252">
        <f t="shared" si="22"/>
        <v>381.25</v>
      </c>
      <c r="M371" t="str">
        <f t="shared" si="23"/>
        <v>Tuesday</v>
      </c>
    </row>
    <row r="372" spans="1:13" x14ac:dyDescent="0.25">
      <c r="A372" s="241">
        <v>46393</v>
      </c>
      <c r="B372" s="242">
        <f t="shared" si="20"/>
        <v>381.25</v>
      </c>
      <c r="C372" s="242">
        <f>IF(DAY(A372+2)=1,'Main Budget'!$G$39,IF(DAY(A372+2)=15,'Main Budget'!$G$39,0))</f>
        <v>0</v>
      </c>
      <c r="D372" s="242">
        <f t="shared" si="21"/>
        <v>0</v>
      </c>
      <c r="E372" s="242">
        <f>IF(DAY(A372)='Main Budget'!$J$12,('Main Budget'!$G$12),0)</f>
        <v>0</v>
      </c>
      <c r="F372" s="242">
        <f>IF(DAY(A372)='Main Budget'!$J$13,('Main Budget'!$G$13)*2,0)</f>
        <v>0</v>
      </c>
      <c r="G372" s="242"/>
      <c r="H372" s="242">
        <f>IF(DAY(A372)='Main Budget'!$J$14,'Main Budget'!$G$14,0)</f>
        <v>0</v>
      </c>
      <c r="I372" s="242"/>
      <c r="J372" s="252">
        <f t="shared" si="22"/>
        <v>381.25</v>
      </c>
      <c r="M372" t="str">
        <f t="shared" si="23"/>
        <v>Wednesday</v>
      </c>
    </row>
    <row r="373" spans="1:13" x14ac:dyDescent="0.25">
      <c r="A373" s="241">
        <v>46394</v>
      </c>
      <c r="B373" s="242">
        <f t="shared" si="20"/>
        <v>381.25</v>
      </c>
      <c r="C373" s="242">
        <f>IF(DAY(A373+2)=1,'Main Budget'!$G$39,IF(DAY(A373+2)=15,'Main Budget'!$G$39,0))</f>
        <v>0</v>
      </c>
      <c r="D373" s="242">
        <f t="shared" si="21"/>
        <v>0</v>
      </c>
      <c r="E373" s="242">
        <f>IF(DAY(A373)='Main Budget'!$J$12,('Main Budget'!$G$12),0)</f>
        <v>0</v>
      </c>
      <c r="F373" s="242">
        <f>IF(DAY(A373)='Main Budget'!$J$13,('Main Budget'!$G$13)*2,0)</f>
        <v>0</v>
      </c>
      <c r="G373" s="242"/>
      <c r="H373" s="242">
        <f>IF(DAY(A373)='Main Budget'!$J$14,'Main Budget'!$G$14,0)</f>
        <v>0</v>
      </c>
      <c r="I373" s="242"/>
      <c r="J373" s="252">
        <f t="shared" si="22"/>
        <v>381.25</v>
      </c>
      <c r="M373" t="str">
        <f t="shared" si="23"/>
        <v>Thursday</v>
      </c>
    </row>
    <row r="374" spans="1:13" x14ac:dyDescent="0.25">
      <c r="A374" s="241">
        <v>46395</v>
      </c>
      <c r="B374" s="242">
        <f t="shared" si="20"/>
        <v>381.25</v>
      </c>
      <c r="C374" s="242">
        <f>IF(DAY(A374+2)=1,'Main Budget'!$G$39,IF(DAY(A374+2)=15,'Main Budget'!$G$39,0))</f>
        <v>0</v>
      </c>
      <c r="D374" s="242">
        <f t="shared" si="21"/>
        <v>0</v>
      </c>
      <c r="E374" s="242">
        <f>IF(DAY(A374)='Main Budget'!$J$12,('Main Budget'!$G$12),0)</f>
        <v>0</v>
      </c>
      <c r="F374" s="242">
        <f>IF(DAY(A374)='Main Budget'!$J$13,('Main Budget'!$G$13)*2,0)</f>
        <v>0</v>
      </c>
      <c r="G374" s="242"/>
      <c r="H374" s="242">
        <f>IF(DAY(A374)='Main Budget'!$J$14,'Main Budget'!$G$14,0)</f>
        <v>0</v>
      </c>
      <c r="I374" s="242"/>
      <c r="J374" s="252">
        <f t="shared" si="22"/>
        <v>381.25</v>
      </c>
      <c r="M374" t="str">
        <f t="shared" si="23"/>
        <v>Friday</v>
      </c>
    </row>
    <row r="375" spans="1:13" x14ac:dyDescent="0.25">
      <c r="A375" s="241">
        <v>46396</v>
      </c>
      <c r="B375" s="242">
        <f t="shared" si="20"/>
        <v>381.25</v>
      </c>
      <c r="C375" s="242">
        <f>IF(DAY(A375+2)=1,'Main Budget'!$G$39,IF(DAY(A375+2)=15,'Main Budget'!$G$39,0))</f>
        <v>0</v>
      </c>
      <c r="D375" s="242">
        <f t="shared" si="21"/>
        <v>0</v>
      </c>
      <c r="E375" s="242">
        <f>IF(DAY(A375)='Main Budget'!$J$12,('Main Budget'!$G$12),0)</f>
        <v>0</v>
      </c>
      <c r="F375" s="242">
        <f>IF(DAY(A375)='Main Budget'!$J$13,('Main Budget'!$G$13)*2,0)</f>
        <v>0</v>
      </c>
      <c r="G375" s="242"/>
      <c r="H375" s="242">
        <f>IF(DAY(A375)='Main Budget'!$J$14,'Main Budget'!$G$14,0)</f>
        <v>0</v>
      </c>
      <c r="I375" s="242"/>
      <c r="J375" s="252">
        <f t="shared" si="22"/>
        <v>381.25</v>
      </c>
      <c r="M375" t="str">
        <f t="shared" si="23"/>
        <v>Saturday</v>
      </c>
    </row>
    <row r="376" spans="1:13" x14ac:dyDescent="0.25">
      <c r="A376" s="241">
        <v>46397</v>
      </c>
      <c r="B376" s="242">
        <f t="shared" si="20"/>
        <v>381.25</v>
      </c>
      <c r="C376" s="242">
        <f>IF(DAY(A376+2)=1,'Main Budget'!$G$39,IF(DAY(A376+2)=15,'Main Budget'!$G$39,0))</f>
        <v>0</v>
      </c>
      <c r="D376" s="242">
        <f t="shared" si="21"/>
        <v>0</v>
      </c>
      <c r="E376" s="242">
        <f>IF(DAY(A376)='Main Budget'!$J$12,('Main Budget'!$G$12),0)</f>
        <v>0</v>
      </c>
      <c r="F376" s="242">
        <f>IF(DAY(A376)='Main Budget'!$J$13,('Main Budget'!$G$13)*2,0)</f>
        <v>0</v>
      </c>
      <c r="G376" s="242"/>
      <c r="H376" s="242">
        <f>IF(DAY(A376)='Main Budget'!$J$14,'Main Budget'!$G$14,0)</f>
        <v>0</v>
      </c>
      <c r="I376" s="242"/>
      <c r="J376" s="252">
        <f t="shared" si="22"/>
        <v>381.25</v>
      </c>
      <c r="M376" t="str">
        <f t="shared" si="23"/>
        <v>Sunday</v>
      </c>
    </row>
    <row r="377" spans="1:13" x14ac:dyDescent="0.25">
      <c r="A377" s="241">
        <v>46398</v>
      </c>
      <c r="B377" s="242">
        <f t="shared" si="20"/>
        <v>381.25</v>
      </c>
      <c r="C377" s="242">
        <f>IF(DAY(A377+2)=1,'Main Budget'!$G$39,IF(DAY(A377+2)=15,'Main Budget'!$G$39,0))</f>
        <v>0</v>
      </c>
      <c r="D377" s="242">
        <f t="shared" si="21"/>
        <v>0</v>
      </c>
      <c r="E377" s="242">
        <f>IF(DAY(A377)='Main Budget'!$J$12,('Main Budget'!$G$12),0)</f>
        <v>0</v>
      </c>
      <c r="F377" s="242">
        <f>IF(DAY(A377)='Main Budget'!$J$13,('Main Budget'!$G$13)*2,0)</f>
        <v>0</v>
      </c>
      <c r="G377" s="242"/>
      <c r="H377" s="242">
        <f>IF(DAY(A377)='Main Budget'!$J$14,'Main Budget'!$G$14,0)</f>
        <v>0</v>
      </c>
      <c r="I377" s="242"/>
      <c r="J377" s="252">
        <f t="shared" si="22"/>
        <v>381.25</v>
      </c>
      <c r="M377" t="str">
        <f t="shared" si="23"/>
        <v>Monday</v>
      </c>
    </row>
    <row r="378" spans="1:13" x14ac:dyDescent="0.25">
      <c r="A378" s="241">
        <v>46399</v>
      </c>
      <c r="B378" s="242">
        <f t="shared" si="20"/>
        <v>381.25</v>
      </c>
      <c r="C378" s="242">
        <f>IF(DAY(A378+2)=1,'Main Budget'!$G$39,IF(DAY(A378+2)=15,'Main Budget'!$G$39,0))</f>
        <v>0</v>
      </c>
      <c r="D378" s="242">
        <f t="shared" si="21"/>
        <v>0</v>
      </c>
      <c r="E378" s="242">
        <f>IF(DAY(A378)='Main Budget'!$J$12,('Main Budget'!$G$12),0)</f>
        <v>0</v>
      </c>
      <c r="F378" s="242">
        <f>IF(DAY(A378)='Main Budget'!$J$13,('Main Budget'!$G$13)*2,0)</f>
        <v>0</v>
      </c>
      <c r="G378" s="242"/>
      <c r="H378" s="242">
        <f>IF(DAY(A378)='Main Budget'!$J$14,'Main Budget'!$G$14,0)</f>
        <v>0</v>
      </c>
      <c r="I378" s="242"/>
      <c r="J378" s="252">
        <f t="shared" si="22"/>
        <v>381.25</v>
      </c>
      <c r="M378" t="str">
        <f t="shared" si="23"/>
        <v>Tuesday</v>
      </c>
    </row>
    <row r="379" spans="1:13" x14ac:dyDescent="0.25">
      <c r="A379" s="241">
        <v>46400</v>
      </c>
      <c r="B379" s="242">
        <f t="shared" si="20"/>
        <v>381.25</v>
      </c>
      <c r="C379" s="242">
        <f>IF(DAY(A379+2)=1,'Main Budget'!$G$39,IF(DAY(A379+2)=15,'Main Budget'!$G$39,0))</f>
        <v>0</v>
      </c>
      <c r="D379" s="242">
        <f t="shared" si="21"/>
        <v>0</v>
      </c>
      <c r="E379" s="242">
        <f>IF(DAY(A379)='Main Budget'!$J$12,('Main Budget'!$G$12),0)</f>
        <v>0</v>
      </c>
      <c r="F379" s="242">
        <f>IF(DAY(A379)='Main Budget'!$J$13,('Main Budget'!$G$13)*2,0)</f>
        <v>0</v>
      </c>
      <c r="G379" s="242"/>
      <c r="H379" s="242">
        <f>IF(DAY(A379)='Main Budget'!$J$14,'Main Budget'!$G$14,0)</f>
        <v>0</v>
      </c>
      <c r="I379" s="242"/>
      <c r="J379" s="252">
        <f t="shared" si="22"/>
        <v>381.25</v>
      </c>
      <c r="M379" t="str">
        <f t="shared" si="23"/>
        <v>Wednesday</v>
      </c>
    </row>
    <row r="380" spans="1:13" x14ac:dyDescent="0.25">
      <c r="A380" s="241">
        <v>46401</v>
      </c>
      <c r="B380" s="242">
        <f t="shared" si="20"/>
        <v>381.25</v>
      </c>
      <c r="C380" s="242">
        <f>IF(DAY(A380+2)=1,'Main Budget'!$G$39,IF(DAY(A380+2)=15,'Main Budget'!$G$39,0))</f>
        <v>0</v>
      </c>
      <c r="D380" s="242">
        <f t="shared" si="21"/>
        <v>0</v>
      </c>
      <c r="E380" s="242">
        <f>IF(DAY(A380)='Main Budget'!$J$12,('Main Budget'!$G$12),0)</f>
        <v>0</v>
      </c>
      <c r="F380" s="242">
        <f>IF(DAY(A380)='Main Budget'!$J$13,('Main Budget'!$G$13)*2,0)</f>
        <v>0</v>
      </c>
      <c r="G380" s="242"/>
      <c r="H380" s="242">
        <f>IF(DAY(A380)='Main Budget'!$J$14,'Main Budget'!$G$14,0)</f>
        <v>0</v>
      </c>
      <c r="I380" s="242"/>
      <c r="J380" s="252">
        <f t="shared" si="22"/>
        <v>381.25</v>
      </c>
      <c r="M380" t="str">
        <f t="shared" si="23"/>
        <v>Thursday</v>
      </c>
    </row>
    <row r="381" spans="1:13" x14ac:dyDescent="0.25">
      <c r="A381" s="241">
        <v>46402</v>
      </c>
      <c r="B381" s="242">
        <f t="shared" si="20"/>
        <v>381.25</v>
      </c>
      <c r="C381" s="242">
        <f>IF(DAY(A381+2)=1,'Main Budget'!$G$39,IF(DAY(A381+2)=15,'Main Budget'!$G$39,0))</f>
        <v>0</v>
      </c>
      <c r="D381" s="242">
        <f t="shared" si="21"/>
        <v>11.25</v>
      </c>
      <c r="E381" s="242">
        <f>IF(DAY(A381)='Main Budget'!$J$12,('Main Budget'!$G$12),0)</f>
        <v>0</v>
      </c>
      <c r="F381" s="242">
        <f>IF(DAY(A381)='Main Budget'!$J$13,('Main Budget'!$G$13)*2,0)</f>
        <v>0</v>
      </c>
      <c r="G381" s="242"/>
      <c r="H381" s="242">
        <f>IF(DAY(A381)='Main Budget'!$J$14,'Main Budget'!$G$14,0)</f>
        <v>0</v>
      </c>
      <c r="I381" s="242"/>
      <c r="J381" s="252">
        <f t="shared" si="22"/>
        <v>392.5</v>
      </c>
      <c r="M381" t="str">
        <f t="shared" si="23"/>
        <v>Friday</v>
      </c>
    </row>
    <row r="382" spans="1:13" x14ac:dyDescent="0.25">
      <c r="A382" s="241">
        <v>46403</v>
      </c>
      <c r="B382" s="242">
        <f t="shared" si="20"/>
        <v>392.5</v>
      </c>
      <c r="C382" s="242">
        <f>IF(DAY(A382+2)=1,'Main Budget'!$G$39,IF(DAY(A382+2)=15,'Main Budget'!$G$39,0))</f>
        <v>0</v>
      </c>
      <c r="D382" s="242">
        <f t="shared" si="21"/>
        <v>0</v>
      </c>
      <c r="E382" s="242">
        <f>IF(DAY(A382)='Main Budget'!$J$12,('Main Budget'!$G$12),0)</f>
        <v>0</v>
      </c>
      <c r="F382" s="242">
        <f>IF(DAY(A382)='Main Budget'!$J$13,('Main Budget'!$G$13)*2,0)</f>
        <v>0</v>
      </c>
      <c r="G382" s="242"/>
      <c r="H382" s="242">
        <f>IF(DAY(A382)='Main Budget'!$J$14,'Main Budget'!$G$14,0)</f>
        <v>0</v>
      </c>
      <c r="I382" s="242"/>
      <c r="J382" s="252">
        <f t="shared" si="22"/>
        <v>392.5</v>
      </c>
      <c r="M382" t="str">
        <f t="shared" si="23"/>
        <v>Saturday</v>
      </c>
    </row>
    <row r="383" spans="1:13" x14ac:dyDescent="0.25">
      <c r="A383" s="241">
        <v>46404</v>
      </c>
      <c r="B383" s="242">
        <f t="shared" si="20"/>
        <v>392.5</v>
      </c>
      <c r="C383" s="242">
        <f>IF(DAY(A383+2)=1,'Main Budget'!$G$39,IF(DAY(A383+2)=15,'Main Budget'!$G$39,0))</f>
        <v>0</v>
      </c>
      <c r="D383" s="242">
        <f t="shared" si="21"/>
        <v>0</v>
      </c>
      <c r="E383" s="242">
        <f>IF(DAY(A383)='Main Budget'!$J$12,('Main Budget'!$G$12),0)</f>
        <v>0</v>
      </c>
      <c r="F383" s="242">
        <f>IF(DAY(A383)='Main Budget'!$J$13,('Main Budget'!$G$13)*2,0)</f>
        <v>0</v>
      </c>
      <c r="G383" s="242"/>
      <c r="H383" s="242">
        <f>IF(DAY(A383)='Main Budget'!$J$14,'Main Budget'!$G$14,0)</f>
        <v>0</v>
      </c>
      <c r="I383" s="242"/>
      <c r="J383" s="252">
        <f t="shared" si="22"/>
        <v>392.5</v>
      </c>
      <c r="M383" t="str">
        <f t="shared" si="23"/>
        <v>Sunday</v>
      </c>
    </row>
    <row r="384" spans="1:13" x14ac:dyDescent="0.25">
      <c r="A384" s="241">
        <v>46405</v>
      </c>
      <c r="B384" s="242">
        <f t="shared" si="20"/>
        <v>392.5</v>
      </c>
      <c r="C384" s="242">
        <f>IF(DAY(A384+2)=1,'Main Budget'!$G$39,IF(DAY(A384+2)=15,'Main Budget'!$G$39,0))</f>
        <v>0</v>
      </c>
      <c r="D384" s="242">
        <f t="shared" si="21"/>
        <v>0</v>
      </c>
      <c r="E384" s="242">
        <f>IF(DAY(A384)='Main Budget'!$J$12,('Main Budget'!$G$12),0)</f>
        <v>0</v>
      </c>
      <c r="F384" s="242">
        <f>IF(DAY(A384)='Main Budget'!$J$13,('Main Budget'!$G$13)*2,0)</f>
        <v>0</v>
      </c>
      <c r="G384" s="242"/>
      <c r="H384" s="242">
        <f>IF(DAY(A384)='Main Budget'!$J$14,'Main Budget'!$G$14,0)</f>
        <v>0</v>
      </c>
      <c r="I384" s="242"/>
      <c r="J384" s="252">
        <f t="shared" si="22"/>
        <v>392.5</v>
      </c>
      <c r="M384" t="str">
        <f t="shared" si="23"/>
        <v>Monday</v>
      </c>
    </row>
    <row r="385" spans="1:13" x14ac:dyDescent="0.25">
      <c r="A385" s="241">
        <v>46406</v>
      </c>
      <c r="B385" s="242">
        <f t="shared" si="20"/>
        <v>392.5</v>
      </c>
      <c r="C385" s="242">
        <f>IF(DAY(A385+2)=1,'Main Budget'!$G$39,IF(DAY(A385+2)=15,'Main Budget'!$G$39,0))</f>
        <v>0</v>
      </c>
      <c r="D385" s="242">
        <f t="shared" si="21"/>
        <v>0</v>
      </c>
      <c r="E385" s="242">
        <f>IF(DAY(A385)='Main Budget'!$J$12,('Main Budget'!$G$12),0)</f>
        <v>0</v>
      </c>
      <c r="F385" s="242">
        <f>IF(DAY(A385)='Main Budget'!$J$13,('Main Budget'!$G$13)*2,0)</f>
        <v>0</v>
      </c>
      <c r="G385" s="242"/>
      <c r="H385" s="242">
        <f>IF(DAY(A385)='Main Budget'!$J$14,'Main Budget'!$G$14,0)</f>
        <v>0</v>
      </c>
      <c r="I385" s="242"/>
      <c r="J385" s="252">
        <f t="shared" si="22"/>
        <v>392.5</v>
      </c>
      <c r="M385" t="str">
        <f t="shared" si="23"/>
        <v>Tuesday</v>
      </c>
    </row>
    <row r="386" spans="1:13" x14ac:dyDescent="0.25">
      <c r="A386" s="241">
        <v>46407</v>
      </c>
      <c r="B386" s="242">
        <f t="shared" si="20"/>
        <v>392.5</v>
      </c>
      <c r="C386" s="242">
        <f>IF(DAY(A386+2)=1,'Main Budget'!$G$39,IF(DAY(A386+2)=15,'Main Budget'!$G$39,0))</f>
        <v>0</v>
      </c>
      <c r="D386" s="242">
        <f t="shared" si="21"/>
        <v>0</v>
      </c>
      <c r="E386" s="242">
        <f>IF(DAY(A386)='Main Budget'!$J$12,('Main Budget'!$G$12),0)</f>
        <v>0</v>
      </c>
      <c r="F386" s="242">
        <f>IF(DAY(A386)='Main Budget'!$J$13,('Main Budget'!$G$13)*2,0)</f>
        <v>0</v>
      </c>
      <c r="G386" s="242"/>
      <c r="H386" s="242">
        <f>IF(DAY(A386)='Main Budget'!$J$14,'Main Budget'!$G$14,0)</f>
        <v>0</v>
      </c>
      <c r="I386" s="242"/>
      <c r="J386" s="252">
        <f t="shared" si="22"/>
        <v>392.5</v>
      </c>
      <c r="M386" t="str">
        <f t="shared" si="23"/>
        <v>Wednesday</v>
      </c>
    </row>
    <row r="387" spans="1:13" x14ac:dyDescent="0.25">
      <c r="A387" s="241">
        <v>46408</v>
      </c>
      <c r="B387" s="242">
        <f t="shared" si="20"/>
        <v>392.5</v>
      </c>
      <c r="C387" s="242">
        <f>IF(DAY(A387+2)=1,'Main Budget'!$G$39,IF(DAY(A387+2)=15,'Main Budget'!$G$39,0))</f>
        <v>0</v>
      </c>
      <c r="D387" s="242">
        <f t="shared" si="21"/>
        <v>0</v>
      </c>
      <c r="E387" s="242">
        <f>IF(DAY(A387)='Main Budget'!$J$12,('Main Budget'!$G$12),0)</f>
        <v>0</v>
      </c>
      <c r="F387" s="242">
        <f>IF(DAY(A387)='Main Budget'!$J$13,('Main Budget'!$G$13)*2,0)</f>
        <v>0</v>
      </c>
      <c r="G387" s="242"/>
      <c r="H387" s="242">
        <f>IF(DAY(A387)='Main Budget'!$J$14,'Main Budget'!$G$14,0)</f>
        <v>0</v>
      </c>
      <c r="I387" s="242"/>
      <c r="J387" s="252">
        <f t="shared" si="22"/>
        <v>392.5</v>
      </c>
      <c r="M387" t="str">
        <f t="shared" si="23"/>
        <v>Thursday</v>
      </c>
    </row>
    <row r="388" spans="1:13" x14ac:dyDescent="0.25">
      <c r="A388" s="241">
        <v>46409</v>
      </c>
      <c r="B388" s="242">
        <f t="shared" si="20"/>
        <v>392.5</v>
      </c>
      <c r="C388" s="242">
        <f>IF(DAY(A388+2)=1,'Main Budget'!$G$39,IF(DAY(A388+2)=15,'Main Budget'!$G$39,0))</f>
        <v>0</v>
      </c>
      <c r="D388" s="242">
        <f t="shared" si="21"/>
        <v>0</v>
      </c>
      <c r="E388" s="242">
        <f>IF(DAY(A388)='Main Budget'!$J$12,('Main Budget'!$G$12),0)</f>
        <v>0</v>
      </c>
      <c r="F388" s="242">
        <f>IF(DAY(A388)='Main Budget'!$J$13,('Main Budget'!$G$13)*2,0)</f>
        <v>0</v>
      </c>
      <c r="G388" s="242"/>
      <c r="H388" s="242">
        <f>IF(DAY(A388)='Main Budget'!$J$14,'Main Budget'!$G$14,0)</f>
        <v>0</v>
      </c>
      <c r="I388" s="242"/>
      <c r="J388" s="252">
        <f t="shared" si="22"/>
        <v>392.5</v>
      </c>
      <c r="M388" t="str">
        <f t="shared" si="23"/>
        <v>Friday</v>
      </c>
    </row>
    <row r="389" spans="1:13" x14ac:dyDescent="0.25">
      <c r="A389" s="241">
        <v>46410</v>
      </c>
      <c r="B389" s="242">
        <f t="shared" si="20"/>
        <v>392.5</v>
      </c>
      <c r="C389" s="242">
        <f>IF(DAY(A389+2)=1,'Main Budget'!$G$39,IF(DAY(A389+2)=15,'Main Budget'!$G$39,0))</f>
        <v>0</v>
      </c>
      <c r="D389" s="242">
        <f t="shared" si="21"/>
        <v>0</v>
      </c>
      <c r="E389" s="242">
        <f>IF(DAY(A389)='Main Budget'!$J$12,('Main Budget'!$G$12),0)</f>
        <v>0</v>
      </c>
      <c r="F389" s="242">
        <f>IF(DAY(A389)='Main Budget'!$J$13,('Main Budget'!$G$13)*2,0)</f>
        <v>0</v>
      </c>
      <c r="G389" s="242"/>
      <c r="H389" s="242">
        <f>IF(DAY(A389)='Main Budget'!$J$14,'Main Budget'!$G$14,0)</f>
        <v>0</v>
      </c>
      <c r="I389" s="242"/>
      <c r="J389" s="252">
        <f t="shared" si="22"/>
        <v>392.5</v>
      </c>
      <c r="M389" t="str">
        <f t="shared" si="23"/>
        <v>Saturday</v>
      </c>
    </row>
    <row r="390" spans="1:13" x14ac:dyDescent="0.25">
      <c r="A390" s="241">
        <v>46411</v>
      </c>
      <c r="B390" s="242">
        <f t="shared" si="20"/>
        <v>392.5</v>
      </c>
      <c r="C390" s="242">
        <f>IF(DAY(A390+2)=1,'Main Budget'!$G$39,IF(DAY(A390+2)=15,'Main Budget'!$G$39,0))</f>
        <v>0</v>
      </c>
      <c r="D390" s="242">
        <f t="shared" si="21"/>
        <v>0</v>
      </c>
      <c r="E390" s="242">
        <f>IF(DAY(A390)='Main Budget'!$J$12,('Main Budget'!$G$12),0)</f>
        <v>0</v>
      </c>
      <c r="F390" s="242">
        <f>IF(DAY(A390)='Main Budget'!$J$13,('Main Budget'!$G$13)*2,0)</f>
        <v>0</v>
      </c>
      <c r="G390" s="242"/>
      <c r="H390" s="242">
        <f>IF(DAY(A390)='Main Budget'!$J$14,'Main Budget'!$G$14,0)</f>
        <v>0</v>
      </c>
      <c r="I390" s="242"/>
      <c r="J390" s="252">
        <f t="shared" si="22"/>
        <v>392.5</v>
      </c>
      <c r="M390" t="str">
        <f t="shared" si="23"/>
        <v>Sunday</v>
      </c>
    </row>
    <row r="391" spans="1:13" x14ac:dyDescent="0.25">
      <c r="A391" s="241">
        <v>46412</v>
      </c>
      <c r="B391" s="242">
        <f t="shared" si="20"/>
        <v>392.5</v>
      </c>
      <c r="C391" s="242">
        <f>IF(DAY(A391+2)=1,'Main Budget'!$G$39,IF(DAY(A391+2)=15,'Main Budget'!$G$39,0))</f>
        <v>0</v>
      </c>
      <c r="D391" s="242">
        <f t="shared" si="21"/>
        <v>0</v>
      </c>
      <c r="E391" s="242">
        <f>IF(DAY(A391)='Main Budget'!$J$12,('Main Budget'!$G$12),0)</f>
        <v>0</v>
      </c>
      <c r="F391" s="242">
        <f>IF(DAY(A391)='Main Budget'!$J$13,('Main Budget'!$G$13)*2,0)</f>
        <v>0</v>
      </c>
      <c r="G391" s="242"/>
      <c r="H391" s="242">
        <f>IF(DAY(A391)='Main Budget'!$J$14,'Main Budget'!$G$14,0)</f>
        <v>0</v>
      </c>
      <c r="I391" s="242"/>
      <c r="J391" s="252">
        <f t="shared" si="22"/>
        <v>392.5</v>
      </c>
      <c r="M391" t="str">
        <f t="shared" si="23"/>
        <v>Monday</v>
      </c>
    </row>
    <row r="392" spans="1:13" x14ac:dyDescent="0.25">
      <c r="A392" s="241">
        <v>46413</v>
      </c>
      <c r="B392" s="242">
        <f t="shared" si="20"/>
        <v>392.5</v>
      </c>
      <c r="C392" s="242">
        <f>IF(DAY(A392+2)=1,'Main Budget'!$G$39,IF(DAY(A392+2)=15,'Main Budget'!$G$39,0))</f>
        <v>0</v>
      </c>
      <c r="D392" s="242">
        <f t="shared" si="21"/>
        <v>0</v>
      </c>
      <c r="E392" s="242">
        <f>IF(DAY(A392)='Main Budget'!$J$12,('Main Budget'!$G$12),0)</f>
        <v>0</v>
      </c>
      <c r="F392" s="242">
        <f>IF(DAY(A392)='Main Budget'!$J$13,('Main Budget'!$G$13)*2,0)</f>
        <v>0</v>
      </c>
      <c r="G392" s="242"/>
      <c r="H392" s="242">
        <f>IF(DAY(A392)='Main Budget'!$J$14,'Main Budget'!$G$14,0)</f>
        <v>0</v>
      </c>
      <c r="I392" s="242"/>
      <c r="J392" s="252">
        <f t="shared" si="22"/>
        <v>392.5</v>
      </c>
      <c r="M392" t="str">
        <f t="shared" si="23"/>
        <v>Tuesday</v>
      </c>
    </row>
    <row r="393" spans="1:13" x14ac:dyDescent="0.25">
      <c r="A393" s="241">
        <v>46414</v>
      </c>
      <c r="B393" s="242">
        <f t="shared" si="20"/>
        <v>392.5</v>
      </c>
      <c r="C393" s="242">
        <f>IF(DAY(A393+2)=1,'Main Budget'!$G$39,IF(DAY(A393+2)=15,'Main Budget'!$G$39,0))</f>
        <v>0</v>
      </c>
      <c r="D393" s="242">
        <f t="shared" si="21"/>
        <v>0</v>
      </c>
      <c r="E393" s="242">
        <f>IF(DAY(A393)='Main Budget'!$J$12,('Main Budget'!$G$12),0)</f>
        <v>0</v>
      </c>
      <c r="F393" s="242">
        <f>IF(DAY(A393)='Main Budget'!$J$13,('Main Budget'!$G$13)*2,0)</f>
        <v>0</v>
      </c>
      <c r="G393" s="242"/>
      <c r="H393" s="242">
        <f>IF(DAY(A393)='Main Budget'!$J$14,'Main Budget'!$G$14,0)</f>
        <v>0</v>
      </c>
      <c r="I393" s="242"/>
      <c r="J393" s="252">
        <f t="shared" si="22"/>
        <v>392.5</v>
      </c>
      <c r="M393" t="str">
        <f t="shared" si="23"/>
        <v>Wednesday</v>
      </c>
    </row>
    <row r="394" spans="1:13" x14ac:dyDescent="0.25">
      <c r="A394" s="241">
        <v>46415</v>
      </c>
      <c r="B394" s="242">
        <f t="shared" si="20"/>
        <v>392.5</v>
      </c>
      <c r="C394" s="242">
        <f>IF(DAY(A394+2)=1,'Main Budget'!$G$39,IF(DAY(A394+2)=15,'Main Budget'!$G$39,0))</f>
        <v>0</v>
      </c>
      <c r="D394" s="242">
        <f t="shared" si="21"/>
        <v>0</v>
      </c>
      <c r="E394" s="242">
        <f>IF(DAY(A394)='Main Budget'!$J$12,('Main Budget'!$G$12),0)</f>
        <v>0</v>
      </c>
      <c r="F394" s="242">
        <f>IF(DAY(A394)='Main Budget'!$J$13,('Main Budget'!$G$13)*2,0)</f>
        <v>0</v>
      </c>
      <c r="G394" s="242"/>
      <c r="H394" s="242">
        <f>IF(DAY(A394)='Main Budget'!$J$14,'Main Budget'!$G$14,0)</f>
        <v>0</v>
      </c>
      <c r="I394" s="242"/>
      <c r="J394" s="252">
        <f t="shared" si="22"/>
        <v>392.5</v>
      </c>
      <c r="M394" t="str">
        <f t="shared" si="23"/>
        <v>Thursday</v>
      </c>
    </row>
    <row r="395" spans="1:13" x14ac:dyDescent="0.25">
      <c r="A395" s="241">
        <v>46416</v>
      </c>
      <c r="B395" s="242">
        <f t="shared" si="20"/>
        <v>392.5</v>
      </c>
      <c r="C395" s="242">
        <f>IF(DAY(A395+2)=1,'Main Budget'!$G$39,IF(DAY(A395+2)=15,'Main Budget'!$G$39,0))</f>
        <v>0</v>
      </c>
      <c r="D395" s="242">
        <f t="shared" si="21"/>
        <v>0</v>
      </c>
      <c r="E395" s="242">
        <f>IF(DAY(A395)='Main Budget'!$J$12,('Main Budget'!$G$12),0)</f>
        <v>0</v>
      </c>
      <c r="F395" s="242">
        <f>IF(DAY(A395)='Main Budget'!$J$13,('Main Budget'!$G$13)*2,0)</f>
        <v>0</v>
      </c>
      <c r="G395" s="242"/>
      <c r="H395" s="242">
        <f>IF(DAY(A395)='Main Budget'!$J$14,'Main Budget'!$G$14,0)</f>
        <v>0</v>
      </c>
      <c r="I395" s="242"/>
      <c r="J395" s="252">
        <f t="shared" si="22"/>
        <v>392.5</v>
      </c>
      <c r="M395" t="str">
        <f t="shared" si="23"/>
        <v>Friday</v>
      </c>
    </row>
    <row r="396" spans="1:13" x14ac:dyDescent="0.25">
      <c r="A396" s="241">
        <v>46417</v>
      </c>
      <c r="B396" s="242">
        <f t="shared" si="20"/>
        <v>392.5</v>
      </c>
      <c r="C396" s="242">
        <f>IF(DAY(A396+2)=1,'Main Budget'!$G$39,IF(DAY(A396+2)=15,'Main Budget'!$G$39,0))</f>
        <v>0</v>
      </c>
      <c r="D396" s="242">
        <f t="shared" si="21"/>
        <v>0</v>
      </c>
      <c r="E396" s="242">
        <f>IF(DAY(A396)='Main Budget'!$J$12,('Main Budget'!$G$12),0)</f>
        <v>0</v>
      </c>
      <c r="F396" s="242">
        <f>IF(DAY(A396)='Main Budget'!$J$13,('Main Budget'!$G$13)*2,0)</f>
        <v>0</v>
      </c>
      <c r="G396" s="242"/>
      <c r="H396" s="242">
        <f>IF(DAY(A396)='Main Budget'!$J$14,'Main Budget'!$G$14,0)</f>
        <v>0</v>
      </c>
      <c r="I396" s="242"/>
      <c r="J396" s="252">
        <f t="shared" si="22"/>
        <v>392.5</v>
      </c>
      <c r="M396" t="str">
        <f t="shared" si="23"/>
        <v>Saturday</v>
      </c>
    </row>
    <row r="397" spans="1:13" x14ac:dyDescent="0.25">
      <c r="A397" s="241">
        <v>46418</v>
      </c>
      <c r="B397" s="242">
        <f t="shared" si="20"/>
        <v>392.5</v>
      </c>
      <c r="C397" s="242">
        <f>IF(DAY(A397+2)=1,'Main Budget'!$G$39,IF(DAY(A397+2)=15,'Main Budget'!$G$39,0))</f>
        <v>0</v>
      </c>
      <c r="D397" s="242">
        <f t="shared" si="21"/>
        <v>0</v>
      </c>
      <c r="E397" s="242">
        <f>IF(DAY(A397)='Main Budget'!$J$12,('Main Budget'!$G$12),0)</f>
        <v>0</v>
      </c>
      <c r="F397" s="242">
        <f>IF(DAY(A397)='Main Budget'!$J$13,('Main Budget'!$G$13)*2,0)</f>
        <v>0</v>
      </c>
      <c r="G397" s="242"/>
      <c r="H397" s="242">
        <f>IF(DAY(A397)='Main Budget'!$J$14,'Main Budget'!$G$14,0)</f>
        <v>0</v>
      </c>
      <c r="I397" s="242"/>
      <c r="J397" s="252">
        <f t="shared" si="22"/>
        <v>392.5</v>
      </c>
      <c r="M397" t="str">
        <f t="shared" si="23"/>
        <v>Sunday</v>
      </c>
    </row>
    <row r="398" spans="1:13" x14ac:dyDescent="0.25">
      <c r="A398" s="241">
        <v>46419</v>
      </c>
      <c r="B398" s="242">
        <f t="shared" si="20"/>
        <v>392.5</v>
      </c>
      <c r="C398" s="242">
        <f>IF(DAY(A398+2)=1,'Main Budget'!$G$39,IF(DAY(A398+2)=15,'Main Budget'!$G$39,0))</f>
        <v>0</v>
      </c>
      <c r="D398" s="242">
        <f t="shared" si="21"/>
        <v>11.25</v>
      </c>
      <c r="E398" s="242">
        <f>IF(DAY(A398)='Main Budget'!$J$12,('Main Budget'!$G$12),0)</f>
        <v>0</v>
      </c>
      <c r="F398" s="242">
        <f>IF(DAY(A398)='Main Budget'!$J$13,('Main Budget'!$G$13)*2,0)</f>
        <v>0</v>
      </c>
      <c r="G398" s="242"/>
      <c r="H398" s="242">
        <f>IF(DAY(A398)='Main Budget'!$J$14,'Main Budget'!$G$14,0)</f>
        <v>0</v>
      </c>
      <c r="I398" s="242"/>
      <c r="J398" s="252">
        <f t="shared" si="22"/>
        <v>403.75</v>
      </c>
      <c r="M398" t="str">
        <f t="shared" si="23"/>
        <v>Monday</v>
      </c>
    </row>
    <row r="399" spans="1:13" x14ac:dyDescent="0.25">
      <c r="A399" s="241">
        <v>46420</v>
      </c>
      <c r="B399" s="242">
        <f t="shared" si="20"/>
        <v>403.75</v>
      </c>
      <c r="C399" s="242">
        <f>IF(DAY(A399+2)=1,'Main Budget'!$G$39,IF(DAY(A399+2)=15,'Main Budget'!$G$39,0))</f>
        <v>0</v>
      </c>
      <c r="D399" s="242">
        <f t="shared" si="21"/>
        <v>0</v>
      </c>
      <c r="E399" s="242">
        <f>IF(DAY(A399)='Main Budget'!$J$12,('Main Budget'!$G$12),0)</f>
        <v>0</v>
      </c>
      <c r="F399" s="242">
        <f>IF(DAY(A399)='Main Budget'!$J$13,('Main Budget'!$G$13)*2,0)</f>
        <v>0</v>
      </c>
      <c r="G399" s="242"/>
      <c r="H399" s="242">
        <f>IF(DAY(A399)='Main Budget'!$J$14,'Main Budget'!$G$14,0)</f>
        <v>0</v>
      </c>
      <c r="I399" s="242"/>
      <c r="J399" s="252">
        <f t="shared" si="22"/>
        <v>403.75</v>
      </c>
      <c r="M399" t="str">
        <f t="shared" si="23"/>
        <v>Tuesday</v>
      </c>
    </row>
    <row r="400" spans="1:13" x14ac:dyDescent="0.25">
      <c r="A400" s="241">
        <v>46421</v>
      </c>
      <c r="B400" s="242">
        <f t="shared" si="20"/>
        <v>403.75</v>
      </c>
      <c r="C400" s="242">
        <f>IF(DAY(A400+2)=1,'Main Budget'!$G$39,IF(DAY(A400+2)=15,'Main Budget'!$G$39,0))</f>
        <v>0</v>
      </c>
      <c r="D400" s="242">
        <f t="shared" si="21"/>
        <v>0</v>
      </c>
      <c r="E400" s="242">
        <f>IF(DAY(A400)='Main Budget'!$J$12,('Main Budget'!$G$12),0)</f>
        <v>0</v>
      </c>
      <c r="F400" s="242">
        <f>IF(DAY(A400)='Main Budget'!$J$13,('Main Budget'!$G$13)*2,0)</f>
        <v>0</v>
      </c>
      <c r="G400" s="242"/>
      <c r="H400" s="242">
        <f>IF(DAY(A400)='Main Budget'!$J$14,'Main Budget'!$G$14,0)</f>
        <v>0</v>
      </c>
      <c r="I400" s="242"/>
      <c r="J400" s="252">
        <f t="shared" si="22"/>
        <v>403.75</v>
      </c>
      <c r="M400" t="str">
        <f t="shared" si="23"/>
        <v>Wednesday</v>
      </c>
    </row>
    <row r="401" spans="1:13" x14ac:dyDescent="0.25">
      <c r="A401" s="241">
        <v>46422</v>
      </c>
      <c r="B401" s="242">
        <f t="shared" ref="B401:B464" si="24">J400</f>
        <v>403.75</v>
      </c>
      <c r="C401" s="242">
        <f>IF(DAY(A401+2)=1,'Main Budget'!$G$39,IF(DAY(A401+2)=15,'Main Budget'!$G$39,0))</f>
        <v>0</v>
      </c>
      <c r="D401" s="242">
        <f t="shared" ref="D401:D464" si="25">IF(OR(DAY(A401)=1,DAY(A401)=15),11.25,0)</f>
        <v>0</v>
      </c>
      <c r="E401" s="242">
        <f>IF(DAY(A401)='Main Budget'!$J$12,('Main Budget'!$G$12),0)</f>
        <v>0</v>
      </c>
      <c r="F401" s="242">
        <f>IF(DAY(A401)='Main Budget'!$J$13,('Main Budget'!$G$13)*2,0)</f>
        <v>0</v>
      </c>
      <c r="G401" s="242"/>
      <c r="H401" s="242">
        <f>IF(DAY(A401)='Main Budget'!$J$14,'Main Budget'!$G$14,0)</f>
        <v>0</v>
      </c>
      <c r="I401" s="242"/>
      <c r="J401" s="252">
        <f t="shared" ref="J401:J464" si="26">J400+(SUM(C401:I401))</f>
        <v>403.75</v>
      </c>
      <c r="M401" t="str">
        <f t="shared" ref="M401:M464" si="27">TEXT(A401,"dddd")</f>
        <v>Thursday</v>
      </c>
    </row>
    <row r="402" spans="1:13" x14ac:dyDescent="0.25">
      <c r="A402" s="241">
        <v>46423</v>
      </c>
      <c r="B402" s="242">
        <f t="shared" si="24"/>
        <v>403.75</v>
      </c>
      <c r="C402" s="242">
        <f>IF(DAY(A402+2)=1,'Main Budget'!$G$39,IF(DAY(A402+2)=15,'Main Budget'!$G$39,0))</f>
        <v>0</v>
      </c>
      <c r="D402" s="242">
        <f t="shared" si="25"/>
        <v>0</v>
      </c>
      <c r="E402" s="242">
        <f>IF(DAY(A402)='Main Budget'!$J$12,('Main Budget'!$G$12),0)</f>
        <v>0</v>
      </c>
      <c r="F402" s="242">
        <f>IF(DAY(A402)='Main Budget'!$J$13,('Main Budget'!$G$13)*2,0)</f>
        <v>0</v>
      </c>
      <c r="G402" s="242"/>
      <c r="H402" s="242">
        <f>IF(DAY(A402)='Main Budget'!$J$14,'Main Budget'!$G$14,0)</f>
        <v>0</v>
      </c>
      <c r="I402" s="242"/>
      <c r="J402" s="252">
        <f t="shared" si="26"/>
        <v>403.75</v>
      </c>
      <c r="M402" t="str">
        <f t="shared" si="27"/>
        <v>Friday</v>
      </c>
    </row>
    <row r="403" spans="1:13" x14ac:dyDescent="0.25">
      <c r="A403" s="241">
        <v>46424</v>
      </c>
      <c r="B403" s="242">
        <f t="shared" si="24"/>
        <v>403.75</v>
      </c>
      <c r="C403" s="242">
        <f>IF(DAY(A403+2)=1,'Main Budget'!$G$39,IF(DAY(A403+2)=15,'Main Budget'!$G$39,0))</f>
        <v>0</v>
      </c>
      <c r="D403" s="242">
        <f t="shared" si="25"/>
        <v>0</v>
      </c>
      <c r="E403" s="242">
        <f>IF(DAY(A403)='Main Budget'!$J$12,('Main Budget'!$G$12),0)</f>
        <v>0</v>
      </c>
      <c r="F403" s="242">
        <f>IF(DAY(A403)='Main Budget'!$J$13,('Main Budget'!$G$13)*2,0)</f>
        <v>0</v>
      </c>
      <c r="G403" s="242"/>
      <c r="H403" s="242">
        <f>IF(DAY(A403)='Main Budget'!$J$14,'Main Budget'!$G$14,0)</f>
        <v>0</v>
      </c>
      <c r="I403" s="242"/>
      <c r="J403" s="252">
        <f t="shared" si="26"/>
        <v>403.75</v>
      </c>
      <c r="M403" t="str">
        <f t="shared" si="27"/>
        <v>Saturday</v>
      </c>
    </row>
    <row r="404" spans="1:13" x14ac:dyDescent="0.25">
      <c r="A404" s="241">
        <v>46425</v>
      </c>
      <c r="B404" s="242">
        <f t="shared" si="24"/>
        <v>403.75</v>
      </c>
      <c r="C404" s="242">
        <f>IF(DAY(A404+2)=1,'Main Budget'!$G$39,IF(DAY(A404+2)=15,'Main Budget'!$G$39,0))</f>
        <v>0</v>
      </c>
      <c r="D404" s="242">
        <f t="shared" si="25"/>
        <v>0</v>
      </c>
      <c r="E404" s="242">
        <f>IF(DAY(A404)='Main Budget'!$J$12,('Main Budget'!$G$12),0)</f>
        <v>0</v>
      </c>
      <c r="F404" s="242">
        <f>IF(DAY(A404)='Main Budget'!$J$13,('Main Budget'!$G$13)*2,0)</f>
        <v>0</v>
      </c>
      <c r="G404" s="242"/>
      <c r="H404" s="242">
        <f>IF(DAY(A404)='Main Budget'!$J$14,'Main Budget'!$G$14,0)</f>
        <v>0</v>
      </c>
      <c r="I404" s="242"/>
      <c r="J404" s="252">
        <f t="shared" si="26"/>
        <v>403.75</v>
      </c>
      <c r="M404" t="str">
        <f t="shared" si="27"/>
        <v>Sunday</v>
      </c>
    </row>
    <row r="405" spans="1:13" x14ac:dyDescent="0.25">
      <c r="A405" s="241">
        <v>46426</v>
      </c>
      <c r="B405" s="242">
        <f t="shared" si="24"/>
        <v>403.75</v>
      </c>
      <c r="C405" s="242">
        <f>IF(DAY(A405+2)=1,'Main Budget'!$G$39,IF(DAY(A405+2)=15,'Main Budget'!$G$39,0))</f>
        <v>0</v>
      </c>
      <c r="D405" s="242">
        <f t="shared" si="25"/>
        <v>0</v>
      </c>
      <c r="E405" s="242">
        <f>IF(DAY(A405)='Main Budget'!$J$12,('Main Budget'!$G$12),0)</f>
        <v>0</v>
      </c>
      <c r="F405" s="242">
        <f>IF(DAY(A405)='Main Budget'!$J$13,('Main Budget'!$G$13)*2,0)</f>
        <v>0</v>
      </c>
      <c r="G405" s="242"/>
      <c r="H405" s="242">
        <f>IF(DAY(A405)='Main Budget'!$J$14,'Main Budget'!$G$14,0)</f>
        <v>0</v>
      </c>
      <c r="I405" s="242"/>
      <c r="J405" s="252">
        <f t="shared" si="26"/>
        <v>403.75</v>
      </c>
      <c r="M405" t="str">
        <f t="shared" si="27"/>
        <v>Monday</v>
      </c>
    </row>
    <row r="406" spans="1:13" x14ac:dyDescent="0.25">
      <c r="A406" s="241">
        <v>46427</v>
      </c>
      <c r="B406" s="242">
        <f t="shared" si="24"/>
        <v>403.75</v>
      </c>
      <c r="C406" s="242">
        <f>IF(DAY(A406+2)=1,'Main Budget'!$G$39,IF(DAY(A406+2)=15,'Main Budget'!$G$39,0))</f>
        <v>0</v>
      </c>
      <c r="D406" s="242">
        <f t="shared" si="25"/>
        <v>0</v>
      </c>
      <c r="E406" s="242">
        <f>IF(DAY(A406)='Main Budget'!$J$12,('Main Budget'!$G$12),0)</f>
        <v>0</v>
      </c>
      <c r="F406" s="242">
        <f>IF(DAY(A406)='Main Budget'!$J$13,('Main Budget'!$G$13)*2,0)</f>
        <v>0</v>
      </c>
      <c r="G406" s="242"/>
      <c r="H406" s="242">
        <f>IF(DAY(A406)='Main Budget'!$J$14,'Main Budget'!$G$14,0)</f>
        <v>0</v>
      </c>
      <c r="I406" s="242"/>
      <c r="J406" s="252">
        <f t="shared" si="26"/>
        <v>403.75</v>
      </c>
      <c r="M406" t="str">
        <f t="shared" si="27"/>
        <v>Tuesday</v>
      </c>
    </row>
    <row r="407" spans="1:13" x14ac:dyDescent="0.25">
      <c r="A407" s="241">
        <v>46428</v>
      </c>
      <c r="B407" s="242">
        <f t="shared" si="24"/>
        <v>403.75</v>
      </c>
      <c r="C407" s="242">
        <f>IF(DAY(A407+2)=1,'Main Budget'!$G$39,IF(DAY(A407+2)=15,'Main Budget'!$G$39,0))</f>
        <v>0</v>
      </c>
      <c r="D407" s="242">
        <f t="shared" si="25"/>
        <v>0</v>
      </c>
      <c r="E407" s="242">
        <f>IF(DAY(A407)='Main Budget'!$J$12,('Main Budget'!$G$12),0)</f>
        <v>0</v>
      </c>
      <c r="F407" s="242">
        <f>IF(DAY(A407)='Main Budget'!$J$13,('Main Budget'!$G$13)*2,0)</f>
        <v>0</v>
      </c>
      <c r="G407" s="242"/>
      <c r="H407" s="242">
        <f>IF(DAY(A407)='Main Budget'!$J$14,'Main Budget'!$G$14,0)</f>
        <v>0</v>
      </c>
      <c r="I407" s="242"/>
      <c r="J407" s="252">
        <f t="shared" si="26"/>
        <v>403.75</v>
      </c>
      <c r="M407" t="str">
        <f t="shared" si="27"/>
        <v>Wednesday</v>
      </c>
    </row>
    <row r="408" spans="1:13" x14ac:dyDescent="0.25">
      <c r="A408" s="241">
        <v>46429</v>
      </c>
      <c r="B408" s="242">
        <f t="shared" si="24"/>
        <v>403.75</v>
      </c>
      <c r="C408" s="242">
        <f>IF(DAY(A408+2)=1,'Main Budget'!$G$39,IF(DAY(A408+2)=15,'Main Budget'!$G$39,0))</f>
        <v>0</v>
      </c>
      <c r="D408" s="242">
        <f t="shared" si="25"/>
        <v>0</v>
      </c>
      <c r="E408" s="242">
        <f>IF(DAY(A408)='Main Budget'!$J$12,('Main Budget'!$G$12),0)</f>
        <v>0</v>
      </c>
      <c r="F408" s="242">
        <f>IF(DAY(A408)='Main Budget'!$J$13,('Main Budget'!$G$13)*2,0)</f>
        <v>0</v>
      </c>
      <c r="G408" s="242"/>
      <c r="H408" s="242">
        <f>IF(DAY(A408)='Main Budget'!$J$14,'Main Budget'!$G$14,0)</f>
        <v>0</v>
      </c>
      <c r="I408" s="242"/>
      <c r="J408" s="252">
        <f t="shared" si="26"/>
        <v>403.75</v>
      </c>
      <c r="M408" t="str">
        <f t="shared" si="27"/>
        <v>Thursday</v>
      </c>
    </row>
    <row r="409" spans="1:13" x14ac:dyDescent="0.25">
      <c r="A409" s="241">
        <v>46430</v>
      </c>
      <c r="B409" s="242">
        <f t="shared" si="24"/>
        <v>403.75</v>
      </c>
      <c r="C409" s="242">
        <f>IF(DAY(A409+2)=1,'Main Budget'!$G$39,IF(DAY(A409+2)=15,'Main Budget'!$G$39,0))</f>
        <v>0</v>
      </c>
      <c r="D409" s="242">
        <f t="shared" si="25"/>
        <v>0</v>
      </c>
      <c r="E409" s="242">
        <f>IF(DAY(A409)='Main Budget'!$J$12,('Main Budget'!$G$12),0)</f>
        <v>0</v>
      </c>
      <c r="F409" s="242">
        <f>IF(DAY(A409)='Main Budget'!$J$13,('Main Budget'!$G$13)*2,0)</f>
        <v>0</v>
      </c>
      <c r="G409" s="242"/>
      <c r="H409" s="242">
        <f>IF(DAY(A409)='Main Budget'!$J$14,'Main Budget'!$G$14,0)</f>
        <v>0</v>
      </c>
      <c r="I409" s="242"/>
      <c r="J409" s="252">
        <f t="shared" si="26"/>
        <v>403.75</v>
      </c>
      <c r="M409" t="str">
        <f t="shared" si="27"/>
        <v>Friday</v>
      </c>
    </row>
    <row r="410" spans="1:13" x14ac:dyDescent="0.25">
      <c r="A410" s="241">
        <v>46431</v>
      </c>
      <c r="B410" s="242">
        <f t="shared" si="24"/>
        <v>403.75</v>
      </c>
      <c r="C410" s="242">
        <f>IF(DAY(A410+2)=1,'Main Budget'!$G$39,IF(DAY(A410+2)=15,'Main Budget'!$G$39,0))</f>
        <v>0</v>
      </c>
      <c r="D410" s="242">
        <f t="shared" si="25"/>
        <v>0</v>
      </c>
      <c r="E410" s="242">
        <f>IF(DAY(A410)='Main Budget'!$J$12,('Main Budget'!$G$12),0)</f>
        <v>0</v>
      </c>
      <c r="F410" s="242">
        <f>IF(DAY(A410)='Main Budget'!$J$13,('Main Budget'!$G$13)*2,0)</f>
        <v>0</v>
      </c>
      <c r="G410" s="242"/>
      <c r="H410" s="242">
        <f>IF(DAY(A410)='Main Budget'!$J$14,'Main Budget'!$G$14,0)</f>
        <v>0</v>
      </c>
      <c r="I410" s="242"/>
      <c r="J410" s="252">
        <f t="shared" si="26"/>
        <v>403.75</v>
      </c>
      <c r="M410" t="str">
        <f t="shared" si="27"/>
        <v>Saturday</v>
      </c>
    </row>
    <row r="411" spans="1:13" x14ac:dyDescent="0.25">
      <c r="A411" s="241">
        <v>46432</v>
      </c>
      <c r="B411" s="242">
        <f t="shared" si="24"/>
        <v>403.75</v>
      </c>
      <c r="C411" s="242">
        <f>IF(DAY(A411+2)=1,'Main Budget'!$G$39,IF(DAY(A411+2)=15,'Main Budget'!$G$39,0))</f>
        <v>0</v>
      </c>
      <c r="D411" s="242">
        <f t="shared" si="25"/>
        <v>0</v>
      </c>
      <c r="E411" s="242">
        <f>IF(DAY(A411)='Main Budget'!$J$12,('Main Budget'!$G$12),0)</f>
        <v>0</v>
      </c>
      <c r="F411" s="242">
        <f>IF(DAY(A411)='Main Budget'!$J$13,('Main Budget'!$G$13)*2,0)</f>
        <v>0</v>
      </c>
      <c r="G411" s="242"/>
      <c r="H411" s="242">
        <f>IF(DAY(A411)='Main Budget'!$J$14,'Main Budget'!$G$14,0)</f>
        <v>0</v>
      </c>
      <c r="I411" s="242"/>
      <c r="J411" s="252">
        <f t="shared" si="26"/>
        <v>403.75</v>
      </c>
      <c r="M411" t="str">
        <f t="shared" si="27"/>
        <v>Sunday</v>
      </c>
    </row>
    <row r="412" spans="1:13" x14ac:dyDescent="0.25">
      <c r="A412" s="241">
        <v>46433</v>
      </c>
      <c r="B412" s="242">
        <f t="shared" si="24"/>
        <v>403.75</v>
      </c>
      <c r="C412" s="242">
        <f>IF(DAY(A412+2)=1,'Main Budget'!$G$39,IF(DAY(A412+2)=15,'Main Budget'!$G$39,0))</f>
        <v>0</v>
      </c>
      <c r="D412" s="242">
        <f t="shared" si="25"/>
        <v>11.25</v>
      </c>
      <c r="E412" s="242">
        <f>IF(DAY(A412)='Main Budget'!$J$12,('Main Budget'!$G$12),0)</f>
        <v>0</v>
      </c>
      <c r="F412" s="242">
        <f>IF(DAY(A412)='Main Budget'!$J$13,('Main Budget'!$G$13)*2,0)</f>
        <v>0</v>
      </c>
      <c r="G412" s="242"/>
      <c r="H412" s="242">
        <f>IF(DAY(A412)='Main Budget'!$J$14,'Main Budget'!$G$14,0)</f>
        <v>0</v>
      </c>
      <c r="I412" s="242"/>
      <c r="J412" s="252">
        <f t="shared" si="26"/>
        <v>415</v>
      </c>
      <c r="M412" t="str">
        <f t="shared" si="27"/>
        <v>Monday</v>
      </c>
    </row>
    <row r="413" spans="1:13" x14ac:dyDescent="0.25">
      <c r="A413" s="241">
        <v>46434</v>
      </c>
      <c r="B413" s="242">
        <f t="shared" si="24"/>
        <v>415</v>
      </c>
      <c r="C413" s="242">
        <f>IF(DAY(A413+2)=1,'Main Budget'!$G$39,IF(DAY(A413+2)=15,'Main Budget'!$G$39,0))</f>
        <v>0</v>
      </c>
      <c r="D413" s="242">
        <f t="shared" si="25"/>
        <v>0</v>
      </c>
      <c r="E413" s="242">
        <f>IF(DAY(A413)='Main Budget'!$J$12,('Main Budget'!$G$12),0)</f>
        <v>0</v>
      </c>
      <c r="F413" s="242">
        <f>IF(DAY(A413)='Main Budget'!$J$13,('Main Budget'!$G$13)*2,0)</f>
        <v>0</v>
      </c>
      <c r="G413" s="242"/>
      <c r="H413" s="242">
        <f>IF(DAY(A413)='Main Budget'!$J$14,'Main Budget'!$G$14,0)</f>
        <v>0</v>
      </c>
      <c r="I413" s="242"/>
      <c r="J413" s="252">
        <f t="shared" si="26"/>
        <v>415</v>
      </c>
      <c r="M413" t="str">
        <f t="shared" si="27"/>
        <v>Tuesday</v>
      </c>
    </row>
    <row r="414" spans="1:13" x14ac:dyDescent="0.25">
      <c r="A414" s="241">
        <v>46435</v>
      </c>
      <c r="B414" s="242">
        <f t="shared" si="24"/>
        <v>415</v>
      </c>
      <c r="C414" s="242">
        <f>IF(DAY(A414+2)=1,'Main Budget'!$G$39,IF(DAY(A414+2)=15,'Main Budget'!$G$39,0))</f>
        <v>0</v>
      </c>
      <c r="D414" s="242">
        <f t="shared" si="25"/>
        <v>0</v>
      </c>
      <c r="E414" s="242">
        <f>IF(DAY(A414)='Main Budget'!$J$12,('Main Budget'!$G$12),0)</f>
        <v>0</v>
      </c>
      <c r="F414" s="242">
        <f>IF(DAY(A414)='Main Budget'!$J$13,('Main Budget'!$G$13)*2,0)</f>
        <v>0</v>
      </c>
      <c r="G414" s="242"/>
      <c r="H414" s="242">
        <f>IF(DAY(A414)='Main Budget'!$J$14,'Main Budget'!$G$14,0)</f>
        <v>0</v>
      </c>
      <c r="I414" s="242"/>
      <c r="J414" s="252">
        <f t="shared" si="26"/>
        <v>415</v>
      </c>
      <c r="M414" t="str">
        <f t="shared" si="27"/>
        <v>Wednesday</v>
      </c>
    </row>
    <row r="415" spans="1:13" x14ac:dyDescent="0.25">
      <c r="A415" s="241">
        <v>46436</v>
      </c>
      <c r="B415" s="242">
        <f t="shared" si="24"/>
        <v>415</v>
      </c>
      <c r="C415" s="242">
        <f>IF(DAY(A415+2)=1,'Main Budget'!$G$39,IF(DAY(A415+2)=15,'Main Budget'!$G$39,0))</f>
        <v>0</v>
      </c>
      <c r="D415" s="242">
        <f t="shared" si="25"/>
        <v>0</v>
      </c>
      <c r="E415" s="242">
        <f>IF(DAY(A415)='Main Budget'!$J$12,('Main Budget'!$G$12),0)</f>
        <v>0</v>
      </c>
      <c r="F415" s="242">
        <f>IF(DAY(A415)='Main Budget'!$J$13,('Main Budget'!$G$13)*2,0)</f>
        <v>0</v>
      </c>
      <c r="G415" s="242"/>
      <c r="H415" s="242">
        <f>IF(DAY(A415)='Main Budget'!$J$14,'Main Budget'!$G$14,0)</f>
        <v>0</v>
      </c>
      <c r="I415" s="242"/>
      <c r="J415" s="252">
        <f t="shared" si="26"/>
        <v>415</v>
      </c>
      <c r="M415" t="str">
        <f t="shared" si="27"/>
        <v>Thursday</v>
      </c>
    </row>
    <row r="416" spans="1:13" x14ac:dyDescent="0.25">
      <c r="A416" s="241">
        <v>46437</v>
      </c>
      <c r="B416" s="242">
        <f t="shared" si="24"/>
        <v>415</v>
      </c>
      <c r="C416" s="242">
        <f>IF(DAY(A416+2)=1,'Main Budget'!$G$39,IF(DAY(A416+2)=15,'Main Budget'!$G$39,0))</f>
        <v>0</v>
      </c>
      <c r="D416" s="242">
        <f t="shared" si="25"/>
        <v>0</v>
      </c>
      <c r="E416" s="242">
        <f>IF(DAY(A416)='Main Budget'!$J$12,('Main Budget'!$G$12),0)</f>
        <v>0</v>
      </c>
      <c r="F416" s="242">
        <f>IF(DAY(A416)='Main Budget'!$J$13,('Main Budget'!$G$13)*2,0)</f>
        <v>0</v>
      </c>
      <c r="G416" s="242"/>
      <c r="H416" s="242">
        <f>IF(DAY(A416)='Main Budget'!$J$14,'Main Budget'!$G$14,0)</f>
        <v>0</v>
      </c>
      <c r="I416" s="242"/>
      <c r="J416" s="252">
        <f t="shared" si="26"/>
        <v>415</v>
      </c>
      <c r="M416" t="str">
        <f t="shared" si="27"/>
        <v>Friday</v>
      </c>
    </row>
    <row r="417" spans="1:13" x14ac:dyDescent="0.25">
      <c r="A417" s="241">
        <v>46438</v>
      </c>
      <c r="B417" s="242">
        <f t="shared" si="24"/>
        <v>415</v>
      </c>
      <c r="C417" s="242">
        <f>IF(DAY(A417+2)=1,'Main Budget'!$G$39,IF(DAY(A417+2)=15,'Main Budget'!$G$39,0))</f>
        <v>0</v>
      </c>
      <c r="D417" s="242">
        <f t="shared" si="25"/>
        <v>0</v>
      </c>
      <c r="E417" s="242">
        <f>IF(DAY(A417)='Main Budget'!$J$12,('Main Budget'!$G$12),0)</f>
        <v>0</v>
      </c>
      <c r="F417" s="242">
        <f>IF(DAY(A417)='Main Budget'!$J$13,('Main Budget'!$G$13)*2,0)</f>
        <v>0</v>
      </c>
      <c r="G417" s="242"/>
      <c r="H417" s="242">
        <f>IF(DAY(A417)='Main Budget'!$J$14,'Main Budget'!$G$14,0)</f>
        <v>0</v>
      </c>
      <c r="I417" s="242"/>
      <c r="J417" s="252">
        <f t="shared" si="26"/>
        <v>415</v>
      </c>
      <c r="M417" t="str">
        <f t="shared" si="27"/>
        <v>Saturday</v>
      </c>
    </row>
    <row r="418" spans="1:13" x14ac:dyDescent="0.25">
      <c r="A418" s="241">
        <v>46439</v>
      </c>
      <c r="B418" s="242">
        <f t="shared" si="24"/>
        <v>415</v>
      </c>
      <c r="C418" s="242">
        <f>IF(DAY(A418+2)=1,'Main Budget'!$G$39,IF(DAY(A418+2)=15,'Main Budget'!$G$39,0))</f>
        <v>0</v>
      </c>
      <c r="D418" s="242">
        <f t="shared" si="25"/>
        <v>0</v>
      </c>
      <c r="E418" s="242">
        <f>IF(DAY(A418)='Main Budget'!$J$12,('Main Budget'!$G$12),0)</f>
        <v>0</v>
      </c>
      <c r="F418" s="242">
        <f>IF(DAY(A418)='Main Budget'!$J$13,('Main Budget'!$G$13)*2,0)</f>
        <v>0</v>
      </c>
      <c r="G418" s="242"/>
      <c r="H418" s="242">
        <f>IF(DAY(A418)='Main Budget'!$J$14,'Main Budget'!$G$14,0)</f>
        <v>0</v>
      </c>
      <c r="I418" s="242"/>
      <c r="J418" s="252">
        <f t="shared" si="26"/>
        <v>415</v>
      </c>
      <c r="M418" t="str">
        <f t="shared" si="27"/>
        <v>Sunday</v>
      </c>
    </row>
    <row r="419" spans="1:13" x14ac:dyDescent="0.25">
      <c r="A419" s="241">
        <v>46440</v>
      </c>
      <c r="B419" s="242">
        <f t="shared" si="24"/>
        <v>415</v>
      </c>
      <c r="C419" s="242">
        <f>IF(DAY(A419+2)=1,'Main Budget'!$G$39,IF(DAY(A419+2)=15,'Main Budget'!$G$39,0))</f>
        <v>0</v>
      </c>
      <c r="D419" s="242">
        <f t="shared" si="25"/>
        <v>0</v>
      </c>
      <c r="E419" s="242">
        <f>IF(DAY(A419)='Main Budget'!$J$12,('Main Budget'!$G$12),0)</f>
        <v>0</v>
      </c>
      <c r="F419" s="242">
        <f>IF(DAY(A419)='Main Budget'!$J$13,('Main Budget'!$G$13)*2,0)</f>
        <v>0</v>
      </c>
      <c r="G419" s="242"/>
      <c r="H419" s="242">
        <f>IF(DAY(A419)='Main Budget'!$J$14,'Main Budget'!$G$14,0)</f>
        <v>0</v>
      </c>
      <c r="I419" s="242"/>
      <c r="J419" s="252">
        <f t="shared" si="26"/>
        <v>415</v>
      </c>
      <c r="M419" t="str">
        <f t="shared" si="27"/>
        <v>Monday</v>
      </c>
    </row>
    <row r="420" spans="1:13" x14ac:dyDescent="0.25">
      <c r="A420" s="241">
        <v>46441</v>
      </c>
      <c r="B420" s="242">
        <f t="shared" si="24"/>
        <v>415</v>
      </c>
      <c r="C420" s="242">
        <f>IF(DAY(A420+2)=1,'Main Budget'!$G$39,IF(DAY(A420+2)=15,'Main Budget'!$G$39,0))</f>
        <v>0</v>
      </c>
      <c r="D420" s="242">
        <f t="shared" si="25"/>
        <v>0</v>
      </c>
      <c r="E420" s="242">
        <f>IF(DAY(A420)='Main Budget'!$J$12,('Main Budget'!$G$12),0)</f>
        <v>0</v>
      </c>
      <c r="F420" s="242">
        <f>IF(DAY(A420)='Main Budget'!$J$13,('Main Budget'!$G$13)*2,0)</f>
        <v>0</v>
      </c>
      <c r="G420" s="242"/>
      <c r="H420" s="242">
        <f>IF(DAY(A420)='Main Budget'!$J$14,'Main Budget'!$G$14,0)</f>
        <v>0</v>
      </c>
      <c r="I420" s="242"/>
      <c r="J420" s="252">
        <f t="shared" si="26"/>
        <v>415</v>
      </c>
      <c r="M420" t="str">
        <f t="shared" si="27"/>
        <v>Tuesday</v>
      </c>
    </row>
    <row r="421" spans="1:13" x14ac:dyDescent="0.25">
      <c r="A421" s="241">
        <v>46442</v>
      </c>
      <c r="B421" s="242">
        <f t="shared" si="24"/>
        <v>415</v>
      </c>
      <c r="C421" s="242">
        <f>IF(DAY(A421+2)=1,'Main Budget'!$G$39,IF(DAY(A421+2)=15,'Main Budget'!$G$39,0))</f>
        <v>0</v>
      </c>
      <c r="D421" s="242">
        <f t="shared" si="25"/>
        <v>0</v>
      </c>
      <c r="E421" s="242">
        <f>IF(DAY(A421)='Main Budget'!$J$12,('Main Budget'!$G$12),0)</f>
        <v>0</v>
      </c>
      <c r="F421" s="242">
        <f>IF(DAY(A421)='Main Budget'!$J$13,('Main Budget'!$G$13)*2,0)</f>
        <v>0</v>
      </c>
      <c r="G421" s="242"/>
      <c r="H421" s="242">
        <f>IF(DAY(A421)='Main Budget'!$J$14,'Main Budget'!$G$14,0)</f>
        <v>0</v>
      </c>
      <c r="I421" s="242"/>
      <c r="J421" s="252">
        <f t="shared" si="26"/>
        <v>415</v>
      </c>
      <c r="M421" t="str">
        <f t="shared" si="27"/>
        <v>Wednesday</v>
      </c>
    </row>
    <row r="422" spans="1:13" x14ac:dyDescent="0.25">
      <c r="A422" s="241">
        <v>46443</v>
      </c>
      <c r="B422" s="242">
        <f t="shared" si="24"/>
        <v>415</v>
      </c>
      <c r="C422" s="242">
        <f>IF(DAY(A422+2)=1,'Main Budget'!$G$39,IF(DAY(A422+2)=15,'Main Budget'!$G$39,0))</f>
        <v>0</v>
      </c>
      <c r="D422" s="242">
        <f t="shared" si="25"/>
        <v>0</v>
      </c>
      <c r="E422" s="242">
        <f>IF(DAY(A422)='Main Budget'!$J$12,('Main Budget'!$G$12),0)</f>
        <v>0</v>
      </c>
      <c r="F422" s="242">
        <f>IF(DAY(A422)='Main Budget'!$J$13,('Main Budget'!$G$13)*2,0)</f>
        <v>0</v>
      </c>
      <c r="G422" s="242"/>
      <c r="H422" s="242">
        <f>IF(DAY(A422)='Main Budget'!$J$14,'Main Budget'!$G$14,0)</f>
        <v>0</v>
      </c>
      <c r="I422" s="242"/>
      <c r="J422" s="252">
        <f t="shared" si="26"/>
        <v>415</v>
      </c>
      <c r="M422" t="str">
        <f t="shared" si="27"/>
        <v>Thursday</v>
      </c>
    </row>
    <row r="423" spans="1:13" x14ac:dyDescent="0.25">
      <c r="A423" s="241">
        <v>46444</v>
      </c>
      <c r="B423" s="242">
        <f t="shared" si="24"/>
        <v>415</v>
      </c>
      <c r="C423" s="242">
        <f>IF(DAY(A423+2)=1,'Main Budget'!$G$39,IF(DAY(A423+2)=15,'Main Budget'!$G$39,0))</f>
        <v>0</v>
      </c>
      <c r="D423" s="242">
        <f t="shared" si="25"/>
        <v>0</v>
      </c>
      <c r="E423" s="242">
        <f>IF(DAY(A423)='Main Budget'!$J$12,('Main Budget'!$G$12),0)</f>
        <v>0</v>
      </c>
      <c r="F423" s="242">
        <f>IF(DAY(A423)='Main Budget'!$J$13,('Main Budget'!$G$13)*2,0)</f>
        <v>0</v>
      </c>
      <c r="G423" s="242"/>
      <c r="H423" s="242">
        <f>IF(DAY(A423)='Main Budget'!$J$14,'Main Budget'!$G$14,0)</f>
        <v>0</v>
      </c>
      <c r="I423" s="242"/>
      <c r="J423" s="252">
        <f t="shared" si="26"/>
        <v>415</v>
      </c>
      <c r="M423" t="str">
        <f t="shared" si="27"/>
        <v>Friday</v>
      </c>
    </row>
    <row r="424" spans="1:13" x14ac:dyDescent="0.25">
      <c r="A424" s="241">
        <v>46445</v>
      </c>
      <c r="B424" s="242">
        <f t="shared" si="24"/>
        <v>415</v>
      </c>
      <c r="C424" s="242">
        <f>IF(DAY(A424+2)=1,'Main Budget'!$G$39,IF(DAY(A424+2)=15,'Main Budget'!$G$39,0))</f>
        <v>0</v>
      </c>
      <c r="D424" s="242">
        <f t="shared" si="25"/>
        <v>0</v>
      </c>
      <c r="E424" s="242">
        <f>IF(DAY(A424)='Main Budget'!$J$12,('Main Budget'!$G$12),0)</f>
        <v>0</v>
      </c>
      <c r="F424" s="242">
        <f>IF(DAY(A424)='Main Budget'!$J$13,('Main Budget'!$G$13)*2,0)</f>
        <v>0</v>
      </c>
      <c r="G424" s="242"/>
      <c r="H424" s="242">
        <f>IF(DAY(A424)='Main Budget'!$J$14,'Main Budget'!$G$14,0)</f>
        <v>0</v>
      </c>
      <c r="I424" s="242"/>
      <c r="J424" s="252">
        <f t="shared" si="26"/>
        <v>415</v>
      </c>
      <c r="M424" t="str">
        <f t="shared" si="27"/>
        <v>Saturday</v>
      </c>
    </row>
    <row r="425" spans="1:13" x14ac:dyDescent="0.25">
      <c r="A425" s="241">
        <v>46446</v>
      </c>
      <c r="B425" s="242">
        <f t="shared" si="24"/>
        <v>415</v>
      </c>
      <c r="C425" s="242">
        <f>IF(DAY(A425+2)=1,'Main Budget'!$G$39,IF(DAY(A425+2)=15,'Main Budget'!$G$39,0))</f>
        <v>0</v>
      </c>
      <c r="D425" s="242">
        <f t="shared" si="25"/>
        <v>0</v>
      </c>
      <c r="E425" s="242">
        <f>IF(DAY(A425)='Main Budget'!$J$12,('Main Budget'!$G$12),0)</f>
        <v>0</v>
      </c>
      <c r="F425" s="242">
        <f>IF(DAY(A425)='Main Budget'!$J$13,('Main Budget'!$G$13)*2,0)</f>
        <v>0</v>
      </c>
      <c r="G425" s="242"/>
      <c r="H425" s="242">
        <f>IF(DAY(A425)='Main Budget'!$J$14,'Main Budget'!$G$14,0)</f>
        <v>0</v>
      </c>
      <c r="I425" s="242"/>
      <c r="J425" s="252">
        <f t="shared" si="26"/>
        <v>415</v>
      </c>
      <c r="M425" t="str">
        <f t="shared" si="27"/>
        <v>Sunday</v>
      </c>
    </row>
    <row r="426" spans="1:13" x14ac:dyDescent="0.25">
      <c r="A426" s="241">
        <v>46447</v>
      </c>
      <c r="B426" s="242">
        <f t="shared" si="24"/>
        <v>415</v>
      </c>
      <c r="C426" s="242">
        <f>IF(DAY(A426+2)=1,'Main Budget'!$G$39,IF(DAY(A426+2)=15,'Main Budget'!$G$39,0))</f>
        <v>0</v>
      </c>
      <c r="D426" s="242">
        <f t="shared" si="25"/>
        <v>11.25</v>
      </c>
      <c r="E426" s="242">
        <f>IF(DAY(A426)='Main Budget'!$J$12,('Main Budget'!$G$12),0)</f>
        <v>0</v>
      </c>
      <c r="F426" s="242">
        <f>IF(DAY(A426)='Main Budget'!$J$13,('Main Budget'!$G$13)*2,0)</f>
        <v>0</v>
      </c>
      <c r="G426" s="242"/>
      <c r="H426" s="242">
        <f>IF(DAY(A426)='Main Budget'!$J$14,'Main Budget'!$G$14,0)</f>
        <v>0</v>
      </c>
      <c r="I426" s="242"/>
      <c r="J426" s="252">
        <f t="shared" si="26"/>
        <v>426.25</v>
      </c>
      <c r="M426" t="str">
        <f t="shared" si="27"/>
        <v>Monday</v>
      </c>
    </row>
    <row r="427" spans="1:13" x14ac:dyDescent="0.25">
      <c r="A427" s="241">
        <v>46448</v>
      </c>
      <c r="B427" s="242">
        <f t="shared" si="24"/>
        <v>426.25</v>
      </c>
      <c r="C427" s="242">
        <f>IF(DAY(A427+2)=1,'Main Budget'!$G$39,IF(DAY(A427+2)=15,'Main Budget'!$G$39,0))</f>
        <v>0</v>
      </c>
      <c r="D427" s="242">
        <f t="shared" si="25"/>
        <v>0</v>
      </c>
      <c r="E427" s="242">
        <f>IF(DAY(A427)='Main Budget'!$J$12,('Main Budget'!$G$12),0)</f>
        <v>0</v>
      </c>
      <c r="F427" s="242">
        <f>IF(DAY(A427)='Main Budget'!$J$13,('Main Budget'!$G$13)*2,0)</f>
        <v>0</v>
      </c>
      <c r="G427" s="242"/>
      <c r="H427" s="242">
        <f>IF(DAY(A427)='Main Budget'!$J$14,'Main Budget'!$G$14,0)</f>
        <v>0</v>
      </c>
      <c r="I427" s="242"/>
      <c r="J427" s="252">
        <f t="shared" si="26"/>
        <v>426.25</v>
      </c>
      <c r="M427" t="str">
        <f t="shared" si="27"/>
        <v>Tuesday</v>
      </c>
    </row>
    <row r="428" spans="1:13" x14ac:dyDescent="0.25">
      <c r="A428" s="241">
        <v>46449</v>
      </c>
      <c r="B428" s="242">
        <f t="shared" si="24"/>
        <v>426.25</v>
      </c>
      <c r="C428" s="242">
        <f>IF(DAY(A428+2)=1,'Main Budget'!$G$39,IF(DAY(A428+2)=15,'Main Budget'!$G$39,0))</f>
        <v>0</v>
      </c>
      <c r="D428" s="242">
        <f t="shared" si="25"/>
        <v>0</v>
      </c>
      <c r="E428" s="242">
        <f>IF(DAY(A428)='Main Budget'!$J$12,('Main Budget'!$G$12),0)</f>
        <v>0</v>
      </c>
      <c r="F428" s="242">
        <f>IF(DAY(A428)='Main Budget'!$J$13,('Main Budget'!$G$13)*2,0)</f>
        <v>0</v>
      </c>
      <c r="G428" s="242"/>
      <c r="H428" s="242">
        <f>IF(DAY(A428)='Main Budget'!$J$14,'Main Budget'!$G$14,0)</f>
        <v>0</v>
      </c>
      <c r="I428" s="242"/>
      <c r="J428" s="252">
        <f t="shared" si="26"/>
        <v>426.25</v>
      </c>
      <c r="M428" t="str">
        <f t="shared" si="27"/>
        <v>Wednesday</v>
      </c>
    </row>
    <row r="429" spans="1:13" x14ac:dyDescent="0.25">
      <c r="A429" s="241">
        <v>46450</v>
      </c>
      <c r="B429" s="242">
        <f t="shared" si="24"/>
        <v>426.25</v>
      </c>
      <c r="C429" s="242">
        <f>IF(DAY(A429+2)=1,'Main Budget'!$G$39,IF(DAY(A429+2)=15,'Main Budget'!$G$39,0))</f>
        <v>0</v>
      </c>
      <c r="D429" s="242">
        <f t="shared" si="25"/>
        <v>0</v>
      </c>
      <c r="E429" s="242">
        <f>IF(DAY(A429)='Main Budget'!$J$12,('Main Budget'!$G$12),0)</f>
        <v>0</v>
      </c>
      <c r="F429" s="242">
        <f>IF(DAY(A429)='Main Budget'!$J$13,('Main Budget'!$G$13)*2,0)</f>
        <v>0</v>
      </c>
      <c r="G429" s="242"/>
      <c r="H429" s="242">
        <f>IF(DAY(A429)='Main Budget'!$J$14,'Main Budget'!$G$14,0)</f>
        <v>0</v>
      </c>
      <c r="I429" s="242"/>
      <c r="J429" s="252">
        <f t="shared" si="26"/>
        <v>426.25</v>
      </c>
      <c r="M429" t="str">
        <f t="shared" si="27"/>
        <v>Thursday</v>
      </c>
    </row>
    <row r="430" spans="1:13" x14ac:dyDescent="0.25">
      <c r="A430" s="241">
        <v>46451</v>
      </c>
      <c r="B430" s="242">
        <f t="shared" si="24"/>
        <v>426.25</v>
      </c>
      <c r="C430" s="242">
        <f>IF(DAY(A430+2)=1,'Main Budget'!$G$39,IF(DAY(A430+2)=15,'Main Budget'!$G$39,0))</f>
        <v>0</v>
      </c>
      <c r="D430" s="242">
        <f t="shared" si="25"/>
        <v>0</v>
      </c>
      <c r="E430" s="242">
        <f>IF(DAY(A430)='Main Budget'!$J$12,('Main Budget'!$G$12),0)</f>
        <v>0</v>
      </c>
      <c r="F430" s="242">
        <f>IF(DAY(A430)='Main Budget'!$J$13,('Main Budget'!$G$13)*2,0)</f>
        <v>0</v>
      </c>
      <c r="G430" s="242"/>
      <c r="H430" s="242">
        <f>IF(DAY(A430)='Main Budget'!$J$14,'Main Budget'!$G$14,0)</f>
        <v>0</v>
      </c>
      <c r="I430" s="242"/>
      <c r="J430" s="252">
        <f t="shared" si="26"/>
        <v>426.25</v>
      </c>
      <c r="M430" t="str">
        <f t="shared" si="27"/>
        <v>Friday</v>
      </c>
    </row>
    <row r="431" spans="1:13" x14ac:dyDescent="0.25">
      <c r="A431" s="241">
        <v>46452</v>
      </c>
      <c r="B431" s="242">
        <f t="shared" si="24"/>
        <v>426.25</v>
      </c>
      <c r="C431" s="242">
        <f>IF(DAY(A431+2)=1,'Main Budget'!$G$39,IF(DAY(A431+2)=15,'Main Budget'!$G$39,0))</f>
        <v>0</v>
      </c>
      <c r="D431" s="242">
        <f t="shared" si="25"/>
        <v>0</v>
      </c>
      <c r="E431" s="242">
        <f>IF(DAY(A431)='Main Budget'!$J$12,('Main Budget'!$G$12),0)</f>
        <v>0</v>
      </c>
      <c r="F431" s="242">
        <f>IF(DAY(A431)='Main Budget'!$J$13,('Main Budget'!$G$13)*2,0)</f>
        <v>0</v>
      </c>
      <c r="G431" s="242"/>
      <c r="H431" s="242">
        <f>IF(DAY(A431)='Main Budget'!$J$14,'Main Budget'!$G$14,0)</f>
        <v>0</v>
      </c>
      <c r="I431" s="242"/>
      <c r="J431" s="252">
        <f t="shared" si="26"/>
        <v>426.25</v>
      </c>
      <c r="M431" t="str">
        <f t="shared" si="27"/>
        <v>Saturday</v>
      </c>
    </row>
    <row r="432" spans="1:13" x14ac:dyDescent="0.25">
      <c r="A432" s="241">
        <v>46453</v>
      </c>
      <c r="B432" s="242">
        <f t="shared" si="24"/>
        <v>426.25</v>
      </c>
      <c r="C432" s="242">
        <f>IF(DAY(A432+2)=1,'Main Budget'!$G$39,IF(DAY(A432+2)=15,'Main Budget'!$G$39,0))</f>
        <v>0</v>
      </c>
      <c r="D432" s="242">
        <f t="shared" si="25"/>
        <v>0</v>
      </c>
      <c r="E432" s="242">
        <f>IF(DAY(A432)='Main Budget'!$J$12,('Main Budget'!$G$12),0)</f>
        <v>0</v>
      </c>
      <c r="F432" s="242">
        <f>IF(DAY(A432)='Main Budget'!$J$13,('Main Budget'!$G$13)*2,0)</f>
        <v>0</v>
      </c>
      <c r="G432" s="242"/>
      <c r="H432" s="242">
        <f>IF(DAY(A432)='Main Budget'!$J$14,'Main Budget'!$G$14,0)</f>
        <v>0</v>
      </c>
      <c r="I432" s="242"/>
      <c r="J432" s="252">
        <f t="shared" si="26"/>
        <v>426.25</v>
      </c>
      <c r="M432" t="str">
        <f t="shared" si="27"/>
        <v>Sunday</v>
      </c>
    </row>
    <row r="433" spans="1:13" x14ac:dyDescent="0.25">
      <c r="A433" s="241">
        <v>46454</v>
      </c>
      <c r="B433" s="242">
        <f t="shared" si="24"/>
        <v>426.25</v>
      </c>
      <c r="C433" s="242">
        <f>IF(DAY(A433+2)=1,'Main Budget'!$G$39,IF(DAY(A433+2)=15,'Main Budget'!$G$39,0))</f>
        <v>0</v>
      </c>
      <c r="D433" s="242">
        <f t="shared" si="25"/>
        <v>0</v>
      </c>
      <c r="E433" s="242">
        <f>IF(DAY(A433)='Main Budget'!$J$12,('Main Budget'!$G$12),0)</f>
        <v>0</v>
      </c>
      <c r="F433" s="242">
        <f>IF(DAY(A433)='Main Budget'!$J$13,('Main Budget'!$G$13)*2,0)</f>
        <v>0</v>
      </c>
      <c r="G433" s="242"/>
      <c r="H433" s="242">
        <f>IF(DAY(A433)='Main Budget'!$J$14,'Main Budget'!$G$14,0)</f>
        <v>0</v>
      </c>
      <c r="I433" s="242"/>
      <c r="J433" s="252">
        <f t="shared" si="26"/>
        <v>426.25</v>
      </c>
      <c r="M433" t="str">
        <f t="shared" si="27"/>
        <v>Monday</v>
      </c>
    </row>
    <row r="434" spans="1:13" x14ac:dyDescent="0.25">
      <c r="A434" s="241">
        <v>46455</v>
      </c>
      <c r="B434" s="242">
        <f t="shared" si="24"/>
        <v>426.25</v>
      </c>
      <c r="C434" s="242">
        <f>IF(DAY(A434+2)=1,'Main Budget'!$G$39,IF(DAY(A434+2)=15,'Main Budget'!$G$39,0))</f>
        <v>0</v>
      </c>
      <c r="D434" s="242">
        <f t="shared" si="25"/>
        <v>0</v>
      </c>
      <c r="E434" s="242">
        <f>IF(DAY(A434)='Main Budget'!$J$12,('Main Budget'!$G$12),0)</f>
        <v>0</v>
      </c>
      <c r="F434" s="242">
        <f>IF(DAY(A434)='Main Budget'!$J$13,('Main Budget'!$G$13)*2,0)</f>
        <v>0</v>
      </c>
      <c r="G434" s="242"/>
      <c r="H434" s="242">
        <f>IF(DAY(A434)='Main Budget'!$J$14,'Main Budget'!$G$14,0)</f>
        <v>0</v>
      </c>
      <c r="I434" s="242"/>
      <c r="J434" s="252">
        <f t="shared" si="26"/>
        <v>426.25</v>
      </c>
      <c r="M434" t="str">
        <f t="shared" si="27"/>
        <v>Tuesday</v>
      </c>
    </row>
    <row r="435" spans="1:13" x14ac:dyDescent="0.25">
      <c r="A435" s="241">
        <v>46456</v>
      </c>
      <c r="B435" s="242">
        <f t="shared" si="24"/>
        <v>426.25</v>
      </c>
      <c r="C435" s="242">
        <f>IF(DAY(A435+2)=1,'Main Budget'!$G$39,IF(DAY(A435+2)=15,'Main Budget'!$G$39,0))</f>
        <v>0</v>
      </c>
      <c r="D435" s="242">
        <f t="shared" si="25"/>
        <v>0</v>
      </c>
      <c r="E435" s="242">
        <f>IF(DAY(A435)='Main Budget'!$J$12,('Main Budget'!$G$12),0)</f>
        <v>0</v>
      </c>
      <c r="F435" s="242">
        <f>IF(DAY(A435)='Main Budget'!$J$13,('Main Budget'!$G$13)*2,0)</f>
        <v>0</v>
      </c>
      <c r="G435" s="242"/>
      <c r="H435" s="242">
        <f>IF(DAY(A435)='Main Budget'!$J$14,'Main Budget'!$G$14,0)</f>
        <v>0</v>
      </c>
      <c r="I435" s="242"/>
      <c r="J435" s="252">
        <f t="shared" si="26"/>
        <v>426.25</v>
      </c>
      <c r="M435" t="str">
        <f t="shared" si="27"/>
        <v>Wednesday</v>
      </c>
    </row>
    <row r="436" spans="1:13" x14ac:dyDescent="0.25">
      <c r="A436" s="241">
        <v>46457</v>
      </c>
      <c r="B436" s="242">
        <f t="shared" si="24"/>
        <v>426.25</v>
      </c>
      <c r="C436" s="242">
        <f>IF(DAY(A436+2)=1,'Main Budget'!$G$39,IF(DAY(A436+2)=15,'Main Budget'!$G$39,0))</f>
        <v>0</v>
      </c>
      <c r="D436" s="242">
        <f t="shared" si="25"/>
        <v>0</v>
      </c>
      <c r="E436" s="242">
        <f>IF(DAY(A436)='Main Budget'!$J$12,('Main Budget'!$G$12),0)</f>
        <v>0</v>
      </c>
      <c r="F436" s="242">
        <f>IF(DAY(A436)='Main Budget'!$J$13,('Main Budget'!$G$13)*2,0)</f>
        <v>0</v>
      </c>
      <c r="G436" s="242"/>
      <c r="H436" s="242">
        <f>IF(DAY(A436)='Main Budget'!$J$14,'Main Budget'!$G$14,0)</f>
        <v>0</v>
      </c>
      <c r="I436" s="242"/>
      <c r="J436" s="252">
        <f t="shared" si="26"/>
        <v>426.25</v>
      </c>
      <c r="M436" t="str">
        <f t="shared" si="27"/>
        <v>Thursday</v>
      </c>
    </row>
    <row r="437" spans="1:13" x14ac:dyDescent="0.25">
      <c r="A437" s="241">
        <v>46458</v>
      </c>
      <c r="B437" s="242">
        <f t="shared" si="24"/>
        <v>426.25</v>
      </c>
      <c r="C437" s="242">
        <f>IF(DAY(A437+2)=1,'Main Budget'!$G$39,IF(DAY(A437+2)=15,'Main Budget'!$G$39,0))</f>
        <v>0</v>
      </c>
      <c r="D437" s="242">
        <f t="shared" si="25"/>
        <v>0</v>
      </c>
      <c r="E437" s="242">
        <f>IF(DAY(A437)='Main Budget'!$J$12,('Main Budget'!$G$12),0)</f>
        <v>0</v>
      </c>
      <c r="F437" s="242">
        <f>IF(DAY(A437)='Main Budget'!$J$13,('Main Budget'!$G$13)*2,0)</f>
        <v>0</v>
      </c>
      <c r="G437" s="242"/>
      <c r="H437" s="242">
        <f>IF(DAY(A437)='Main Budget'!$J$14,'Main Budget'!$G$14,0)</f>
        <v>0</v>
      </c>
      <c r="I437" s="242"/>
      <c r="J437" s="252">
        <f t="shared" si="26"/>
        <v>426.25</v>
      </c>
      <c r="M437" t="str">
        <f t="shared" si="27"/>
        <v>Friday</v>
      </c>
    </row>
    <row r="438" spans="1:13" x14ac:dyDescent="0.25">
      <c r="A438" s="241">
        <v>46459</v>
      </c>
      <c r="B438" s="242">
        <f t="shared" si="24"/>
        <v>426.25</v>
      </c>
      <c r="C438" s="242">
        <f>IF(DAY(A438+2)=1,'Main Budget'!$G$39,IF(DAY(A438+2)=15,'Main Budget'!$G$39,0))</f>
        <v>0</v>
      </c>
      <c r="D438" s="242">
        <f t="shared" si="25"/>
        <v>0</v>
      </c>
      <c r="E438" s="242">
        <f>IF(DAY(A438)='Main Budget'!$J$12,('Main Budget'!$G$12),0)</f>
        <v>0</v>
      </c>
      <c r="F438" s="242">
        <f>IF(DAY(A438)='Main Budget'!$J$13,('Main Budget'!$G$13)*2,0)</f>
        <v>0</v>
      </c>
      <c r="G438" s="242"/>
      <c r="H438" s="242">
        <f>IF(DAY(A438)='Main Budget'!$J$14,'Main Budget'!$G$14,0)</f>
        <v>0</v>
      </c>
      <c r="I438" s="242"/>
      <c r="J438" s="252">
        <f t="shared" si="26"/>
        <v>426.25</v>
      </c>
      <c r="M438" t="str">
        <f t="shared" si="27"/>
        <v>Saturday</v>
      </c>
    </row>
    <row r="439" spans="1:13" x14ac:dyDescent="0.25">
      <c r="A439" s="241">
        <v>46460</v>
      </c>
      <c r="B439" s="242">
        <f t="shared" si="24"/>
        <v>426.25</v>
      </c>
      <c r="C439" s="242">
        <f>IF(DAY(A439+2)=1,'Main Budget'!$G$39,IF(DAY(A439+2)=15,'Main Budget'!$G$39,0))</f>
        <v>0</v>
      </c>
      <c r="D439" s="242">
        <f t="shared" si="25"/>
        <v>0</v>
      </c>
      <c r="E439" s="242">
        <f>IF(DAY(A439)='Main Budget'!$J$12,('Main Budget'!$G$12),0)</f>
        <v>0</v>
      </c>
      <c r="F439" s="242">
        <f>IF(DAY(A439)='Main Budget'!$J$13,('Main Budget'!$G$13)*2,0)</f>
        <v>0</v>
      </c>
      <c r="G439" s="242"/>
      <c r="H439" s="242">
        <f>IF(DAY(A439)='Main Budget'!$J$14,'Main Budget'!$G$14,0)</f>
        <v>0</v>
      </c>
      <c r="I439" s="242"/>
      <c r="J439" s="252">
        <f t="shared" si="26"/>
        <v>426.25</v>
      </c>
      <c r="M439" t="str">
        <f t="shared" si="27"/>
        <v>Sunday</v>
      </c>
    </row>
    <row r="440" spans="1:13" x14ac:dyDescent="0.25">
      <c r="A440" s="241">
        <v>46461</v>
      </c>
      <c r="B440" s="242">
        <f t="shared" si="24"/>
        <v>426.25</v>
      </c>
      <c r="C440" s="242">
        <f>IF(DAY(A440+2)=1,'Main Budget'!$G$39,IF(DAY(A440+2)=15,'Main Budget'!$G$39,0))</f>
        <v>0</v>
      </c>
      <c r="D440" s="242">
        <f t="shared" si="25"/>
        <v>11.25</v>
      </c>
      <c r="E440" s="242">
        <f>IF(DAY(A440)='Main Budget'!$J$12,('Main Budget'!$G$12),0)</f>
        <v>0</v>
      </c>
      <c r="F440" s="242">
        <f>IF(DAY(A440)='Main Budget'!$J$13,('Main Budget'!$G$13)*2,0)</f>
        <v>0</v>
      </c>
      <c r="G440" s="242"/>
      <c r="H440" s="242">
        <f>IF(DAY(A440)='Main Budget'!$J$14,'Main Budget'!$G$14,0)</f>
        <v>0</v>
      </c>
      <c r="I440" s="242"/>
      <c r="J440" s="252">
        <f t="shared" si="26"/>
        <v>437.5</v>
      </c>
      <c r="M440" t="str">
        <f t="shared" si="27"/>
        <v>Monday</v>
      </c>
    </row>
    <row r="441" spans="1:13" x14ac:dyDescent="0.25">
      <c r="A441" s="241">
        <v>46462</v>
      </c>
      <c r="B441" s="242">
        <f t="shared" si="24"/>
        <v>437.5</v>
      </c>
      <c r="C441" s="242">
        <f>IF(DAY(A441+2)=1,'Main Budget'!$G$39,IF(DAY(A441+2)=15,'Main Budget'!$G$39,0))</f>
        <v>0</v>
      </c>
      <c r="D441" s="242">
        <f t="shared" si="25"/>
        <v>0</v>
      </c>
      <c r="E441" s="242">
        <f>IF(DAY(A441)='Main Budget'!$J$12,('Main Budget'!$G$12),0)</f>
        <v>0</v>
      </c>
      <c r="F441" s="242">
        <f>IF(DAY(A441)='Main Budget'!$J$13,('Main Budget'!$G$13)*2,0)</f>
        <v>0</v>
      </c>
      <c r="G441" s="242"/>
      <c r="H441" s="242">
        <f>IF(DAY(A441)='Main Budget'!$J$14,'Main Budget'!$G$14,0)</f>
        <v>0</v>
      </c>
      <c r="I441" s="242"/>
      <c r="J441" s="252">
        <f t="shared" si="26"/>
        <v>437.5</v>
      </c>
      <c r="M441" t="str">
        <f t="shared" si="27"/>
        <v>Tuesday</v>
      </c>
    </row>
    <row r="442" spans="1:13" x14ac:dyDescent="0.25">
      <c r="A442" s="241">
        <v>46463</v>
      </c>
      <c r="B442" s="242">
        <f t="shared" si="24"/>
        <v>437.5</v>
      </c>
      <c r="C442" s="242">
        <f>IF(DAY(A442+2)=1,'Main Budget'!$G$39,IF(DAY(A442+2)=15,'Main Budget'!$G$39,0))</f>
        <v>0</v>
      </c>
      <c r="D442" s="242">
        <f t="shared" si="25"/>
        <v>0</v>
      </c>
      <c r="E442" s="242">
        <f>IF(DAY(A442)='Main Budget'!$J$12,('Main Budget'!$G$12),0)</f>
        <v>0</v>
      </c>
      <c r="F442" s="242">
        <f>IF(DAY(A442)='Main Budget'!$J$13,('Main Budget'!$G$13)*2,0)</f>
        <v>0</v>
      </c>
      <c r="G442" s="242"/>
      <c r="H442" s="242">
        <f>IF(DAY(A442)='Main Budget'!$J$14,'Main Budget'!$G$14,0)</f>
        <v>0</v>
      </c>
      <c r="I442" s="242"/>
      <c r="J442" s="252">
        <f t="shared" si="26"/>
        <v>437.5</v>
      </c>
      <c r="M442" t="str">
        <f t="shared" si="27"/>
        <v>Wednesday</v>
      </c>
    </row>
    <row r="443" spans="1:13" x14ac:dyDescent="0.25">
      <c r="A443" s="241">
        <v>46464</v>
      </c>
      <c r="B443" s="242">
        <f t="shared" si="24"/>
        <v>437.5</v>
      </c>
      <c r="C443" s="242">
        <f>IF(DAY(A443+2)=1,'Main Budget'!$G$39,IF(DAY(A443+2)=15,'Main Budget'!$G$39,0))</f>
        <v>0</v>
      </c>
      <c r="D443" s="242">
        <f t="shared" si="25"/>
        <v>0</v>
      </c>
      <c r="E443" s="242">
        <f>IF(DAY(A443)='Main Budget'!$J$12,('Main Budget'!$G$12),0)</f>
        <v>0</v>
      </c>
      <c r="F443" s="242">
        <f>IF(DAY(A443)='Main Budget'!$J$13,('Main Budget'!$G$13)*2,0)</f>
        <v>0</v>
      </c>
      <c r="G443" s="242"/>
      <c r="H443" s="242">
        <f>IF(DAY(A443)='Main Budget'!$J$14,'Main Budget'!$G$14,0)</f>
        <v>0</v>
      </c>
      <c r="I443" s="242"/>
      <c r="J443" s="252">
        <f t="shared" si="26"/>
        <v>437.5</v>
      </c>
      <c r="M443" t="str">
        <f t="shared" si="27"/>
        <v>Thursday</v>
      </c>
    </row>
    <row r="444" spans="1:13" x14ac:dyDescent="0.25">
      <c r="A444" s="241">
        <v>46465</v>
      </c>
      <c r="B444" s="242">
        <f t="shared" si="24"/>
        <v>437.5</v>
      </c>
      <c r="C444" s="242">
        <f>IF(DAY(A444+2)=1,'Main Budget'!$G$39,IF(DAY(A444+2)=15,'Main Budget'!$G$39,0))</f>
        <v>0</v>
      </c>
      <c r="D444" s="242">
        <f t="shared" si="25"/>
        <v>0</v>
      </c>
      <c r="E444" s="242">
        <f>IF(DAY(A444)='Main Budget'!$J$12,('Main Budget'!$G$12),0)</f>
        <v>0</v>
      </c>
      <c r="F444" s="242">
        <f>IF(DAY(A444)='Main Budget'!$J$13,('Main Budget'!$G$13)*2,0)</f>
        <v>0</v>
      </c>
      <c r="G444" s="242"/>
      <c r="H444" s="242">
        <f>IF(DAY(A444)='Main Budget'!$J$14,'Main Budget'!$G$14,0)</f>
        <v>0</v>
      </c>
      <c r="I444" s="242"/>
      <c r="J444" s="252">
        <f t="shared" si="26"/>
        <v>437.5</v>
      </c>
      <c r="M444" t="str">
        <f t="shared" si="27"/>
        <v>Friday</v>
      </c>
    </row>
    <row r="445" spans="1:13" x14ac:dyDescent="0.25">
      <c r="A445" s="241">
        <v>46466</v>
      </c>
      <c r="B445" s="242">
        <f t="shared" si="24"/>
        <v>437.5</v>
      </c>
      <c r="C445" s="242">
        <f>IF(DAY(A445+2)=1,'Main Budget'!$G$39,IF(DAY(A445+2)=15,'Main Budget'!$G$39,0))</f>
        <v>0</v>
      </c>
      <c r="D445" s="242">
        <f t="shared" si="25"/>
        <v>0</v>
      </c>
      <c r="E445" s="242">
        <f>IF(DAY(A445)='Main Budget'!$J$12,('Main Budget'!$G$12),0)</f>
        <v>0</v>
      </c>
      <c r="F445" s="242">
        <f>IF(DAY(A445)='Main Budget'!$J$13,('Main Budget'!$G$13)*2,0)</f>
        <v>0</v>
      </c>
      <c r="G445" s="242"/>
      <c r="H445" s="242">
        <f>IF(DAY(A445)='Main Budget'!$J$14,'Main Budget'!$G$14,0)</f>
        <v>0</v>
      </c>
      <c r="I445" s="242"/>
      <c r="J445" s="252">
        <f t="shared" si="26"/>
        <v>437.5</v>
      </c>
      <c r="M445" t="str">
        <f t="shared" si="27"/>
        <v>Saturday</v>
      </c>
    </row>
    <row r="446" spans="1:13" x14ac:dyDescent="0.25">
      <c r="A446" s="241">
        <v>46467</v>
      </c>
      <c r="B446" s="242">
        <f t="shared" si="24"/>
        <v>437.5</v>
      </c>
      <c r="C446" s="242">
        <f>IF(DAY(A446+2)=1,'Main Budget'!$G$39,IF(DAY(A446+2)=15,'Main Budget'!$G$39,0))</f>
        <v>0</v>
      </c>
      <c r="D446" s="242">
        <f t="shared" si="25"/>
        <v>0</v>
      </c>
      <c r="E446" s="242">
        <f>IF(DAY(A446)='Main Budget'!$J$12,('Main Budget'!$G$12),0)</f>
        <v>0</v>
      </c>
      <c r="F446" s="242">
        <f>IF(DAY(A446)='Main Budget'!$J$13,('Main Budget'!$G$13)*2,0)</f>
        <v>0</v>
      </c>
      <c r="G446" s="242"/>
      <c r="H446" s="242">
        <f>IF(DAY(A446)='Main Budget'!$J$14,'Main Budget'!$G$14,0)</f>
        <v>0</v>
      </c>
      <c r="I446" s="242"/>
      <c r="J446" s="252">
        <f t="shared" si="26"/>
        <v>437.5</v>
      </c>
      <c r="M446" t="str">
        <f t="shared" si="27"/>
        <v>Sunday</v>
      </c>
    </row>
    <row r="447" spans="1:13" x14ac:dyDescent="0.25">
      <c r="A447" s="241">
        <v>46468</v>
      </c>
      <c r="B447" s="242">
        <f t="shared" si="24"/>
        <v>437.5</v>
      </c>
      <c r="C447" s="242">
        <f>IF(DAY(A447+2)=1,'Main Budget'!$G$39,IF(DAY(A447+2)=15,'Main Budget'!$G$39,0))</f>
        <v>0</v>
      </c>
      <c r="D447" s="242">
        <f t="shared" si="25"/>
        <v>0</v>
      </c>
      <c r="E447" s="242">
        <f>IF(DAY(A447)='Main Budget'!$J$12,('Main Budget'!$G$12),0)</f>
        <v>0</v>
      </c>
      <c r="F447" s="242">
        <f>IF(DAY(A447)='Main Budget'!$J$13,('Main Budget'!$G$13)*2,0)</f>
        <v>0</v>
      </c>
      <c r="G447" s="242"/>
      <c r="H447" s="242">
        <f>IF(DAY(A447)='Main Budget'!$J$14,'Main Budget'!$G$14,0)</f>
        <v>0</v>
      </c>
      <c r="I447" s="242"/>
      <c r="J447" s="252">
        <f t="shared" si="26"/>
        <v>437.5</v>
      </c>
      <c r="M447" t="str">
        <f t="shared" si="27"/>
        <v>Monday</v>
      </c>
    </row>
    <row r="448" spans="1:13" x14ac:dyDescent="0.25">
      <c r="A448" s="241">
        <v>46469</v>
      </c>
      <c r="B448" s="242">
        <f t="shared" si="24"/>
        <v>437.5</v>
      </c>
      <c r="C448" s="242">
        <f>IF(DAY(A448+2)=1,'Main Budget'!$G$39,IF(DAY(A448+2)=15,'Main Budget'!$G$39,0))</f>
        <v>0</v>
      </c>
      <c r="D448" s="242">
        <f t="shared" si="25"/>
        <v>0</v>
      </c>
      <c r="E448" s="242">
        <f>IF(DAY(A448)='Main Budget'!$J$12,('Main Budget'!$G$12),0)</f>
        <v>0</v>
      </c>
      <c r="F448" s="242">
        <f>IF(DAY(A448)='Main Budget'!$J$13,('Main Budget'!$G$13)*2,0)</f>
        <v>0</v>
      </c>
      <c r="G448" s="242"/>
      <c r="H448" s="242">
        <f>IF(DAY(A448)='Main Budget'!$J$14,'Main Budget'!$G$14,0)</f>
        <v>0</v>
      </c>
      <c r="I448" s="242"/>
      <c r="J448" s="252">
        <f t="shared" si="26"/>
        <v>437.5</v>
      </c>
      <c r="M448" t="str">
        <f t="shared" si="27"/>
        <v>Tuesday</v>
      </c>
    </row>
    <row r="449" spans="1:13" x14ac:dyDescent="0.25">
      <c r="A449" s="241">
        <v>46470</v>
      </c>
      <c r="B449" s="242">
        <f t="shared" si="24"/>
        <v>437.5</v>
      </c>
      <c r="C449" s="242">
        <f>IF(DAY(A449+2)=1,'Main Budget'!$G$39,IF(DAY(A449+2)=15,'Main Budget'!$G$39,0))</f>
        <v>0</v>
      </c>
      <c r="D449" s="242">
        <f t="shared" si="25"/>
        <v>0</v>
      </c>
      <c r="E449" s="242">
        <f>IF(DAY(A449)='Main Budget'!$J$12,('Main Budget'!$G$12),0)</f>
        <v>0</v>
      </c>
      <c r="F449" s="242">
        <f>IF(DAY(A449)='Main Budget'!$J$13,('Main Budget'!$G$13)*2,0)</f>
        <v>0</v>
      </c>
      <c r="G449" s="242"/>
      <c r="H449" s="242">
        <f>IF(DAY(A449)='Main Budget'!$J$14,'Main Budget'!$G$14,0)</f>
        <v>0</v>
      </c>
      <c r="I449" s="242"/>
      <c r="J449" s="252">
        <f t="shared" si="26"/>
        <v>437.5</v>
      </c>
      <c r="M449" t="str">
        <f t="shared" si="27"/>
        <v>Wednesday</v>
      </c>
    </row>
    <row r="450" spans="1:13" x14ac:dyDescent="0.25">
      <c r="A450" s="241">
        <v>46471</v>
      </c>
      <c r="B450" s="242">
        <f t="shared" si="24"/>
        <v>437.5</v>
      </c>
      <c r="C450" s="242">
        <f>IF(DAY(A450+2)=1,'Main Budget'!$G$39,IF(DAY(A450+2)=15,'Main Budget'!$G$39,0))</f>
        <v>0</v>
      </c>
      <c r="D450" s="242">
        <f t="shared" si="25"/>
        <v>0</v>
      </c>
      <c r="E450" s="242">
        <f>IF(DAY(A450)='Main Budget'!$J$12,('Main Budget'!$G$12),0)</f>
        <v>0</v>
      </c>
      <c r="F450" s="242">
        <f>IF(DAY(A450)='Main Budget'!$J$13,('Main Budget'!$G$13)*2,0)</f>
        <v>0</v>
      </c>
      <c r="G450" s="242"/>
      <c r="H450" s="242">
        <f>IF(DAY(A450)='Main Budget'!$J$14,'Main Budget'!$G$14,0)</f>
        <v>0</v>
      </c>
      <c r="I450" s="242"/>
      <c r="J450" s="252">
        <f t="shared" si="26"/>
        <v>437.5</v>
      </c>
      <c r="M450" t="str">
        <f t="shared" si="27"/>
        <v>Thursday</v>
      </c>
    </row>
    <row r="451" spans="1:13" x14ac:dyDescent="0.25">
      <c r="A451" s="241">
        <v>46472</v>
      </c>
      <c r="B451" s="242">
        <f t="shared" si="24"/>
        <v>437.5</v>
      </c>
      <c r="C451" s="242">
        <f>IF(DAY(A451+2)=1,'Main Budget'!$G$39,IF(DAY(A451+2)=15,'Main Budget'!$G$39,0))</f>
        <v>0</v>
      </c>
      <c r="D451" s="242">
        <f t="shared" si="25"/>
        <v>0</v>
      </c>
      <c r="E451" s="242">
        <f>IF(DAY(A451)='Main Budget'!$J$12,('Main Budget'!$G$12),0)</f>
        <v>0</v>
      </c>
      <c r="F451" s="242">
        <f>IF(DAY(A451)='Main Budget'!$J$13,('Main Budget'!$G$13)*2,0)</f>
        <v>0</v>
      </c>
      <c r="G451" s="242"/>
      <c r="H451" s="242">
        <f>IF(DAY(A451)='Main Budget'!$J$14,'Main Budget'!$G$14,0)</f>
        <v>0</v>
      </c>
      <c r="I451" s="242"/>
      <c r="J451" s="252">
        <f t="shared" si="26"/>
        <v>437.5</v>
      </c>
      <c r="M451" t="str">
        <f t="shared" si="27"/>
        <v>Friday</v>
      </c>
    </row>
    <row r="452" spans="1:13" x14ac:dyDescent="0.25">
      <c r="A452" s="241">
        <v>46473</v>
      </c>
      <c r="B452" s="242">
        <f t="shared" si="24"/>
        <v>437.5</v>
      </c>
      <c r="C452" s="242">
        <f>IF(DAY(A452+2)=1,'Main Budget'!$G$39,IF(DAY(A452+2)=15,'Main Budget'!$G$39,0))</f>
        <v>0</v>
      </c>
      <c r="D452" s="242">
        <f t="shared" si="25"/>
        <v>0</v>
      </c>
      <c r="E452" s="242">
        <f>IF(DAY(A452)='Main Budget'!$J$12,('Main Budget'!$G$12),0)</f>
        <v>0</v>
      </c>
      <c r="F452" s="242">
        <f>IF(DAY(A452)='Main Budget'!$J$13,('Main Budget'!$G$13)*2,0)</f>
        <v>0</v>
      </c>
      <c r="G452" s="242"/>
      <c r="H452" s="242">
        <f>IF(DAY(A452)='Main Budget'!$J$14,'Main Budget'!$G$14,0)</f>
        <v>0</v>
      </c>
      <c r="I452" s="242"/>
      <c r="J452" s="252">
        <f t="shared" si="26"/>
        <v>437.5</v>
      </c>
      <c r="M452" t="str">
        <f t="shared" si="27"/>
        <v>Saturday</v>
      </c>
    </row>
    <row r="453" spans="1:13" x14ac:dyDescent="0.25">
      <c r="A453" s="241">
        <v>46474</v>
      </c>
      <c r="B453" s="242">
        <f t="shared" si="24"/>
        <v>437.5</v>
      </c>
      <c r="C453" s="242">
        <f>IF(DAY(A453+2)=1,'Main Budget'!$G$39,IF(DAY(A453+2)=15,'Main Budget'!$G$39,0))</f>
        <v>0</v>
      </c>
      <c r="D453" s="242">
        <f t="shared" si="25"/>
        <v>0</v>
      </c>
      <c r="E453" s="242">
        <f>IF(DAY(A453)='Main Budget'!$J$12,('Main Budget'!$G$12),0)</f>
        <v>0</v>
      </c>
      <c r="F453" s="242">
        <f>IF(DAY(A453)='Main Budget'!$J$13,('Main Budget'!$G$13)*2,0)</f>
        <v>0</v>
      </c>
      <c r="G453" s="242"/>
      <c r="H453" s="242">
        <f>IF(DAY(A453)='Main Budget'!$J$14,'Main Budget'!$G$14,0)</f>
        <v>0</v>
      </c>
      <c r="I453" s="242"/>
      <c r="J453" s="252">
        <f t="shared" si="26"/>
        <v>437.5</v>
      </c>
      <c r="M453" t="str">
        <f t="shared" si="27"/>
        <v>Sunday</v>
      </c>
    </row>
    <row r="454" spans="1:13" x14ac:dyDescent="0.25">
      <c r="A454" s="241">
        <v>46475</v>
      </c>
      <c r="B454" s="242">
        <f t="shared" si="24"/>
        <v>437.5</v>
      </c>
      <c r="C454" s="242">
        <f>IF(DAY(A454+2)=1,'Main Budget'!$G$39,IF(DAY(A454+2)=15,'Main Budget'!$G$39,0))</f>
        <v>0</v>
      </c>
      <c r="D454" s="242">
        <f t="shared" si="25"/>
        <v>0</v>
      </c>
      <c r="E454" s="242">
        <f>IF(DAY(A454)='Main Budget'!$J$12,('Main Budget'!$G$12),0)</f>
        <v>0</v>
      </c>
      <c r="F454" s="242">
        <f>IF(DAY(A454)='Main Budget'!$J$13,('Main Budget'!$G$13)*2,0)</f>
        <v>0</v>
      </c>
      <c r="G454" s="242"/>
      <c r="H454" s="242">
        <f>IF(DAY(A454)='Main Budget'!$J$14,'Main Budget'!$G$14,0)</f>
        <v>0</v>
      </c>
      <c r="I454" s="242"/>
      <c r="J454" s="252">
        <f t="shared" si="26"/>
        <v>437.5</v>
      </c>
      <c r="M454" t="str">
        <f t="shared" si="27"/>
        <v>Monday</v>
      </c>
    </row>
    <row r="455" spans="1:13" x14ac:dyDescent="0.25">
      <c r="A455" s="241">
        <v>46476</v>
      </c>
      <c r="B455" s="242">
        <f t="shared" si="24"/>
        <v>437.5</v>
      </c>
      <c r="C455" s="242">
        <f>IF(DAY(A455+2)=1,'Main Budget'!$G$39,IF(DAY(A455+2)=15,'Main Budget'!$G$39,0))</f>
        <v>0</v>
      </c>
      <c r="D455" s="242">
        <f t="shared" si="25"/>
        <v>0</v>
      </c>
      <c r="E455" s="242">
        <f>IF(DAY(A455)='Main Budget'!$J$12,('Main Budget'!$G$12),0)</f>
        <v>0</v>
      </c>
      <c r="F455" s="242">
        <f>IF(DAY(A455)='Main Budget'!$J$13,('Main Budget'!$G$13)*2,0)</f>
        <v>0</v>
      </c>
      <c r="G455" s="242"/>
      <c r="H455" s="242">
        <f>IF(DAY(A455)='Main Budget'!$J$14,'Main Budget'!$G$14,0)</f>
        <v>0</v>
      </c>
      <c r="I455" s="242"/>
      <c r="J455" s="252">
        <f t="shared" si="26"/>
        <v>437.5</v>
      </c>
      <c r="M455" t="str">
        <f t="shared" si="27"/>
        <v>Tuesday</v>
      </c>
    </row>
    <row r="456" spans="1:13" x14ac:dyDescent="0.25">
      <c r="A456" s="241">
        <v>46477</v>
      </c>
      <c r="B456" s="242">
        <f t="shared" si="24"/>
        <v>437.5</v>
      </c>
      <c r="C456" s="242">
        <f>IF(DAY(A456+2)=1,'Main Budget'!$G$39,IF(DAY(A456+2)=15,'Main Budget'!$G$39,0))</f>
        <v>0</v>
      </c>
      <c r="D456" s="242">
        <f t="shared" si="25"/>
        <v>0</v>
      </c>
      <c r="E456" s="242">
        <f>IF(DAY(A456)='Main Budget'!$J$12,('Main Budget'!$G$12),0)</f>
        <v>0</v>
      </c>
      <c r="F456" s="242">
        <f>IF(DAY(A456)='Main Budget'!$J$13,('Main Budget'!$G$13)*2,0)</f>
        <v>0</v>
      </c>
      <c r="G456" s="242"/>
      <c r="H456" s="242">
        <f>IF(DAY(A456)='Main Budget'!$J$14,'Main Budget'!$G$14,0)</f>
        <v>0</v>
      </c>
      <c r="I456" s="242"/>
      <c r="J456" s="252">
        <f t="shared" si="26"/>
        <v>437.5</v>
      </c>
      <c r="M456" t="str">
        <f t="shared" si="27"/>
        <v>Wednesday</v>
      </c>
    </row>
    <row r="457" spans="1:13" x14ac:dyDescent="0.25">
      <c r="A457" s="241">
        <v>46478</v>
      </c>
      <c r="B457" s="242">
        <f t="shared" si="24"/>
        <v>437.5</v>
      </c>
      <c r="C457" s="242">
        <f>IF(DAY(A457+2)=1,'Main Budget'!$G$39,IF(DAY(A457+2)=15,'Main Budget'!$G$39,0))</f>
        <v>0</v>
      </c>
      <c r="D457" s="242">
        <f t="shared" si="25"/>
        <v>11.25</v>
      </c>
      <c r="E457" s="242">
        <f>IF(DAY(A457)='Main Budget'!$J$12,('Main Budget'!$G$12),0)</f>
        <v>0</v>
      </c>
      <c r="F457" s="242">
        <f>IF(DAY(A457)='Main Budget'!$J$13,('Main Budget'!$G$13)*2,0)</f>
        <v>0</v>
      </c>
      <c r="G457" s="242"/>
      <c r="H457" s="242">
        <f>IF(DAY(A457)='Main Budget'!$J$14,'Main Budget'!$G$14,0)</f>
        <v>0</v>
      </c>
      <c r="I457" s="242"/>
      <c r="J457" s="252">
        <f t="shared" si="26"/>
        <v>448.75</v>
      </c>
      <c r="M457" t="str">
        <f t="shared" si="27"/>
        <v>Thursday</v>
      </c>
    </row>
    <row r="458" spans="1:13" x14ac:dyDescent="0.25">
      <c r="A458" s="241">
        <v>46479</v>
      </c>
      <c r="B458" s="242">
        <f t="shared" si="24"/>
        <v>448.75</v>
      </c>
      <c r="C458" s="242">
        <f>IF(DAY(A458+2)=1,'Main Budget'!$G$39,IF(DAY(A458+2)=15,'Main Budget'!$G$39,0))</f>
        <v>0</v>
      </c>
      <c r="D458" s="242">
        <f t="shared" si="25"/>
        <v>0</v>
      </c>
      <c r="E458" s="242">
        <f>IF(DAY(A458)='Main Budget'!$J$12,('Main Budget'!$G$12),0)</f>
        <v>0</v>
      </c>
      <c r="F458" s="242">
        <f>IF(DAY(A458)='Main Budget'!$J$13,('Main Budget'!$G$13)*2,0)</f>
        <v>0</v>
      </c>
      <c r="G458" s="242"/>
      <c r="H458" s="242">
        <f>IF(DAY(A458)='Main Budget'!$J$14,'Main Budget'!$G$14,0)</f>
        <v>0</v>
      </c>
      <c r="I458" s="242"/>
      <c r="J458" s="252">
        <f t="shared" si="26"/>
        <v>448.75</v>
      </c>
      <c r="M458" t="str">
        <f t="shared" si="27"/>
        <v>Friday</v>
      </c>
    </row>
    <row r="459" spans="1:13" x14ac:dyDescent="0.25">
      <c r="A459" s="241">
        <v>46480</v>
      </c>
      <c r="B459" s="242">
        <f t="shared" si="24"/>
        <v>448.75</v>
      </c>
      <c r="C459" s="242">
        <f>IF(DAY(A459+2)=1,'Main Budget'!$G$39,IF(DAY(A459+2)=15,'Main Budget'!$G$39,0))</f>
        <v>0</v>
      </c>
      <c r="D459" s="242">
        <f t="shared" si="25"/>
        <v>0</v>
      </c>
      <c r="E459" s="242">
        <f>IF(DAY(A459)='Main Budget'!$J$12,('Main Budget'!$G$12),0)</f>
        <v>0</v>
      </c>
      <c r="F459" s="242">
        <f>IF(DAY(A459)='Main Budget'!$J$13,('Main Budget'!$G$13)*2,0)</f>
        <v>0</v>
      </c>
      <c r="G459" s="242"/>
      <c r="H459" s="242">
        <f>IF(DAY(A459)='Main Budget'!$J$14,'Main Budget'!$G$14,0)</f>
        <v>0</v>
      </c>
      <c r="I459" s="242"/>
      <c r="J459" s="252">
        <f t="shared" si="26"/>
        <v>448.75</v>
      </c>
      <c r="M459" t="str">
        <f t="shared" si="27"/>
        <v>Saturday</v>
      </c>
    </row>
    <row r="460" spans="1:13" x14ac:dyDescent="0.25">
      <c r="A460" s="241">
        <v>46481</v>
      </c>
      <c r="B460" s="242">
        <f t="shared" si="24"/>
        <v>448.75</v>
      </c>
      <c r="C460" s="242">
        <f>IF(DAY(A460+2)=1,'Main Budget'!$G$39,IF(DAY(A460+2)=15,'Main Budget'!$G$39,0))</f>
        <v>0</v>
      </c>
      <c r="D460" s="242">
        <f t="shared" si="25"/>
        <v>0</v>
      </c>
      <c r="E460" s="242">
        <f>IF(DAY(A460)='Main Budget'!$J$12,('Main Budget'!$G$12),0)</f>
        <v>0</v>
      </c>
      <c r="F460" s="242">
        <f>IF(DAY(A460)='Main Budget'!$J$13,('Main Budget'!$G$13)*2,0)</f>
        <v>0</v>
      </c>
      <c r="G460" s="242"/>
      <c r="H460" s="242">
        <f>IF(DAY(A460)='Main Budget'!$J$14,'Main Budget'!$G$14,0)</f>
        <v>0</v>
      </c>
      <c r="I460" s="242"/>
      <c r="J460" s="252">
        <f t="shared" si="26"/>
        <v>448.75</v>
      </c>
      <c r="M460" t="str">
        <f t="shared" si="27"/>
        <v>Sunday</v>
      </c>
    </row>
    <row r="461" spans="1:13" x14ac:dyDescent="0.25">
      <c r="A461" s="241">
        <v>46482</v>
      </c>
      <c r="B461" s="242">
        <f t="shared" si="24"/>
        <v>448.75</v>
      </c>
      <c r="C461" s="242">
        <f>IF(DAY(A461+2)=1,'Main Budget'!$G$39,IF(DAY(A461+2)=15,'Main Budget'!$G$39,0))</f>
        <v>0</v>
      </c>
      <c r="D461" s="242">
        <f t="shared" si="25"/>
        <v>0</v>
      </c>
      <c r="E461" s="242">
        <f>IF(DAY(A461)='Main Budget'!$J$12,('Main Budget'!$G$12),0)</f>
        <v>0</v>
      </c>
      <c r="F461" s="242">
        <f>IF(DAY(A461)='Main Budget'!$J$13,('Main Budget'!$G$13)*2,0)</f>
        <v>0</v>
      </c>
      <c r="G461" s="242"/>
      <c r="H461" s="242">
        <f>IF(DAY(A461)='Main Budget'!$J$14,'Main Budget'!$G$14,0)</f>
        <v>0</v>
      </c>
      <c r="I461" s="242"/>
      <c r="J461" s="252">
        <f t="shared" si="26"/>
        <v>448.75</v>
      </c>
      <c r="M461" t="str">
        <f t="shared" si="27"/>
        <v>Monday</v>
      </c>
    </row>
    <row r="462" spans="1:13" x14ac:dyDescent="0.25">
      <c r="A462" s="241">
        <v>46483</v>
      </c>
      <c r="B462" s="242">
        <f t="shared" si="24"/>
        <v>448.75</v>
      </c>
      <c r="C462" s="242">
        <f>IF(DAY(A462+2)=1,'Main Budget'!$G$39,IF(DAY(A462+2)=15,'Main Budget'!$G$39,0))</f>
        <v>0</v>
      </c>
      <c r="D462" s="242">
        <f t="shared" si="25"/>
        <v>0</v>
      </c>
      <c r="E462" s="242">
        <f>IF(DAY(A462)='Main Budget'!$J$12,('Main Budget'!$G$12),0)</f>
        <v>0</v>
      </c>
      <c r="F462" s="242">
        <f>IF(DAY(A462)='Main Budget'!$J$13,('Main Budget'!$G$13)*2,0)</f>
        <v>0</v>
      </c>
      <c r="G462" s="242"/>
      <c r="H462" s="242">
        <f>IF(DAY(A462)='Main Budget'!$J$14,'Main Budget'!$G$14,0)</f>
        <v>0</v>
      </c>
      <c r="I462" s="242"/>
      <c r="J462" s="252">
        <f t="shared" si="26"/>
        <v>448.75</v>
      </c>
      <c r="M462" t="str">
        <f t="shared" si="27"/>
        <v>Tuesday</v>
      </c>
    </row>
    <row r="463" spans="1:13" x14ac:dyDescent="0.25">
      <c r="A463" s="241">
        <v>46484</v>
      </c>
      <c r="B463" s="242">
        <f t="shared" si="24"/>
        <v>448.75</v>
      </c>
      <c r="C463" s="242">
        <f>IF(DAY(A463+2)=1,'Main Budget'!$G$39,IF(DAY(A463+2)=15,'Main Budget'!$G$39,0))</f>
        <v>0</v>
      </c>
      <c r="D463" s="242">
        <f t="shared" si="25"/>
        <v>0</v>
      </c>
      <c r="E463" s="242">
        <f>IF(DAY(A463)='Main Budget'!$J$12,('Main Budget'!$G$12),0)</f>
        <v>0</v>
      </c>
      <c r="F463" s="242">
        <f>IF(DAY(A463)='Main Budget'!$J$13,('Main Budget'!$G$13)*2,0)</f>
        <v>0</v>
      </c>
      <c r="G463" s="242"/>
      <c r="H463" s="242">
        <f>IF(DAY(A463)='Main Budget'!$J$14,'Main Budget'!$G$14,0)</f>
        <v>0</v>
      </c>
      <c r="I463" s="242"/>
      <c r="J463" s="252">
        <f t="shared" si="26"/>
        <v>448.75</v>
      </c>
      <c r="M463" t="str">
        <f t="shared" si="27"/>
        <v>Wednesday</v>
      </c>
    </row>
    <row r="464" spans="1:13" x14ac:dyDescent="0.25">
      <c r="A464" s="241">
        <v>46485</v>
      </c>
      <c r="B464" s="242">
        <f t="shared" si="24"/>
        <v>448.75</v>
      </c>
      <c r="C464" s="242">
        <f>IF(DAY(A464+2)=1,'Main Budget'!$G$39,IF(DAY(A464+2)=15,'Main Budget'!$G$39,0))</f>
        <v>0</v>
      </c>
      <c r="D464" s="242">
        <f t="shared" si="25"/>
        <v>0</v>
      </c>
      <c r="E464" s="242">
        <f>IF(DAY(A464)='Main Budget'!$J$12,('Main Budget'!$G$12),0)</f>
        <v>0</v>
      </c>
      <c r="F464" s="242">
        <f>IF(DAY(A464)='Main Budget'!$J$13,('Main Budget'!$G$13)*2,0)</f>
        <v>0</v>
      </c>
      <c r="G464" s="242"/>
      <c r="H464" s="242">
        <f>IF(DAY(A464)='Main Budget'!$J$14,'Main Budget'!$G$14,0)</f>
        <v>0</v>
      </c>
      <c r="I464" s="242"/>
      <c r="J464" s="252">
        <f t="shared" si="26"/>
        <v>448.75</v>
      </c>
      <c r="M464" t="str">
        <f t="shared" si="27"/>
        <v>Thursday</v>
      </c>
    </row>
    <row r="465" spans="1:13" x14ac:dyDescent="0.25">
      <c r="A465" s="241">
        <v>46486</v>
      </c>
      <c r="B465" s="242">
        <f t="shared" ref="B465:B528" si="28">J464</f>
        <v>448.75</v>
      </c>
      <c r="C465" s="242">
        <f>IF(DAY(A465+2)=1,'Main Budget'!$G$39,IF(DAY(A465+2)=15,'Main Budget'!$G$39,0))</f>
        <v>0</v>
      </c>
      <c r="D465" s="242">
        <f t="shared" ref="D465:D528" si="29">IF(OR(DAY(A465)=1,DAY(A465)=15),11.25,0)</f>
        <v>0</v>
      </c>
      <c r="E465" s="242">
        <f>IF(DAY(A465)='Main Budget'!$J$12,('Main Budget'!$G$12),0)</f>
        <v>0</v>
      </c>
      <c r="F465" s="242">
        <f>IF(DAY(A465)='Main Budget'!$J$13,('Main Budget'!$G$13)*2,0)</f>
        <v>0</v>
      </c>
      <c r="G465" s="242"/>
      <c r="H465" s="242">
        <f>IF(DAY(A465)='Main Budget'!$J$14,'Main Budget'!$G$14,0)</f>
        <v>0</v>
      </c>
      <c r="I465" s="242"/>
      <c r="J465" s="252">
        <f t="shared" ref="J465:J528" si="30">J464+(SUM(C465:I465))</f>
        <v>448.75</v>
      </c>
      <c r="M465" t="str">
        <f t="shared" ref="M465:M528" si="31">TEXT(A465,"dddd")</f>
        <v>Friday</v>
      </c>
    </row>
    <row r="466" spans="1:13" x14ac:dyDescent="0.25">
      <c r="A466" s="241">
        <v>46487</v>
      </c>
      <c r="B466" s="242">
        <f t="shared" si="28"/>
        <v>448.75</v>
      </c>
      <c r="C466" s="242">
        <f>IF(DAY(A466+2)=1,'Main Budget'!$G$39,IF(DAY(A466+2)=15,'Main Budget'!$G$39,0))</f>
        <v>0</v>
      </c>
      <c r="D466" s="242">
        <f t="shared" si="29"/>
        <v>0</v>
      </c>
      <c r="E466" s="242">
        <f>IF(DAY(A466)='Main Budget'!$J$12,('Main Budget'!$G$12),0)</f>
        <v>0</v>
      </c>
      <c r="F466" s="242">
        <f>IF(DAY(A466)='Main Budget'!$J$13,('Main Budget'!$G$13)*2,0)</f>
        <v>0</v>
      </c>
      <c r="G466" s="242"/>
      <c r="H466" s="242">
        <f>IF(DAY(A466)='Main Budget'!$J$14,'Main Budget'!$G$14,0)</f>
        <v>0</v>
      </c>
      <c r="I466" s="242"/>
      <c r="J466" s="252">
        <f t="shared" si="30"/>
        <v>448.75</v>
      </c>
      <c r="M466" t="str">
        <f t="shared" si="31"/>
        <v>Saturday</v>
      </c>
    </row>
    <row r="467" spans="1:13" x14ac:dyDescent="0.25">
      <c r="A467" s="241">
        <v>46488</v>
      </c>
      <c r="B467" s="242">
        <f t="shared" si="28"/>
        <v>448.75</v>
      </c>
      <c r="C467" s="242">
        <f>IF(DAY(A467+2)=1,'Main Budget'!$G$39,IF(DAY(A467+2)=15,'Main Budget'!$G$39,0))</f>
        <v>0</v>
      </c>
      <c r="D467" s="242">
        <f t="shared" si="29"/>
        <v>0</v>
      </c>
      <c r="E467" s="242">
        <f>IF(DAY(A467)='Main Budget'!$J$12,('Main Budget'!$G$12),0)</f>
        <v>0</v>
      </c>
      <c r="F467" s="242">
        <f>IF(DAY(A467)='Main Budget'!$J$13,('Main Budget'!$G$13)*2,0)</f>
        <v>0</v>
      </c>
      <c r="G467" s="242"/>
      <c r="H467" s="242">
        <f>IF(DAY(A467)='Main Budget'!$J$14,'Main Budget'!$G$14,0)</f>
        <v>0</v>
      </c>
      <c r="I467" s="242"/>
      <c r="J467" s="252">
        <f t="shared" si="30"/>
        <v>448.75</v>
      </c>
      <c r="M467" t="str">
        <f t="shared" si="31"/>
        <v>Sunday</v>
      </c>
    </row>
    <row r="468" spans="1:13" x14ac:dyDescent="0.25">
      <c r="A468" s="241">
        <v>46489</v>
      </c>
      <c r="B468" s="242">
        <f t="shared" si="28"/>
        <v>448.75</v>
      </c>
      <c r="C468" s="242">
        <f>IF(DAY(A468+2)=1,'Main Budget'!$G$39,IF(DAY(A468+2)=15,'Main Budget'!$G$39,0))</f>
        <v>0</v>
      </c>
      <c r="D468" s="242">
        <f t="shared" si="29"/>
        <v>0</v>
      </c>
      <c r="E468" s="242">
        <f>IF(DAY(A468)='Main Budget'!$J$12,('Main Budget'!$G$12),0)</f>
        <v>0</v>
      </c>
      <c r="F468" s="242">
        <f>IF(DAY(A468)='Main Budget'!$J$13,('Main Budget'!$G$13)*2,0)</f>
        <v>0</v>
      </c>
      <c r="G468" s="242"/>
      <c r="H468" s="242">
        <f>IF(DAY(A468)='Main Budget'!$J$14,'Main Budget'!$G$14,0)</f>
        <v>0</v>
      </c>
      <c r="I468" s="242"/>
      <c r="J468" s="252">
        <f t="shared" si="30"/>
        <v>448.75</v>
      </c>
      <c r="M468" t="str">
        <f t="shared" si="31"/>
        <v>Monday</v>
      </c>
    </row>
    <row r="469" spans="1:13" x14ac:dyDescent="0.25">
      <c r="A469" s="241">
        <v>46490</v>
      </c>
      <c r="B469" s="242">
        <f t="shared" si="28"/>
        <v>448.75</v>
      </c>
      <c r="C469" s="242">
        <f>IF(DAY(A469+2)=1,'Main Budget'!$G$39,IF(DAY(A469+2)=15,'Main Budget'!$G$39,0))</f>
        <v>0</v>
      </c>
      <c r="D469" s="242">
        <f t="shared" si="29"/>
        <v>0</v>
      </c>
      <c r="E469" s="242">
        <f>IF(DAY(A469)='Main Budget'!$J$12,('Main Budget'!$G$12),0)</f>
        <v>0</v>
      </c>
      <c r="F469" s="242">
        <f>IF(DAY(A469)='Main Budget'!$J$13,('Main Budget'!$G$13)*2,0)</f>
        <v>0</v>
      </c>
      <c r="G469" s="242"/>
      <c r="H469" s="242">
        <f>IF(DAY(A469)='Main Budget'!$J$14,'Main Budget'!$G$14,0)</f>
        <v>0</v>
      </c>
      <c r="I469" s="242"/>
      <c r="J469" s="252">
        <f t="shared" si="30"/>
        <v>448.75</v>
      </c>
      <c r="M469" t="str">
        <f t="shared" si="31"/>
        <v>Tuesday</v>
      </c>
    </row>
    <row r="470" spans="1:13" x14ac:dyDescent="0.25">
      <c r="A470" s="241">
        <v>46491</v>
      </c>
      <c r="B470" s="242">
        <f t="shared" si="28"/>
        <v>448.75</v>
      </c>
      <c r="C470" s="242">
        <f>IF(DAY(A470+2)=1,'Main Budget'!$G$39,IF(DAY(A470+2)=15,'Main Budget'!$G$39,0))</f>
        <v>0</v>
      </c>
      <c r="D470" s="242">
        <f t="shared" si="29"/>
        <v>0</v>
      </c>
      <c r="E470" s="242">
        <f>IF(DAY(A470)='Main Budget'!$J$12,('Main Budget'!$G$12),0)</f>
        <v>0</v>
      </c>
      <c r="F470" s="242">
        <f>IF(DAY(A470)='Main Budget'!$J$13,('Main Budget'!$G$13)*2,0)</f>
        <v>0</v>
      </c>
      <c r="G470" s="242"/>
      <c r="H470" s="242">
        <f>IF(DAY(A470)='Main Budget'!$J$14,'Main Budget'!$G$14,0)</f>
        <v>0</v>
      </c>
      <c r="I470" s="242"/>
      <c r="J470" s="252">
        <f t="shared" si="30"/>
        <v>448.75</v>
      </c>
      <c r="M470" t="str">
        <f t="shared" si="31"/>
        <v>Wednesday</v>
      </c>
    </row>
    <row r="471" spans="1:13" x14ac:dyDescent="0.25">
      <c r="A471" s="241">
        <v>46492</v>
      </c>
      <c r="B471" s="242">
        <f t="shared" si="28"/>
        <v>448.75</v>
      </c>
      <c r="C471" s="242">
        <f>IF(DAY(A471+2)=1,'Main Budget'!$G$39,IF(DAY(A471+2)=15,'Main Budget'!$G$39,0))</f>
        <v>0</v>
      </c>
      <c r="D471" s="242">
        <f t="shared" si="29"/>
        <v>11.25</v>
      </c>
      <c r="E471" s="242">
        <f>IF(DAY(A471)='Main Budget'!$J$12,('Main Budget'!$G$12),0)</f>
        <v>0</v>
      </c>
      <c r="F471" s="242">
        <f>IF(DAY(A471)='Main Budget'!$J$13,('Main Budget'!$G$13)*2,0)</f>
        <v>0</v>
      </c>
      <c r="G471" s="242"/>
      <c r="H471" s="242">
        <f>IF(DAY(A471)='Main Budget'!$J$14,'Main Budget'!$G$14,0)</f>
        <v>0</v>
      </c>
      <c r="I471" s="242"/>
      <c r="J471" s="252">
        <f t="shared" si="30"/>
        <v>460</v>
      </c>
      <c r="M471" t="str">
        <f t="shared" si="31"/>
        <v>Thursday</v>
      </c>
    </row>
    <row r="472" spans="1:13" x14ac:dyDescent="0.25">
      <c r="A472" s="241">
        <v>46493</v>
      </c>
      <c r="B472" s="242">
        <f t="shared" si="28"/>
        <v>460</v>
      </c>
      <c r="C472" s="242">
        <f>IF(DAY(A472+2)=1,'Main Budget'!$G$39,IF(DAY(A472+2)=15,'Main Budget'!$G$39,0))</f>
        <v>0</v>
      </c>
      <c r="D472" s="242">
        <f t="shared" si="29"/>
        <v>0</v>
      </c>
      <c r="E472" s="242">
        <f>IF(DAY(A472)='Main Budget'!$J$12,('Main Budget'!$G$12),0)</f>
        <v>0</v>
      </c>
      <c r="F472" s="242">
        <f>IF(DAY(A472)='Main Budget'!$J$13,('Main Budget'!$G$13)*2,0)</f>
        <v>0</v>
      </c>
      <c r="G472" s="242"/>
      <c r="H472" s="242">
        <f>IF(DAY(A472)='Main Budget'!$J$14,'Main Budget'!$G$14,0)</f>
        <v>0</v>
      </c>
      <c r="I472" s="242"/>
      <c r="J472" s="252">
        <f t="shared" si="30"/>
        <v>460</v>
      </c>
      <c r="M472" t="str">
        <f t="shared" si="31"/>
        <v>Friday</v>
      </c>
    </row>
    <row r="473" spans="1:13" x14ac:dyDescent="0.25">
      <c r="A473" s="241">
        <v>46494</v>
      </c>
      <c r="B473" s="242">
        <f t="shared" si="28"/>
        <v>460</v>
      </c>
      <c r="C473" s="242">
        <f>IF(DAY(A473+2)=1,'Main Budget'!$G$39,IF(DAY(A473+2)=15,'Main Budget'!$G$39,0))</f>
        <v>0</v>
      </c>
      <c r="D473" s="242">
        <f t="shared" si="29"/>
        <v>0</v>
      </c>
      <c r="E473" s="242">
        <f>IF(DAY(A473)='Main Budget'!$J$12,('Main Budget'!$G$12),0)</f>
        <v>0</v>
      </c>
      <c r="F473" s="242">
        <f>IF(DAY(A473)='Main Budget'!$J$13,('Main Budget'!$G$13)*2,0)</f>
        <v>0</v>
      </c>
      <c r="G473" s="242"/>
      <c r="H473" s="242">
        <f>IF(DAY(A473)='Main Budget'!$J$14,'Main Budget'!$G$14,0)</f>
        <v>0</v>
      </c>
      <c r="I473" s="242"/>
      <c r="J473" s="252">
        <f t="shared" si="30"/>
        <v>460</v>
      </c>
      <c r="M473" t="str">
        <f t="shared" si="31"/>
        <v>Saturday</v>
      </c>
    </row>
    <row r="474" spans="1:13" x14ac:dyDescent="0.25">
      <c r="A474" s="241">
        <v>46495</v>
      </c>
      <c r="B474" s="242">
        <f t="shared" si="28"/>
        <v>460</v>
      </c>
      <c r="C474" s="242">
        <f>IF(DAY(A474+2)=1,'Main Budget'!$G$39,IF(DAY(A474+2)=15,'Main Budget'!$G$39,0))</f>
        <v>0</v>
      </c>
      <c r="D474" s="242">
        <f t="shared" si="29"/>
        <v>0</v>
      </c>
      <c r="E474" s="242">
        <f>IF(DAY(A474)='Main Budget'!$J$12,('Main Budget'!$G$12),0)</f>
        <v>0</v>
      </c>
      <c r="F474" s="242">
        <f>IF(DAY(A474)='Main Budget'!$J$13,('Main Budget'!$G$13)*2,0)</f>
        <v>0</v>
      </c>
      <c r="G474" s="242"/>
      <c r="H474" s="242">
        <f>IF(DAY(A474)='Main Budget'!$J$14,'Main Budget'!$G$14,0)</f>
        <v>0</v>
      </c>
      <c r="I474" s="242"/>
      <c r="J474" s="252">
        <f t="shared" si="30"/>
        <v>460</v>
      </c>
      <c r="M474" t="str">
        <f t="shared" si="31"/>
        <v>Sunday</v>
      </c>
    </row>
    <row r="475" spans="1:13" x14ac:dyDescent="0.25">
      <c r="A475" s="241">
        <v>46496</v>
      </c>
      <c r="B475" s="242">
        <f t="shared" si="28"/>
        <v>460</v>
      </c>
      <c r="C475" s="242">
        <f>IF(DAY(A475+2)=1,'Main Budget'!$G$39,IF(DAY(A475+2)=15,'Main Budget'!$G$39,0))</f>
        <v>0</v>
      </c>
      <c r="D475" s="242">
        <f t="shared" si="29"/>
        <v>0</v>
      </c>
      <c r="E475" s="242">
        <f>IF(DAY(A475)='Main Budget'!$J$12,('Main Budget'!$G$12),0)</f>
        <v>0</v>
      </c>
      <c r="F475" s="242">
        <f>IF(DAY(A475)='Main Budget'!$J$13,('Main Budget'!$G$13)*2,0)</f>
        <v>0</v>
      </c>
      <c r="G475" s="242"/>
      <c r="H475" s="242">
        <f>IF(DAY(A475)='Main Budget'!$J$14,'Main Budget'!$G$14,0)</f>
        <v>0</v>
      </c>
      <c r="I475" s="242"/>
      <c r="J475" s="252">
        <f t="shared" si="30"/>
        <v>460</v>
      </c>
      <c r="M475" t="str">
        <f t="shared" si="31"/>
        <v>Monday</v>
      </c>
    </row>
    <row r="476" spans="1:13" x14ac:dyDescent="0.25">
      <c r="A476" s="241">
        <v>46497</v>
      </c>
      <c r="B476" s="242">
        <f t="shared" si="28"/>
        <v>460</v>
      </c>
      <c r="C476" s="242">
        <f>IF(DAY(A476+2)=1,'Main Budget'!$G$39,IF(DAY(A476+2)=15,'Main Budget'!$G$39,0))</f>
        <v>0</v>
      </c>
      <c r="D476" s="242">
        <f t="shared" si="29"/>
        <v>0</v>
      </c>
      <c r="E476" s="242">
        <f>IF(DAY(A476)='Main Budget'!$J$12,('Main Budget'!$G$12),0)</f>
        <v>0</v>
      </c>
      <c r="F476" s="242">
        <f>IF(DAY(A476)='Main Budget'!$J$13,('Main Budget'!$G$13)*2,0)</f>
        <v>0</v>
      </c>
      <c r="G476" s="242"/>
      <c r="H476" s="242">
        <f>IF(DAY(A476)='Main Budget'!$J$14,'Main Budget'!$G$14,0)</f>
        <v>0</v>
      </c>
      <c r="I476" s="242"/>
      <c r="J476" s="252">
        <f t="shared" si="30"/>
        <v>460</v>
      </c>
      <c r="M476" t="str">
        <f t="shared" si="31"/>
        <v>Tuesday</v>
      </c>
    </row>
    <row r="477" spans="1:13" x14ac:dyDescent="0.25">
      <c r="A477" s="241">
        <v>46498</v>
      </c>
      <c r="B477" s="242">
        <f t="shared" si="28"/>
        <v>460</v>
      </c>
      <c r="C477" s="242">
        <f>IF(DAY(A477+2)=1,'Main Budget'!$G$39,IF(DAY(A477+2)=15,'Main Budget'!$G$39,0))</f>
        <v>0</v>
      </c>
      <c r="D477" s="242">
        <f t="shared" si="29"/>
        <v>0</v>
      </c>
      <c r="E477" s="242">
        <f>IF(DAY(A477)='Main Budget'!$J$12,('Main Budget'!$G$12),0)</f>
        <v>0</v>
      </c>
      <c r="F477" s="242">
        <f>IF(DAY(A477)='Main Budget'!$J$13,('Main Budget'!$G$13)*2,0)</f>
        <v>0</v>
      </c>
      <c r="G477" s="242"/>
      <c r="H477" s="242">
        <f>IF(DAY(A477)='Main Budget'!$J$14,'Main Budget'!$G$14,0)</f>
        <v>0</v>
      </c>
      <c r="I477" s="242"/>
      <c r="J477" s="252">
        <f t="shared" si="30"/>
        <v>460</v>
      </c>
      <c r="M477" t="str">
        <f t="shared" si="31"/>
        <v>Wednesday</v>
      </c>
    </row>
    <row r="478" spans="1:13" x14ac:dyDescent="0.25">
      <c r="A478" s="241">
        <v>46499</v>
      </c>
      <c r="B478" s="242">
        <f t="shared" si="28"/>
        <v>460</v>
      </c>
      <c r="C478" s="242">
        <f>IF(DAY(A478+2)=1,'Main Budget'!$G$39,IF(DAY(A478+2)=15,'Main Budget'!$G$39,0))</f>
        <v>0</v>
      </c>
      <c r="D478" s="242">
        <f t="shared" si="29"/>
        <v>0</v>
      </c>
      <c r="E478" s="242">
        <f>IF(DAY(A478)='Main Budget'!$J$12,('Main Budget'!$G$12),0)</f>
        <v>0</v>
      </c>
      <c r="F478" s="242">
        <f>IF(DAY(A478)='Main Budget'!$J$13,('Main Budget'!$G$13)*2,0)</f>
        <v>0</v>
      </c>
      <c r="G478" s="242"/>
      <c r="H478" s="242">
        <f>IF(DAY(A478)='Main Budget'!$J$14,'Main Budget'!$G$14,0)</f>
        <v>0</v>
      </c>
      <c r="I478" s="242"/>
      <c r="J478" s="252">
        <f t="shared" si="30"/>
        <v>460</v>
      </c>
      <c r="M478" t="str">
        <f t="shared" si="31"/>
        <v>Thursday</v>
      </c>
    </row>
    <row r="479" spans="1:13" x14ac:dyDescent="0.25">
      <c r="A479" s="241">
        <v>46500</v>
      </c>
      <c r="B479" s="242">
        <f t="shared" si="28"/>
        <v>460</v>
      </c>
      <c r="C479" s="242">
        <f>IF(DAY(A479+2)=1,'Main Budget'!$G$39,IF(DAY(A479+2)=15,'Main Budget'!$G$39,0))</f>
        <v>0</v>
      </c>
      <c r="D479" s="242">
        <f t="shared" si="29"/>
        <v>0</v>
      </c>
      <c r="E479" s="242">
        <f>IF(DAY(A479)='Main Budget'!$J$12,('Main Budget'!$G$12),0)</f>
        <v>0</v>
      </c>
      <c r="F479" s="242">
        <f>IF(DAY(A479)='Main Budget'!$J$13,('Main Budget'!$G$13)*2,0)</f>
        <v>0</v>
      </c>
      <c r="G479" s="242"/>
      <c r="H479" s="242">
        <f>IF(DAY(A479)='Main Budget'!$J$14,'Main Budget'!$G$14,0)</f>
        <v>0</v>
      </c>
      <c r="I479" s="242"/>
      <c r="J479" s="252">
        <f t="shared" si="30"/>
        <v>460</v>
      </c>
      <c r="M479" t="str">
        <f t="shared" si="31"/>
        <v>Friday</v>
      </c>
    </row>
    <row r="480" spans="1:13" x14ac:dyDescent="0.25">
      <c r="A480" s="241">
        <v>46501</v>
      </c>
      <c r="B480" s="242">
        <f t="shared" si="28"/>
        <v>460</v>
      </c>
      <c r="C480" s="242">
        <f>IF(DAY(A480+2)=1,'Main Budget'!$G$39,IF(DAY(A480+2)=15,'Main Budget'!$G$39,0))</f>
        <v>0</v>
      </c>
      <c r="D480" s="242">
        <f t="shared" si="29"/>
        <v>0</v>
      </c>
      <c r="E480" s="242">
        <f>IF(DAY(A480)='Main Budget'!$J$12,('Main Budget'!$G$12),0)</f>
        <v>0</v>
      </c>
      <c r="F480" s="242">
        <f>IF(DAY(A480)='Main Budget'!$J$13,('Main Budget'!$G$13)*2,0)</f>
        <v>0</v>
      </c>
      <c r="G480" s="242"/>
      <c r="H480" s="242">
        <f>IF(DAY(A480)='Main Budget'!$J$14,'Main Budget'!$G$14,0)</f>
        <v>0</v>
      </c>
      <c r="I480" s="242"/>
      <c r="J480" s="252">
        <f t="shared" si="30"/>
        <v>460</v>
      </c>
      <c r="M480" t="str">
        <f t="shared" si="31"/>
        <v>Saturday</v>
      </c>
    </row>
    <row r="481" spans="1:13" x14ac:dyDescent="0.25">
      <c r="A481" s="241">
        <v>46502</v>
      </c>
      <c r="B481" s="242">
        <f t="shared" si="28"/>
        <v>460</v>
      </c>
      <c r="C481" s="242">
        <f>IF(DAY(A481+2)=1,'Main Budget'!$G$39,IF(DAY(A481+2)=15,'Main Budget'!$G$39,0))</f>
        <v>0</v>
      </c>
      <c r="D481" s="242">
        <f t="shared" si="29"/>
        <v>0</v>
      </c>
      <c r="E481" s="242">
        <f>IF(DAY(A481)='Main Budget'!$J$12,('Main Budget'!$G$12),0)</f>
        <v>0</v>
      </c>
      <c r="F481" s="242">
        <f>IF(DAY(A481)='Main Budget'!$J$13,('Main Budget'!$G$13)*2,0)</f>
        <v>0</v>
      </c>
      <c r="G481" s="242"/>
      <c r="H481" s="242">
        <f>IF(DAY(A481)='Main Budget'!$J$14,'Main Budget'!$G$14,0)</f>
        <v>0</v>
      </c>
      <c r="I481" s="242"/>
      <c r="J481" s="252">
        <f t="shared" si="30"/>
        <v>460</v>
      </c>
      <c r="M481" t="str">
        <f t="shared" si="31"/>
        <v>Sunday</v>
      </c>
    </row>
    <row r="482" spans="1:13" x14ac:dyDescent="0.25">
      <c r="A482" s="241">
        <v>46503</v>
      </c>
      <c r="B482" s="242">
        <f t="shared" si="28"/>
        <v>460</v>
      </c>
      <c r="C482" s="242">
        <f>IF(DAY(A482+2)=1,'Main Budget'!$G$39,IF(DAY(A482+2)=15,'Main Budget'!$G$39,0))</f>
        <v>0</v>
      </c>
      <c r="D482" s="242">
        <f t="shared" si="29"/>
        <v>0</v>
      </c>
      <c r="E482" s="242">
        <f>IF(DAY(A482)='Main Budget'!$J$12,('Main Budget'!$G$12),0)</f>
        <v>0</v>
      </c>
      <c r="F482" s="242">
        <f>IF(DAY(A482)='Main Budget'!$J$13,('Main Budget'!$G$13)*2,0)</f>
        <v>0</v>
      </c>
      <c r="G482" s="242"/>
      <c r="H482" s="242">
        <f>IF(DAY(A482)='Main Budget'!$J$14,'Main Budget'!$G$14,0)</f>
        <v>0</v>
      </c>
      <c r="I482" s="242"/>
      <c r="J482" s="252">
        <f t="shared" si="30"/>
        <v>460</v>
      </c>
      <c r="M482" t="str">
        <f t="shared" si="31"/>
        <v>Monday</v>
      </c>
    </row>
    <row r="483" spans="1:13" x14ac:dyDescent="0.25">
      <c r="A483" s="241">
        <v>46504</v>
      </c>
      <c r="B483" s="242">
        <f t="shared" si="28"/>
        <v>460</v>
      </c>
      <c r="C483" s="242">
        <f>IF(DAY(A483+2)=1,'Main Budget'!$G$39,IF(DAY(A483+2)=15,'Main Budget'!$G$39,0))</f>
        <v>0</v>
      </c>
      <c r="D483" s="242">
        <f t="shared" si="29"/>
        <v>0</v>
      </c>
      <c r="E483" s="242">
        <f>IF(DAY(A483)='Main Budget'!$J$12,('Main Budget'!$G$12),0)</f>
        <v>0</v>
      </c>
      <c r="F483" s="242">
        <f>IF(DAY(A483)='Main Budget'!$J$13,('Main Budget'!$G$13)*2,0)</f>
        <v>0</v>
      </c>
      <c r="G483" s="242"/>
      <c r="H483" s="242">
        <f>IF(DAY(A483)='Main Budget'!$J$14,'Main Budget'!$G$14,0)</f>
        <v>0</v>
      </c>
      <c r="I483" s="242"/>
      <c r="J483" s="252">
        <f t="shared" si="30"/>
        <v>460</v>
      </c>
      <c r="M483" t="str">
        <f t="shared" si="31"/>
        <v>Tuesday</v>
      </c>
    </row>
    <row r="484" spans="1:13" x14ac:dyDescent="0.25">
      <c r="A484" s="241">
        <v>46505</v>
      </c>
      <c r="B484" s="242">
        <f t="shared" si="28"/>
        <v>460</v>
      </c>
      <c r="C484" s="242">
        <f>IF(DAY(A484+2)=1,'Main Budget'!$G$39,IF(DAY(A484+2)=15,'Main Budget'!$G$39,0))</f>
        <v>0</v>
      </c>
      <c r="D484" s="242">
        <f t="shared" si="29"/>
        <v>0</v>
      </c>
      <c r="E484" s="242">
        <f>IF(DAY(A484)='Main Budget'!$J$12,('Main Budget'!$G$12),0)</f>
        <v>0</v>
      </c>
      <c r="F484" s="242">
        <f>IF(DAY(A484)='Main Budget'!$J$13,('Main Budget'!$G$13)*2,0)</f>
        <v>0</v>
      </c>
      <c r="G484" s="242"/>
      <c r="H484" s="242">
        <f>IF(DAY(A484)='Main Budget'!$J$14,'Main Budget'!$G$14,0)</f>
        <v>0</v>
      </c>
      <c r="I484" s="242"/>
      <c r="J484" s="252">
        <f t="shared" si="30"/>
        <v>460</v>
      </c>
      <c r="M484" t="str">
        <f t="shared" si="31"/>
        <v>Wednesday</v>
      </c>
    </row>
    <row r="485" spans="1:13" x14ac:dyDescent="0.25">
      <c r="A485" s="241">
        <v>46506</v>
      </c>
      <c r="B485" s="242">
        <f t="shared" si="28"/>
        <v>460</v>
      </c>
      <c r="C485" s="242">
        <f>IF(DAY(A485+2)=1,'Main Budget'!$G$39,IF(DAY(A485+2)=15,'Main Budget'!$G$39,0))</f>
        <v>0</v>
      </c>
      <c r="D485" s="242">
        <f t="shared" si="29"/>
        <v>0</v>
      </c>
      <c r="E485" s="242">
        <f>IF(DAY(A485)='Main Budget'!$J$12,('Main Budget'!$G$12),0)</f>
        <v>0</v>
      </c>
      <c r="F485" s="242">
        <f>IF(DAY(A485)='Main Budget'!$J$13,('Main Budget'!$G$13)*2,0)</f>
        <v>0</v>
      </c>
      <c r="G485" s="242"/>
      <c r="H485" s="242">
        <f>IF(DAY(A485)='Main Budget'!$J$14,'Main Budget'!$G$14,0)</f>
        <v>0</v>
      </c>
      <c r="I485" s="242"/>
      <c r="J485" s="252">
        <f t="shared" si="30"/>
        <v>460</v>
      </c>
      <c r="M485" t="str">
        <f t="shared" si="31"/>
        <v>Thursday</v>
      </c>
    </row>
    <row r="486" spans="1:13" x14ac:dyDescent="0.25">
      <c r="A486" s="241">
        <v>46507</v>
      </c>
      <c r="B486" s="242">
        <f t="shared" si="28"/>
        <v>460</v>
      </c>
      <c r="C486" s="242">
        <f>IF(DAY(A486+2)=1,'Main Budget'!$G$39,IF(DAY(A486+2)=15,'Main Budget'!$G$39,0))</f>
        <v>0</v>
      </c>
      <c r="D486" s="242">
        <f t="shared" si="29"/>
        <v>0</v>
      </c>
      <c r="E486" s="242">
        <f>IF(DAY(A486)='Main Budget'!$J$12,('Main Budget'!$G$12),0)</f>
        <v>0</v>
      </c>
      <c r="F486" s="242">
        <f>IF(DAY(A486)='Main Budget'!$J$13,('Main Budget'!$G$13)*2,0)</f>
        <v>0</v>
      </c>
      <c r="G486" s="242"/>
      <c r="H486" s="242">
        <f>IF(DAY(A486)='Main Budget'!$J$14,'Main Budget'!$G$14,0)</f>
        <v>0</v>
      </c>
      <c r="I486" s="242"/>
      <c r="J486" s="252">
        <f t="shared" si="30"/>
        <v>460</v>
      </c>
      <c r="M486" t="str">
        <f t="shared" si="31"/>
        <v>Friday</v>
      </c>
    </row>
    <row r="487" spans="1:13" x14ac:dyDescent="0.25">
      <c r="A487" s="241">
        <v>46508</v>
      </c>
      <c r="B487" s="242">
        <f t="shared" si="28"/>
        <v>460</v>
      </c>
      <c r="C487" s="242">
        <f>IF(DAY(A487+2)=1,'Main Budget'!$G$39,IF(DAY(A487+2)=15,'Main Budget'!$G$39,0))</f>
        <v>0</v>
      </c>
      <c r="D487" s="242">
        <f t="shared" si="29"/>
        <v>11.25</v>
      </c>
      <c r="E487" s="242">
        <f>IF(DAY(A487)='Main Budget'!$J$12,('Main Budget'!$G$12),0)</f>
        <v>0</v>
      </c>
      <c r="F487" s="242">
        <f>IF(DAY(A487)='Main Budget'!$J$13,('Main Budget'!$G$13)*2,0)</f>
        <v>0</v>
      </c>
      <c r="G487" s="242"/>
      <c r="H487" s="242">
        <f>IF(DAY(A487)='Main Budget'!$J$14,'Main Budget'!$G$14,0)</f>
        <v>0</v>
      </c>
      <c r="I487" s="242"/>
      <c r="J487" s="252">
        <f t="shared" si="30"/>
        <v>471.25</v>
      </c>
      <c r="M487" t="str">
        <f t="shared" si="31"/>
        <v>Saturday</v>
      </c>
    </row>
    <row r="488" spans="1:13" x14ac:dyDescent="0.25">
      <c r="A488" s="241">
        <v>46509</v>
      </c>
      <c r="B488" s="242">
        <f t="shared" si="28"/>
        <v>471.25</v>
      </c>
      <c r="C488" s="242">
        <f>IF(DAY(A488+2)=1,'Main Budget'!$G$39,IF(DAY(A488+2)=15,'Main Budget'!$G$39,0))</f>
        <v>0</v>
      </c>
      <c r="D488" s="242">
        <f t="shared" si="29"/>
        <v>0</v>
      </c>
      <c r="E488" s="242">
        <f>IF(DAY(A488)='Main Budget'!$J$12,('Main Budget'!$G$12),0)</f>
        <v>0</v>
      </c>
      <c r="F488" s="242">
        <f>IF(DAY(A488)='Main Budget'!$J$13,('Main Budget'!$G$13)*2,0)</f>
        <v>0</v>
      </c>
      <c r="G488" s="242"/>
      <c r="H488" s="242">
        <f>IF(DAY(A488)='Main Budget'!$J$14,'Main Budget'!$G$14,0)</f>
        <v>0</v>
      </c>
      <c r="I488" s="242"/>
      <c r="J488" s="252">
        <f t="shared" si="30"/>
        <v>471.25</v>
      </c>
      <c r="M488" t="str">
        <f t="shared" si="31"/>
        <v>Sunday</v>
      </c>
    </row>
    <row r="489" spans="1:13" x14ac:dyDescent="0.25">
      <c r="A489" s="241">
        <v>46510</v>
      </c>
      <c r="B489" s="242">
        <f t="shared" si="28"/>
        <v>471.25</v>
      </c>
      <c r="C489" s="242">
        <f>IF(DAY(A489+2)=1,'Main Budget'!$G$39,IF(DAY(A489+2)=15,'Main Budget'!$G$39,0))</f>
        <v>0</v>
      </c>
      <c r="D489" s="242">
        <f t="shared" si="29"/>
        <v>0</v>
      </c>
      <c r="E489" s="242">
        <f>IF(DAY(A489)='Main Budget'!$J$12,('Main Budget'!$G$12),0)</f>
        <v>0</v>
      </c>
      <c r="F489" s="242">
        <f>IF(DAY(A489)='Main Budget'!$J$13,('Main Budget'!$G$13)*2,0)</f>
        <v>0</v>
      </c>
      <c r="G489" s="242"/>
      <c r="H489" s="242">
        <f>IF(DAY(A489)='Main Budget'!$J$14,'Main Budget'!$G$14,0)</f>
        <v>0</v>
      </c>
      <c r="I489" s="242"/>
      <c r="J489" s="252">
        <f t="shared" si="30"/>
        <v>471.25</v>
      </c>
      <c r="M489" t="str">
        <f t="shared" si="31"/>
        <v>Monday</v>
      </c>
    </row>
    <row r="490" spans="1:13" x14ac:dyDescent="0.25">
      <c r="A490" s="241">
        <v>46511</v>
      </c>
      <c r="B490" s="242">
        <f t="shared" si="28"/>
        <v>471.25</v>
      </c>
      <c r="C490" s="242">
        <f>IF(DAY(A490+2)=1,'Main Budget'!$G$39,IF(DAY(A490+2)=15,'Main Budget'!$G$39,0))</f>
        <v>0</v>
      </c>
      <c r="D490" s="242">
        <f t="shared" si="29"/>
        <v>0</v>
      </c>
      <c r="E490" s="242">
        <f>IF(DAY(A490)='Main Budget'!$J$12,('Main Budget'!$G$12),0)</f>
        <v>0</v>
      </c>
      <c r="F490" s="242">
        <f>IF(DAY(A490)='Main Budget'!$J$13,('Main Budget'!$G$13)*2,0)</f>
        <v>0</v>
      </c>
      <c r="G490" s="242"/>
      <c r="H490" s="242">
        <f>IF(DAY(A490)='Main Budget'!$J$14,'Main Budget'!$G$14,0)</f>
        <v>0</v>
      </c>
      <c r="I490" s="242"/>
      <c r="J490" s="252">
        <f t="shared" si="30"/>
        <v>471.25</v>
      </c>
      <c r="M490" t="str">
        <f t="shared" si="31"/>
        <v>Tuesday</v>
      </c>
    </row>
    <row r="491" spans="1:13" x14ac:dyDescent="0.25">
      <c r="A491" s="241">
        <v>46512</v>
      </c>
      <c r="B491" s="242">
        <f t="shared" si="28"/>
        <v>471.25</v>
      </c>
      <c r="C491" s="242">
        <f>IF(DAY(A491+2)=1,'Main Budget'!$G$39,IF(DAY(A491+2)=15,'Main Budget'!$G$39,0))</f>
        <v>0</v>
      </c>
      <c r="D491" s="242">
        <f t="shared" si="29"/>
        <v>0</v>
      </c>
      <c r="E491" s="242">
        <f>IF(DAY(A491)='Main Budget'!$J$12,('Main Budget'!$G$12),0)</f>
        <v>0</v>
      </c>
      <c r="F491" s="242">
        <f>IF(DAY(A491)='Main Budget'!$J$13,('Main Budget'!$G$13)*2,0)</f>
        <v>0</v>
      </c>
      <c r="G491" s="242"/>
      <c r="H491" s="242">
        <f>IF(DAY(A491)='Main Budget'!$J$14,'Main Budget'!$G$14,0)</f>
        <v>0</v>
      </c>
      <c r="I491" s="242"/>
      <c r="J491" s="252">
        <f t="shared" si="30"/>
        <v>471.25</v>
      </c>
      <c r="M491" t="str">
        <f t="shared" si="31"/>
        <v>Wednesday</v>
      </c>
    </row>
    <row r="492" spans="1:13" x14ac:dyDescent="0.25">
      <c r="A492" s="241">
        <v>46513</v>
      </c>
      <c r="B492" s="242">
        <f t="shared" si="28"/>
        <v>471.25</v>
      </c>
      <c r="C492" s="242">
        <f>IF(DAY(A492+2)=1,'Main Budget'!$G$39,IF(DAY(A492+2)=15,'Main Budget'!$G$39,0))</f>
        <v>0</v>
      </c>
      <c r="D492" s="242">
        <f t="shared" si="29"/>
        <v>0</v>
      </c>
      <c r="E492" s="242">
        <f>IF(DAY(A492)='Main Budget'!$J$12,('Main Budget'!$G$12),0)</f>
        <v>0</v>
      </c>
      <c r="F492" s="242">
        <f>IF(DAY(A492)='Main Budget'!$J$13,('Main Budget'!$G$13)*2,0)</f>
        <v>0</v>
      </c>
      <c r="G492" s="242"/>
      <c r="H492" s="242">
        <f>IF(DAY(A492)='Main Budget'!$J$14,'Main Budget'!$G$14,0)</f>
        <v>0</v>
      </c>
      <c r="I492" s="242"/>
      <c r="J492" s="252">
        <f t="shared" si="30"/>
        <v>471.25</v>
      </c>
      <c r="M492" t="str">
        <f t="shared" si="31"/>
        <v>Thursday</v>
      </c>
    </row>
    <row r="493" spans="1:13" x14ac:dyDescent="0.25">
      <c r="A493" s="241">
        <v>46514</v>
      </c>
      <c r="B493" s="242">
        <f t="shared" si="28"/>
        <v>471.25</v>
      </c>
      <c r="C493" s="242">
        <f>IF(DAY(A493+2)=1,'Main Budget'!$G$39,IF(DAY(A493+2)=15,'Main Budget'!$G$39,0))</f>
        <v>0</v>
      </c>
      <c r="D493" s="242">
        <f t="shared" si="29"/>
        <v>0</v>
      </c>
      <c r="E493" s="242">
        <f>IF(DAY(A493)='Main Budget'!$J$12,('Main Budget'!$G$12),0)</f>
        <v>0</v>
      </c>
      <c r="F493" s="242">
        <f>IF(DAY(A493)='Main Budget'!$J$13,('Main Budget'!$G$13)*2,0)</f>
        <v>0</v>
      </c>
      <c r="G493" s="242"/>
      <c r="H493" s="242">
        <f>IF(DAY(A493)='Main Budget'!$J$14,'Main Budget'!$G$14,0)</f>
        <v>0</v>
      </c>
      <c r="I493" s="242"/>
      <c r="J493" s="252">
        <f t="shared" si="30"/>
        <v>471.25</v>
      </c>
      <c r="M493" t="str">
        <f t="shared" si="31"/>
        <v>Friday</v>
      </c>
    </row>
    <row r="494" spans="1:13" x14ac:dyDescent="0.25">
      <c r="A494" s="241">
        <v>46515</v>
      </c>
      <c r="B494" s="242">
        <f t="shared" si="28"/>
        <v>471.25</v>
      </c>
      <c r="C494" s="242">
        <f>IF(DAY(A494+2)=1,'Main Budget'!$G$39,IF(DAY(A494+2)=15,'Main Budget'!$G$39,0))</f>
        <v>0</v>
      </c>
      <c r="D494" s="242">
        <f t="shared" si="29"/>
        <v>0</v>
      </c>
      <c r="E494" s="242">
        <f>IF(DAY(A494)='Main Budget'!$J$12,('Main Budget'!$G$12),0)</f>
        <v>0</v>
      </c>
      <c r="F494" s="242">
        <f>IF(DAY(A494)='Main Budget'!$J$13,('Main Budget'!$G$13)*2,0)</f>
        <v>0</v>
      </c>
      <c r="G494" s="242"/>
      <c r="H494" s="242">
        <f>IF(DAY(A494)='Main Budget'!$J$14,'Main Budget'!$G$14,0)</f>
        <v>0</v>
      </c>
      <c r="I494" s="242"/>
      <c r="J494" s="252">
        <f t="shared" si="30"/>
        <v>471.25</v>
      </c>
      <c r="M494" t="str">
        <f t="shared" si="31"/>
        <v>Saturday</v>
      </c>
    </row>
    <row r="495" spans="1:13" x14ac:dyDescent="0.25">
      <c r="A495" s="241">
        <v>46516</v>
      </c>
      <c r="B495" s="242">
        <f t="shared" si="28"/>
        <v>471.25</v>
      </c>
      <c r="C495" s="242">
        <f>IF(DAY(A495+2)=1,'Main Budget'!$G$39,IF(DAY(A495+2)=15,'Main Budget'!$G$39,0))</f>
        <v>0</v>
      </c>
      <c r="D495" s="242">
        <f t="shared" si="29"/>
        <v>0</v>
      </c>
      <c r="E495" s="242">
        <f>IF(DAY(A495)='Main Budget'!$J$12,('Main Budget'!$G$12),0)</f>
        <v>0</v>
      </c>
      <c r="F495" s="242">
        <f>IF(DAY(A495)='Main Budget'!$J$13,('Main Budget'!$G$13)*2,0)</f>
        <v>0</v>
      </c>
      <c r="G495" s="242"/>
      <c r="H495" s="242">
        <f>IF(DAY(A495)='Main Budget'!$J$14,'Main Budget'!$G$14,0)</f>
        <v>0</v>
      </c>
      <c r="I495" s="242"/>
      <c r="J495" s="252">
        <f t="shared" si="30"/>
        <v>471.25</v>
      </c>
      <c r="M495" t="str">
        <f t="shared" si="31"/>
        <v>Sunday</v>
      </c>
    </row>
    <row r="496" spans="1:13" x14ac:dyDescent="0.25">
      <c r="A496" s="241">
        <v>46517</v>
      </c>
      <c r="B496" s="242">
        <f t="shared" si="28"/>
        <v>471.25</v>
      </c>
      <c r="C496" s="242">
        <f>IF(DAY(A496+2)=1,'Main Budget'!$G$39,IF(DAY(A496+2)=15,'Main Budget'!$G$39,0))</f>
        <v>0</v>
      </c>
      <c r="D496" s="242">
        <f t="shared" si="29"/>
        <v>0</v>
      </c>
      <c r="E496" s="242">
        <f>IF(DAY(A496)='Main Budget'!$J$12,('Main Budget'!$G$12),0)</f>
        <v>0</v>
      </c>
      <c r="F496" s="242">
        <f>IF(DAY(A496)='Main Budget'!$J$13,('Main Budget'!$G$13)*2,0)</f>
        <v>0</v>
      </c>
      <c r="G496" s="242"/>
      <c r="H496" s="242">
        <f>IF(DAY(A496)='Main Budget'!$J$14,'Main Budget'!$G$14,0)</f>
        <v>0</v>
      </c>
      <c r="I496" s="242"/>
      <c r="J496" s="252">
        <f t="shared" si="30"/>
        <v>471.25</v>
      </c>
      <c r="M496" t="str">
        <f t="shared" si="31"/>
        <v>Monday</v>
      </c>
    </row>
    <row r="497" spans="1:13" x14ac:dyDescent="0.25">
      <c r="A497" s="241">
        <v>46518</v>
      </c>
      <c r="B497" s="242">
        <f t="shared" si="28"/>
        <v>471.25</v>
      </c>
      <c r="C497" s="242">
        <f>IF(DAY(A497+2)=1,'Main Budget'!$G$39,IF(DAY(A497+2)=15,'Main Budget'!$G$39,0))</f>
        <v>0</v>
      </c>
      <c r="D497" s="242">
        <f t="shared" si="29"/>
        <v>0</v>
      </c>
      <c r="E497" s="242">
        <f>IF(DAY(A497)='Main Budget'!$J$12,('Main Budget'!$G$12),0)</f>
        <v>0</v>
      </c>
      <c r="F497" s="242">
        <f>IF(DAY(A497)='Main Budget'!$J$13,('Main Budget'!$G$13)*2,0)</f>
        <v>0</v>
      </c>
      <c r="G497" s="242"/>
      <c r="H497" s="242">
        <f>IF(DAY(A497)='Main Budget'!$J$14,'Main Budget'!$G$14,0)</f>
        <v>0</v>
      </c>
      <c r="I497" s="242"/>
      <c r="J497" s="252">
        <f t="shared" si="30"/>
        <v>471.25</v>
      </c>
      <c r="M497" t="str">
        <f t="shared" si="31"/>
        <v>Tuesday</v>
      </c>
    </row>
    <row r="498" spans="1:13" x14ac:dyDescent="0.25">
      <c r="A498" s="241">
        <v>46519</v>
      </c>
      <c r="B498" s="242">
        <f t="shared" si="28"/>
        <v>471.25</v>
      </c>
      <c r="C498" s="242">
        <f>IF(DAY(A498+2)=1,'Main Budget'!$G$39,IF(DAY(A498+2)=15,'Main Budget'!$G$39,0))</f>
        <v>0</v>
      </c>
      <c r="D498" s="242">
        <f t="shared" si="29"/>
        <v>0</v>
      </c>
      <c r="E498" s="242">
        <f>IF(DAY(A498)='Main Budget'!$J$12,('Main Budget'!$G$12),0)</f>
        <v>0</v>
      </c>
      <c r="F498" s="242">
        <f>IF(DAY(A498)='Main Budget'!$J$13,('Main Budget'!$G$13)*2,0)</f>
        <v>0</v>
      </c>
      <c r="G498" s="242"/>
      <c r="H498" s="242">
        <f>IF(DAY(A498)='Main Budget'!$J$14,'Main Budget'!$G$14,0)</f>
        <v>0</v>
      </c>
      <c r="I498" s="242"/>
      <c r="J498" s="252">
        <f t="shared" si="30"/>
        <v>471.25</v>
      </c>
      <c r="M498" t="str">
        <f t="shared" si="31"/>
        <v>Wednesday</v>
      </c>
    </row>
    <row r="499" spans="1:13" x14ac:dyDescent="0.25">
      <c r="A499" s="241">
        <v>46520</v>
      </c>
      <c r="B499" s="242">
        <f t="shared" si="28"/>
        <v>471.25</v>
      </c>
      <c r="C499" s="242">
        <f>IF(DAY(A499+2)=1,'Main Budget'!$G$39,IF(DAY(A499+2)=15,'Main Budget'!$G$39,0))</f>
        <v>0</v>
      </c>
      <c r="D499" s="242">
        <f t="shared" si="29"/>
        <v>0</v>
      </c>
      <c r="E499" s="242">
        <f>IF(DAY(A499)='Main Budget'!$J$12,('Main Budget'!$G$12),0)</f>
        <v>0</v>
      </c>
      <c r="F499" s="242">
        <f>IF(DAY(A499)='Main Budget'!$J$13,('Main Budget'!$G$13)*2,0)</f>
        <v>0</v>
      </c>
      <c r="G499" s="242"/>
      <c r="H499" s="242">
        <f>IF(DAY(A499)='Main Budget'!$J$14,'Main Budget'!$G$14,0)</f>
        <v>0</v>
      </c>
      <c r="I499" s="242"/>
      <c r="J499" s="252">
        <f t="shared" si="30"/>
        <v>471.25</v>
      </c>
      <c r="M499" t="str">
        <f t="shared" si="31"/>
        <v>Thursday</v>
      </c>
    </row>
    <row r="500" spans="1:13" x14ac:dyDescent="0.25">
      <c r="A500" s="241">
        <v>46521</v>
      </c>
      <c r="B500" s="242">
        <f t="shared" si="28"/>
        <v>471.25</v>
      </c>
      <c r="C500" s="242">
        <f>IF(DAY(A500+2)=1,'Main Budget'!$G$39,IF(DAY(A500+2)=15,'Main Budget'!$G$39,0))</f>
        <v>0</v>
      </c>
      <c r="D500" s="242">
        <f t="shared" si="29"/>
        <v>0</v>
      </c>
      <c r="E500" s="242">
        <f>IF(DAY(A500)='Main Budget'!$J$12,('Main Budget'!$G$12),0)</f>
        <v>0</v>
      </c>
      <c r="F500" s="242">
        <f>IF(DAY(A500)='Main Budget'!$J$13,('Main Budget'!$G$13)*2,0)</f>
        <v>0</v>
      </c>
      <c r="G500" s="242"/>
      <c r="H500" s="242">
        <f>IF(DAY(A500)='Main Budget'!$J$14,'Main Budget'!$G$14,0)</f>
        <v>0</v>
      </c>
      <c r="I500" s="242"/>
      <c r="J500" s="252">
        <f t="shared" si="30"/>
        <v>471.25</v>
      </c>
      <c r="M500" t="str">
        <f t="shared" si="31"/>
        <v>Friday</v>
      </c>
    </row>
    <row r="501" spans="1:13" x14ac:dyDescent="0.25">
      <c r="A501" s="241">
        <v>46522</v>
      </c>
      <c r="B501" s="242">
        <f t="shared" si="28"/>
        <v>471.25</v>
      </c>
      <c r="C501" s="242">
        <f>IF(DAY(A501+2)=1,'Main Budget'!$G$39,IF(DAY(A501+2)=15,'Main Budget'!$G$39,0))</f>
        <v>0</v>
      </c>
      <c r="D501" s="242">
        <f t="shared" si="29"/>
        <v>11.25</v>
      </c>
      <c r="E501" s="242">
        <f>IF(DAY(A501)='Main Budget'!$J$12,('Main Budget'!$G$12),0)</f>
        <v>0</v>
      </c>
      <c r="F501" s="242">
        <f>IF(DAY(A501)='Main Budget'!$J$13,('Main Budget'!$G$13)*2,0)</f>
        <v>0</v>
      </c>
      <c r="G501" s="242"/>
      <c r="H501" s="242">
        <f>IF(DAY(A501)='Main Budget'!$J$14,'Main Budget'!$G$14,0)</f>
        <v>0</v>
      </c>
      <c r="I501" s="242"/>
      <c r="J501" s="252">
        <f t="shared" si="30"/>
        <v>482.5</v>
      </c>
      <c r="M501" t="str">
        <f t="shared" si="31"/>
        <v>Saturday</v>
      </c>
    </row>
    <row r="502" spans="1:13" x14ac:dyDescent="0.25">
      <c r="A502" s="241">
        <v>46523</v>
      </c>
      <c r="B502" s="242">
        <f t="shared" si="28"/>
        <v>482.5</v>
      </c>
      <c r="C502" s="242">
        <f>IF(DAY(A502+2)=1,'Main Budget'!$G$39,IF(DAY(A502+2)=15,'Main Budget'!$G$39,0))</f>
        <v>0</v>
      </c>
      <c r="D502" s="242">
        <f t="shared" si="29"/>
        <v>0</v>
      </c>
      <c r="E502" s="242">
        <f>IF(DAY(A502)='Main Budget'!$J$12,('Main Budget'!$G$12),0)</f>
        <v>0</v>
      </c>
      <c r="F502" s="242">
        <f>IF(DAY(A502)='Main Budget'!$J$13,('Main Budget'!$G$13)*2,0)</f>
        <v>0</v>
      </c>
      <c r="G502" s="242"/>
      <c r="H502" s="242">
        <f>IF(DAY(A502)='Main Budget'!$J$14,'Main Budget'!$G$14,0)</f>
        <v>0</v>
      </c>
      <c r="I502" s="242"/>
      <c r="J502" s="252">
        <f t="shared" si="30"/>
        <v>482.5</v>
      </c>
      <c r="M502" t="str">
        <f t="shared" si="31"/>
        <v>Sunday</v>
      </c>
    </row>
    <row r="503" spans="1:13" x14ac:dyDescent="0.25">
      <c r="A503" s="241">
        <v>46524</v>
      </c>
      <c r="B503" s="242">
        <f t="shared" si="28"/>
        <v>482.5</v>
      </c>
      <c r="C503" s="242">
        <f>IF(DAY(A503+2)=1,'Main Budget'!$G$39,IF(DAY(A503+2)=15,'Main Budget'!$G$39,0))</f>
        <v>0</v>
      </c>
      <c r="D503" s="242">
        <f t="shared" si="29"/>
        <v>0</v>
      </c>
      <c r="E503" s="242">
        <f>IF(DAY(A503)='Main Budget'!$J$12,('Main Budget'!$G$12),0)</f>
        <v>0</v>
      </c>
      <c r="F503" s="242">
        <f>IF(DAY(A503)='Main Budget'!$J$13,('Main Budget'!$G$13)*2,0)</f>
        <v>0</v>
      </c>
      <c r="G503" s="242"/>
      <c r="H503" s="242">
        <f>IF(DAY(A503)='Main Budget'!$J$14,'Main Budget'!$G$14,0)</f>
        <v>0</v>
      </c>
      <c r="I503" s="242"/>
      <c r="J503" s="252">
        <f t="shared" si="30"/>
        <v>482.5</v>
      </c>
      <c r="M503" t="str">
        <f t="shared" si="31"/>
        <v>Monday</v>
      </c>
    </row>
    <row r="504" spans="1:13" x14ac:dyDescent="0.25">
      <c r="A504" s="241">
        <v>46525</v>
      </c>
      <c r="B504" s="242">
        <f t="shared" si="28"/>
        <v>482.5</v>
      </c>
      <c r="C504" s="242">
        <f>IF(DAY(A504+2)=1,'Main Budget'!$G$39,IF(DAY(A504+2)=15,'Main Budget'!$G$39,0))</f>
        <v>0</v>
      </c>
      <c r="D504" s="242">
        <f t="shared" si="29"/>
        <v>0</v>
      </c>
      <c r="E504" s="242">
        <f>IF(DAY(A504)='Main Budget'!$J$12,('Main Budget'!$G$12),0)</f>
        <v>0</v>
      </c>
      <c r="F504" s="242">
        <f>IF(DAY(A504)='Main Budget'!$J$13,('Main Budget'!$G$13)*2,0)</f>
        <v>0</v>
      </c>
      <c r="G504" s="242"/>
      <c r="H504" s="242">
        <f>IF(DAY(A504)='Main Budget'!$J$14,'Main Budget'!$G$14,0)</f>
        <v>0</v>
      </c>
      <c r="I504" s="242"/>
      <c r="J504" s="252">
        <f t="shared" si="30"/>
        <v>482.5</v>
      </c>
      <c r="M504" t="str">
        <f t="shared" si="31"/>
        <v>Tuesday</v>
      </c>
    </row>
    <row r="505" spans="1:13" x14ac:dyDescent="0.25">
      <c r="A505" s="241">
        <v>46526</v>
      </c>
      <c r="B505" s="242">
        <f t="shared" si="28"/>
        <v>482.5</v>
      </c>
      <c r="C505" s="242">
        <f>IF(DAY(A505+2)=1,'Main Budget'!$G$39,IF(DAY(A505+2)=15,'Main Budget'!$G$39,0))</f>
        <v>0</v>
      </c>
      <c r="D505" s="242">
        <f t="shared" si="29"/>
        <v>0</v>
      </c>
      <c r="E505" s="242">
        <f>IF(DAY(A505)='Main Budget'!$J$12,('Main Budget'!$G$12),0)</f>
        <v>0</v>
      </c>
      <c r="F505" s="242">
        <f>IF(DAY(A505)='Main Budget'!$J$13,('Main Budget'!$G$13)*2,0)</f>
        <v>0</v>
      </c>
      <c r="G505" s="242"/>
      <c r="H505" s="242">
        <f>IF(DAY(A505)='Main Budget'!$J$14,'Main Budget'!$G$14,0)</f>
        <v>0</v>
      </c>
      <c r="I505" s="242"/>
      <c r="J505" s="252">
        <f t="shared" si="30"/>
        <v>482.5</v>
      </c>
      <c r="M505" t="str">
        <f t="shared" si="31"/>
        <v>Wednesday</v>
      </c>
    </row>
    <row r="506" spans="1:13" x14ac:dyDescent="0.25">
      <c r="A506" s="241">
        <v>46527</v>
      </c>
      <c r="B506" s="242">
        <f t="shared" si="28"/>
        <v>482.5</v>
      </c>
      <c r="C506" s="242">
        <f>IF(DAY(A506+2)=1,'Main Budget'!$G$39,IF(DAY(A506+2)=15,'Main Budget'!$G$39,0))</f>
        <v>0</v>
      </c>
      <c r="D506" s="242">
        <f t="shared" si="29"/>
        <v>0</v>
      </c>
      <c r="E506" s="242">
        <f>IF(DAY(A506)='Main Budget'!$J$12,('Main Budget'!$G$12),0)</f>
        <v>0</v>
      </c>
      <c r="F506" s="242">
        <f>IF(DAY(A506)='Main Budget'!$J$13,('Main Budget'!$G$13)*2,0)</f>
        <v>0</v>
      </c>
      <c r="G506" s="242"/>
      <c r="H506" s="242">
        <f>IF(DAY(A506)='Main Budget'!$J$14,'Main Budget'!$G$14,0)</f>
        <v>0</v>
      </c>
      <c r="I506" s="242"/>
      <c r="J506" s="252">
        <f t="shared" si="30"/>
        <v>482.5</v>
      </c>
      <c r="M506" t="str">
        <f t="shared" si="31"/>
        <v>Thursday</v>
      </c>
    </row>
    <row r="507" spans="1:13" x14ac:dyDescent="0.25">
      <c r="A507" s="241">
        <v>46528</v>
      </c>
      <c r="B507" s="242">
        <f t="shared" si="28"/>
        <v>482.5</v>
      </c>
      <c r="C507" s="242">
        <f>IF(DAY(A507+2)=1,'Main Budget'!$G$39,IF(DAY(A507+2)=15,'Main Budget'!$G$39,0))</f>
        <v>0</v>
      </c>
      <c r="D507" s="242">
        <f t="shared" si="29"/>
        <v>0</v>
      </c>
      <c r="E507" s="242">
        <f>IF(DAY(A507)='Main Budget'!$J$12,('Main Budget'!$G$12),0)</f>
        <v>0</v>
      </c>
      <c r="F507" s="242">
        <f>IF(DAY(A507)='Main Budget'!$J$13,('Main Budget'!$G$13)*2,0)</f>
        <v>0</v>
      </c>
      <c r="G507" s="242"/>
      <c r="H507" s="242">
        <f>IF(DAY(A507)='Main Budget'!$J$14,'Main Budget'!$G$14,0)</f>
        <v>0</v>
      </c>
      <c r="I507" s="242"/>
      <c r="J507" s="252">
        <f t="shared" si="30"/>
        <v>482.5</v>
      </c>
      <c r="M507" t="str">
        <f t="shared" si="31"/>
        <v>Friday</v>
      </c>
    </row>
    <row r="508" spans="1:13" x14ac:dyDescent="0.25">
      <c r="A508" s="241">
        <v>46529</v>
      </c>
      <c r="B508" s="242">
        <f t="shared" si="28"/>
        <v>482.5</v>
      </c>
      <c r="C508" s="242">
        <f>IF(DAY(A508+2)=1,'Main Budget'!$G$39,IF(DAY(A508+2)=15,'Main Budget'!$G$39,0))</f>
        <v>0</v>
      </c>
      <c r="D508" s="242">
        <f t="shared" si="29"/>
        <v>0</v>
      </c>
      <c r="E508" s="242">
        <f>IF(DAY(A508)='Main Budget'!$J$12,('Main Budget'!$G$12),0)</f>
        <v>0</v>
      </c>
      <c r="F508" s="242">
        <f>IF(DAY(A508)='Main Budget'!$J$13,('Main Budget'!$G$13)*2,0)</f>
        <v>0</v>
      </c>
      <c r="G508" s="242"/>
      <c r="H508" s="242">
        <f>IF(DAY(A508)='Main Budget'!$J$14,'Main Budget'!$G$14,0)</f>
        <v>0</v>
      </c>
      <c r="I508" s="242"/>
      <c r="J508" s="252">
        <f t="shared" si="30"/>
        <v>482.5</v>
      </c>
      <c r="M508" t="str">
        <f t="shared" si="31"/>
        <v>Saturday</v>
      </c>
    </row>
    <row r="509" spans="1:13" x14ac:dyDescent="0.25">
      <c r="A509" s="241">
        <v>46530</v>
      </c>
      <c r="B509" s="242">
        <f t="shared" si="28"/>
        <v>482.5</v>
      </c>
      <c r="C509" s="242">
        <f>IF(DAY(A509+2)=1,'Main Budget'!$G$39,IF(DAY(A509+2)=15,'Main Budget'!$G$39,0))</f>
        <v>0</v>
      </c>
      <c r="D509" s="242">
        <f t="shared" si="29"/>
        <v>0</v>
      </c>
      <c r="E509" s="242">
        <f>IF(DAY(A509)='Main Budget'!$J$12,('Main Budget'!$G$12),0)</f>
        <v>0</v>
      </c>
      <c r="F509" s="242">
        <f>IF(DAY(A509)='Main Budget'!$J$13,('Main Budget'!$G$13)*2,0)</f>
        <v>0</v>
      </c>
      <c r="G509" s="242"/>
      <c r="H509" s="242">
        <f>IF(DAY(A509)='Main Budget'!$J$14,'Main Budget'!$G$14,0)</f>
        <v>0</v>
      </c>
      <c r="I509" s="242"/>
      <c r="J509" s="252">
        <f t="shared" si="30"/>
        <v>482.5</v>
      </c>
      <c r="M509" t="str">
        <f t="shared" si="31"/>
        <v>Sunday</v>
      </c>
    </row>
    <row r="510" spans="1:13" x14ac:dyDescent="0.25">
      <c r="A510" s="241">
        <v>46531</v>
      </c>
      <c r="B510" s="242">
        <f t="shared" si="28"/>
        <v>482.5</v>
      </c>
      <c r="C510" s="242">
        <f>IF(DAY(A510+2)=1,'Main Budget'!$G$39,IF(DAY(A510+2)=15,'Main Budget'!$G$39,0))</f>
        <v>0</v>
      </c>
      <c r="D510" s="242">
        <f t="shared" si="29"/>
        <v>0</v>
      </c>
      <c r="E510" s="242">
        <f>IF(DAY(A510)='Main Budget'!$J$12,('Main Budget'!$G$12),0)</f>
        <v>0</v>
      </c>
      <c r="F510" s="242">
        <f>IF(DAY(A510)='Main Budget'!$J$13,('Main Budget'!$G$13)*2,0)</f>
        <v>0</v>
      </c>
      <c r="G510" s="242"/>
      <c r="H510" s="242">
        <f>IF(DAY(A510)='Main Budget'!$J$14,'Main Budget'!$G$14,0)</f>
        <v>0</v>
      </c>
      <c r="I510" s="242"/>
      <c r="J510" s="252">
        <f t="shared" si="30"/>
        <v>482.5</v>
      </c>
      <c r="M510" t="str">
        <f t="shared" si="31"/>
        <v>Monday</v>
      </c>
    </row>
    <row r="511" spans="1:13" x14ac:dyDescent="0.25">
      <c r="A511" s="241">
        <v>46532</v>
      </c>
      <c r="B511" s="242">
        <f t="shared" si="28"/>
        <v>482.5</v>
      </c>
      <c r="C511" s="242">
        <f>IF(DAY(A511+2)=1,'Main Budget'!$G$39,IF(DAY(A511+2)=15,'Main Budget'!$G$39,0))</f>
        <v>0</v>
      </c>
      <c r="D511" s="242">
        <f t="shared" si="29"/>
        <v>0</v>
      </c>
      <c r="E511" s="242">
        <f>IF(DAY(A511)='Main Budget'!$J$12,('Main Budget'!$G$12),0)</f>
        <v>0</v>
      </c>
      <c r="F511" s="242">
        <f>IF(DAY(A511)='Main Budget'!$J$13,('Main Budget'!$G$13)*2,0)</f>
        <v>0</v>
      </c>
      <c r="G511" s="242"/>
      <c r="H511" s="242">
        <f>IF(DAY(A511)='Main Budget'!$J$14,'Main Budget'!$G$14,0)</f>
        <v>0</v>
      </c>
      <c r="I511" s="242"/>
      <c r="J511" s="252">
        <f t="shared" si="30"/>
        <v>482.5</v>
      </c>
      <c r="M511" t="str">
        <f t="shared" si="31"/>
        <v>Tuesday</v>
      </c>
    </row>
    <row r="512" spans="1:13" x14ac:dyDescent="0.25">
      <c r="A512" s="241">
        <v>46533</v>
      </c>
      <c r="B512" s="242">
        <f t="shared" si="28"/>
        <v>482.5</v>
      </c>
      <c r="C512" s="242">
        <f>IF(DAY(A512+2)=1,'Main Budget'!$G$39,IF(DAY(A512+2)=15,'Main Budget'!$G$39,0))</f>
        <v>0</v>
      </c>
      <c r="D512" s="242">
        <f t="shared" si="29"/>
        <v>0</v>
      </c>
      <c r="E512" s="242">
        <f>IF(DAY(A512)='Main Budget'!$J$12,('Main Budget'!$G$12),0)</f>
        <v>0</v>
      </c>
      <c r="F512" s="242">
        <f>IF(DAY(A512)='Main Budget'!$J$13,('Main Budget'!$G$13)*2,0)</f>
        <v>0</v>
      </c>
      <c r="G512" s="242"/>
      <c r="H512" s="242">
        <f>IF(DAY(A512)='Main Budget'!$J$14,'Main Budget'!$G$14,0)</f>
        <v>0</v>
      </c>
      <c r="I512" s="242"/>
      <c r="J512" s="252">
        <f t="shared" si="30"/>
        <v>482.5</v>
      </c>
      <c r="M512" t="str">
        <f t="shared" si="31"/>
        <v>Wednesday</v>
      </c>
    </row>
    <row r="513" spans="1:13" x14ac:dyDescent="0.25">
      <c r="A513" s="241">
        <v>46534</v>
      </c>
      <c r="B513" s="242">
        <f t="shared" si="28"/>
        <v>482.5</v>
      </c>
      <c r="C513" s="242">
        <f>IF(DAY(A513+2)=1,'Main Budget'!$G$39,IF(DAY(A513+2)=15,'Main Budget'!$G$39,0))</f>
        <v>0</v>
      </c>
      <c r="D513" s="242">
        <f t="shared" si="29"/>
        <v>0</v>
      </c>
      <c r="E513" s="242">
        <f>IF(DAY(A513)='Main Budget'!$J$12,('Main Budget'!$G$12),0)</f>
        <v>0</v>
      </c>
      <c r="F513" s="242">
        <f>IF(DAY(A513)='Main Budget'!$J$13,('Main Budget'!$G$13)*2,0)</f>
        <v>0</v>
      </c>
      <c r="G513" s="242"/>
      <c r="H513" s="242">
        <f>IF(DAY(A513)='Main Budget'!$J$14,'Main Budget'!$G$14,0)</f>
        <v>0</v>
      </c>
      <c r="I513" s="242"/>
      <c r="J513" s="252">
        <f t="shared" si="30"/>
        <v>482.5</v>
      </c>
      <c r="M513" t="str">
        <f t="shared" si="31"/>
        <v>Thursday</v>
      </c>
    </row>
    <row r="514" spans="1:13" x14ac:dyDescent="0.25">
      <c r="A514" s="241">
        <v>46535</v>
      </c>
      <c r="B514" s="242">
        <f t="shared" si="28"/>
        <v>482.5</v>
      </c>
      <c r="C514" s="242">
        <f>IF(DAY(A514+2)=1,'Main Budget'!$G$39,IF(DAY(A514+2)=15,'Main Budget'!$G$39,0))</f>
        <v>0</v>
      </c>
      <c r="D514" s="242">
        <f t="shared" si="29"/>
        <v>0</v>
      </c>
      <c r="E514" s="242">
        <f>IF(DAY(A514)='Main Budget'!$J$12,('Main Budget'!$G$12),0)</f>
        <v>0</v>
      </c>
      <c r="F514" s="242">
        <f>IF(DAY(A514)='Main Budget'!$J$13,('Main Budget'!$G$13)*2,0)</f>
        <v>0</v>
      </c>
      <c r="G514" s="242"/>
      <c r="H514" s="242">
        <f>IF(DAY(A514)='Main Budget'!$J$14,'Main Budget'!$G$14,0)</f>
        <v>0</v>
      </c>
      <c r="I514" s="242"/>
      <c r="J514" s="252">
        <f t="shared" si="30"/>
        <v>482.5</v>
      </c>
      <c r="M514" t="str">
        <f t="shared" si="31"/>
        <v>Friday</v>
      </c>
    </row>
    <row r="515" spans="1:13" x14ac:dyDescent="0.25">
      <c r="A515" s="241">
        <v>46536</v>
      </c>
      <c r="B515" s="242">
        <f t="shared" si="28"/>
        <v>482.5</v>
      </c>
      <c r="C515" s="242">
        <f>IF(DAY(A515+2)=1,'Main Budget'!$G$39,IF(DAY(A515+2)=15,'Main Budget'!$G$39,0))</f>
        <v>0</v>
      </c>
      <c r="D515" s="242">
        <f t="shared" si="29"/>
        <v>0</v>
      </c>
      <c r="E515" s="242">
        <f>IF(DAY(A515)='Main Budget'!$J$12,('Main Budget'!$G$12),0)</f>
        <v>0</v>
      </c>
      <c r="F515" s="242">
        <f>IF(DAY(A515)='Main Budget'!$J$13,('Main Budget'!$G$13)*2,0)</f>
        <v>0</v>
      </c>
      <c r="G515" s="242"/>
      <c r="H515" s="242">
        <f>IF(DAY(A515)='Main Budget'!$J$14,'Main Budget'!$G$14,0)</f>
        <v>0</v>
      </c>
      <c r="I515" s="242"/>
      <c r="J515" s="252">
        <f t="shared" si="30"/>
        <v>482.5</v>
      </c>
      <c r="M515" t="str">
        <f t="shared" si="31"/>
        <v>Saturday</v>
      </c>
    </row>
    <row r="516" spans="1:13" x14ac:dyDescent="0.25">
      <c r="A516" s="241">
        <v>46537</v>
      </c>
      <c r="B516" s="242">
        <f t="shared" si="28"/>
        <v>482.5</v>
      </c>
      <c r="C516" s="242">
        <f>IF(DAY(A516+2)=1,'Main Budget'!$G$39,IF(DAY(A516+2)=15,'Main Budget'!$G$39,0))</f>
        <v>0</v>
      </c>
      <c r="D516" s="242">
        <f t="shared" si="29"/>
        <v>0</v>
      </c>
      <c r="E516" s="242">
        <f>IF(DAY(A516)='Main Budget'!$J$12,('Main Budget'!$G$12),0)</f>
        <v>0</v>
      </c>
      <c r="F516" s="242">
        <f>IF(DAY(A516)='Main Budget'!$J$13,('Main Budget'!$G$13)*2,0)</f>
        <v>0</v>
      </c>
      <c r="G516" s="242"/>
      <c r="H516" s="242">
        <f>IF(DAY(A516)='Main Budget'!$J$14,'Main Budget'!$G$14,0)</f>
        <v>0</v>
      </c>
      <c r="I516" s="242"/>
      <c r="J516" s="252">
        <f t="shared" si="30"/>
        <v>482.5</v>
      </c>
      <c r="M516" t="str">
        <f t="shared" si="31"/>
        <v>Sunday</v>
      </c>
    </row>
    <row r="517" spans="1:13" x14ac:dyDescent="0.25">
      <c r="A517" s="241">
        <v>46538</v>
      </c>
      <c r="B517" s="242">
        <f t="shared" si="28"/>
        <v>482.5</v>
      </c>
      <c r="C517" s="242">
        <f>IF(DAY(A517+2)=1,'Main Budget'!$G$39,IF(DAY(A517+2)=15,'Main Budget'!$G$39,0))</f>
        <v>0</v>
      </c>
      <c r="D517" s="242">
        <f t="shared" si="29"/>
        <v>0</v>
      </c>
      <c r="E517" s="242">
        <f>IF(DAY(A517)='Main Budget'!$J$12,('Main Budget'!$G$12),0)</f>
        <v>0</v>
      </c>
      <c r="F517" s="242">
        <f>IF(DAY(A517)='Main Budget'!$J$13,('Main Budget'!$G$13)*2,0)</f>
        <v>0</v>
      </c>
      <c r="G517" s="242"/>
      <c r="H517" s="242">
        <f>IF(DAY(A517)='Main Budget'!$J$14,'Main Budget'!$G$14,0)</f>
        <v>0</v>
      </c>
      <c r="I517" s="242"/>
      <c r="J517" s="252">
        <f t="shared" si="30"/>
        <v>482.5</v>
      </c>
      <c r="M517" t="str">
        <f t="shared" si="31"/>
        <v>Monday</v>
      </c>
    </row>
    <row r="518" spans="1:13" x14ac:dyDescent="0.25">
      <c r="A518" s="241">
        <v>46539</v>
      </c>
      <c r="B518" s="242">
        <f t="shared" si="28"/>
        <v>482.5</v>
      </c>
      <c r="C518" s="242">
        <f>IF(DAY(A518+2)=1,'Main Budget'!$G$39,IF(DAY(A518+2)=15,'Main Budget'!$G$39,0))</f>
        <v>0</v>
      </c>
      <c r="D518" s="242">
        <f t="shared" si="29"/>
        <v>11.25</v>
      </c>
      <c r="E518" s="242">
        <f>IF(DAY(A518)='Main Budget'!$J$12,('Main Budget'!$G$12),0)</f>
        <v>0</v>
      </c>
      <c r="F518" s="242">
        <f>IF(DAY(A518)='Main Budget'!$J$13,('Main Budget'!$G$13)*2,0)</f>
        <v>0</v>
      </c>
      <c r="G518" s="242"/>
      <c r="H518" s="242">
        <f>IF(DAY(A518)='Main Budget'!$J$14,'Main Budget'!$G$14,0)</f>
        <v>0</v>
      </c>
      <c r="I518" s="242"/>
      <c r="J518" s="252">
        <f t="shared" si="30"/>
        <v>493.75</v>
      </c>
      <c r="M518" t="str">
        <f t="shared" si="31"/>
        <v>Tuesday</v>
      </c>
    </row>
    <row r="519" spans="1:13" x14ac:dyDescent="0.25">
      <c r="A519" s="241">
        <v>46540</v>
      </c>
      <c r="B519" s="242">
        <f t="shared" si="28"/>
        <v>493.75</v>
      </c>
      <c r="C519" s="242">
        <f>IF(DAY(A519+2)=1,'Main Budget'!$G$39,IF(DAY(A519+2)=15,'Main Budget'!$G$39,0))</f>
        <v>0</v>
      </c>
      <c r="D519" s="242">
        <f t="shared" si="29"/>
        <v>0</v>
      </c>
      <c r="E519" s="242">
        <f>IF(DAY(A519)='Main Budget'!$J$12,('Main Budget'!$G$12),0)</f>
        <v>0</v>
      </c>
      <c r="F519" s="242">
        <f>IF(DAY(A519)='Main Budget'!$J$13,('Main Budget'!$G$13)*2,0)</f>
        <v>0</v>
      </c>
      <c r="G519" s="242"/>
      <c r="H519" s="242">
        <f>IF(DAY(A519)='Main Budget'!$J$14,'Main Budget'!$G$14,0)</f>
        <v>0</v>
      </c>
      <c r="I519" s="242"/>
      <c r="J519" s="252">
        <f t="shared" si="30"/>
        <v>493.75</v>
      </c>
      <c r="M519" t="str">
        <f t="shared" si="31"/>
        <v>Wednesday</v>
      </c>
    </row>
    <row r="520" spans="1:13" x14ac:dyDescent="0.25">
      <c r="A520" s="241">
        <v>46541</v>
      </c>
      <c r="B520" s="242">
        <f t="shared" si="28"/>
        <v>493.75</v>
      </c>
      <c r="C520" s="242">
        <f>IF(DAY(A520+2)=1,'Main Budget'!$G$39,IF(DAY(A520+2)=15,'Main Budget'!$G$39,0))</f>
        <v>0</v>
      </c>
      <c r="D520" s="242">
        <f t="shared" si="29"/>
        <v>0</v>
      </c>
      <c r="E520" s="242">
        <f>IF(DAY(A520)='Main Budget'!$J$12,('Main Budget'!$G$12),0)</f>
        <v>0</v>
      </c>
      <c r="F520" s="242">
        <f>IF(DAY(A520)='Main Budget'!$J$13,('Main Budget'!$G$13)*2,0)</f>
        <v>0</v>
      </c>
      <c r="G520" s="242"/>
      <c r="H520" s="242">
        <f>IF(DAY(A520)='Main Budget'!$J$14,'Main Budget'!$G$14,0)</f>
        <v>0</v>
      </c>
      <c r="I520" s="242"/>
      <c r="J520" s="252">
        <f t="shared" si="30"/>
        <v>493.75</v>
      </c>
      <c r="M520" t="str">
        <f t="shared" si="31"/>
        <v>Thursday</v>
      </c>
    </row>
    <row r="521" spans="1:13" x14ac:dyDescent="0.25">
      <c r="A521" s="241">
        <v>46542</v>
      </c>
      <c r="B521" s="242">
        <f t="shared" si="28"/>
        <v>493.75</v>
      </c>
      <c r="C521" s="242">
        <f>IF(DAY(A521+2)=1,'Main Budget'!$G$39,IF(DAY(A521+2)=15,'Main Budget'!$G$39,0))</f>
        <v>0</v>
      </c>
      <c r="D521" s="242">
        <f t="shared" si="29"/>
        <v>0</v>
      </c>
      <c r="E521" s="242">
        <f>IF(DAY(A521)='Main Budget'!$J$12,('Main Budget'!$G$12),0)</f>
        <v>0</v>
      </c>
      <c r="F521" s="242">
        <f>IF(DAY(A521)='Main Budget'!$J$13,('Main Budget'!$G$13)*2,0)</f>
        <v>0</v>
      </c>
      <c r="G521" s="242"/>
      <c r="H521" s="242">
        <f>IF(DAY(A521)='Main Budget'!$J$14,'Main Budget'!$G$14,0)</f>
        <v>0</v>
      </c>
      <c r="I521" s="242"/>
      <c r="J521" s="252">
        <f t="shared" si="30"/>
        <v>493.75</v>
      </c>
      <c r="M521" t="str">
        <f t="shared" si="31"/>
        <v>Friday</v>
      </c>
    </row>
    <row r="522" spans="1:13" x14ac:dyDescent="0.25">
      <c r="A522" s="241">
        <v>46543</v>
      </c>
      <c r="B522" s="242">
        <f t="shared" si="28"/>
        <v>493.75</v>
      </c>
      <c r="C522" s="242">
        <f>IF(DAY(A522+2)=1,'Main Budget'!$G$39,IF(DAY(A522+2)=15,'Main Budget'!$G$39,0))</f>
        <v>0</v>
      </c>
      <c r="D522" s="242">
        <f t="shared" si="29"/>
        <v>0</v>
      </c>
      <c r="E522" s="242">
        <f>IF(DAY(A522)='Main Budget'!$J$12,('Main Budget'!$G$12),0)</f>
        <v>0</v>
      </c>
      <c r="F522" s="242">
        <f>IF(DAY(A522)='Main Budget'!$J$13,('Main Budget'!$G$13)*2,0)</f>
        <v>0</v>
      </c>
      <c r="G522" s="242"/>
      <c r="H522" s="242">
        <f>IF(DAY(A522)='Main Budget'!$J$14,'Main Budget'!$G$14,0)</f>
        <v>0</v>
      </c>
      <c r="I522" s="242"/>
      <c r="J522" s="252">
        <f t="shared" si="30"/>
        <v>493.75</v>
      </c>
      <c r="M522" t="str">
        <f t="shared" si="31"/>
        <v>Saturday</v>
      </c>
    </row>
    <row r="523" spans="1:13" x14ac:dyDescent="0.25">
      <c r="A523" s="241">
        <v>46544</v>
      </c>
      <c r="B523" s="242">
        <f t="shared" si="28"/>
        <v>493.75</v>
      </c>
      <c r="C523" s="242">
        <f>IF(DAY(A523+2)=1,'Main Budget'!$G$39,IF(DAY(A523+2)=15,'Main Budget'!$G$39,0))</f>
        <v>0</v>
      </c>
      <c r="D523" s="242">
        <f t="shared" si="29"/>
        <v>0</v>
      </c>
      <c r="E523" s="242">
        <f>IF(DAY(A523)='Main Budget'!$J$12,('Main Budget'!$G$12),0)</f>
        <v>0</v>
      </c>
      <c r="F523" s="242">
        <f>IF(DAY(A523)='Main Budget'!$J$13,('Main Budget'!$G$13)*2,0)</f>
        <v>0</v>
      </c>
      <c r="G523" s="242"/>
      <c r="H523" s="242">
        <f>IF(DAY(A523)='Main Budget'!$J$14,'Main Budget'!$G$14,0)</f>
        <v>0</v>
      </c>
      <c r="I523" s="242"/>
      <c r="J523" s="252">
        <f t="shared" si="30"/>
        <v>493.75</v>
      </c>
      <c r="M523" t="str">
        <f t="shared" si="31"/>
        <v>Sunday</v>
      </c>
    </row>
    <row r="524" spans="1:13" x14ac:dyDescent="0.25">
      <c r="A524" s="241">
        <v>46545</v>
      </c>
      <c r="B524" s="242">
        <f t="shared" si="28"/>
        <v>493.75</v>
      </c>
      <c r="C524" s="242">
        <f>IF(DAY(A524+2)=1,'Main Budget'!$G$39,IF(DAY(A524+2)=15,'Main Budget'!$G$39,0))</f>
        <v>0</v>
      </c>
      <c r="D524" s="242">
        <f t="shared" si="29"/>
        <v>0</v>
      </c>
      <c r="E524" s="242">
        <f>IF(DAY(A524)='Main Budget'!$J$12,('Main Budget'!$G$12),0)</f>
        <v>0</v>
      </c>
      <c r="F524" s="242">
        <f>IF(DAY(A524)='Main Budget'!$J$13,('Main Budget'!$G$13)*2,0)</f>
        <v>0</v>
      </c>
      <c r="G524" s="242"/>
      <c r="H524" s="242">
        <f>IF(DAY(A524)='Main Budget'!$J$14,'Main Budget'!$G$14,0)</f>
        <v>0</v>
      </c>
      <c r="I524" s="242"/>
      <c r="J524" s="252">
        <f t="shared" si="30"/>
        <v>493.75</v>
      </c>
      <c r="M524" t="str">
        <f t="shared" si="31"/>
        <v>Monday</v>
      </c>
    </row>
    <row r="525" spans="1:13" x14ac:dyDescent="0.25">
      <c r="A525" s="241">
        <v>46546</v>
      </c>
      <c r="B525" s="242">
        <f t="shared" si="28"/>
        <v>493.75</v>
      </c>
      <c r="C525" s="242">
        <f>IF(DAY(A525+2)=1,'Main Budget'!$G$39,IF(DAY(A525+2)=15,'Main Budget'!$G$39,0))</f>
        <v>0</v>
      </c>
      <c r="D525" s="242">
        <f t="shared" si="29"/>
        <v>0</v>
      </c>
      <c r="E525" s="242">
        <f>IF(DAY(A525)='Main Budget'!$J$12,('Main Budget'!$G$12),0)</f>
        <v>0</v>
      </c>
      <c r="F525" s="242">
        <f>IF(DAY(A525)='Main Budget'!$J$13,('Main Budget'!$G$13)*2,0)</f>
        <v>0</v>
      </c>
      <c r="G525" s="242"/>
      <c r="H525" s="242">
        <f>IF(DAY(A525)='Main Budget'!$J$14,'Main Budget'!$G$14,0)</f>
        <v>0</v>
      </c>
      <c r="I525" s="242"/>
      <c r="J525" s="252">
        <f t="shared" si="30"/>
        <v>493.75</v>
      </c>
      <c r="M525" t="str">
        <f t="shared" si="31"/>
        <v>Tuesday</v>
      </c>
    </row>
    <row r="526" spans="1:13" x14ac:dyDescent="0.25">
      <c r="A526" s="241">
        <v>46547</v>
      </c>
      <c r="B526" s="242">
        <f t="shared" si="28"/>
        <v>493.75</v>
      </c>
      <c r="C526" s="242">
        <f>IF(DAY(A526+2)=1,'Main Budget'!$G$39,IF(DAY(A526+2)=15,'Main Budget'!$G$39,0))</f>
        <v>0</v>
      </c>
      <c r="D526" s="242">
        <f t="shared" si="29"/>
        <v>0</v>
      </c>
      <c r="E526" s="242">
        <f>IF(DAY(A526)='Main Budget'!$J$12,('Main Budget'!$G$12),0)</f>
        <v>0</v>
      </c>
      <c r="F526" s="242">
        <f>IF(DAY(A526)='Main Budget'!$J$13,('Main Budget'!$G$13)*2,0)</f>
        <v>0</v>
      </c>
      <c r="G526" s="242"/>
      <c r="H526" s="242">
        <f>IF(DAY(A526)='Main Budget'!$J$14,'Main Budget'!$G$14,0)</f>
        <v>0</v>
      </c>
      <c r="I526" s="242"/>
      <c r="J526" s="252">
        <f t="shared" si="30"/>
        <v>493.75</v>
      </c>
      <c r="M526" t="str">
        <f t="shared" si="31"/>
        <v>Wednesday</v>
      </c>
    </row>
    <row r="527" spans="1:13" x14ac:dyDescent="0.25">
      <c r="A527" s="241">
        <v>46548</v>
      </c>
      <c r="B527" s="242">
        <f t="shared" si="28"/>
        <v>493.75</v>
      </c>
      <c r="C527" s="242">
        <f>IF(DAY(A527+2)=1,'Main Budget'!$G$39,IF(DAY(A527+2)=15,'Main Budget'!$G$39,0))</f>
        <v>0</v>
      </c>
      <c r="D527" s="242">
        <f t="shared" si="29"/>
        <v>0</v>
      </c>
      <c r="E527" s="242">
        <f>IF(DAY(A527)='Main Budget'!$J$12,('Main Budget'!$G$12),0)</f>
        <v>0</v>
      </c>
      <c r="F527" s="242">
        <f>IF(DAY(A527)='Main Budget'!$J$13,('Main Budget'!$G$13)*2,0)</f>
        <v>0</v>
      </c>
      <c r="G527" s="242"/>
      <c r="H527" s="242">
        <f>IF(DAY(A527)='Main Budget'!$J$14,'Main Budget'!$G$14,0)</f>
        <v>0</v>
      </c>
      <c r="I527" s="242"/>
      <c r="J527" s="252">
        <f t="shared" si="30"/>
        <v>493.75</v>
      </c>
      <c r="M527" t="str">
        <f t="shared" si="31"/>
        <v>Thursday</v>
      </c>
    </row>
    <row r="528" spans="1:13" x14ac:dyDescent="0.25">
      <c r="A528" s="241">
        <v>46549</v>
      </c>
      <c r="B528" s="242">
        <f t="shared" si="28"/>
        <v>493.75</v>
      </c>
      <c r="C528" s="242">
        <f>IF(DAY(A528+2)=1,'Main Budget'!$G$39,IF(DAY(A528+2)=15,'Main Budget'!$G$39,0))</f>
        <v>0</v>
      </c>
      <c r="D528" s="242">
        <f t="shared" si="29"/>
        <v>0</v>
      </c>
      <c r="E528" s="242">
        <f>IF(DAY(A528)='Main Budget'!$J$12,('Main Budget'!$G$12),0)</f>
        <v>0</v>
      </c>
      <c r="F528" s="242">
        <f>IF(DAY(A528)='Main Budget'!$J$13,('Main Budget'!$G$13)*2,0)</f>
        <v>0</v>
      </c>
      <c r="G528" s="242"/>
      <c r="H528" s="242">
        <f>IF(DAY(A528)='Main Budget'!$J$14,'Main Budget'!$G$14,0)</f>
        <v>0</v>
      </c>
      <c r="I528" s="242"/>
      <c r="J528" s="252">
        <f t="shared" si="30"/>
        <v>493.75</v>
      </c>
      <c r="M528" t="str">
        <f t="shared" si="31"/>
        <v>Friday</v>
      </c>
    </row>
    <row r="529" spans="1:13" x14ac:dyDescent="0.25">
      <c r="A529" s="241">
        <v>46550</v>
      </c>
      <c r="B529" s="242">
        <f t="shared" ref="B529:B592" si="32">J528</f>
        <v>493.75</v>
      </c>
      <c r="C529" s="242">
        <f>IF(DAY(A529+2)=1,'Main Budget'!$G$39,IF(DAY(A529+2)=15,'Main Budget'!$G$39,0))</f>
        <v>0</v>
      </c>
      <c r="D529" s="242">
        <f t="shared" ref="D529:D592" si="33">IF(OR(DAY(A529)=1,DAY(A529)=15),11.25,0)</f>
        <v>0</v>
      </c>
      <c r="E529" s="242">
        <f>IF(DAY(A529)='Main Budget'!$J$12,('Main Budget'!$G$12),0)</f>
        <v>0</v>
      </c>
      <c r="F529" s="242">
        <f>IF(DAY(A529)='Main Budget'!$J$13,('Main Budget'!$G$13)*2,0)</f>
        <v>0</v>
      </c>
      <c r="G529" s="242"/>
      <c r="H529" s="242">
        <f>IF(DAY(A529)='Main Budget'!$J$14,'Main Budget'!$G$14,0)</f>
        <v>0</v>
      </c>
      <c r="I529" s="242"/>
      <c r="J529" s="252">
        <f t="shared" ref="J529:J592" si="34">J528+(SUM(C529:I529))</f>
        <v>493.75</v>
      </c>
      <c r="M529" t="str">
        <f t="shared" ref="M529:M592" si="35">TEXT(A529,"dddd")</f>
        <v>Saturday</v>
      </c>
    </row>
    <row r="530" spans="1:13" x14ac:dyDescent="0.25">
      <c r="A530" s="241">
        <v>46551</v>
      </c>
      <c r="B530" s="242">
        <f t="shared" si="32"/>
        <v>493.75</v>
      </c>
      <c r="C530" s="242">
        <f>IF(DAY(A530+2)=1,'Main Budget'!$G$39,IF(DAY(A530+2)=15,'Main Budget'!$G$39,0))</f>
        <v>0</v>
      </c>
      <c r="D530" s="242">
        <f t="shared" si="33"/>
        <v>0</v>
      </c>
      <c r="E530" s="242">
        <f>IF(DAY(A530)='Main Budget'!$J$12,('Main Budget'!$G$12),0)</f>
        <v>0</v>
      </c>
      <c r="F530" s="242">
        <f>IF(DAY(A530)='Main Budget'!$J$13,('Main Budget'!$G$13)*2,0)</f>
        <v>0</v>
      </c>
      <c r="G530" s="242"/>
      <c r="H530" s="242">
        <f>IF(DAY(A530)='Main Budget'!$J$14,'Main Budget'!$G$14,0)</f>
        <v>0</v>
      </c>
      <c r="I530" s="242"/>
      <c r="J530" s="252">
        <f t="shared" si="34"/>
        <v>493.75</v>
      </c>
      <c r="M530" t="str">
        <f t="shared" si="35"/>
        <v>Sunday</v>
      </c>
    </row>
    <row r="531" spans="1:13" x14ac:dyDescent="0.25">
      <c r="A531" s="241">
        <v>46552</v>
      </c>
      <c r="B531" s="242">
        <f t="shared" si="32"/>
        <v>493.75</v>
      </c>
      <c r="C531" s="242">
        <f>IF(DAY(A531+2)=1,'Main Budget'!$G$39,IF(DAY(A531+2)=15,'Main Budget'!$G$39,0))</f>
        <v>0</v>
      </c>
      <c r="D531" s="242">
        <f t="shared" si="33"/>
        <v>0</v>
      </c>
      <c r="E531" s="242">
        <f>IF(DAY(A531)='Main Budget'!$J$12,('Main Budget'!$G$12),0)</f>
        <v>0</v>
      </c>
      <c r="F531" s="242">
        <f>IF(DAY(A531)='Main Budget'!$J$13,('Main Budget'!$G$13)*2,0)</f>
        <v>0</v>
      </c>
      <c r="G531" s="242"/>
      <c r="H531" s="242">
        <f>IF(DAY(A531)='Main Budget'!$J$14,'Main Budget'!$G$14,0)</f>
        <v>0</v>
      </c>
      <c r="I531" s="242"/>
      <c r="J531" s="252">
        <f t="shared" si="34"/>
        <v>493.75</v>
      </c>
      <c r="M531" t="str">
        <f t="shared" si="35"/>
        <v>Monday</v>
      </c>
    </row>
    <row r="532" spans="1:13" x14ac:dyDescent="0.25">
      <c r="A532" s="241">
        <v>46553</v>
      </c>
      <c r="B532" s="242">
        <f t="shared" si="32"/>
        <v>493.75</v>
      </c>
      <c r="C532" s="242">
        <f>IF(DAY(A532+2)=1,'Main Budget'!$G$39,IF(DAY(A532+2)=15,'Main Budget'!$G$39,0))</f>
        <v>0</v>
      </c>
      <c r="D532" s="242">
        <f t="shared" si="33"/>
        <v>11.25</v>
      </c>
      <c r="E532" s="242">
        <f>IF(DAY(A532)='Main Budget'!$J$12,('Main Budget'!$G$12),0)</f>
        <v>0</v>
      </c>
      <c r="F532" s="242">
        <f>IF(DAY(A532)='Main Budget'!$J$13,('Main Budget'!$G$13)*2,0)</f>
        <v>0</v>
      </c>
      <c r="G532" s="242"/>
      <c r="H532" s="242">
        <f>IF(DAY(A532)='Main Budget'!$J$14,'Main Budget'!$G$14,0)</f>
        <v>0</v>
      </c>
      <c r="I532" s="242"/>
      <c r="J532" s="252">
        <f t="shared" si="34"/>
        <v>505</v>
      </c>
      <c r="M532" t="str">
        <f t="shared" si="35"/>
        <v>Tuesday</v>
      </c>
    </row>
    <row r="533" spans="1:13" x14ac:dyDescent="0.25">
      <c r="A533" s="241">
        <v>46554</v>
      </c>
      <c r="B533" s="242">
        <f t="shared" si="32"/>
        <v>505</v>
      </c>
      <c r="C533" s="242">
        <f>IF(DAY(A533+2)=1,'Main Budget'!$G$39,IF(DAY(A533+2)=15,'Main Budget'!$G$39,0))</f>
        <v>0</v>
      </c>
      <c r="D533" s="242">
        <f t="shared" si="33"/>
        <v>0</v>
      </c>
      <c r="E533" s="242">
        <f>IF(DAY(A533)='Main Budget'!$J$12,('Main Budget'!$G$12),0)</f>
        <v>0</v>
      </c>
      <c r="F533" s="242">
        <f>IF(DAY(A533)='Main Budget'!$J$13,('Main Budget'!$G$13)*2,0)</f>
        <v>0</v>
      </c>
      <c r="G533" s="242"/>
      <c r="H533" s="242">
        <f>IF(DAY(A533)='Main Budget'!$J$14,'Main Budget'!$G$14,0)</f>
        <v>0</v>
      </c>
      <c r="I533" s="242"/>
      <c r="J533" s="252">
        <f t="shared" si="34"/>
        <v>505</v>
      </c>
      <c r="M533" t="str">
        <f t="shared" si="35"/>
        <v>Wednesday</v>
      </c>
    </row>
    <row r="534" spans="1:13" x14ac:dyDescent="0.25">
      <c r="A534" s="241">
        <v>46555</v>
      </c>
      <c r="B534" s="242">
        <f t="shared" si="32"/>
        <v>505</v>
      </c>
      <c r="C534" s="242">
        <f>IF(DAY(A534+2)=1,'Main Budget'!$G$39,IF(DAY(A534+2)=15,'Main Budget'!$G$39,0))</f>
        <v>0</v>
      </c>
      <c r="D534" s="242">
        <f t="shared" si="33"/>
        <v>0</v>
      </c>
      <c r="E534" s="242">
        <f>IF(DAY(A534)='Main Budget'!$J$12,('Main Budget'!$G$12),0)</f>
        <v>0</v>
      </c>
      <c r="F534" s="242">
        <f>IF(DAY(A534)='Main Budget'!$J$13,('Main Budget'!$G$13)*2,0)</f>
        <v>0</v>
      </c>
      <c r="G534" s="242"/>
      <c r="H534" s="242">
        <f>IF(DAY(A534)='Main Budget'!$J$14,'Main Budget'!$G$14,0)</f>
        <v>0</v>
      </c>
      <c r="I534" s="242"/>
      <c r="J534" s="252">
        <f t="shared" si="34"/>
        <v>505</v>
      </c>
      <c r="M534" t="str">
        <f t="shared" si="35"/>
        <v>Thursday</v>
      </c>
    </row>
    <row r="535" spans="1:13" x14ac:dyDescent="0.25">
      <c r="A535" s="241">
        <v>46556</v>
      </c>
      <c r="B535" s="242">
        <f t="shared" si="32"/>
        <v>505</v>
      </c>
      <c r="C535" s="242">
        <f>IF(DAY(A535+2)=1,'Main Budget'!$G$39,IF(DAY(A535+2)=15,'Main Budget'!$G$39,0))</f>
        <v>0</v>
      </c>
      <c r="D535" s="242">
        <f t="shared" si="33"/>
        <v>0</v>
      </c>
      <c r="E535" s="242">
        <f>IF(DAY(A535)='Main Budget'!$J$12,('Main Budget'!$G$12),0)</f>
        <v>0</v>
      </c>
      <c r="F535" s="242">
        <f>IF(DAY(A535)='Main Budget'!$J$13,('Main Budget'!$G$13)*2,0)</f>
        <v>0</v>
      </c>
      <c r="G535" s="242"/>
      <c r="H535" s="242">
        <f>IF(DAY(A535)='Main Budget'!$J$14,'Main Budget'!$G$14,0)</f>
        <v>0</v>
      </c>
      <c r="I535" s="242"/>
      <c r="J535" s="252">
        <f t="shared" si="34"/>
        <v>505</v>
      </c>
      <c r="M535" t="str">
        <f t="shared" si="35"/>
        <v>Friday</v>
      </c>
    </row>
    <row r="536" spans="1:13" x14ac:dyDescent="0.25">
      <c r="A536" s="241">
        <v>46557</v>
      </c>
      <c r="B536" s="242">
        <f t="shared" si="32"/>
        <v>505</v>
      </c>
      <c r="C536" s="242">
        <f>IF(DAY(A536+2)=1,'Main Budget'!$G$39,IF(DAY(A536+2)=15,'Main Budget'!$G$39,0))</f>
        <v>0</v>
      </c>
      <c r="D536" s="242">
        <f t="shared" si="33"/>
        <v>0</v>
      </c>
      <c r="E536" s="242">
        <f>IF(DAY(A536)='Main Budget'!$J$12,('Main Budget'!$G$12),0)</f>
        <v>0</v>
      </c>
      <c r="F536" s="242">
        <f>IF(DAY(A536)='Main Budget'!$J$13,('Main Budget'!$G$13)*2,0)</f>
        <v>0</v>
      </c>
      <c r="G536" s="242"/>
      <c r="H536" s="242">
        <f>IF(DAY(A536)='Main Budget'!$J$14,'Main Budget'!$G$14,0)</f>
        <v>0</v>
      </c>
      <c r="I536" s="242"/>
      <c r="J536" s="252">
        <f t="shared" si="34"/>
        <v>505</v>
      </c>
      <c r="M536" t="str">
        <f t="shared" si="35"/>
        <v>Saturday</v>
      </c>
    </row>
    <row r="537" spans="1:13" x14ac:dyDescent="0.25">
      <c r="A537" s="241">
        <v>46558</v>
      </c>
      <c r="B537" s="242">
        <f t="shared" si="32"/>
        <v>505</v>
      </c>
      <c r="C537" s="242">
        <f>IF(DAY(A537+2)=1,'Main Budget'!$G$39,IF(DAY(A537+2)=15,'Main Budget'!$G$39,0))</f>
        <v>0</v>
      </c>
      <c r="D537" s="242">
        <f t="shared" si="33"/>
        <v>0</v>
      </c>
      <c r="E537" s="242">
        <f>IF(DAY(A537)='Main Budget'!$J$12,('Main Budget'!$G$12),0)</f>
        <v>0</v>
      </c>
      <c r="F537" s="242">
        <f>IF(DAY(A537)='Main Budget'!$J$13,('Main Budget'!$G$13)*2,0)</f>
        <v>0</v>
      </c>
      <c r="G537" s="242"/>
      <c r="H537" s="242">
        <f>IF(DAY(A537)='Main Budget'!$J$14,'Main Budget'!$G$14,0)</f>
        <v>0</v>
      </c>
      <c r="I537" s="242"/>
      <c r="J537" s="252">
        <f t="shared" si="34"/>
        <v>505</v>
      </c>
      <c r="M537" t="str">
        <f t="shared" si="35"/>
        <v>Sunday</v>
      </c>
    </row>
    <row r="538" spans="1:13" x14ac:dyDescent="0.25">
      <c r="A538" s="241">
        <v>46559</v>
      </c>
      <c r="B538" s="242">
        <f t="shared" si="32"/>
        <v>505</v>
      </c>
      <c r="C538" s="242">
        <f>IF(DAY(A538+2)=1,'Main Budget'!$G$39,IF(DAY(A538+2)=15,'Main Budget'!$G$39,0))</f>
        <v>0</v>
      </c>
      <c r="D538" s="242">
        <f t="shared" si="33"/>
        <v>0</v>
      </c>
      <c r="E538" s="242">
        <f>IF(DAY(A538)='Main Budget'!$J$12,('Main Budget'!$G$12),0)</f>
        <v>0</v>
      </c>
      <c r="F538" s="242">
        <f>IF(DAY(A538)='Main Budget'!$J$13,('Main Budget'!$G$13)*2,0)</f>
        <v>0</v>
      </c>
      <c r="G538" s="242"/>
      <c r="H538" s="242">
        <f>IF(DAY(A538)='Main Budget'!$J$14,'Main Budget'!$G$14,0)</f>
        <v>0</v>
      </c>
      <c r="I538" s="242"/>
      <c r="J538" s="252">
        <f t="shared" si="34"/>
        <v>505</v>
      </c>
      <c r="M538" t="str">
        <f t="shared" si="35"/>
        <v>Monday</v>
      </c>
    </row>
    <row r="539" spans="1:13" x14ac:dyDescent="0.25">
      <c r="A539" s="241">
        <v>46560</v>
      </c>
      <c r="B539" s="242">
        <f t="shared" si="32"/>
        <v>505</v>
      </c>
      <c r="C539" s="242">
        <f>IF(DAY(A539+2)=1,'Main Budget'!$G$39,IF(DAY(A539+2)=15,'Main Budget'!$G$39,0))</f>
        <v>0</v>
      </c>
      <c r="D539" s="242">
        <f t="shared" si="33"/>
        <v>0</v>
      </c>
      <c r="E539" s="242">
        <f>IF(DAY(A539)='Main Budget'!$J$12,('Main Budget'!$G$12),0)</f>
        <v>0</v>
      </c>
      <c r="F539" s="242">
        <f>IF(DAY(A539)='Main Budget'!$J$13,('Main Budget'!$G$13)*2,0)</f>
        <v>0</v>
      </c>
      <c r="G539" s="242"/>
      <c r="H539" s="242">
        <f>IF(DAY(A539)='Main Budget'!$J$14,'Main Budget'!$G$14,0)</f>
        <v>0</v>
      </c>
      <c r="I539" s="242"/>
      <c r="J539" s="252">
        <f t="shared" si="34"/>
        <v>505</v>
      </c>
      <c r="M539" t="str">
        <f t="shared" si="35"/>
        <v>Tuesday</v>
      </c>
    </row>
    <row r="540" spans="1:13" x14ac:dyDescent="0.25">
      <c r="A540" s="241">
        <v>46561</v>
      </c>
      <c r="B540" s="242">
        <f t="shared" si="32"/>
        <v>505</v>
      </c>
      <c r="C540" s="242">
        <f>IF(DAY(A540+2)=1,'Main Budget'!$G$39,IF(DAY(A540+2)=15,'Main Budget'!$G$39,0))</f>
        <v>0</v>
      </c>
      <c r="D540" s="242">
        <f t="shared" si="33"/>
        <v>0</v>
      </c>
      <c r="E540" s="242">
        <f>IF(DAY(A540)='Main Budget'!$J$12,('Main Budget'!$G$12),0)</f>
        <v>0</v>
      </c>
      <c r="F540" s="242">
        <f>IF(DAY(A540)='Main Budget'!$J$13,('Main Budget'!$G$13)*2,0)</f>
        <v>0</v>
      </c>
      <c r="G540" s="242"/>
      <c r="H540" s="242">
        <f>IF(DAY(A540)='Main Budget'!$J$14,'Main Budget'!$G$14,0)</f>
        <v>0</v>
      </c>
      <c r="I540" s="242"/>
      <c r="J540" s="252">
        <f t="shared" si="34"/>
        <v>505</v>
      </c>
      <c r="M540" t="str">
        <f t="shared" si="35"/>
        <v>Wednesday</v>
      </c>
    </row>
    <row r="541" spans="1:13" x14ac:dyDescent="0.25">
      <c r="A541" s="241">
        <v>46562</v>
      </c>
      <c r="B541" s="242">
        <f t="shared" si="32"/>
        <v>505</v>
      </c>
      <c r="C541" s="242">
        <f>IF(DAY(A541+2)=1,'Main Budget'!$G$39,IF(DAY(A541+2)=15,'Main Budget'!$G$39,0))</f>
        <v>0</v>
      </c>
      <c r="D541" s="242">
        <f t="shared" si="33"/>
        <v>0</v>
      </c>
      <c r="E541" s="242">
        <f>IF(DAY(A541)='Main Budget'!$J$12,('Main Budget'!$G$12),0)</f>
        <v>0</v>
      </c>
      <c r="F541" s="242">
        <f>IF(DAY(A541)='Main Budget'!$J$13,('Main Budget'!$G$13)*2,0)</f>
        <v>0</v>
      </c>
      <c r="G541" s="242"/>
      <c r="H541" s="242">
        <f>IF(DAY(A541)='Main Budget'!$J$14,'Main Budget'!$G$14,0)</f>
        <v>0</v>
      </c>
      <c r="I541" s="242"/>
      <c r="J541" s="252">
        <f t="shared" si="34"/>
        <v>505</v>
      </c>
      <c r="M541" t="str">
        <f t="shared" si="35"/>
        <v>Thursday</v>
      </c>
    </row>
    <row r="542" spans="1:13" x14ac:dyDescent="0.25">
      <c r="A542" s="241">
        <v>46563</v>
      </c>
      <c r="B542" s="242">
        <f t="shared" si="32"/>
        <v>505</v>
      </c>
      <c r="C542" s="242">
        <f>IF(DAY(A542+2)=1,'Main Budget'!$G$39,IF(DAY(A542+2)=15,'Main Budget'!$G$39,0))</f>
        <v>0</v>
      </c>
      <c r="D542" s="242">
        <f t="shared" si="33"/>
        <v>0</v>
      </c>
      <c r="E542" s="242">
        <f>IF(DAY(A542)='Main Budget'!$J$12,('Main Budget'!$G$12),0)</f>
        <v>0</v>
      </c>
      <c r="F542" s="242">
        <f>IF(DAY(A542)='Main Budget'!$J$13,('Main Budget'!$G$13)*2,0)</f>
        <v>0</v>
      </c>
      <c r="G542" s="242"/>
      <c r="H542" s="242">
        <f>IF(DAY(A542)='Main Budget'!$J$14,'Main Budget'!$G$14,0)</f>
        <v>0</v>
      </c>
      <c r="I542" s="242"/>
      <c r="J542" s="252">
        <f t="shared" si="34"/>
        <v>505</v>
      </c>
      <c r="M542" t="str">
        <f t="shared" si="35"/>
        <v>Friday</v>
      </c>
    </row>
    <row r="543" spans="1:13" x14ac:dyDescent="0.25">
      <c r="A543" s="241">
        <v>46564</v>
      </c>
      <c r="B543" s="242">
        <f t="shared" si="32"/>
        <v>505</v>
      </c>
      <c r="C543" s="242">
        <f>IF(DAY(A543+2)=1,'Main Budget'!$G$39,IF(DAY(A543+2)=15,'Main Budget'!$G$39,0))</f>
        <v>0</v>
      </c>
      <c r="D543" s="242">
        <f t="shared" si="33"/>
        <v>0</v>
      </c>
      <c r="E543" s="242">
        <f>IF(DAY(A543)='Main Budget'!$J$12,('Main Budget'!$G$12),0)</f>
        <v>0</v>
      </c>
      <c r="F543" s="242">
        <f>IF(DAY(A543)='Main Budget'!$J$13,('Main Budget'!$G$13)*2,0)</f>
        <v>0</v>
      </c>
      <c r="G543" s="242"/>
      <c r="H543" s="242">
        <f>IF(DAY(A543)='Main Budget'!$J$14,'Main Budget'!$G$14,0)</f>
        <v>0</v>
      </c>
      <c r="I543" s="242"/>
      <c r="J543" s="252">
        <f t="shared" si="34"/>
        <v>505</v>
      </c>
      <c r="M543" t="str">
        <f t="shared" si="35"/>
        <v>Saturday</v>
      </c>
    </row>
    <row r="544" spans="1:13" x14ac:dyDescent="0.25">
      <c r="A544" s="241">
        <v>46565</v>
      </c>
      <c r="B544" s="242">
        <f t="shared" si="32"/>
        <v>505</v>
      </c>
      <c r="C544" s="242">
        <f>IF(DAY(A544+2)=1,'Main Budget'!$G$39,IF(DAY(A544+2)=15,'Main Budget'!$G$39,0))</f>
        <v>0</v>
      </c>
      <c r="D544" s="242">
        <f t="shared" si="33"/>
        <v>0</v>
      </c>
      <c r="E544" s="242">
        <f>IF(DAY(A544)='Main Budget'!$J$12,('Main Budget'!$G$12),0)</f>
        <v>0</v>
      </c>
      <c r="F544" s="242">
        <f>IF(DAY(A544)='Main Budget'!$J$13,('Main Budget'!$G$13)*2,0)</f>
        <v>0</v>
      </c>
      <c r="G544" s="242"/>
      <c r="H544" s="242">
        <f>IF(DAY(A544)='Main Budget'!$J$14,'Main Budget'!$G$14,0)</f>
        <v>0</v>
      </c>
      <c r="I544" s="242"/>
      <c r="J544" s="252">
        <f t="shared" si="34"/>
        <v>505</v>
      </c>
      <c r="M544" t="str">
        <f t="shared" si="35"/>
        <v>Sunday</v>
      </c>
    </row>
    <row r="545" spans="1:13" x14ac:dyDescent="0.25">
      <c r="A545" s="241">
        <v>46566</v>
      </c>
      <c r="B545" s="242">
        <f t="shared" si="32"/>
        <v>505</v>
      </c>
      <c r="C545" s="242">
        <f>IF(DAY(A545+2)=1,'Main Budget'!$G$39,IF(DAY(A545+2)=15,'Main Budget'!$G$39,0))</f>
        <v>0</v>
      </c>
      <c r="D545" s="242">
        <f t="shared" si="33"/>
        <v>0</v>
      </c>
      <c r="E545" s="242">
        <f>IF(DAY(A545)='Main Budget'!$J$12,('Main Budget'!$G$12),0)</f>
        <v>0</v>
      </c>
      <c r="F545" s="242">
        <f>IF(DAY(A545)='Main Budget'!$J$13,('Main Budget'!$G$13)*2,0)</f>
        <v>0</v>
      </c>
      <c r="G545" s="242"/>
      <c r="H545" s="242">
        <f>IF(DAY(A545)='Main Budget'!$J$14,'Main Budget'!$G$14,0)</f>
        <v>0</v>
      </c>
      <c r="I545" s="242"/>
      <c r="J545" s="252">
        <f t="shared" si="34"/>
        <v>505</v>
      </c>
      <c r="M545" t="str">
        <f t="shared" si="35"/>
        <v>Monday</v>
      </c>
    </row>
    <row r="546" spans="1:13" x14ac:dyDescent="0.25">
      <c r="A546" s="241">
        <v>46567</v>
      </c>
      <c r="B546" s="242">
        <f t="shared" si="32"/>
        <v>505</v>
      </c>
      <c r="C546" s="242">
        <f>IF(DAY(A546+2)=1,'Main Budget'!$G$39,IF(DAY(A546+2)=15,'Main Budget'!$G$39,0))</f>
        <v>0</v>
      </c>
      <c r="D546" s="242">
        <f t="shared" si="33"/>
        <v>0</v>
      </c>
      <c r="E546" s="242">
        <f>IF(DAY(A546)='Main Budget'!$J$12,('Main Budget'!$G$12),0)</f>
        <v>0</v>
      </c>
      <c r="F546" s="242">
        <f>IF(DAY(A546)='Main Budget'!$J$13,('Main Budget'!$G$13)*2,0)</f>
        <v>0</v>
      </c>
      <c r="G546" s="242"/>
      <c r="H546" s="242">
        <f>IF(DAY(A546)='Main Budget'!$J$14,'Main Budget'!$G$14,0)</f>
        <v>0</v>
      </c>
      <c r="I546" s="242"/>
      <c r="J546" s="252">
        <f t="shared" si="34"/>
        <v>505</v>
      </c>
      <c r="M546" t="str">
        <f t="shared" si="35"/>
        <v>Tuesday</v>
      </c>
    </row>
    <row r="547" spans="1:13" x14ac:dyDescent="0.25">
      <c r="A547" s="241">
        <v>46568</v>
      </c>
      <c r="B547" s="242">
        <f t="shared" si="32"/>
        <v>505</v>
      </c>
      <c r="C547" s="242">
        <f>IF(DAY(A547+2)=1,'Main Budget'!$G$39,IF(DAY(A547+2)=15,'Main Budget'!$G$39,0))</f>
        <v>0</v>
      </c>
      <c r="D547" s="242">
        <f t="shared" si="33"/>
        <v>0</v>
      </c>
      <c r="E547" s="242">
        <f>IF(DAY(A547)='Main Budget'!$J$12,('Main Budget'!$G$12),0)</f>
        <v>0</v>
      </c>
      <c r="F547" s="242">
        <f>IF(DAY(A547)='Main Budget'!$J$13,('Main Budget'!$G$13)*2,0)</f>
        <v>0</v>
      </c>
      <c r="G547" s="242"/>
      <c r="H547" s="242">
        <f>IF(DAY(A547)='Main Budget'!$J$14,'Main Budget'!$G$14,0)</f>
        <v>0</v>
      </c>
      <c r="I547" s="242"/>
      <c r="J547" s="252">
        <f t="shared" si="34"/>
        <v>505</v>
      </c>
      <c r="M547" t="str">
        <f t="shared" si="35"/>
        <v>Wednesday</v>
      </c>
    </row>
    <row r="548" spans="1:13" x14ac:dyDescent="0.25">
      <c r="A548" s="241">
        <v>46569</v>
      </c>
      <c r="B548" s="242">
        <f t="shared" si="32"/>
        <v>505</v>
      </c>
      <c r="C548" s="242">
        <f>IF(DAY(A548+2)=1,'Main Budget'!$G$39,IF(DAY(A548+2)=15,'Main Budget'!$G$39,0))</f>
        <v>0</v>
      </c>
      <c r="D548" s="242">
        <f t="shared" si="33"/>
        <v>11.25</v>
      </c>
      <c r="E548" s="242">
        <f>IF(DAY(A548)='Main Budget'!$J$12,('Main Budget'!$G$12),0)</f>
        <v>0</v>
      </c>
      <c r="F548" s="242">
        <f>IF(DAY(A548)='Main Budget'!$J$13,('Main Budget'!$G$13)*2,0)</f>
        <v>0</v>
      </c>
      <c r="G548" s="242"/>
      <c r="H548" s="242">
        <f>IF(DAY(A548)='Main Budget'!$J$14,'Main Budget'!$G$14,0)</f>
        <v>0</v>
      </c>
      <c r="I548" s="242"/>
      <c r="J548" s="252">
        <f t="shared" si="34"/>
        <v>516.25</v>
      </c>
      <c r="M548" t="str">
        <f t="shared" si="35"/>
        <v>Thursday</v>
      </c>
    </row>
    <row r="549" spans="1:13" x14ac:dyDescent="0.25">
      <c r="A549" s="241">
        <v>46570</v>
      </c>
      <c r="B549" s="242">
        <f t="shared" si="32"/>
        <v>516.25</v>
      </c>
      <c r="C549" s="242">
        <f>IF(DAY(A549+2)=1,'Main Budget'!$G$39,IF(DAY(A549+2)=15,'Main Budget'!$G$39,0))</f>
        <v>0</v>
      </c>
      <c r="D549" s="242">
        <f t="shared" si="33"/>
        <v>0</v>
      </c>
      <c r="E549" s="242">
        <f>IF(DAY(A549)='Main Budget'!$J$12,('Main Budget'!$G$12),0)</f>
        <v>0</v>
      </c>
      <c r="F549" s="242">
        <f>IF(DAY(A549)='Main Budget'!$J$13,('Main Budget'!$G$13)*2,0)</f>
        <v>0</v>
      </c>
      <c r="G549" s="242"/>
      <c r="H549" s="242">
        <f>IF(DAY(A549)='Main Budget'!$J$14,'Main Budget'!$G$14,0)</f>
        <v>0</v>
      </c>
      <c r="I549" s="242"/>
      <c r="J549" s="252">
        <f t="shared" si="34"/>
        <v>516.25</v>
      </c>
      <c r="M549" t="str">
        <f t="shared" si="35"/>
        <v>Friday</v>
      </c>
    </row>
    <row r="550" spans="1:13" x14ac:dyDescent="0.25">
      <c r="A550" s="241">
        <v>46571</v>
      </c>
      <c r="B550" s="242">
        <f t="shared" si="32"/>
        <v>516.25</v>
      </c>
      <c r="C550" s="242">
        <f>IF(DAY(A550+2)=1,'Main Budget'!$G$39,IF(DAY(A550+2)=15,'Main Budget'!$G$39,0))</f>
        <v>0</v>
      </c>
      <c r="D550" s="242">
        <f t="shared" si="33"/>
        <v>0</v>
      </c>
      <c r="E550" s="242">
        <f>IF(DAY(A550)='Main Budget'!$J$12,('Main Budget'!$G$12),0)</f>
        <v>0</v>
      </c>
      <c r="F550" s="242">
        <f>IF(DAY(A550)='Main Budget'!$J$13,('Main Budget'!$G$13)*2,0)</f>
        <v>0</v>
      </c>
      <c r="G550" s="242"/>
      <c r="H550" s="242">
        <f>IF(DAY(A550)='Main Budget'!$J$14,'Main Budget'!$G$14,0)</f>
        <v>0</v>
      </c>
      <c r="I550" s="242"/>
      <c r="J550" s="252">
        <f t="shared" si="34"/>
        <v>516.25</v>
      </c>
      <c r="M550" t="str">
        <f t="shared" si="35"/>
        <v>Saturday</v>
      </c>
    </row>
    <row r="551" spans="1:13" x14ac:dyDescent="0.25">
      <c r="A551" s="241">
        <v>46572</v>
      </c>
      <c r="B551" s="242">
        <f t="shared" si="32"/>
        <v>516.25</v>
      </c>
      <c r="C551" s="242">
        <f>IF(DAY(A551+2)=1,'Main Budget'!$G$39,IF(DAY(A551+2)=15,'Main Budget'!$G$39,0))</f>
        <v>0</v>
      </c>
      <c r="D551" s="242">
        <f t="shared" si="33"/>
        <v>0</v>
      </c>
      <c r="E551" s="242">
        <f>IF(DAY(A551)='Main Budget'!$J$12,('Main Budget'!$G$12),0)</f>
        <v>0</v>
      </c>
      <c r="F551" s="242">
        <f>IF(DAY(A551)='Main Budget'!$J$13,('Main Budget'!$G$13)*2,0)</f>
        <v>0</v>
      </c>
      <c r="G551" s="242"/>
      <c r="H551" s="242">
        <f>IF(DAY(A551)='Main Budget'!$J$14,'Main Budget'!$G$14,0)</f>
        <v>0</v>
      </c>
      <c r="I551" s="242"/>
      <c r="J551" s="252">
        <f t="shared" si="34"/>
        <v>516.25</v>
      </c>
      <c r="M551" t="str">
        <f t="shared" si="35"/>
        <v>Sunday</v>
      </c>
    </row>
    <row r="552" spans="1:13" x14ac:dyDescent="0.25">
      <c r="A552" s="241">
        <v>46573</v>
      </c>
      <c r="B552" s="242">
        <f t="shared" si="32"/>
        <v>516.25</v>
      </c>
      <c r="C552" s="242">
        <f>IF(DAY(A552+2)=1,'Main Budget'!$G$39,IF(DAY(A552+2)=15,'Main Budget'!$G$39,0))</f>
        <v>0</v>
      </c>
      <c r="D552" s="242">
        <f t="shared" si="33"/>
        <v>0</v>
      </c>
      <c r="E552" s="242">
        <f>IF(DAY(A552)='Main Budget'!$J$12,('Main Budget'!$G$12),0)</f>
        <v>0</v>
      </c>
      <c r="F552" s="242">
        <f>IF(DAY(A552)='Main Budget'!$J$13,('Main Budget'!$G$13)*2,0)</f>
        <v>0</v>
      </c>
      <c r="G552" s="242"/>
      <c r="H552" s="242">
        <f>IF(DAY(A552)='Main Budget'!$J$14,'Main Budget'!$G$14,0)</f>
        <v>0</v>
      </c>
      <c r="I552" s="242"/>
      <c r="J552" s="252">
        <f t="shared" si="34"/>
        <v>516.25</v>
      </c>
      <c r="M552" t="str">
        <f t="shared" si="35"/>
        <v>Monday</v>
      </c>
    </row>
    <row r="553" spans="1:13" x14ac:dyDescent="0.25">
      <c r="A553" s="241">
        <v>46574</v>
      </c>
      <c r="B553" s="242">
        <f t="shared" si="32"/>
        <v>516.25</v>
      </c>
      <c r="C553" s="242">
        <f>IF(DAY(A553+2)=1,'Main Budget'!$G$39,IF(DAY(A553+2)=15,'Main Budget'!$G$39,0))</f>
        <v>0</v>
      </c>
      <c r="D553" s="242">
        <f t="shared" si="33"/>
        <v>0</v>
      </c>
      <c r="E553" s="242">
        <f>IF(DAY(A553)='Main Budget'!$J$12,('Main Budget'!$G$12),0)</f>
        <v>0</v>
      </c>
      <c r="F553" s="242">
        <f>IF(DAY(A553)='Main Budget'!$J$13,('Main Budget'!$G$13)*2,0)</f>
        <v>0</v>
      </c>
      <c r="G553" s="242"/>
      <c r="H553" s="242">
        <f>IF(DAY(A553)='Main Budget'!$J$14,'Main Budget'!$G$14,0)</f>
        <v>0</v>
      </c>
      <c r="I553" s="242"/>
      <c r="J553" s="252">
        <f t="shared" si="34"/>
        <v>516.25</v>
      </c>
      <c r="M553" t="str">
        <f t="shared" si="35"/>
        <v>Tuesday</v>
      </c>
    </row>
    <row r="554" spans="1:13" x14ac:dyDescent="0.25">
      <c r="A554" s="241">
        <v>46575</v>
      </c>
      <c r="B554" s="242">
        <f t="shared" si="32"/>
        <v>516.25</v>
      </c>
      <c r="C554" s="242">
        <f>IF(DAY(A554+2)=1,'Main Budget'!$G$39,IF(DAY(A554+2)=15,'Main Budget'!$G$39,0))</f>
        <v>0</v>
      </c>
      <c r="D554" s="242">
        <f t="shared" si="33"/>
        <v>0</v>
      </c>
      <c r="E554" s="242">
        <f>IF(DAY(A554)='Main Budget'!$J$12,('Main Budget'!$G$12),0)</f>
        <v>0</v>
      </c>
      <c r="F554" s="242">
        <f>IF(DAY(A554)='Main Budget'!$J$13,('Main Budget'!$G$13)*2,0)</f>
        <v>0</v>
      </c>
      <c r="G554" s="242"/>
      <c r="H554" s="242">
        <f>IF(DAY(A554)='Main Budget'!$J$14,'Main Budget'!$G$14,0)</f>
        <v>0</v>
      </c>
      <c r="I554" s="242"/>
      <c r="J554" s="252">
        <f t="shared" si="34"/>
        <v>516.25</v>
      </c>
      <c r="M554" t="str">
        <f t="shared" si="35"/>
        <v>Wednesday</v>
      </c>
    </row>
    <row r="555" spans="1:13" x14ac:dyDescent="0.25">
      <c r="A555" s="241">
        <v>46576</v>
      </c>
      <c r="B555" s="242">
        <f t="shared" si="32"/>
        <v>516.25</v>
      </c>
      <c r="C555" s="242">
        <f>IF(DAY(A555+2)=1,'Main Budget'!$G$39,IF(DAY(A555+2)=15,'Main Budget'!$G$39,0))</f>
        <v>0</v>
      </c>
      <c r="D555" s="242">
        <f t="shared" si="33"/>
        <v>0</v>
      </c>
      <c r="E555" s="242">
        <f>IF(DAY(A555)='Main Budget'!$J$12,('Main Budget'!$G$12),0)</f>
        <v>0</v>
      </c>
      <c r="F555" s="242">
        <f>IF(DAY(A555)='Main Budget'!$J$13,('Main Budget'!$G$13)*2,0)</f>
        <v>0</v>
      </c>
      <c r="G555" s="242"/>
      <c r="H555" s="242">
        <f>IF(DAY(A555)='Main Budget'!$J$14,'Main Budget'!$G$14,0)</f>
        <v>0</v>
      </c>
      <c r="I555" s="242"/>
      <c r="J555" s="252">
        <f t="shared" si="34"/>
        <v>516.25</v>
      </c>
      <c r="M555" t="str">
        <f t="shared" si="35"/>
        <v>Thursday</v>
      </c>
    </row>
    <row r="556" spans="1:13" x14ac:dyDescent="0.25">
      <c r="A556" s="241">
        <v>46577</v>
      </c>
      <c r="B556" s="242">
        <f t="shared" si="32"/>
        <v>516.25</v>
      </c>
      <c r="C556" s="242">
        <f>IF(DAY(A556+2)=1,'Main Budget'!$G$39,IF(DAY(A556+2)=15,'Main Budget'!$G$39,0))</f>
        <v>0</v>
      </c>
      <c r="D556" s="242">
        <f t="shared" si="33"/>
        <v>0</v>
      </c>
      <c r="E556" s="242">
        <f>IF(DAY(A556)='Main Budget'!$J$12,('Main Budget'!$G$12),0)</f>
        <v>0</v>
      </c>
      <c r="F556" s="242">
        <f>IF(DAY(A556)='Main Budget'!$J$13,('Main Budget'!$G$13)*2,0)</f>
        <v>0</v>
      </c>
      <c r="G556" s="242"/>
      <c r="H556" s="242">
        <f>IF(DAY(A556)='Main Budget'!$J$14,'Main Budget'!$G$14,0)</f>
        <v>0</v>
      </c>
      <c r="I556" s="242"/>
      <c r="J556" s="252">
        <f t="shared" si="34"/>
        <v>516.25</v>
      </c>
      <c r="M556" t="str">
        <f t="shared" si="35"/>
        <v>Friday</v>
      </c>
    </row>
    <row r="557" spans="1:13" x14ac:dyDescent="0.25">
      <c r="A557" s="241">
        <v>46578</v>
      </c>
      <c r="B557" s="242">
        <f t="shared" si="32"/>
        <v>516.25</v>
      </c>
      <c r="C557" s="242">
        <f>IF(DAY(A557+2)=1,'Main Budget'!$G$39,IF(DAY(A557+2)=15,'Main Budget'!$G$39,0))</f>
        <v>0</v>
      </c>
      <c r="D557" s="242">
        <f t="shared" si="33"/>
        <v>0</v>
      </c>
      <c r="E557" s="242">
        <f>IF(DAY(A557)='Main Budget'!$J$12,('Main Budget'!$G$12),0)</f>
        <v>0</v>
      </c>
      <c r="F557" s="242">
        <f>IF(DAY(A557)='Main Budget'!$J$13,('Main Budget'!$G$13)*2,0)</f>
        <v>0</v>
      </c>
      <c r="G557" s="242"/>
      <c r="H557" s="242">
        <f>IF(DAY(A557)='Main Budget'!$J$14,'Main Budget'!$G$14,0)</f>
        <v>0</v>
      </c>
      <c r="I557" s="242"/>
      <c r="J557" s="252">
        <f t="shared" si="34"/>
        <v>516.25</v>
      </c>
      <c r="M557" t="str">
        <f t="shared" si="35"/>
        <v>Saturday</v>
      </c>
    </row>
    <row r="558" spans="1:13" x14ac:dyDescent="0.25">
      <c r="A558" s="241">
        <v>46579</v>
      </c>
      <c r="B558" s="242">
        <f t="shared" si="32"/>
        <v>516.25</v>
      </c>
      <c r="C558" s="242">
        <f>IF(DAY(A558+2)=1,'Main Budget'!$G$39,IF(DAY(A558+2)=15,'Main Budget'!$G$39,0))</f>
        <v>0</v>
      </c>
      <c r="D558" s="242">
        <f t="shared" si="33"/>
        <v>0</v>
      </c>
      <c r="E558" s="242">
        <f>IF(DAY(A558)='Main Budget'!$J$12,('Main Budget'!$G$12),0)</f>
        <v>0</v>
      </c>
      <c r="F558" s="242">
        <f>IF(DAY(A558)='Main Budget'!$J$13,('Main Budget'!$G$13)*2,0)</f>
        <v>0</v>
      </c>
      <c r="G558" s="242"/>
      <c r="H558" s="242">
        <f>IF(DAY(A558)='Main Budget'!$J$14,'Main Budget'!$G$14,0)</f>
        <v>0</v>
      </c>
      <c r="I558" s="242"/>
      <c r="J558" s="252">
        <f t="shared" si="34"/>
        <v>516.25</v>
      </c>
      <c r="M558" t="str">
        <f t="shared" si="35"/>
        <v>Sunday</v>
      </c>
    </row>
    <row r="559" spans="1:13" x14ac:dyDescent="0.25">
      <c r="A559" s="241">
        <v>46580</v>
      </c>
      <c r="B559" s="242">
        <f t="shared" si="32"/>
        <v>516.25</v>
      </c>
      <c r="C559" s="242">
        <f>IF(DAY(A559+2)=1,'Main Budget'!$G$39,IF(DAY(A559+2)=15,'Main Budget'!$G$39,0))</f>
        <v>0</v>
      </c>
      <c r="D559" s="242">
        <f t="shared" si="33"/>
        <v>0</v>
      </c>
      <c r="E559" s="242">
        <f>IF(DAY(A559)='Main Budget'!$J$12,('Main Budget'!$G$12),0)</f>
        <v>0</v>
      </c>
      <c r="F559" s="242">
        <f>IF(DAY(A559)='Main Budget'!$J$13,('Main Budget'!$G$13)*2,0)</f>
        <v>0</v>
      </c>
      <c r="G559" s="242"/>
      <c r="H559" s="242">
        <f>IF(DAY(A559)='Main Budget'!$J$14,'Main Budget'!$G$14,0)</f>
        <v>0</v>
      </c>
      <c r="I559" s="242"/>
      <c r="J559" s="252">
        <f t="shared" si="34"/>
        <v>516.25</v>
      </c>
      <c r="M559" t="str">
        <f t="shared" si="35"/>
        <v>Monday</v>
      </c>
    </row>
    <row r="560" spans="1:13" x14ac:dyDescent="0.25">
      <c r="A560" s="241">
        <v>46581</v>
      </c>
      <c r="B560" s="242">
        <f t="shared" si="32"/>
        <v>516.25</v>
      </c>
      <c r="C560" s="242">
        <f>IF(DAY(A560+2)=1,'Main Budget'!$G$39,IF(DAY(A560+2)=15,'Main Budget'!$G$39,0))</f>
        <v>0</v>
      </c>
      <c r="D560" s="242">
        <f t="shared" si="33"/>
        <v>0</v>
      </c>
      <c r="E560" s="242">
        <f>IF(DAY(A560)='Main Budget'!$J$12,('Main Budget'!$G$12),0)</f>
        <v>0</v>
      </c>
      <c r="F560" s="242">
        <f>IF(DAY(A560)='Main Budget'!$J$13,('Main Budget'!$G$13)*2,0)</f>
        <v>0</v>
      </c>
      <c r="G560" s="242"/>
      <c r="H560" s="242">
        <f>IF(DAY(A560)='Main Budget'!$J$14,'Main Budget'!$G$14,0)</f>
        <v>0</v>
      </c>
      <c r="I560" s="242"/>
      <c r="J560" s="252">
        <f t="shared" si="34"/>
        <v>516.25</v>
      </c>
      <c r="M560" t="str">
        <f t="shared" si="35"/>
        <v>Tuesday</v>
      </c>
    </row>
    <row r="561" spans="1:13" x14ac:dyDescent="0.25">
      <c r="A561" s="241">
        <v>46582</v>
      </c>
      <c r="B561" s="242">
        <f t="shared" si="32"/>
        <v>516.25</v>
      </c>
      <c r="C561" s="242">
        <f>IF(DAY(A561+2)=1,'Main Budget'!$G$39,IF(DAY(A561+2)=15,'Main Budget'!$G$39,0))</f>
        <v>0</v>
      </c>
      <c r="D561" s="242">
        <f t="shared" si="33"/>
        <v>0</v>
      </c>
      <c r="E561" s="242">
        <f>IF(DAY(A561)='Main Budget'!$J$12,('Main Budget'!$G$12),0)</f>
        <v>0</v>
      </c>
      <c r="F561" s="242">
        <f>IF(DAY(A561)='Main Budget'!$J$13,('Main Budget'!$G$13)*2,0)</f>
        <v>0</v>
      </c>
      <c r="G561" s="242"/>
      <c r="H561" s="242">
        <f>IF(DAY(A561)='Main Budget'!$J$14,'Main Budget'!$G$14,0)</f>
        <v>0</v>
      </c>
      <c r="I561" s="242"/>
      <c r="J561" s="252">
        <f t="shared" si="34"/>
        <v>516.25</v>
      </c>
      <c r="M561" t="str">
        <f t="shared" si="35"/>
        <v>Wednesday</v>
      </c>
    </row>
    <row r="562" spans="1:13" x14ac:dyDescent="0.25">
      <c r="A562" s="241">
        <v>46583</v>
      </c>
      <c r="B562" s="242">
        <f t="shared" si="32"/>
        <v>516.25</v>
      </c>
      <c r="C562" s="242">
        <f>IF(DAY(A562+2)=1,'Main Budget'!$G$39,IF(DAY(A562+2)=15,'Main Budget'!$G$39,0))</f>
        <v>0</v>
      </c>
      <c r="D562" s="242">
        <f t="shared" si="33"/>
        <v>11.25</v>
      </c>
      <c r="E562" s="242">
        <f>IF(DAY(A562)='Main Budget'!$J$12,('Main Budget'!$G$12),0)</f>
        <v>0</v>
      </c>
      <c r="F562" s="242">
        <f>IF(DAY(A562)='Main Budget'!$J$13,('Main Budget'!$G$13)*2,0)</f>
        <v>0</v>
      </c>
      <c r="G562" s="242"/>
      <c r="H562" s="242">
        <f>IF(DAY(A562)='Main Budget'!$J$14,'Main Budget'!$G$14,0)</f>
        <v>0</v>
      </c>
      <c r="I562" s="242"/>
      <c r="J562" s="252">
        <f t="shared" si="34"/>
        <v>527.5</v>
      </c>
      <c r="M562" t="str">
        <f t="shared" si="35"/>
        <v>Thursday</v>
      </c>
    </row>
    <row r="563" spans="1:13" x14ac:dyDescent="0.25">
      <c r="A563" s="241">
        <v>46584</v>
      </c>
      <c r="B563" s="242">
        <f t="shared" si="32"/>
        <v>527.5</v>
      </c>
      <c r="C563" s="242">
        <f>IF(DAY(A563+2)=1,'Main Budget'!$G$39,IF(DAY(A563+2)=15,'Main Budget'!$G$39,0))</f>
        <v>0</v>
      </c>
      <c r="D563" s="242">
        <f t="shared" si="33"/>
        <v>0</v>
      </c>
      <c r="E563" s="242">
        <f>IF(DAY(A563)='Main Budget'!$J$12,('Main Budget'!$G$12),0)</f>
        <v>0</v>
      </c>
      <c r="F563" s="242">
        <f>IF(DAY(A563)='Main Budget'!$J$13,('Main Budget'!$G$13)*2,0)</f>
        <v>0</v>
      </c>
      <c r="G563" s="242"/>
      <c r="H563" s="242">
        <f>IF(DAY(A563)='Main Budget'!$J$14,'Main Budget'!$G$14,0)</f>
        <v>0</v>
      </c>
      <c r="I563" s="242"/>
      <c r="J563" s="252">
        <f t="shared" si="34"/>
        <v>527.5</v>
      </c>
      <c r="M563" t="str">
        <f t="shared" si="35"/>
        <v>Friday</v>
      </c>
    </row>
    <row r="564" spans="1:13" x14ac:dyDescent="0.25">
      <c r="A564" s="241">
        <v>46585</v>
      </c>
      <c r="B564" s="242">
        <f t="shared" si="32"/>
        <v>527.5</v>
      </c>
      <c r="C564" s="242">
        <f>IF(DAY(A564+2)=1,'Main Budget'!$G$39,IF(DAY(A564+2)=15,'Main Budget'!$G$39,0))</f>
        <v>0</v>
      </c>
      <c r="D564" s="242">
        <f t="shared" si="33"/>
        <v>0</v>
      </c>
      <c r="E564" s="242">
        <f>IF(DAY(A564)='Main Budget'!$J$12,('Main Budget'!$G$12),0)</f>
        <v>0</v>
      </c>
      <c r="F564" s="242">
        <f>IF(DAY(A564)='Main Budget'!$J$13,('Main Budget'!$G$13)*2,0)</f>
        <v>0</v>
      </c>
      <c r="G564" s="242"/>
      <c r="H564" s="242">
        <f>IF(DAY(A564)='Main Budget'!$J$14,'Main Budget'!$G$14,0)</f>
        <v>0</v>
      </c>
      <c r="I564" s="242"/>
      <c r="J564" s="252">
        <f t="shared" si="34"/>
        <v>527.5</v>
      </c>
      <c r="M564" t="str">
        <f t="shared" si="35"/>
        <v>Saturday</v>
      </c>
    </row>
    <row r="565" spans="1:13" x14ac:dyDescent="0.25">
      <c r="A565" s="241">
        <v>46586</v>
      </c>
      <c r="B565" s="242">
        <f t="shared" si="32"/>
        <v>527.5</v>
      </c>
      <c r="C565" s="242">
        <f>IF(DAY(A565+2)=1,'Main Budget'!$G$39,IF(DAY(A565+2)=15,'Main Budget'!$G$39,0))</f>
        <v>0</v>
      </c>
      <c r="D565" s="242">
        <f t="shared" si="33"/>
        <v>0</v>
      </c>
      <c r="E565" s="242">
        <f>IF(DAY(A565)='Main Budget'!$J$12,('Main Budget'!$G$12),0)</f>
        <v>0</v>
      </c>
      <c r="F565" s="242">
        <f>IF(DAY(A565)='Main Budget'!$J$13,('Main Budget'!$G$13)*2,0)</f>
        <v>0</v>
      </c>
      <c r="G565" s="242"/>
      <c r="H565" s="242">
        <f>IF(DAY(A565)='Main Budget'!$J$14,'Main Budget'!$G$14,0)</f>
        <v>0</v>
      </c>
      <c r="I565" s="242"/>
      <c r="J565" s="252">
        <f t="shared" si="34"/>
        <v>527.5</v>
      </c>
      <c r="M565" t="str">
        <f t="shared" si="35"/>
        <v>Sunday</v>
      </c>
    </row>
    <row r="566" spans="1:13" x14ac:dyDescent="0.25">
      <c r="A566" s="241">
        <v>46587</v>
      </c>
      <c r="B566" s="242">
        <f t="shared" si="32"/>
        <v>527.5</v>
      </c>
      <c r="C566" s="242">
        <f>IF(DAY(A566+2)=1,'Main Budget'!$G$39,IF(DAY(A566+2)=15,'Main Budget'!$G$39,0))</f>
        <v>0</v>
      </c>
      <c r="D566" s="242">
        <f t="shared" si="33"/>
        <v>0</v>
      </c>
      <c r="E566" s="242">
        <f>IF(DAY(A566)='Main Budget'!$J$12,('Main Budget'!$G$12),0)</f>
        <v>0</v>
      </c>
      <c r="F566" s="242">
        <f>IF(DAY(A566)='Main Budget'!$J$13,('Main Budget'!$G$13)*2,0)</f>
        <v>0</v>
      </c>
      <c r="G566" s="242"/>
      <c r="H566" s="242">
        <f>IF(DAY(A566)='Main Budget'!$J$14,'Main Budget'!$G$14,0)</f>
        <v>0</v>
      </c>
      <c r="I566" s="242"/>
      <c r="J566" s="252">
        <f t="shared" si="34"/>
        <v>527.5</v>
      </c>
      <c r="M566" t="str">
        <f t="shared" si="35"/>
        <v>Monday</v>
      </c>
    </row>
    <row r="567" spans="1:13" x14ac:dyDescent="0.25">
      <c r="A567" s="241">
        <v>46588</v>
      </c>
      <c r="B567" s="242">
        <f t="shared" si="32"/>
        <v>527.5</v>
      </c>
      <c r="C567" s="242">
        <f>IF(DAY(A567+2)=1,'Main Budget'!$G$39,IF(DAY(A567+2)=15,'Main Budget'!$G$39,0))</f>
        <v>0</v>
      </c>
      <c r="D567" s="242">
        <f t="shared" si="33"/>
        <v>0</v>
      </c>
      <c r="E567" s="242">
        <f>IF(DAY(A567)='Main Budget'!$J$12,('Main Budget'!$G$12),0)</f>
        <v>0</v>
      </c>
      <c r="F567" s="242">
        <f>IF(DAY(A567)='Main Budget'!$J$13,('Main Budget'!$G$13)*2,0)</f>
        <v>0</v>
      </c>
      <c r="G567" s="242"/>
      <c r="H567" s="242">
        <f>IF(DAY(A567)='Main Budget'!$J$14,'Main Budget'!$G$14,0)</f>
        <v>0</v>
      </c>
      <c r="I567" s="242"/>
      <c r="J567" s="252">
        <f t="shared" si="34"/>
        <v>527.5</v>
      </c>
      <c r="M567" t="str">
        <f t="shared" si="35"/>
        <v>Tuesday</v>
      </c>
    </row>
    <row r="568" spans="1:13" x14ac:dyDescent="0.25">
      <c r="A568" s="241">
        <v>46589</v>
      </c>
      <c r="B568" s="242">
        <f t="shared" si="32"/>
        <v>527.5</v>
      </c>
      <c r="C568" s="242">
        <f>IF(DAY(A568+2)=1,'Main Budget'!$G$39,IF(DAY(A568+2)=15,'Main Budget'!$G$39,0))</f>
        <v>0</v>
      </c>
      <c r="D568" s="242">
        <f t="shared" si="33"/>
        <v>0</v>
      </c>
      <c r="E568" s="242">
        <f>IF(DAY(A568)='Main Budget'!$J$12,('Main Budget'!$G$12),0)</f>
        <v>0</v>
      </c>
      <c r="F568" s="242">
        <f>IF(DAY(A568)='Main Budget'!$J$13,('Main Budget'!$G$13)*2,0)</f>
        <v>0</v>
      </c>
      <c r="G568" s="242"/>
      <c r="H568" s="242">
        <f>IF(DAY(A568)='Main Budget'!$J$14,'Main Budget'!$G$14,0)</f>
        <v>0</v>
      </c>
      <c r="I568" s="242"/>
      <c r="J568" s="252">
        <f t="shared" si="34"/>
        <v>527.5</v>
      </c>
      <c r="M568" t="str">
        <f t="shared" si="35"/>
        <v>Wednesday</v>
      </c>
    </row>
    <row r="569" spans="1:13" x14ac:dyDescent="0.25">
      <c r="A569" s="241">
        <v>46590</v>
      </c>
      <c r="B569" s="242">
        <f t="shared" si="32"/>
        <v>527.5</v>
      </c>
      <c r="C569" s="242">
        <f>IF(DAY(A569+2)=1,'Main Budget'!$G$39,IF(DAY(A569+2)=15,'Main Budget'!$G$39,0))</f>
        <v>0</v>
      </c>
      <c r="D569" s="242">
        <f t="shared" si="33"/>
        <v>0</v>
      </c>
      <c r="E569" s="242">
        <f>IF(DAY(A569)='Main Budget'!$J$12,('Main Budget'!$G$12),0)</f>
        <v>0</v>
      </c>
      <c r="F569" s="242">
        <f>IF(DAY(A569)='Main Budget'!$J$13,('Main Budget'!$G$13)*2,0)</f>
        <v>0</v>
      </c>
      <c r="G569" s="242"/>
      <c r="H569" s="242">
        <f>IF(DAY(A569)='Main Budget'!$J$14,'Main Budget'!$G$14,0)</f>
        <v>0</v>
      </c>
      <c r="I569" s="242"/>
      <c r="J569" s="252">
        <f t="shared" si="34"/>
        <v>527.5</v>
      </c>
      <c r="M569" t="str">
        <f t="shared" si="35"/>
        <v>Thursday</v>
      </c>
    </row>
    <row r="570" spans="1:13" x14ac:dyDescent="0.25">
      <c r="A570" s="241">
        <v>46591</v>
      </c>
      <c r="B570" s="242">
        <f t="shared" si="32"/>
        <v>527.5</v>
      </c>
      <c r="C570" s="242">
        <f>IF(DAY(A570+2)=1,'Main Budget'!$G$39,IF(DAY(A570+2)=15,'Main Budget'!$G$39,0))</f>
        <v>0</v>
      </c>
      <c r="D570" s="242">
        <f t="shared" si="33"/>
        <v>0</v>
      </c>
      <c r="E570" s="242">
        <f>IF(DAY(A570)='Main Budget'!$J$12,('Main Budget'!$G$12),0)</f>
        <v>0</v>
      </c>
      <c r="F570" s="242">
        <f>IF(DAY(A570)='Main Budget'!$J$13,('Main Budget'!$G$13)*2,0)</f>
        <v>0</v>
      </c>
      <c r="G570" s="242"/>
      <c r="H570" s="242">
        <f>IF(DAY(A570)='Main Budget'!$J$14,'Main Budget'!$G$14,0)</f>
        <v>0</v>
      </c>
      <c r="I570" s="242"/>
      <c r="J570" s="252">
        <f t="shared" si="34"/>
        <v>527.5</v>
      </c>
      <c r="M570" t="str">
        <f t="shared" si="35"/>
        <v>Friday</v>
      </c>
    </row>
    <row r="571" spans="1:13" x14ac:dyDescent="0.25">
      <c r="A571" s="241">
        <v>46592</v>
      </c>
      <c r="B571" s="242">
        <f t="shared" si="32"/>
        <v>527.5</v>
      </c>
      <c r="C571" s="242">
        <f>IF(DAY(A571+2)=1,'Main Budget'!$G$39,IF(DAY(A571+2)=15,'Main Budget'!$G$39,0))</f>
        <v>0</v>
      </c>
      <c r="D571" s="242">
        <f t="shared" si="33"/>
        <v>0</v>
      </c>
      <c r="E571" s="242">
        <f>IF(DAY(A571)='Main Budget'!$J$12,('Main Budget'!$G$12),0)</f>
        <v>0</v>
      </c>
      <c r="F571" s="242">
        <f>IF(DAY(A571)='Main Budget'!$J$13,('Main Budget'!$G$13)*2,0)</f>
        <v>0</v>
      </c>
      <c r="G571" s="242"/>
      <c r="H571" s="242">
        <f>IF(DAY(A571)='Main Budget'!$J$14,'Main Budget'!$G$14,0)</f>
        <v>0</v>
      </c>
      <c r="I571" s="242"/>
      <c r="J571" s="252">
        <f t="shared" si="34"/>
        <v>527.5</v>
      </c>
      <c r="M571" t="str">
        <f t="shared" si="35"/>
        <v>Saturday</v>
      </c>
    </row>
    <row r="572" spans="1:13" x14ac:dyDescent="0.25">
      <c r="A572" s="241">
        <v>46593</v>
      </c>
      <c r="B572" s="242">
        <f t="shared" si="32"/>
        <v>527.5</v>
      </c>
      <c r="C572" s="242">
        <f>IF(DAY(A572+2)=1,'Main Budget'!$G$39,IF(DAY(A572+2)=15,'Main Budget'!$G$39,0))</f>
        <v>0</v>
      </c>
      <c r="D572" s="242">
        <f t="shared" si="33"/>
        <v>0</v>
      </c>
      <c r="E572" s="242">
        <f>IF(DAY(A572)='Main Budget'!$J$12,('Main Budget'!$G$12),0)</f>
        <v>0</v>
      </c>
      <c r="F572" s="242">
        <f>IF(DAY(A572)='Main Budget'!$J$13,('Main Budget'!$G$13)*2,0)</f>
        <v>0</v>
      </c>
      <c r="G572" s="242"/>
      <c r="H572" s="242">
        <f>IF(DAY(A572)='Main Budget'!$J$14,'Main Budget'!$G$14,0)</f>
        <v>0</v>
      </c>
      <c r="I572" s="242"/>
      <c r="J572" s="252">
        <f t="shared" si="34"/>
        <v>527.5</v>
      </c>
      <c r="M572" t="str">
        <f t="shared" si="35"/>
        <v>Sunday</v>
      </c>
    </row>
    <row r="573" spans="1:13" x14ac:dyDescent="0.25">
      <c r="A573" s="241">
        <v>46594</v>
      </c>
      <c r="B573" s="242">
        <f t="shared" si="32"/>
        <v>527.5</v>
      </c>
      <c r="C573" s="242">
        <f>IF(DAY(A573+2)=1,'Main Budget'!$G$39,IF(DAY(A573+2)=15,'Main Budget'!$G$39,0))</f>
        <v>0</v>
      </c>
      <c r="D573" s="242">
        <f t="shared" si="33"/>
        <v>0</v>
      </c>
      <c r="E573" s="242">
        <f>IF(DAY(A573)='Main Budget'!$J$12,('Main Budget'!$G$12),0)</f>
        <v>0</v>
      </c>
      <c r="F573" s="242">
        <f>IF(DAY(A573)='Main Budget'!$J$13,('Main Budget'!$G$13)*2,0)</f>
        <v>0</v>
      </c>
      <c r="G573" s="242"/>
      <c r="H573" s="242">
        <f>IF(DAY(A573)='Main Budget'!$J$14,'Main Budget'!$G$14,0)</f>
        <v>0</v>
      </c>
      <c r="I573" s="242"/>
      <c r="J573" s="252">
        <f t="shared" si="34"/>
        <v>527.5</v>
      </c>
      <c r="M573" t="str">
        <f t="shared" si="35"/>
        <v>Monday</v>
      </c>
    </row>
    <row r="574" spans="1:13" x14ac:dyDescent="0.25">
      <c r="A574" s="241">
        <v>46595</v>
      </c>
      <c r="B574" s="242">
        <f t="shared" si="32"/>
        <v>527.5</v>
      </c>
      <c r="C574" s="242">
        <f>IF(DAY(A574+2)=1,'Main Budget'!$G$39,IF(DAY(A574+2)=15,'Main Budget'!$G$39,0))</f>
        <v>0</v>
      </c>
      <c r="D574" s="242">
        <f t="shared" si="33"/>
        <v>0</v>
      </c>
      <c r="E574" s="242">
        <f>IF(DAY(A574)='Main Budget'!$J$12,('Main Budget'!$G$12),0)</f>
        <v>0</v>
      </c>
      <c r="F574" s="242">
        <f>IF(DAY(A574)='Main Budget'!$J$13,('Main Budget'!$G$13)*2,0)</f>
        <v>0</v>
      </c>
      <c r="G574" s="242"/>
      <c r="H574" s="242">
        <f>IF(DAY(A574)='Main Budget'!$J$14,'Main Budget'!$G$14,0)</f>
        <v>0</v>
      </c>
      <c r="I574" s="242"/>
      <c r="J574" s="252">
        <f t="shared" si="34"/>
        <v>527.5</v>
      </c>
      <c r="M574" t="str">
        <f t="shared" si="35"/>
        <v>Tuesday</v>
      </c>
    </row>
    <row r="575" spans="1:13" x14ac:dyDescent="0.25">
      <c r="A575" s="241">
        <v>46596</v>
      </c>
      <c r="B575" s="242">
        <f t="shared" si="32"/>
        <v>527.5</v>
      </c>
      <c r="C575" s="242">
        <f>IF(DAY(A575+2)=1,'Main Budget'!$G$39,IF(DAY(A575+2)=15,'Main Budget'!$G$39,0))</f>
        <v>0</v>
      </c>
      <c r="D575" s="242">
        <f t="shared" si="33"/>
        <v>0</v>
      </c>
      <c r="E575" s="242">
        <f>IF(DAY(A575)='Main Budget'!$J$12,('Main Budget'!$G$12),0)</f>
        <v>0</v>
      </c>
      <c r="F575" s="242">
        <f>IF(DAY(A575)='Main Budget'!$J$13,('Main Budget'!$G$13)*2,0)</f>
        <v>0</v>
      </c>
      <c r="G575" s="242"/>
      <c r="H575" s="242">
        <f>IF(DAY(A575)='Main Budget'!$J$14,'Main Budget'!$G$14,0)</f>
        <v>0</v>
      </c>
      <c r="I575" s="242"/>
      <c r="J575" s="252">
        <f t="shared" si="34"/>
        <v>527.5</v>
      </c>
      <c r="M575" t="str">
        <f t="shared" si="35"/>
        <v>Wednesday</v>
      </c>
    </row>
    <row r="576" spans="1:13" x14ac:dyDescent="0.25">
      <c r="A576" s="241">
        <v>46597</v>
      </c>
      <c r="B576" s="242">
        <f t="shared" si="32"/>
        <v>527.5</v>
      </c>
      <c r="C576" s="242">
        <f>IF(DAY(A576+2)=1,'Main Budget'!$G$39,IF(DAY(A576+2)=15,'Main Budget'!$G$39,0))</f>
        <v>0</v>
      </c>
      <c r="D576" s="242">
        <f t="shared" si="33"/>
        <v>0</v>
      </c>
      <c r="E576" s="242">
        <f>IF(DAY(A576)='Main Budget'!$J$12,('Main Budget'!$G$12),0)</f>
        <v>0</v>
      </c>
      <c r="F576" s="242">
        <f>IF(DAY(A576)='Main Budget'!$J$13,('Main Budget'!$G$13)*2,0)</f>
        <v>0</v>
      </c>
      <c r="G576" s="242"/>
      <c r="H576" s="242">
        <f>IF(DAY(A576)='Main Budget'!$J$14,'Main Budget'!$G$14,0)</f>
        <v>0</v>
      </c>
      <c r="I576" s="242"/>
      <c r="J576" s="252">
        <f t="shared" si="34"/>
        <v>527.5</v>
      </c>
      <c r="M576" t="str">
        <f t="shared" si="35"/>
        <v>Thursday</v>
      </c>
    </row>
    <row r="577" spans="1:13" x14ac:dyDescent="0.25">
      <c r="A577" s="241">
        <v>46598</v>
      </c>
      <c r="B577" s="242">
        <f t="shared" si="32"/>
        <v>527.5</v>
      </c>
      <c r="C577" s="242">
        <f>IF(DAY(A577+2)=1,'Main Budget'!$G$39,IF(DAY(A577+2)=15,'Main Budget'!$G$39,0))</f>
        <v>0</v>
      </c>
      <c r="D577" s="242">
        <f t="shared" si="33"/>
        <v>0</v>
      </c>
      <c r="E577" s="242">
        <f>IF(DAY(A577)='Main Budget'!$J$12,('Main Budget'!$G$12),0)</f>
        <v>0</v>
      </c>
      <c r="F577" s="242">
        <f>IF(DAY(A577)='Main Budget'!$J$13,('Main Budget'!$G$13)*2,0)</f>
        <v>0</v>
      </c>
      <c r="G577" s="242"/>
      <c r="H577" s="242">
        <f>IF(DAY(A577)='Main Budget'!$J$14,'Main Budget'!$G$14,0)</f>
        <v>0</v>
      </c>
      <c r="I577" s="242"/>
      <c r="J577" s="252">
        <f t="shared" si="34"/>
        <v>527.5</v>
      </c>
      <c r="M577" t="str">
        <f t="shared" si="35"/>
        <v>Friday</v>
      </c>
    </row>
    <row r="578" spans="1:13" x14ac:dyDescent="0.25">
      <c r="A578" s="241">
        <v>46599</v>
      </c>
      <c r="B578" s="242">
        <f t="shared" si="32"/>
        <v>527.5</v>
      </c>
      <c r="C578" s="242">
        <f>IF(DAY(A578+2)=1,'Main Budget'!$G$39,IF(DAY(A578+2)=15,'Main Budget'!$G$39,0))</f>
        <v>0</v>
      </c>
      <c r="D578" s="242">
        <f t="shared" si="33"/>
        <v>0</v>
      </c>
      <c r="E578" s="242">
        <f>IF(DAY(A578)='Main Budget'!$J$12,('Main Budget'!$G$12),0)</f>
        <v>0</v>
      </c>
      <c r="F578" s="242">
        <f>IF(DAY(A578)='Main Budget'!$J$13,('Main Budget'!$G$13)*2,0)</f>
        <v>0</v>
      </c>
      <c r="G578" s="242"/>
      <c r="H578" s="242">
        <f>IF(DAY(A578)='Main Budget'!$J$14,'Main Budget'!$G$14,0)</f>
        <v>0</v>
      </c>
      <c r="I578" s="242"/>
      <c r="J578" s="252">
        <f t="shared" si="34"/>
        <v>527.5</v>
      </c>
      <c r="M578" t="str">
        <f t="shared" si="35"/>
        <v>Saturday</v>
      </c>
    </row>
    <row r="579" spans="1:13" x14ac:dyDescent="0.25">
      <c r="A579" s="241">
        <v>46600</v>
      </c>
      <c r="B579" s="242">
        <f t="shared" si="32"/>
        <v>527.5</v>
      </c>
      <c r="C579" s="242">
        <f>IF(DAY(A579+2)=1,'Main Budget'!$G$39,IF(DAY(A579+2)=15,'Main Budget'!$G$39,0))</f>
        <v>0</v>
      </c>
      <c r="D579" s="242">
        <f t="shared" si="33"/>
        <v>11.25</v>
      </c>
      <c r="E579" s="242">
        <f>IF(DAY(A579)='Main Budget'!$J$12,('Main Budget'!$G$12),0)</f>
        <v>0</v>
      </c>
      <c r="F579" s="242">
        <f>IF(DAY(A579)='Main Budget'!$J$13,('Main Budget'!$G$13)*2,0)</f>
        <v>0</v>
      </c>
      <c r="G579" s="242"/>
      <c r="H579" s="242">
        <f>IF(DAY(A579)='Main Budget'!$J$14,'Main Budget'!$G$14,0)</f>
        <v>0</v>
      </c>
      <c r="I579" s="242"/>
      <c r="J579" s="252">
        <f t="shared" si="34"/>
        <v>538.75</v>
      </c>
      <c r="M579" t="str">
        <f t="shared" si="35"/>
        <v>Sunday</v>
      </c>
    </row>
    <row r="580" spans="1:13" x14ac:dyDescent="0.25">
      <c r="A580" s="241">
        <v>46601</v>
      </c>
      <c r="B580" s="242">
        <f t="shared" si="32"/>
        <v>538.75</v>
      </c>
      <c r="C580" s="242">
        <f>IF(DAY(A580+2)=1,'Main Budget'!$G$39,IF(DAY(A580+2)=15,'Main Budget'!$G$39,0))</f>
        <v>0</v>
      </c>
      <c r="D580" s="242">
        <f t="shared" si="33"/>
        <v>0</v>
      </c>
      <c r="E580" s="242">
        <f>IF(DAY(A580)='Main Budget'!$J$12,('Main Budget'!$G$12),0)</f>
        <v>0</v>
      </c>
      <c r="F580" s="242">
        <f>IF(DAY(A580)='Main Budget'!$J$13,('Main Budget'!$G$13)*2,0)</f>
        <v>0</v>
      </c>
      <c r="G580" s="242"/>
      <c r="H580" s="242">
        <f>IF(DAY(A580)='Main Budget'!$J$14,'Main Budget'!$G$14,0)</f>
        <v>0</v>
      </c>
      <c r="I580" s="242"/>
      <c r="J580" s="252">
        <f t="shared" si="34"/>
        <v>538.75</v>
      </c>
      <c r="M580" t="str">
        <f t="shared" si="35"/>
        <v>Monday</v>
      </c>
    </row>
    <row r="581" spans="1:13" x14ac:dyDescent="0.25">
      <c r="A581" s="241">
        <v>46602</v>
      </c>
      <c r="B581" s="242">
        <f t="shared" si="32"/>
        <v>538.75</v>
      </c>
      <c r="C581" s="242">
        <f>IF(DAY(A581+2)=1,'Main Budget'!$G$39,IF(DAY(A581+2)=15,'Main Budget'!$G$39,0))</f>
        <v>0</v>
      </c>
      <c r="D581" s="242">
        <f t="shared" si="33"/>
        <v>0</v>
      </c>
      <c r="E581" s="242">
        <f>IF(DAY(A581)='Main Budget'!$J$12,('Main Budget'!$G$12),0)</f>
        <v>0</v>
      </c>
      <c r="F581" s="242">
        <f>IF(DAY(A581)='Main Budget'!$J$13,('Main Budget'!$G$13)*2,0)</f>
        <v>0</v>
      </c>
      <c r="G581" s="242"/>
      <c r="H581" s="242">
        <f>IF(DAY(A581)='Main Budget'!$J$14,'Main Budget'!$G$14,0)</f>
        <v>0</v>
      </c>
      <c r="I581" s="242"/>
      <c r="J581" s="252">
        <f t="shared" si="34"/>
        <v>538.75</v>
      </c>
      <c r="M581" t="str">
        <f t="shared" si="35"/>
        <v>Tuesday</v>
      </c>
    </row>
    <row r="582" spans="1:13" x14ac:dyDescent="0.25">
      <c r="A582" s="241">
        <v>46603</v>
      </c>
      <c r="B582" s="242">
        <f t="shared" si="32"/>
        <v>538.75</v>
      </c>
      <c r="C582" s="242">
        <f>IF(DAY(A582+2)=1,'Main Budget'!$G$39,IF(DAY(A582+2)=15,'Main Budget'!$G$39,0))</f>
        <v>0</v>
      </c>
      <c r="D582" s="242">
        <f t="shared" si="33"/>
        <v>0</v>
      </c>
      <c r="E582" s="242">
        <f>IF(DAY(A582)='Main Budget'!$J$12,('Main Budget'!$G$12),0)</f>
        <v>0</v>
      </c>
      <c r="F582" s="242">
        <f>IF(DAY(A582)='Main Budget'!$J$13,('Main Budget'!$G$13)*2,0)</f>
        <v>0</v>
      </c>
      <c r="G582" s="242"/>
      <c r="H582" s="242">
        <f>IF(DAY(A582)='Main Budget'!$J$14,'Main Budget'!$G$14,0)</f>
        <v>0</v>
      </c>
      <c r="I582" s="242"/>
      <c r="J582" s="252">
        <f t="shared" si="34"/>
        <v>538.75</v>
      </c>
      <c r="M582" t="str">
        <f t="shared" si="35"/>
        <v>Wednesday</v>
      </c>
    </row>
    <row r="583" spans="1:13" x14ac:dyDescent="0.25">
      <c r="A583" s="241">
        <v>46604</v>
      </c>
      <c r="B583" s="242">
        <f t="shared" si="32"/>
        <v>538.75</v>
      </c>
      <c r="C583" s="242">
        <f>IF(DAY(A583+2)=1,'Main Budget'!$G$39,IF(DAY(A583+2)=15,'Main Budget'!$G$39,0))</f>
        <v>0</v>
      </c>
      <c r="D583" s="242">
        <f t="shared" si="33"/>
        <v>0</v>
      </c>
      <c r="E583" s="242">
        <f>IF(DAY(A583)='Main Budget'!$J$12,('Main Budget'!$G$12),0)</f>
        <v>0</v>
      </c>
      <c r="F583" s="242">
        <f>IF(DAY(A583)='Main Budget'!$J$13,('Main Budget'!$G$13)*2,0)</f>
        <v>0</v>
      </c>
      <c r="G583" s="242"/>
      <c r="H583" s="242">
        <f>IF(DAY(A583)='Main Budget'!$J$14,'Main Budget'!$G$14,0)</f>
        <v>0</v>
      </c>
      <c r="I583" s="242"/>
      <c r="J583" s="252">
        <f t="shared" si="34"/>
        <v>538.75</v>
      </c>
      <c r="M583" t="str">
        <f t="shared" si="35"/>
        <v>Thursday</v>
      </c>
    </row>
    <row r="584" spans="1:13" x14ac:dyDescent="0.25">
      <c r="A584" s="241">
        <v>46605</v>
      </c>
      <c r="B584" s="242">
        <f t="shared" si="32"/>
        <v>538.75</v>
      </c>
      <c r="C584" s="242">
        <f>IF(DAY(A584+2)=1,'Main Budget'!$G$39,IF(DAY(A584+2)=15,'Main Budget'!$G$39,0))</f>
        <v>0</v>
      </c>
      <c r="D584" s="242">
        <f t="shared" si="33"/>
        <v>0</v>
      </c>
      <c r="E584" s="242">
        <f>IF(DAY(A584)='Main Budget'!$J$12,('Main Budget'!$G$12),0)</f>
        <v>0</v>
      </c>
      <c r="F584" s="242">
        <f>IF(DAY(A584)='Main Budget'!$J$13,('Main Budget'!$G$13)*2,0)</f>
        <v>0</v>
      </c>
      <c r="G584" s="242"/>
      <c r="H584" s="242">
        <f>IF(DAY(A584)='Main Budget'!$J$14,'Main Budget'!$G$14,0)</f>
        <v>0</v>
      </c>
      <c r="I584" s="242"/>
      <c r="J584" s="252">
        <f t="shared" si="34"/>
        <v>538.75</v>
      </c>
      <c r="M584" t="str">
        <f t="shared" si="35"/>
        <v>Friday</v>
      </c>
    </row>
    <row r="585" spans="1:13" x14ac:dyDescent="0.25">
      <c r="A585" s="241">
        <v>46606</v>
      </c>
      <c r="B585" s="242">
        <f t="shared" si="32"/>
        <v>538.75</v>
      </c>
      <c r="C585" s="242">
        <f>IF(DAY(A585+2)=1,'Main Budget'!$G$39,IF(DAY(A585+2)=15,'Main Budget'!$G$39,0))</f>
        <v>0</v>
      </c>
      <c r="D585" s="242">
        <f t="shared" si="33"/>
        <v>0</v>
      </c>
      <c r="E585" s="242">
        <f>IF(DAY(A585)='Main Budget'!$J$12,('Main Budget'!$G$12),0)</f>
        <v>0</v>
      </c>
      <c r="F585" s="242">
        <f>IF(DAY(A585)='Main Budget'!$J$13,('Main Budget'!$G$13)*2,0)</f>
        <v>0</v>
      </c>
      <c r="G585" s="242"/>
      <c r="H585" s="242">
        <f>IF(DAY(A585)='Main Budget'!$J$14,'Main Budget'!$G$14,0)</f>
        <v>0</v>
      </c>
      <c r="I585" s="242"/>
      <c r="J585" s="252">
        <f t="shared" si="34"/>
        <v>538.75</v>
      </c>
      <c r="M585" t="str">
        <f t="shared" si="35"/>
        <v>Saturday</v>
      </c>
    </row>
    <row r="586" spans="1:13" x14ac:dyDescent="0.25">
      <c r="A586" s="241">
        <v>46607</v>
      </c>
      <c r="B586" s="242">
        <f t="shared" si="32"/>
        <v>538.75</v>
      </c>
      <c r="C586" s="242">
        <f>IF(DAY(A586+2)=1,'Main Budget'!$G$39,IF(DAY(A586+2)=15,'Main Budget'!$G$39,0))</f>
        <v>0</v>
      </c>
      <c r="D586" s="242">
        <f t="shared" si="33"/>
        <v>0</v>
      </c>
      <c r="E586" s="242">
        <f>IF(DAY(A586)='Main Budget'!$J$12,('Main Budget'!$G$12),0)</f>
        <v>0</v>
      </c>
      <c r="F586" s="242">
        <f>IF(DAY(A586)='Main Budget'!$J$13,('Main Budget'!$G$13)*2,0)</f>
        <v>0</v>
      </c>
      <c r="G586" s="242"/>
      <c r="H586" s="242">
        <f>IF(DAY(A586)='Main Budget'!$J$14,'Main Budget'!$G$14,0)</f>
        <v>0</v>
      </c>
      <c r="I586" s="242"/>
      <c r="J586" s="252">
        <f t="shared" si="34"/>
        <v>538.75</v>
      </c>
      <c r="M586" t="str">
        <f t="shared" si="35"/>
        <v>Sunday</v>
      </c>
    </row>
    <row r="587" spans="1:13" x14ac:dyDescent="0.25">
      <c r="A587" s="241">
        <v>46608</v>
      </c>
      <c r="B587" s="242">
        <f t="shared" si="32"/>
        <v>538.75</v>
      </c>
      <c r="C587" s="242">
        <f>IF(DAY(A587+2)=1,'Main Budget'!$G$39,IF(DAY(A587+2)=15,'Main Budget'!$G$39,0))</f>
        <v>0</v>
      </c>
      <c r="D587" s="242">
        <f t="shared" si="33"/>
        <v>0</v>
      </c>
      <c r="E587" s="242">
        <f>IF(DAY(A587)='Main Budget'!$J$12,('Main Budget'!$G$12),0)</f>
        <v>0</v>
      </c>
      <c r="F587" s="242">
        <f>IF(DAY(A587)='Main Budget'!$J$13,('Main Budget'!$G$13)*2,0)</f>
        <v>0</v>
      </c>
      <c r="G587" s="242"/>
      <c r="H587" s="242">
        <f>IF(DAY(A587)='Main Budget'!$J$14,'Main Budget'!$G$14,0)</f>
        <v>0</v>
      </c>
      <c r="I587" s="242"/>
      <c r="J587" s="252">
        <f t="shared" si="34"/>
        <v>538.75</v>
      </c>
      <c r="M587" t="str">
        <f t="shared" si="35"/>
        <v>Monday</v>
      </c>
    </row>
    <row r="588" spans="1:13" x14ac:dyDescent="0.25">
      <c r="A588" s="241">
        <v>46609</v>
      </c>
      <c r="B588" s="242">
        <f t="shared" si="32"/>
        <v>538.75</v>
      </c>
      <c r="C588" s="242">
        <f>IF(DAY(A588+2)=1,'Main Budget'!$G$39,IF(DAY(A588+2)=15,'Main Budget'!$G$39,0))</f>
        <v>0</v>
      </c>
      <c r="D588" s="242">
        <f t="shared" si="33"/>
        <v>0</v>
      </c>
      <c r="E588" s="242">
        <f>IF(DAY(A588)='Main Budget'!$J$12,('Main Budget'!$G$12),0)</f>
        <v>0</v>
      </c>
      <c r="F588" s="242">
        <f>IF(DAY(A588)='Main Budget'!$J$13,('Main Budget'!$G$13)*2,0)</f>
        <v>0</v>
      </c>
      <c r="G588" s="242"/>
      <c r="H588" s="242">
        <f>IF(DAY(A588)='Main Budget'!$J$14,'Main Budget'!$G$14,0)</f>
        <v>0</v>
      </c>
      <c r="I588" s="242"/>
      <c r="J588" s="252">
        <f t="shared" si="34"/>
        <v>538.75</v>
      </c>
      <c r="M588" t="str">
        <f t="shared" si="35"/>
        <v>Tuesday</v>
      </c>
    </row>
    <row r="589" spans="1:13" x14ac:dyDescent="0.25">
      <c r="A589" s="241">
        <v>46610</v>
      </c>
      <c r="B589" s="242">
        <f t="shared" si="32"/>
        <v>538.75</v>
      </c>
      <c r="C589" s="242">
        <f>IF(DAY(A589+2)=1,'Main Budget'!$G$39,IF(DAY(A589+2)=15,'Main Budget'!$G$39,0))</f>
        <v>0</v>
      </c>
      <c r="D589" s="242">
        <f t="shared" si="33"/>
        <v>0</v>
      </c>
      <c r="E589" s="242">
        <f>IF(DAY(A589)='Main Budget'!$J$12,('Main Budget'!$G$12),0)</f>
        <v>0</v>
      </c>
      <c r="F589" s="242">
        <f>IF(DAY(A589)='Main Budget'!$J$13,('Main Budget'!$G$13)*2,0)</f>
        <v>0</v>
      </c>
      <c r="G589" s="242"/>
      <c r="H589" s="242">
        <f>IF(DAY(A589)='Main Budget'!$J$14,'Main Budget'!$G$14,0)</f>
        <v>0</v>
      </c>
      <c r="I589" s="242"/>
      <c r="J589" s="252">
        <f t="shared" si="34"/>
        <v>538.75</v>
      </c>
      <c r="M589" t="str">
        <f t="shared" si="35"/>
        <v>Wednesday</v>
      </c>
    </row>
    <row r="590" spans="1:13" x14ac:dyDescent="0.25">
      <c r="A590" s="241">
        <v>46611</v>
      </c>
      <c r="B590" s="242">
        <f t="shared" si="32"/>
        <v>538.75</v>
      </c>
      <c r="C590" s="242">
        <f>IF(DAY(A590+2)=1,'Main Budget'!$G$39,IF(DAY(A590+2)=15,'Main Budget'!$G$39,0))</f>
        <v>0</v>
      </c>
      <c r="D590" s="242">
        <f t="shared" si="33"/>
        <v>0</v>
      </c>
      <c r="E590" s="242">
        <f>IF(DAY(A590)='Main Budget'!$J$12,('Main Budget'!$G$12),0)</f>
        <v>0</v>
      </c>
      <c r="F590" s="242">
        <f>IF(DAY(A590)='Main Budget'!$J$13,('Main Budget'!$G$13)*2,0)</f>
        <v>0</v>
      </c>
      <c r="G590" s="242"/>
      <c r="H590" s="242">
        <f>IF(DAY(A590)='Main Budget'!$J$14,'Main Budget'!$G$14,0)</f>
        <v>0</v>
      </c>
      <c r="I590" s="242"/>
      <c r="J590" s="252">
        <f t="shared" si="34"/>
        <v>538.75</v>
      </c>
      <c r="M590" t="str">
        <f t="shared" si="35"/>
        <v>Thursday</v>
      </c>
    </row>
    <row r="591" spans="1:13" x14ac:dyDescent="0.25">
      <c r="A591" s="241">
        <v>46612</v>
      </c>
      <c r="B591" s="242">
        <f t="shared" si="32"/>
        <v>538.75</v>
      </c>
      <c r="C591" s="242">
        <f>IF(DAY(A591+2)=1,'Main Budget'!$G$39,IF(DAY(A591+2)=15,'Main Budget'!$G$39,0))</f>
        <v>0</v>
      </c>
      <c r="D591" s="242">
        <f t="shared" si="33"/>
        <v>0</v>
      </c>
      <c r="E591" s="242">
        <f>IF(DAY(A591)='Main Budget'!$J$12,('Main Budget'!$G$12),0)</f>
        <v>0</v>
      </c>
      <c r="F591" s="242">
        <f>IF(DAY(A591)='Main Budget'!$J$13,('Main Budget'!$G$13)*2,0)</f>
        <v>0</v>
      </c>
      <c r="G591" s="242"/>
      <c r="H591" s="242">
        <f>IF(DAY(A591)='Main Budget'!$J$14,'Main Budget'!$G$14,0)</f>
        <v>0</v>
      </c>
      <c r="I591" s="242"/>
      <c r="J591" s="252">
        <f t="shared" si="34"/>
        <v>538.75</v>
      </c>
      <c r="M591" t="str">
        <f t="shared" si="35"/>
        <v>Friday</v>
      </c>
    </row>
    <row r="592" spans="1:13" x14ac:dyDescent="0.25">
      <c r="A592" s="241">
        <v>46613</v>
      </c>
      <c r="B592" s="242">
        <f t="shared" si="32"/>
        <v>538.75</v>
      </c>
      <c r="C592" s="242">
        <f>IF(DAY(A592+2)=1,'Main Budget'!$G$39,IF(DAY(A592+2)=15,'Main Budget'!$G$39,0))</f>
        <v>0</v>
      </c>
      <c r="D592" s="242">
        <f t="shared" si="33"/>
        <v>0</v>
      </c>
      <c r="E592" s="242">
        <f>IF(DAY(A592)='Main Budget'!$J$12,('Main Budget'!$G$12),0)</f>
        <v>0</v>
      </c>
      <c r="F592" s="242">
        <f>IF(DAY(A592)='Main Budget'!$J$13,('Main Budget'!$G$13)*2,0)</f>
        <v>0</v>
      </c>
      <c r="G592" s="242"/>
      <c r="H592" s="242">
        <f>IF(DAY(A592)='Main Budget'!$J$14,'Main Budget'!$G$14,0)</f>
        <v>0</v>
      </c>
      <c r="I592" s="242"/>
      <c r="J592" s="252">
        <f t="shared" si="34"/>
        <v>538.75</v>
      </c>
      <c r="M592" t="str">
        <f t="shared" si="35"/>
        <v>Saturday</v>
      </c>
    </row>
    <row r="593" spans="1:13" x14ac:dyDescent="0.25">
      <c r="A593" s="241">
        <v>46614</v>
      </c>
      <c r="B593" s="242">
        <f t="shared" ref="B593:B656" si="36">J592</f>
        <v>538.75</v>
      </c>
      <c r="C593" s="242">
        <f>IF(DAY(A593+2)=1,'Main Budget'!$G$39,IF(DAY(A593+2)=15,'Main Budget'!$G$39,0))</f>
        <v>0</v>
      </c>
      <c r="D593" s="242">
        <f t="shared" ref="D593:D656" si="37">IF(OR(DAY(A593)=1,DAY(A593)=15),11.25,0)</f>
        <v>11.25</v>
      </c>
      <c r="E593" s="242">
        <f>IF(DAY(A593)='Main Budget'!$J$12,('Main Budget'!$G$12),0)</f>
        <v>0</v>
      </c>
      <c r="F593" s="242">
        <f>IF(DAY(A593)='Main Budget'!$J$13,('Main Budget'!$G$13)*2,0)</f>
        <v>0</v>
      </c>
      <c r="G593" s="242"/>
      <c r="H593" s="242">
        <f>IF(DAY(A593)='Main Budget'!$J$14,'Main Budget'!$G$14,0)</f>
        <v>0</v>
      </c>
      <c r="I593" s="242"/>
      <c r="J593" s="252">
        <f t="shared" ref="J593:J656" si="38">J592+(SUM(C593:I593))</f>
        <v>550</v>
      </c>
      <c r="M593" t="str">
        <f t="shared" ref="M593:M656" si="39">TEXT(A593,"dddd")</f>
        <v>Sunday</v>
      </c>
    </row>
    <row r="594" spans="1:13" x14ac:dyDescent="0.25">
      <c r="A594" s="241">
        <v>46615</v>
      </c>
      <c r="B594" s="242">
        <f t="shared" si="36"/>
        <v>550</v>
      </c>
      <c r="C594" s="242">
        <f>IF(DAY(A594+2)=1,'Main Budget'!$G$39,IF(DAY(A594+2)=15,'Main Budget'!$G$39,0))</f>
        <v>0</v>
      </c>
      <c r="D594" s="242">
        <f t="shared" si="37"/>
        <v>0</v>
      </c>
      <c r="E594" s="242">
        <f>IF(DAY(A594)='Main Budget'!$J$12,('Main Budget'!$G$12),0)</f>
        <v>0</v>
      </c>
      <c r="F594" s="242">
        <f>IF(DAY(A594)='Main Budget'!$J$13,('Main Budget'!$G$13)*2,0)</f>
        <v>0</v>
      </c>
      <c r="G594" s="242"/>
      <c r="H594" s="242">
        <f>IF(DAY(A594)='Main Budget'!$J$14,'Main Budget'!$G$14,0)</f>
        <v>0</v>
      </c>
      <c r="I594" s="242"/>
      <c r="J594" s="252">
        <f t="shared" si="38"/>
        <v>550</v>
      </c>
      <c r="M594" t="str">
        <f t="shared" si="39"/>
        <v>Monday</v>
      </c>
    </row>
    <row r="595" spans="1:13" x14ac:dyDescent="0.25">
      <c r="A595" s="241">
        <v>46616</v>
      </c>
      <c r="B595" s="242">
        <f t="shared" si="36"/>
        <v>550</v>
      </c>
      <c r="C595" s="242">
        <f>IF(DAY(A595+2)=1,'Main Budget'!$G$39,IF(DAY(A595+2)=15,'Main Budget'!$G$39,0))</f>
        <v>0</v>
      </c>
      <c r="D595" s="242">
        <f t="shared" si="37"/>
        <v>0</v>
      </c>
      <c r="E595" s="242">
        <f>IF(DAY(A595)='Main Budget'!$J$12,('Main Budget'!$G$12),0)</f>
        <v>0</v>
      </c>
      <c r="F595" s="242">
        <f>IF(DAY(A595)='Main Budget'!$J$13,('Main Budget'!$G$13)*2,0)</f>
        <v>0</v>
      </c>
      <c r="G595" s="242"/>
      <c r="H595" s="242">
        <f>IF(DAY(A595)='Main Budget'!$J$14,'Main Budget'!$G$14,0)</f>
        <v>0</v>
      </c>
      <c r="I595" s="242"/>
      <c r="J595" s="252">
        <f t="shared" si="38"/>
        <v>550</v>
      </c>
      <c r="M595" t="str">
        <f t="shared" si="39"/>
        <v>Tuesday</v>
      </c>
    </row>
    <row r="596" spans="1:13" x14ac:dyDescent="0.25">
      <c r="A596" s="241">
        <v>46617</v>
      </c>
      <c r="B596" s="242">
        <f t="shared" si="36"/>
        <v>550</v>
      </c>
      <c r="C596" s="242">
        <f>IF(DAY(A596+2)=1,'Main Budget'!$G$39,IF(DAY(A596+2)=15,'Main Budget'!$G$39,0))</f>
        <v>0</v>
      </c>
      <c r="D596" s="242">
        <f t="shared" si="37"/>
        <v>0</v>
      </c>
      <c r="E596" s="242">
        <f>IF(DAY(A596)='Main Budget'!$J$12,('Main Budget'!$G$12),0)</f>
        <v>0</v>
      </c>
      <c r="F596" s="242">
        <f>IF(DAY(A596)='Main Budget'!$J$13,('Main Budget'!$G$13)*2,0)</f>
        <v>0</v>
      </c>
      <c r="G596" s="242"/>
      <c r="H596" s="242">
        <f>IF(DAY(A596)='Main Budget'!$J$14,'Main Budget'!$G$14,0)</f>
        <v>0</v>
      </c>
      <c r="I596" s="242"/>
      <c r="J596" s="252">
        <f t="shared" si="38"/>
        <v>550</v>
      </c>
      <c r="M596" t="str">
        <f t="shared" si="39"/>
        <v>Wednesday</v>
      </c>
    </row>
    <row r="597" spans="1:13" x14ac:dyDescent="0.25">
      <c r="A597" s="241">
        <v>46618</v>
      </c>
      <c r="B597" s="242">
        <f t="shared" si="36"/>
        <v>550</v>
      </c>
      <c r="C597" s="242">
        <f>IF(DAY(A597+2)=1,'Main Budget'!$G$39,IF(DAY(A597+2)=15,'Main Budget'!$G$39,0))</f>
        <v>0</v>
      </c>
      <c r="D597" s="242">
        <f t="shared" si="37"/>
        <v>0</v>
      </c>
      <c r="E597" s="242">
        <f>IF(DAY(A597)='Main Budget'!$J$12,('Main Budget'!$G$12),0)</f>
        <v>0</v>
      </c>
      <c r="F597" s="242">
        <f>IF(DAY(A597)='Main Budget'!$J$13,('Main Budget'!$G$13)*2,0)</f>
        <v>0</v>
      </c>
      <c r="G597" s="242"/>
      <c r="H597" s="242">
        <f>IF(DAY(A597)='Main Budget'!$J$14,'Main Budget'!$G$14,0)</f>
        <v>0</v>
      </c>
      <c r="I597" s="242"/>
      <c r="J597" s="252">
        <f t="shared" si="38"/>
        <v>550</v>
      </c>
      <c r="M597" t="str">
        <f t="shared" si="39"/>
        <v>Thursday</v>
      </c>
    </row>
    <row r="598" spans="1:13" x14ac:dyDescent="0.25">
      <c r="A598" s="241">
        <v>46619</v>
      </c>
      <c r="B598" s="242">
        <f t="shared" si="36"/>
        <v>550</v>
      </c>
      <c r="C598" s="242">
        <f>IF(DAY(A598+2)=1,'Main Budget'!$G$39,IF(DAY(A598+2)=15,'Main Budget'!$G$39,0))</f>
        <v>0</v>
      </c>
      <c r="D598" s="242">
        <f t="shared" si="37"/>
        <v>0</v>
      </c>
      <c r="E598" s="242">
        <f>IF(DAY(A598)='Main Budget'!$J$12,('Main Budget'!$G$12),0)</f>
        <v>0</v>
      </c>
      <c r="F598" s="242">
        <f>IF(DAY(A598)='Main Budget'!$J$13,('Main Budget'!$G$13)*2,0)</f>
        <v>0</v>
      </c>
      <c r="G598" s="242"/>
      <c r="H598" s="242">
        <f>IF(DAY(A598)='Main Budget'!$J$14,'Main Budget'!$G$14,0)</f>
        <v>0</v>
      </c>
      <c r="I598" s="242"/>
      <c r="J598" s="252">
        <f t="shared" si="38"/>
        <v>550</v>
      </c>
      <c r="M598" t="str">
        <f t="shared" si="39"/>
        <v>Friday</v>
      </c>
    </row>
    <row r="599" spans="1:13" x14ac:dyDescent="0.25">
      <c r="A599" s="241">
        <v>46620</v>
      </c>
      <c r="B599" s="242">
        <f t="shared" si="36"/>
        <v>550</v>
      </c>
      <c r="C599" s="242">
        <f>IF(DAY(A599+2)=1,'Main Budget'!$G$39,IF(DAY(A599+2)=15,'Main Budget'!$G$39,0))</f>
        <v>0</v>
      </c>
      <c r="D599" s="242">
        <f t="shared" si="37"/>
        <v>0</v>
      </c>
      <c r="E599" s="242">
        <f>IF(DAY(A599)='Main Budget'!$J$12,('Main Budget'!$G$12),0)</f>
        <v>0</v>
      </c>
      <c r="F599" s="242">
        <f>IF(DAY(A599)='Main Budget'!$J$13,('Main Budget'!$G$13)*2,0)</f>
        <v>0</v>
      </c>
      <c r="G599" s="242"/>
      <c r="H599" s="242">
        <f>IF(DAY(A599)='Main Budget'!$J$14,'Main Budget'!$G$14,0)</f>
        <v>0</v>
      </c>
      <c r="I599" s="242"/>
      <c r="J599" s="252">
        <f t="shared" si="38"/>
        <v>550</v>
      </c>
      <c r="M599" t="str">
        <f t="shared" si="39"/>
        <v>Saturday</v>
      </c>
    </row>
    <row r="600" spans="1:13" x14ac:dyDescent="0.25">
      <c r="A600" s="241">
        <v>46621</v>
      </c>
      <c r="B600" s="242">
        <f t="shared" si="36"/>
        <v>550</v>
      </c>
      <c r="C600" s="242">
        <f>IF(DAY(A600+2)=1,'Main Budget'!$G$39,IF(DAY(A600+2)=15,'Main Budget'!$G$39,0))</f>
        <v>0</v>
      </c>
      <c r="D600" s="242">
        <f t="shared" si="37"/>
        <v>0</v>
      </c>
      <c r="E600" s="242">
        <f>IF(DAY(A600)='Main Budget'!$J$12,('Main Budget'!$G$12),0)</f>
        <v>0</v>
      </c>
      <c r="F600" s="242">
        <f>IF(DAY(A600)='Main Budget'!$J$13,('Main Budget'!$G$13)*2,0)</f>
        <v>0</v>
      </c>
      <c r="G600" s="242"/>
      <c r="H600" s="242">
        <f>IF(DAY(A600)='Main Budget'!$J$14,'Main Budget'!$G$14,0)</f>
        <v>0</v>
      </c>
      <c r="I600" s="242"/>
      <c r="J600" s="252">
        <f t="shared" si="38"/>
        <v>550</v>
      </c>
      <c r="M600" t="str">
        <f t="shared" si="39"/>
        <v>Sunday</v>
      </c>
    </row>
    <row r="601" spans="1:13" x14ac:dyDescent="0.25">
      <c r="A601" s="241">
        <v>46622</v>
      </c>
      <c r="B601" s="242">
        <f t="shared" si="36"/>
        <v>550</v>
      </c>
      <c r="C601" s="242">
        <f>IF(DAY(A601+2)=1,'Main Budget'!$G$39,IF(DAY(A601+2)=15,'Main Budget'!$G$39,0))</f>
        <v>0</v>
      </c>
      <c r="D601" s="242">
        <f t="shared" si="37"/>
        <v>0</v>
      </c>
      <c r="E601" s="242">
        <f>IF(DAY(A601)='Main Budget'!$J$12,('Main Budget'!$G$12),0)</f>
        <v>0</v>
      </c>
      <c r="F601" s="242">
        <f>IF(DAY(A601)='Main Budget'!$J$13,('Main Budget'!$G$13)*2,0)</f>
        <v>0</v>
      </c>
      <c r="G601" s="242"/>
      <c r="H601" s="242">
        <f>IF(DAY(A601)='Main Budget'!$J$14,'Main Budget'!$G$14,0)</f>
        <v>0</v>
      </c>
      <c r="I601" s="242"/>
      <c r="J601" s="252">
        <f t="shared" si="38"/>
        <v>550</v>
      </c>
      <c r="M601" t="str">
        <f t="shared" si="39"/>
        <v>Monday</v>
      </c>
    </row>
    <row r="602" spans="1:13" x14ac:dyDescent="0.25">
      <c r="A602" s="241">
        <v>46623</v>
      </c>
      <c r="B602" s="242">
        <f t="shared" si="36"/>
        <v>550</v>
      </c>
      <c r="C602" s="242">
        <f>IF(DAY(A602+2)=1,'Main Budget'!$G$39,IF(DAY(A602+2)=15,'Main Budget'!$G$39,0))</f>
        <v>0</v>
      </c>
      <c r="D602" s="242">
        <f t="shared" si="37"/>
        <v>0</v>
      </c>
      <c r="E602" s="242">
        <f>IF(DAY(A602)='Main Budget'!$J$12,('Main Budget'!$G$12),0)</f>
        <v>0</v>
      </c>
      <c r="F602" s="242">
        <f>IF(DAY(A602)='Main Budget'!$J$13,('Main Budget'!$G$13)*2,0)</f>
        <v>0</v>
      </c>
      <c r="G602" s="242"/>
      <c r="H602" s="242">
        <f>IF(DAY(A602)='Main Budget'!$J$14,'Main Budget'!$G$14,0)</f>
        <v>0</v>
      </c>
      <c r="I602" s="242"/>
      <c r="J602" s="252">
        <f t="shared" si="38"/>
        <v>550</v>
      </c>
      <c r="M602" t="str">
        <f t="shared" si="39"/>
        <v>Tuesday</v>
      </c>
    </row>
    <row r="603" spans="1:13" x14ac:dyDescent="0.25">
      <c r="A603" s="241">
        <v>46624</v>
      </c>
      <c r="B603" s="242">
        <f t="shared" si="36"/>
        <v>550</v>
      </c>
      <c r="C603" s="242">
        <f>IF(DAY(A603+2)=1,'Main Budget'!$G$39,IF(DAY(A603+2)=15,'Main Budget'!$G$39,0))</f>
        <v>0</v>
      </c>
      <c r="D603" s="242">
        <f t="shared" si="37"/>
        <v>0</v>
      </c>
      <c r="E603" s="242">
        <f>IF(DAY(A603)='Main Budget'!$J$12,('Main Budget'!$G$12),0)</f>
        <v>0</v>
      </c>
      <c r="F603" s="242">
        <f>IF(DAY(A603)='Main Budget'!$J$13,('Main Budget'!$G$13)*2,0)</f>
        <v>0</v>
      </c>
      <c r="G603" s="242"/>
      <c r="H603" s="242">
        <f>IF(DAY(A603)='Main Budget'!$J$14,'Main Budget'!$G$14,0)</f>
        <v>0</v>
      </c>
      <c r="I603" s="242"/>
      <c r="J603" s="252">
        <f t="shared" si="38"/>
        <v>550</v>
      </c>
      <c r="M603" t="str">
        <f t="shared" si="39"/>
        <v>Wednesday</v>
      </c>
    </row>
    <row r="604" spans="1:13" x14ac:dyDescent="0.25">
      <c r="A604" s="241">
        <v>46625</v>
      </c>
      <c r="B604" s="242">
        <f t="shared" si="36"/>
        <v>550</v>
      </c>
      <c r="C604" s="242">
        <f>IF(DAY(A604+2)=1,'Main Budget'!$G$39,IF(DAY(A604+2)=15,'Main Budget'!$G$39,0))</f>
        <v>0</v>
      </c>
      <c r="D604" s="242">
        <f t="shared" si="37"/>
        <v>0</v>
      </c>
      <c r="E604" s="242">
        <f>IF(DAY(A604)='Main Budget'!$J$12,('Main Budget'!$G$12),0)</f>
        <v>0</v>
      </c>
      <c r="F604" s="242">
        <f>IF(DAY(A604)='Main Budget'!$J$13,('Main Budget'!$G$13)*2,0)</f>
        <v>0</v>
      </c>
      <c r="G604" s="242"/>
      <c r="H604" s="242">
        <f>IF(DAY(A604)='Main Budget'!$J$14,'Main Budget'!$G$14,0)</f>
        <v>0</v>
      </c>
      <c r="I604" s="242"/>
      <c r="J604" s="252">
        <f t="shared" si="38"/>
        <v>550</v>
      </c>
      <c r="M604" t="str">
        <f t="shared" si="39"/>
        <v>Thursday</v>
      </c>
    </row>
    <row r="605" spans="1:13" x14ac:dyDescent="0.25">
      <c r="A605" s="241">
        <v>46626</v>
      </c>
      <c r="B605" s="242">
        <f t="shared" si="36"/>
        <v>550</v>
      </c>
      <c r="C605" s="242">
        <f>IF(DAY(A605+2)=1,'Main Budget'!$G$39,IF(DAY(A605+2)=15,'Main Budget'!$G$39,0))</f>
        <v>0</v>
      </c>
      <c r="D605" s="242">
        <f t="shared" si="37"/>
        <v>0</v>
      </c>
      <c r="E605" s="242">
        <f>IF(DAY(A605)='Main Budget'!$J$12,('Main Budget'!$G$12),0)</f>
        <v>0</v>
      </c>
      <c r="F605" s="242">
        <f>IF(DAY(A605)='Main Budget'!$J$13,('Main Budget'!$G$13)*2,0)</f>
        <v>0</v>
      </c>
      <c r="G605" s="242"/>
      <c r="H605" s="242">
        <f>IF(DAY(A605)='Main Budget'!$J$14,'Main Budget'!$G$14,0)</f>
        <v>0</v>
      </c>
      <c r="I605" s="242"/>
      <c r="J605" s="252">
        <f t="shared" si="38"/>
        <v>550</v>
      </c>
      <c r="M605" t="str">
        <f t="shared" si="39"/>
        <v>Friday</v>
      </c>
    </row>
    <row r="606" spans="1:13" x14ac:dyDescent="0.25">
      <c r="A606" s="241">
        <v>46627</v>
      </c>
      <c r="B606" s="242">
        <f t="shared" si="36"/>
        <v>550</v>
      </c>
      <c r="C606" s="242">
        <f>IF(DAY(A606+2)=1,'Main Budget'!$G$39,IF(DAY(A606+2)=15,'Main Budget'!$G$39,0))</f>
        <v>0</v>
      </c>
      <c r="D606" s="242">
        <f t="shared" si="37"/>
        <v>0</v>
      </c>
      <c r="E606" s="242">
        <f>IF(DAY(A606)='Main Budget'!$J$12,('Main Budget'!$G$12),0)</f>
        <v>0</v>
      </c>
      <c r="F606" s="242">
        <f>IF(DAY(A606)='Main Budget'!$J$13,('Main Budget'!$G$13)*2,0)</f>
        <v>0</v>
      </c>
      <c r="G606" s="242"/>
      <c r="H606" s="242">
        <f>IF(DAY(A606)='Main Budget'!$J$14,'Main Budget'!$G$14,0)</f>
        <v>0</v>
      </c>
      <c r="I606" s="242"/>
      <c r="J606" s="252">
        <f t="shared" si="38"/>
        <v>550</v>
      </c>
      <c r="M606" t="str">
        <f t="shared" si="39"/>
        <v>Saturday</v>
      </c>
    </row>
    <row r="607" spans="1:13" x14ac:dyDescent="0.25">
      <c r="A607" s="241">
        <v>46628</v>
      </c>
      <c r="B607" s="242">
        <f t="shared" si="36"/>
        <v>550</v>
      </c>
      <c r="C607" s="242">
        <f>IF(DAY(A607+2)=1,'Main Budget'!$G$39,IF(DAY(A607+2)=15,'Main Budget'!$G$39,0))</f>
        <v>0</v>
      </c>
      <c r="D607" s="242">
        <f t="shared" si="37"/>
        <v>0</v>
      </c>
      <c r="E607" s="242">
        <f>IF(DAY(A607)='Main Budget'!$J$12,('Main Budget'!$G$12),0)</f>
        <v>0</v>
      </c>
      <c r="F607" s="242">
        <f>IF(DAY(A607)='Main Budget'!$J$13,('Main Budget'!$G$13)*2,0)</f>
        <v>0</v>
      </c>
      <c r="G607" s="242"/>
      <c r="H607" s="242">
        <f>IF(DAY(A607)='Main Budget'!$J$14,'Main Budget'!$G$14,0)</f>
        <v>0</v>
      </c>
      <c r="I607" s="242"/>
      <c r="J607" s="252">
        <f t="shared" si="38"/>
        <v>550</v>
      </c>
      <c r="M607" t="str">
        <f t="shared" si="39"/>
        <v>Sunday</v>
      </c>
    </row>
    <row r="608" spans="1:13" x14ac:dyDescent="0.25">
      <c r="A608" s="241">
        <v>46629</v>
      </c>
      <c r="B608" s="242">
        <f t="shared" si="36"/>
        <v>550</v>
      </c>
      <c r="C608" s="242">
        <f>IF(DAY(A608+2)=1,'Main Budget'!$G$39,IF(DAY(A608+2)=15,'Main Budget'!$G$39,0))</f>
        <v>0</v>
      </c>
      <c r="D608" s="242">
        <f t="shared" si="37"/>
        <v>0</v>
      </c>
      <c r="E608" s="242">
        <f>IF(DAY(A608)='Main Budget'!$J$12,('Main Budget'!$G$12),0)</f>
        <v>0</v>
      </c>
      <c r="F608" s="242">
        <f>IF(DAY(A608)='Main Budget'!$J$13,('Main Budget'!$G$13)*2,0)</f>
        <v>0</v>
      </c>
      <c r="G608" s="242"/>
      <c r="H608" s="242">
        <f>IF(DAY(A608)='Main Budget'!$J$14,'Main Budget'!$G$14,0)</f>
        <v>0</v>
      </c>
      <c r="I608" s="242"/>
      <c r="J608" s="252">
        <f t="shared" si="38"/>
        <v>550</v>
      </c>
      <c r="M608" t="str">
        <f t="shared" si="39"/>
        <v>Monday</v>
      </c>
    </row>
    <row r="609" spans="1:13" x14ac:dyDescent="0.25">
      <c r="A609" s="241">
        <v>46630</v>
      </c>
      <c r="B609" s="242">
        <f t="shared" si="36"/>
        <v>550</v>
      </c>
      <c r="C609" s="242">
        <f>IF(DAY(A609+2)=1,'Main Budget'!$G$39,IF(DAY(A609+2)=15,'Main Budget'!$G$39,0))</f>
        <v>0</v>
      </c>
      <c r="D609" s="242">
        <f t="shared" si="37"/>
        <v>0</v>
      </c>
      <c r="E609" s="242">
        <f>IF(DAY(A609)='Main Budget'!$J$12,('Main Budget'!$G$12),0)</f>
        <v>0</v>
      </c>
      <c r="F609" s="242">
        <f>IF(DAY(A609)='Main Budget'!$J$13,('Main Budget'!$G$13)*2,0)</f>
        <v>0</v>
      </c>
      <c r="G609" s="242"/>
      <c r="H609" s="242">
        <f>IF(DAY(A609)='Main Budget'!$J$14,'Main Budget'!$G$14,0)</f>
        <v>0</v>
      </c>
      <c r="I609" s="242"/>
      <c r="J609" s="252">
        <f t="shared" si="38"/>
        <v>550</v>
      </c>
      <c r="M609" t="str">
        <f t="shared" si="39"/>
        <v>Tuesday</v>
      </c>
    </row>
    <row r="610" spans="1:13" x14ac:dyDescent="0.25">
      <c r="A610" s="241">
        <v>46631</v>
      </c>
      <c r="B610" s="242">
        <f t="shared" si="36"/>
        <v>550</v>
      </c>
      <c r="C610" s="242">
        <f>IF(DAY(A610+2)=1,'Main Budget'!$G$39,IF(DAY(A610+2)=15,'Main Budget'!$G$39,0))</f>
        <v>0</v>
      </c>
      <c r="D610" s="242">
        <f t="shared" si="37"/>
        <v>11.25</v>
      </c>
      <c r="E610" s="242">
        <f>IF(DAY(A610)='Main Budget'!$J$12,('Main Budget'!$G$12),0)</f>
        <v>0</v>
      </c>
      <c r="F610" s="242">
        <f>IF(DAY(A610)='Main Budget'!$J$13,('Main Budget'!$G$13)*2,0)</f>
        <v>0</v>
      </c>
      <c r="G610" s="242"/>
      <c r="H610" s="242">
        <f>IF(DAY(A610)='Main Budget'!$J$14,'Main Budget'!$G$14,0)</f>
        <v>0</v>
      </c>
      <c r="I610" s="242"/>
      <c r="J610" s="252">
        <f t="shared" si="38"/>
        <v>561.25</v>
      </c>
      <c r="M610" t="str">
        <f t="shared" si="39"/>
        <v>Wednesday</v>
      </c>
    </row>
    <row r="611" spans="1:13" x14ac:dyDescent="0.25">
      <c r="A611" s="241">
        <v>46632</v>
      </c>
      <c r="B611" s="242">
        <f t="shared" si="36"/>
        <v>561.25</v>
      </c>
      <c r="C611" s="242">
        <f>IF(DAY(A611+2)=1,'Main Budget'!$G$39,IF(DAY(A611+2)=15,'Main Budget'!$G$39,0))</f>
        <v>0</v>
      </c>
      <c r="D611" s="242">
        <f t="shared" si="37"/>
        <v>0</v>
      </c>
      <c r="E611" s="242">
        <f>IF(DAY(A611)='Main Budget'!$J$12,('Main Budget'!$G$12),0)</f>
        <v>0</v>
      </c>
      <c r="F611" s="242">
        <f>IF(DAY(A611)='Main Budget'!$J$13,('Main Budget'!$G$13)*2,0)</f>
        <v>0</v>
      </c>
      <c r="G611" s="242"/>
      <c r="H611" s="242">
        <f>IF(DAY(A611)='Main Budget'!$J$14,'Main Budget'!$G$14,0)</f>
        <v>0</v>
      </c>
      <c r="I611" s="242"/>
      <c r="J611" s="252">
        <f t="shared" si="38"/>
        <v>561.25</v>
      </c>
      <c r="M611" t="str">
        <f t="shared" si="39"/>
        <v>Thursday</v>
      </c>
    </row>
    <row r="612" spans="1:13" x14ac:dyDescent="0.25">
      <c r="A612" s="241">
        <v>46633</v>
      </c>
      <c r="B612" s="242">
        <f t="shared" si="36"/>
        <v>561.25</v>
      </c>
      <c r="C612" s="242">
        <f>IF(DAY(A612+2)=1,'Main Budget'!$G$39,IF(DAY(A612+2)=15,'Main Budget'!$G$39,0))</f>
        <v>0</v>
      </c>
      <c r="D612" s="242">
        <f t="shared" si="37"/>
        <v>0</v>
      </c>
      <c r="E612" s="242">
        <f>IF(DAY(A612)='Main Budget'!$J$12,('Main Budget'!$G$12),0)</f>
        <v>0</v>
      </c>
      <c r="F612" s="242">
        <f>IF(DAY(A612)='Main Budget'!$J$13,('Main Budget'!$G$13)*2,0)</f>
        <v>0</v>
      </c>
      <c r="G612" s="242"/>
      <c r="H612" s="242">
        <f>IF(DAY(A612)='Main Budget'!$J$14,'Main Budget'!$G$14,0)</f>
        <v>0</v>
      </c>
      <c r="I612" s="242"/>
      <c r="J612" s="252">
        <f t="shared" si="38"/>
        <v>561.25</v>
      </c>
      <c r="M612" t="str">
        <f t="shared" si="39"/>
        <v>Friday</v>
      </c>
    </row>
    <row r="613" spans="1:13" x14ac:dyDescent="0.25">
      <c r="A613" s="241">
        <v>46634</v>
      </c>
      <c r="B613" s="242">
        <f t="shared" si="36"/>
        <v>561.25</v>
      </c>
      <c r="C613" s="242">
        <f>IF(DAY(A613+2)=1,'Main Budget'!$G$39,IF(DAY(A613+2)=15,'Main Budget'!$G$39,0))</f>
        <v>0</v>
      </c>
      <c r="D613" s="242">
        <f t="shared" si="37"/>
        <v>0</v>
      </c>
      <c r="E613" s="242">
        <f>IF(DAY(A613)='Main Budget'!$J$12,('Main Budget'!$G$12),0)</f>
        <v>0</v>
      </c>
      <c r="F613" s="242">
        <f>IF(DAY(A613)='Main Budget'!$J$13,('Main Budget'!$G$13)*2,0)</f>
        <v>0</v>
      </c>
      <c r="G613" s="242"/>
      <c r="H613" s="242">
        <f>IF(DAY(A613)='Main Budget'!$J$14,'Main Budget'!$G$14,0)</f>
        <v>0</v>
      </c>
      <c r="I613" s="242"/>
      <c r="J613" s="252">
        <f t="shared" si="38"/>
        <v>561.25</v>
      </c>
      <c r="M613" t="str">
        <f t="shared" si="39"/>
        <v>Saturday</v>
      </c>
    </row>
    <row r="614" spans="1:13" x14ac:dyDescent="0.25">
      <c r="A614" s="241">
        <v>46635</v>
      </c>
      <c r="B614" s="242">
        <f t="shared" si="36"/>
        <v>561.25</v>
      </c>
      <c r="C614" s="242">
        <f>IF(DAY(A614+2)=1,'Main Budget'!$G$39,IF(DAY(A614+2)=15,'Main Budget'!$G$39,0))</f>
        <v>0</v>
      </c>
      <c r="D614" s="242">
        <f t="shared" si="37"/>
        <v>0</v>
      </c>
      <c r="E614" s="242">
        <f>IF(DAY(A614)='Main Budget'!$J$12,('Main Budget'!$G$12),0)</f>
        <v>0</v>
      </c>
      <c r="F614" s="242">
        <f>IF(DAY(A614)='Main Budget'!$J$13,('Main Budget'!$G$13)*2,0)</f>
        <v>0</v>
      </c>
      <c r="G614" s="242"/>
      <c r="H614" s="242">
        <f>IF(DAY(A614)='Main Budget'!$J$14,'Main Budget'!$G$14,0)</f>
        <v>0</v>
      </c>
      <c r="I614" s="242"/>
      <c r="J614" s="252">
        <f t="shared" si="38"/>
        <v>561.25</v>
      </c>
      <c r="M614" t="str">
        <f t="shared" si="39"/>
        <v>Sunday</v>
      </c>
    </row>
    <row r="615" spans="1:13" x14ac:dyDescent="0.25">
      <c r="A615" s="241">
        <v>46636</v>
      </c>
      <c r="B615" s="242">
        <f t="shared" si="36"/>
        <v>561.25</v>
      </c>
      <c r="C615" s="242">
        <f>IF(DAY(A615+2)=1,'Main Budget'!$G$39,IF(DAY(A615+2)=15,'Main Budget'!$G$39,0))</f>
        <v>0</v>
      </c>
      <c r="D615" s="242">
        <f t="shared" si="37"/>
        <v>0</v>
      </c>
      <c r="E615" s="242">
        <f>IF(DAY(A615)='Main Budget'!$J$12,('Main Budget'!$G$12),0)</f>
        <v>0</v>
      </c>
      <c r="F615" s="242">
        <f>IF(DAY(A615)='Main Budget'!$J$13,('Main Budget'!$G$13)*2,0)</f>
        <v>0</v>
      </c>
      <c r="G615" s="242"/>
      <c r="H615" s="242">
        <f>IF(DAY(A615)='Main Budget'!$J$14,'Main Budget'!$G$14,0)</f>
        <v>0</v>
      </c>
      <c r="I615" s="242"/>
      <c r="J615" s="252">
        <f t="shared" si="38"/>
        <v>561.25</v>
      </c>
      <c r="M615" t="str">
        <f t="shared" si="39"/>
        <v>Monday</v>
      </c>
    </row>
    <row r="616" spans="1:13" x14ac:dyDescent="0.25">
      <c r="A616" s="241">
        <v>46637</v>
      </c>
      <c r="B616" s="242">
        <f t="shared" si="36"/>
        <v>561.25</v>
      </c>
      <c r="C616" s="242">
        <f>IF(DAY(A616+2)=1,'Main Budget'!$G$39,IF(DAY(A616+2)=15,'Main Budget'!$G$39,0))</f>
        <v>0</v>
      </c>
      <c r="D616" s="242">
        <f t="shared" si="37"/>
        <v>0</v>
      </c>
      <c r="E616" s="242">
        <f>IF(DAY(A616)='Main Budget'!$J$12,('Main Budget'!$G$12),0)</f>
        <v>0</v>
      </c>
      <c r="F616" s="242">
        <f>IF(DAY(A616)='Main Budget'!$J$13,('Main Budget'!$G$13)*2,0)</f>
        <v>0</v>
      </c>
      <c r="G616" s="242"/>
      <c r="H616" s="242">
        <f>IF(DAY(A616)='Main Budget'!$J$14,'Main Budget'!$G$14,0)</f>
        <v>0</v>
      </c>
      <c r="I616" s="242"/>
      <c r="J616" s="252">
        <f t="shared" si="38"/>
        <v>561.25</v>
      </c>
      <c r="M616" t="str">
        <f t="shared" si="39"/>
        <v>Tuesday</v>
      </c>
    </row>
    <row r="617" spans="1:13" x14ac:dyDescent="0.25">
      <c r="A617" s="241">
        <v>46638</v>
      </c>
      <c r="B617" s="242">
        <f t="shared" si="36"/>
        <v>561.25</v>
      </c>
      <c r="C617" s="242">
        <f>IF(DAY(A617+2)=1,'Main Budget'!$G$39,IF(DAY(A617+2)=15,'Main Budget'!$G$39,0))</f>
        <v>0</v>
      </c>
      <c r="D617" s="242">
        <f t="shared" si="37"/>
        <v>0</v>
      </c>
      <c r="E617" s="242">
        <f>IF(DAY(A617)='Main Budget'!$J$12,('Main Budget'!$G$12),0)</f>
        <v>0</v>
      </c>
      <c r="F617" s="242">
        <f>IF(DAY(A617)='Main Budget'!$J$13,('Main Budget'!$G$13)*2,0)</f>
        <v>0</v>
      </c>
      <c r="G617" s="242"/>
      <c r="H617" s="242">
        <f>IF(DAY(A617)='Main Budget'!$J$14,'Main Budget'!$G$14,0)</f>
        <v>0</v>
      </c>
      <c r="I617" s="242"/>
      <c r="J617" s="252">
        <f t="shared" si="38"/>
        <v>561.25</v>
      </c>
      <c r="M617" t="str">
        <f t="shared" si="39"/>
        <v>Wednesday</v>
      </c>
    </row>
    <row r="618" spans="1:13" x14ac:dyDescent="0.25">
      <c r="A618" s="241">
        <v>46639</v>
      </c>
      <c r="B618" s="242">
        <f t="shared" si="36"/>
        <v>561.25</v>
      </c>
      <c r="C618" s="242">
        <f>IF(DAY(A618+2)=1,'Main Budget'!$G$39,IF(DAY(A618+2)=15,'Main Budget'!$G$39,0))</f>
        <v>0</v>
      </c>
      <c r="D618" s="242">
        <f t="shared" si="37"/>
        <v>0</v>
      </c>
      <c r="E618" s="242">
        <f>IF(DAY(A618)='Main Budget'!$J$12,('Main Budget'!$G$12),0)</f>
        <v>0</v>
      </c>
      <c r="F618" s="242">
        <f>IF(DAY(A618)='Main Budget'!$J$13,('Main Budget'!$G$13)*2,0)</f>
        <v>0</v>
      </c>
      <c r="G618" s="242"/>
      <c r="H618" s="242">
        <f>IF(DAY(A618)='Main Budget'!$J$14,'Main Budget'!$G$14,0)</f>
        <v>0</v>
      </c>
      <c r="I618" s="242"/>
      <c r="J618" s="252">
        <f t="shared" si="38"/>
        <v>561.25</v>
      </c>
      <c r="M618" t="str">
        <f t="shared" si="39"/>
        <v>Thursday</v>
      </c>
    </row>
    <row r="619" spans="1:13" x14ac:dyDescent="0.25">
      <c r="A619" s="241">
        <v>46640</v>
      </c>
      <c r="B619" s="242">
        <f t="shared" si="36"/>
        <v>561.25</v>
      </c>
      <c r="C619" s="242">
        <f>IF(DAY(A619+2)=1,'Main Budget'!$G$39,IF(DAY(A619+2)=15,'Main Budget'!$G$39,0))</f>
        <v>0</v>
      </c>
      <c r="D619" s="242">
        <f t="shared" si="37"/>
        <v>0</v>
      </c>
      <c r="E619" s="242">
        <f>IF(DAY(A619)='Main Budget'!$J$12,('Main Budget'!$G$12),0)</f>
        <v>0</v>
      </c>
      <c r="F619" s="242">
        <f>IF(DAY(A619)='Main Budget'!$J$13,('Main Budget'!$G$13)*2,0)</f>
        <v>0</v>
      </c>
      <c r="G619" s="242"/>
      <c r="H619" s="242">
        <f>IF(DAY(A619)='Main Budget'!$J$14,'Main Budget'!$G$14,0)</f>
        <v>0</v>
      </c>
      <c r="I619" s="242"/>
      <c r="J619" s="252">
        <f t="shared" si="38"/>
        <v>561.25</v>
      </c>
      <c r="M619" t="str">
        <f t="shared" si="39"/>
        <v>Friday</v>
      </c>
    </row>
    <row r="620" spans="1:13" x14ac:dyDescent="0.25">
      <c r="A620" s="241">
        <v>46641</v>
      </c>
      <c r="B620" s="242">
        <f t="shared" si="36"/>
        <v>561.25</v>
      </c>
      <c r="C620" s="242">
        <f>IF(DAY(A620+2)=1,'Main Budget'!$G$39,IF(DAY(A620+2)=15,'Main Budget'!$G$39,0))</f>
        <v>0</v>
      </c>
      <c r="D620" s="242">
        <f t="shared" si="37"/>
        <v>0</v>
      </c>
      <c r="E620" s="242">
        <f>IF(DAY(A620)='Main Budget'!$J$12,('Main Budget'!$G$12),0)</f>
        <v>0</v>
      </c>
      <c r="F620" s="242">
        <f>IF(DAY(A620)='Main Budget'!$J$13,('Main Budget'!$G$13)*2,0)</f>
        <v>0</v>
      </c>
      <c r="G620" s="242"/>
      <c r="H620" s="242">
        <f>IF(DAY(A620)='Main Budget'!$J$14,'Main Budget'!$G$14,0)</f>
        <v>0</v>
      </c>
      <c r="I620" s="242"/>
      <c r="J620" s="252">
        <f t="shared" si="38"/>
        <v>561.25</v>
      </c>
      <c r="M620" t="str">
        <f t="shared" si="39"/>
        <v>Saturday</v>
      </c>
    </row>
    <row r="621" spans="1:13" x14ac:dyDescent="0.25">
      <c r="A621" s="241">
        <v>46642</v>
      </c>
      <c r="B621" s="242">
        <f t="shared" si="36"/>
        <v>561.25</v>
      </c>
      <c r="C621" s="242">
        <f>IF(DAY(A621+2)=1,'Main Budget'!$G$39,IF(DAY(A621+2)=15,'Main Budget'!$G$39,0))</f>
        <v>0</v>
      </c>
      <c r="D621" s="242">
        <f t="shared" si="37"/>
        <v>0</v>
      </c>
      <c r="E621" s="242">
        <f>IF(DAY(A621)='Main Budget'!$J$12,('Main Budget'!$G$12),0)</f>
        <v>0</v>
      </c>
      <c r="F621" s="242">
        <f>IF(DAY(A621)='Main Budget'!$J$13,('Main Budget'!$G$13)*2,0)</f>
        <v>0</v>
      </c>
      <c r="G621" s="242"/>
      <c r="H621" s="242">
        <f>IF(DAY(A621)='Main Budget'!$J$14,'Main Budget'!$G$14,0)</f>
        <v>0</v>
      </c>
      <c r="I621" s="242"/>
      <c r="J621" s="252">
        <f t="shared" si="38"/>
        <v>561.25</v>
      </c>
      <c r="M621" t="str">
        <f t="shared" si="39"/>
        <v>Sunday</v>
      </c>
    </row>
    <row r="622" spans="1:13" x14ac:dyDescent="0.25">
      <c r="A622" s="241">
        <v>46643</v>
      </c>
      <c r="B622" s="242">
        <f t="shared" si="36"/>
        <v>561.25</v>
      </c>
      <c r="C622" s="242">
        <f>IF(DAY(A622+2)=1,'Main Budget'!$G$39,IF(DAY(A622+2)=15,'Main Budget'!$G$39,0))</f>
        <v>0</v>
      </c>
      <c r="D622" s="242">
        <f t="shared" si="37"/>
        <v>0</v>
      </c>
      <c r="E622" s="242">
        <f>IF(DAY(A622)='Main Budget'!$J$12,('Main Budget'!$G$12),0)</f>
        <v>0</v>
      </c>
      <c r="F622" s="242">
        <f>IF(DAY(A622)='Main Budget'!$J$13,('Main Budget'!$G$13)*2,0)</f>
        <v>0</v>
      </c>
      <c r="G622" s="242"/>
      <c r="H622" s="242">
        <f>IF(DAY(A622)='Main Budget'!$J$14,'Main Budget'!$G$14,0)</f>
        <v>0</v>
      </c>
      <c r="I622" s="242"/>
      <c r="J622" s="252">
        <f t="shared" si="38"/>
        <v>561.25</v>
      </c>
      <c r="M622" t="str">
        <f t="shared" si="39"/>
        <v>Monday</v>
      </c>
    </row>
    <row r="623" spans="1:13" x14ac:dyDescent="0.25">
      <c r="A623" s="241">
        <v>46644</v>
      </c>
      <c r="B623" s="242">
        <f t="shared" si="36"/>
        <v>561.25</v>
      </c>
      <c r="C623" s="242">
        <f>IF(DAY(A623+2)=1,'Main Budget'!$G$39,IF(DAY(A623+2)=15,'Main Budget'!$G$39,0))</f>
        <v>0</v>
      </c>
      <c r="D623" s="242">
        <f t="shared" si="37"/>
        <v>0</v>
      </c>
      <c r="E623" s="242">
        <f>IF(DAY(A623)='Main Budget'!$J$12,('Main Budget'!$G$12),0)</f>
        <v>0</v>
      </c>
      <c r="F623" s="242">
        <f>IF(DAY(A623)='Main Budget'!$J$13,('Main Budget'!$G$13)*2,0)</f>
        <v>0</v>
      </c>
      <c r="G623" s="242"/>
      <c r="H623" s="242">
        <f>IF(DAY(A623)='Main Budget'!$J$14,'Main Budget'!$G$14,0)</f>
        <v>0</v>
      </c>
      <c r="I623" s="242"/>
      <c r="J623" s="252">
        <f t="shared" si="38"/>
        <v>561.25</v>
      </c>
      <c r="M623" t="str">
        <f t="shared" si="39"/>
        <v>Tuesday</v>
      </c>
    </row>
    <row r="624" spans="1:13" x14ac:dyDescent="0.25">
      <c r="A624" s="241">
        <v>46645</v>
      </c>
      <c r="B624" s="242">
        <f t="shared" si="36"/>
        <v>561.25</v>
      </c>
      <c r="C624" s="242">
        <f>IF(DAY(A624+2)=1,'Main Budget'!$G$39,IF(DAY(A624+2)=15,'Main Budget'!$G$39,0))</f>
        <v>0</v>
      </c>
      <c r="D624" s="242">
        <f t="shared" si="37"/>
        <v>11.25</v>
      </c>
      <c r="E624" s="242">
        <f>IF(DAY(A624)='Main Budget'!$J$12,('Main Budget'!$G$12),0)</f>
        <v>0</v>
      </c>
      <c r="F624" s="242">
        <f>IF(DAY(A624)='Main Budget'!$J$13,('Main Budget'!$G$13)*2,0)</f>
        <v>0</v>
      </c>
      <c r="G624" s="242"/>
      <c r="H624" s="242">
        <f>IF(DAY(A624)='Main Budget'!$J$14,'Main Budget'!$G$14,0)</f>
        <v>0</v>
      </c>
      <c r="I624" s="242"/>
      <c r="J624" s="252">
        <f t="shared" si="38"/>
        <v>572.5</v>
      </c>
      <c r="M624" t="str">
        <f t="shared" si="39"/>
        <v>Wednesday</v>
      </c>
    </row>
    <row r="625" spans="1:13" x14ac:dyDescent="0.25">
      <c r="A625" s="241">
        <v>46646</v>
      </c>
      <c r="B625" s="242">
        <f t="shared" si="36"/>
        <v>572.5</v>
      </c>
      <c r="C625" s="242">
        <f>IF(DAY(A625+2)=1,'Main Budget'!$G$39,IF(DAY(A625+2)=15,'Main Budget'!$G$39,0))</f>
        <v>0</v>
      </c>
      <c r="D625" s="242">
        <f t="shared" si="37"/>
        <v>0</v>
      </c>
      <c r="E625" s="242">
        <f>IF(DAY(A625)='Main Budget'!$J$12,('Main Budget'!$G$12),0)</f>
        <v>0</v>
      </c>
      <c r="F625" s="242">
        <f>IF(DAY(A625)='Main Budget'!$J$13,('Main Budget'!$G$13)*2,0)</f>
        <v>0</v>
      </c>
      <c r="G625" s="242"/>
      <c r="H625" s="242">
        <f>IF(DAY(A625)='Main Budget'!$J$14,'Main Budget'!$G$14,0)</f>
        <v>0</v>
      </c>
      <c r="I625" s="242"/>
      <c r="J625" s="252">
        <f t="shared" si="38"/>
        <v>572.5</v>
      </c>
      <c r="M625" t="str">
        <f t="shared" si="39"/>
        <v>Thursday</v>
      </c>
    </row>
    <row r="626" spans="1:13" x14ac:dyDescent="0.25">
      <c r="A626" s="241">
        <v>46647</v>
      </c>
      <c r="B626" s="242">
        <f t="shared" si="36"/>
        <v>572.5</v>
      </c>
      <c r="C626" s="242">
        <f>IF(DAY(A626+2)=1,'Main Budget'!$G$39,IF(DAY(A626+2)=15,'Main Budget'!$G$39,0))</f>
        <v>0</v>
      </c>
      <c r="D626" s="242">
        <f t="shared" si="37"/>
        <v>0</v>
      </c>
      <c r="E626" s="242">
        <f>IF(DAY(A626)='Main Budget'!$J$12,('Main Budget'!$G$12),0)</f>
        <v>0</v>
      </c>
      <c r="F626" s="242">
        <f>IF(DAY(A626)='Main Budget'!$J$13,('Main Budget'!$G$13)*2,0)</f>
        <v>0</v>
      </c>
      <c r="G626" s="242"/>
      <c r="H626" s="242">
        <f>IF(DAY(A626)='Main Budget'!$J$14,'Main Budget'!$G$14,0)</f>
        <v>0</v>
      </c>
      <c r="I626" s="242"/>
      <c r="J626" s="252">
        <f t="shared" si="38"/>
        <v>572.5</v>
      </c>
      <c r="M626" t="str">
        <f t="shared" si="39"/>
        <v>Friday</v>
      </c>
    </row>
    <row r="627" spans="1:13" x14ac:dyDescent="0.25">
      <c r="A627" s="241">
        <v>46648</v>
      </c>
      <c r="B627" s="242">
        <f t="shared" si="36"/>
        <v>572.5</v>
      </c>
      <c r="C627" s="242">
        <f>IF(DAY(A627+2)=1,'Main Budget'!$G$39,IF(DAY(A627+2)=15,'Main Budget'!$G$39,0))</f>
        <v>0</v>
      </c>
      <c r="D627" s="242">
        <f t="shared" si="37"/>
        <v>0</v>
      </c>
      <c r="E627" s="242">
        <f>IF(DAY(A627)='Main Budget'!$J$12,('Main Budget'!$G$12),0)</f>
        <v>0</v>
      </c>
      <c r="F627" s="242">
        <f>IF(DAY(A627)='Main Budget'!$J$13,('Main Budget'!$G$13)*2,0)</f>
        <v>0</v>
      </c>
      <c r="G627" s="242"/>
      <c r="H627" s="242">
        <f>IF(DAY(A627)='Main Budget'!$J$14,'Main Budget'!$G$14,0)</f>
        <v>0</v>
      </c>
      <c r="I627" s="242"/>
      <c r="J627" s="252">
        <f t="shared" si="38"/>
        <v>572.5</v>
      </c>
      <c r="M627" t="str">
        <f t="shared" si="39"/>
        <v>Saturday</v>
      </c>
    </row>
    <row r="628" spans="1:13" x14ac:dyDescent="0.25">
      <c r="A628" s="241">
        <v>46649</v>
      </c>
      <c r="B628" s="242">
        <f t="shared" si="36"/>
        <v>572.5</v>
      </c>
      <c r="C628" s="242">
        <f>IF(DAY(A628+2)=1,'Main Budget'!$G$39,IF(DAY(A628+2)=15,'Main Budget'!$G$39,0))</f>
        <v>0</v>
      </c>
      <c r="D628" s="242">
        <f t="shared" si="37"/>
        <v>0</v>
      </c>
      <c r="E628" s="242">
        <f>IF(DAY(A628)='Main Budget'!$J$12,('Main Budget'!$G$12),0)</f>
        <v>0</v>
      </c>
      <c r="F628" s="242">
        <f>IF(DAY(A628)='Main Budget'!$J$13,('Main Budget'!$G$13)*2,0)</f>
        <v>0</v>
      </c>
      <c r="G628" s="242"/>
      <c r="H628" s="242">
        <f>IF(DAY(A628)='Main Budget'!$J$14,'Main Budget'!$G$14,0)</f>
        <v>0</v>
      </c>
      <c r="I628" s="242"/>
      <c r="J628" s="252">
        <f t="shared" si="38"/>
        <v>572.5</v>
      </c>
      <c r="M628" t="str">
        <f t="shared" si="39"/>
        <v>Sunday</v>
      </c>
    </row>
    <row r="629" spans="1:13" x14ac:dyDescent="0.25">
      <c r="A629" s="241">
        <v>46650</v>
      </c>
      <c r="B629" s="242">
        <f t="shared" si="36"/>
        <v>572.5</v>
      </c>
      <c r="C629" s="242">
        <f>IF(DAY(A629+2)=1,'Main Budget'!$G$39,IF(DAY(A629+2)=15,'Main Budget'!$G$39,0))</f>
        <v>0</v>
      </c>
      <c r="D629" s="242">
        <f t="shared" si="37"/>
        <v>0</v>
      </c>
      <c r="E629" s="242">
        <f>IF(DAY(A629)='Main Budget'!$J$12,('Main Budget'!$G$12),0)</f>
        <v>0</v>
      </c>
      <c r="F629" s="242">
        <f>IF(DAY(A629)='Main Budget'!$J$13,('Main Budget'!$G$13)*2,0)</f>
        <v>0</v>
      </c>
      <c r="G629" s="242"/>
      <c r="H629" s="242">
        <f>IF(DAY(A629)='Main Budget'!$J$14,'Main Budget'!$G$14,0)</f>
        <v>0</v>
      </c>
      <c r="I629" s="242"/>
      <c r="J629" s="252">
        <f t="shared" si="38"/>
        <v>572.5</v>
      </c>
      <c r="M629" t="str">
        <f t="shared" si="39"/>
        <v>Monday</v>
      </c>
    </row>
    <row r="630" spans="1:13" x14ac:dyDescent="0.25">
      <c r="A630" s="241">
        <v>46651</v>
      </c>
      <c r="B630" s="242">
        <f t="shared" si="36"/>
        <v>572.5</v>
      </c>
      <c r="C630" s="242">
        <f>IF(DAY(A630+2)=1,'Main Budget'!$G$39,IF(DAY(A630+2)=15,'Main Budget'!$G$39,0))</f>
        <v>0</v>
      </c>
      <c r="D630" s="242">
        <f t="shared" si="37"/>
        <v>0</v>
      </c>
      <c r="E630" s="242">
        <f>IF(DAY(A630)='Main Budget'!$J$12,('Main Budget'!$G$12),0)</f>
        <v>0</v>
      </c>
      <c r="F630" s="242">
        <f>IF(DAY(A630)='Main Budget'!$J$13,('Main Budget'!$G$13)*2,0)</f>
        <v>0</v>
      </c>
      <c r="G630" s="242"/>
      <c r="H630" s="242">
        <f>IF(DAY(A630)='Main Budget'!$J$14,'Main Budget'!$G$14,0)</f>
        <v>0</v>
      </c>
      <c r="I630" s="242"/>
      <c r="J630" s="252">
        <f t="shared" si="38"/>
        <v>572.5</v>
      </c>
      <c r="M630" t="str">
        <f t="shared" si="39"/>
        <v>Tuesday</v>
      </c>
    </row>
    <row r="631" spans="1:13" x14ac:dyDescent="0.25">
      <c r="A631" s="241">
        <v>46652</v>
      </c>
      <c r="B631" s="242">
        <f t="shared" si="36"/>
        <v>572.5</v>
      </c>
      <c r="C631" s="242">
        <f>IF(DAY(A631+2)=1,'Main Budget'!$G$39,IF(DAY(A631+2)=15,'Main Budget'!$G$39,0))</f>
        <v>0</v>
      </c>
      <c r="D631" s="242">
        <f t="shared" si="37"/>
        <v>0</v>
      </c>
      <c r="E631" s="242">
        <f>IF(DAY(A631)='Main Budget'!$J$12,('Main Budget'!$G$12),0)</f>
        <v>0</v>
      </c>
      <c r="F631" s="242">
        <f>IF(DAY(A631)='Main Budget'!$J$13,('Main Budget'!$G$13)*2,0)</f>
        <v>0</v>
      </c>
      <c r="G631" s="242"/>
      <c r="H631" s="242">
        <f>IF(DAY(A631)='Main Budget'!$J$14,'Main Budget'!$G$14,0)</f>
        <v>0</v>
      </c>
      <c r="I631" s="242"/>
      <c r="J631" s="252">
        <f t="shared" si="38"/>
        <v>572.5</v>
      </c>
      <c r="M631" t="str">
        <f t="shared" si="39"/>
        <v>Wednesday</v>
      </c>
    </row>
    <row r="632" spans="1:13" x14ac:dyDescent="0.25">
      <c r="A632" s="241">
        <v>46653</v>
      </c>
      <c r="B632" s="242">
        <f t="shared" si="36"/>
        <v>572.5</v>
      </c>
      <c r="C632" s="242">
        <f>IF(DAY(A632+2)=1,'Main Budget'!$G$39,IF(DAY(A632+2)=15,'Main Budget'!$G$39,0))</f>
        <v>0</v>
      </c>
      <c r="D632" s="242">
        <f t="shared" si="37"/>
        <v>0</v>
      </c>
      <c r="E632" s="242">
        <f>IF(DAY(A632)='Main Budget'!$J$12,('Main Budget'!$G$12),0)</f>
        <v>0</v>
      </c>
      <c r="F632" s="242">
        <f>IF(DAY(A632)='Main Budget'!$J$13,('Main Budget'!$G$13)*2,0)</f>
        <v>0</v>
      </c>
      <c r="G632" s="242"/>
      <c r="H632" s="242">
        <f>IF(DAY(A632)='Main Budget'!$J$14,'Main Budget'!$G$14,0)</f>
        <v>0</v>
      </c>
      <c r="I632" s="242"/>
      <c r="J632" s="252">
        <f t="shared" si="38"/>
        <v>572.5</v>
      </c>
      <c r="M632" t="str">
        <f t="shared" si="39"/>
        <v>Thursday</v>
      </c>
    </row>
    <row r="633" spans="1:13" x14ac:dyDescent="0.25">
      <c r="A633" s="241">
        <v>46654</v>
      </c>
      <c r="B633" s="242">
        <f t="shared" si="36"/>
        <v>572.5</v>
      </c>
      <c r="C633" s="242">
        <f>IF(DAY(A633+2)=1,'Main Budget'!$G$39,IF(DAY(A633+2)=15,'Main Budget'!$G$39,0))</f>
        <v>0</v>
      </c>
      <c r="D633" s="242">
        <f t="shared" si="37"/>
        <v>0</v>
      </c>
      <c r="E633" s="242">
        <f>IF(DAY(A633)='Main Budget'!$J$12,('Main Budget'!$G$12),0)</f>
        <v>0</v>
      </c>
      <c r="F633" s="242">
        <f>IF(DAY(A633)='Main Budget'!$J$13,('Main Budget'!$G$13)*2,0)</f>
        <v>0</v>
      </c>
      <c r="G633" s="242"/>
      <c r="H633" s="242">
        <f>IF(DAY(A633)='Main Budget'!$J$14,'Main Budget'!$G$14,0)</f>
        <v>0</v>
      </c>
      <c r="I633" s="242"/>
      <c r="J633" s="252">
        <f t="shared" si="38"/>
        <v>572.5</v>
      </c>
      <c r="M633" t="str">
        <f t="shared" si="39"/>
        <v>Friday</v>
      </c>
    </row>
    <row r="634" spans="1:13" x14ac:dyDescent="0.25">
      <c r="A634" s="241">
        <v>46655</v>
      </c>
      <c r="B634" s="242">
        <f t="shared" si="36"/>
        <v>572.5</v>
      </c>
      <c r="C634" s="242">
        <f>IF(DAY(A634+2)=1,'Main Budget'!$G$39,IF(DAY(A634+2)=15,'Main Budget'!$G$39,0))</f>
        <v>0</v>
      </c>
      <c r="D634" s="242">
        <f t="shared" si="37"/>
        <v>0</v>
      </c>
      <c r="E634" s="242">
        <f>IF(DAY(A634)='Main Budget'!$J$12,('Main Budget'!$G$12),0)</f>
        <v>0</v>
      </c>
      <c r="F634" s="242">
        <f>IF(DAY(A634)='Main Budget'!$J$13,('Main Budget'!$G$13)*2,0)</f>
        <v>0</v>
      </c>
      <c r="G634" s="242"/>
      <c r="H634" s="242">
        <f>IF(DAY(A634)='Main Budget'!$J$14,'Main Budget'!$G$14,0)</f>
        <v>0</v>
      </c>
      <c r="I634" s="242"/>
      <c r="J634" s="252">
        <f t="shared" si="38"/>
        <v>572.5</v>
      </c>
      <c r="M634" t="str">
        <f t="shared" si="39"/>
        <v>Saturday</v>
      </c>
    </row>
    <row r="635" spans="1:13" x14ac:dyDescent="0.25">
      <c r="A635" s="241">
        <v>46656</v>
      </c>
      <c r="B635" s="242">
        <f t="shared" si="36"/>
        <v>572.5</v>
      </c>
      <c r="C635" s="242">
        <f>IF(DAY(A635+2)=1,'Main Budget'!$G$39,IF(DAY(A635+2)=15,'Main Budget'!$G$39,0))</f>
        <v>0</v>
      </c>
      <c r="D635" s="242">
        <f t="shared" si="37"/>
        <v>0</v>
      </c>
      <c r="E635" s="242">
        <f>IF(DAY(A635)='Main Budget'!$J$12,('Main Budget'!$G$12),0)</f>
        <v>0</v>
      </c>
      <c r="F635" s="242">
        <f>IF(DAY(A635)='Main Budget'!$J$13,('Main Budget'!$G$13)*2,0)</f>
        <v>0</v>
      </c>
      <c r="G635" s="242"/>
      <c r="H635" s="242">
        <f>IF(DAY(A635)='Main Budget'!$J$14,'Main Budget'!$G$14,0)</f>
        <v>0</v>
      </c>
      <c r="I635" s="242"/>
      <c r="J635" s="252">
        <f t="shared" si="38"/>
        <v>572.5</v>
      </c>
      <c r="M635" t="str">
        <f t="shared" si="39"/>
        <v>Sunday</v>
      </c>
    </row>
    <row r="636" spans="1:13" x14ac:dyDescent="0.25">
      <c r="A636" s="241">
        <v>46657</v>
      </c>
      <c r="B636" s="242">
        <f t="shared" si="36"/>
        <v>572.5</v>
      </c>
      <c r="C636" s="242">
        <f>IF(DAY(A636+2)=1,'Main Budget'!$G$39,IF(DAY(A636+2)=15,'Main Budget'!$G$39,0))</f>
        <v>0</v>
      </c>
      <c r="D636" s="242">
        <f t="shared" si="37"/>
        <v>0</v>
      </c>
      <c r="E636" s="242">
        <f>IF(DAY(A636)='Main Budget'!$J$12,('Main Budget'!$G$12),0)</f>
        <v>0</v>
      </c>
      <c r="F636" s="242">
        <f>IF(DAY(A636)='Main Budget'!$J$13,('Main Budget'!$G$13)*2,0)</f>
        <v>0</v>
      </c>
      <c r="G636" s="242"/>
      <c r="H636" s="242">
        <f>IF(DAY(A636)='Main Budget'!$J$14,'Main Budget'!$G$14,0)</f>
        <v>0</v>
      </c>
      <c r="I636" s="242"/>
      <c r="J636" s="252">
        <f t="shared" si="38"/>
        <v>572.5</v>
      </c>
      <c r="M636" t="str">
        <f t="shared" si="39"/>
        <v>Monday</v>
      </c>
    </row>
    <row r="637" spans="1:13" x14ac:dyDescent="0.25">
      <c r="A637" s="241">
        <v>46658</v>
      </c>
      <c r="B637" s="242">
        <f t="shared" si="36"/>
        <v>572.5</v>
      </c>
      <c r="C637" s="242">
        <f>IF(DAY(A637+2)=1,'Main Budget'!$G$39,IF(DAY(A637+2)=15,'Main Budget'!$G$39,0))</f>
        <v>0</v>
      </c>
      <c r="D637" s="242">
        <f t="shared" si="37"/>
        <v>0</v>
      </c>
      <c r="E637" s="242">
        <f>IF(DAY(A637)='Main Budget'!$J$12,('Main Budget'!$G$12),0)</f>
        <v>0</v>
      </c>
      <c r="F637" s="242">
        <f>IF(DAY(A637)='Main Budget'!$J$13,('Main Budget'!$G$13)*2,0)</f>
        <v>0</v>
      </c>
      <c r="G637" s="242"/>
      <c r="H637" s="242">
        <f>IF(DAY(A637)='Main Budget'!$J$14,'Main Budget'!$G$14,0)</f>
        <v>0</v>
      </c>
      <c r="I637" s="242"/>
      <c r="J637" s="252">
        <f t="shared" si="38"/>
        <v>572.5</v>
      </c>
      <c r="M637" t="str">
        <f t="shared" si="39"/>
        <v>Tuesday</v>
      </c>
    </row>
    <row r="638" spans="1:13" x14ac:dyDescent="0.25">
      <c r="A638" s="241">
        <v>46659</v>
      </c>
      <c r="B638" s="242">
        <f t="shared" si="36"/>
        <v>572.5</v>
      </c>
      <c r="C638" s="242">
        <f>IF(DAY(A638+2)=1,'Main Budget'!$G$39,IF(DAY(A638+2)=15,'Main Budget'!$G$39,0))</f>
        <v>0</v>
      </c>
      <c r="D638" s="242">
        <f t="shared" si="37"/>
        <v>0</v>
      </c>
      <c r="E638" s="242">
        <f>IF(DAY(A638)='Main Budget'!$J$12,('Main Budget'!$G$12),0)</f>
        <v>0</v>
      </c>
      <c r="F638" s="242">
        <f>IF(DAY(A638)='Main Budget'!$J$13,('Main Budget'!$G$13)*2,0)</f>
        <v>0</v>
      </c>
      <c r="G638" s="242"/>
      <c r="H638" s="242">
        <f>IF(DAY(A638)='Main Budget'!$J$14,'Main Budget'!$G$14,0)</f>
        <v>0</v>
      </c>
      <c r="I638" s="242"/>
      <c r="J638" s="252">
        <f t="shared" si="38"/>
        <v>572.5</v>
      </c>
      <c r="M638" t="str">
        <f t="shared" si="39"/>
        <v>Wednesday</v>
      </c>
    </row>
    <row r="639" spans="1:13" x14ac:dyDescent="0.25">
      <c r="A639" s="241">
        <v>46660</v>
      </c>
      <c r="B639" s="242">
        <f t="shared" si="36"/>
        <v>572.5</v>
      </c>
      <c r="C639" s="242">
        <f>IF(DAY(A639+2)=1,'Main Budget'!$G$39,IF(DAY(A639+2)=15,'Main Budget'!$G$39,0))</f>
        <v>0</v>
      </c>
      <c r="D639" s="242">
        <f t="shared" si="37"/>
        <v>0</v>
      </c>
      <c r="E639" s="242">
        <f>IF(DAY(A639)='Main Budget'!$J$12,('Main Budget'!$G$12),0)</f>
        <v>0</v>
      </c>
      <c r="F639" s="242">
        <f>IF(DAY(A639)='Main Budget'!$J$13,('Main Budget'!$G$13)*2,0)</f>
        <v>0</v>
      </c>
      <c r="G639" s="242"/>
      <c r="H639" s="242">
        <f>IF(DAY(A639)='Main Budget'!$J$14,'Main Budget'!$G$14,0)</f>
        <v>0</v>
      </c>
      <c r="I639" s="242"/>
      <c r="J639" s="252">
        <f t="shared" si="38"/>
        <v>572.5</v>
      </c>
      <c r="M639" t="str">
        <f t="shared" si="39"/>
        <v>Thursday</v>
      </c>
    </row>
    <row r="640" spans="1:13" x14ac:dyDescent="0.25">
      <c r="A640" s="241">
        <v>46661</v>
      </c>
      <c r="B640" s="242">
        <f t="shared" si="36"/>
        <v>572.5</v>
      </c>
      <c r="C640" s="242">
        <f>IF(DAY(A640+2)=1,'Main Budget'!$G$39,IF(DAY(A640+2)=15,'Main Budget'!$G$39,0))</f>
        <v>0</v>
      </c>
      <c r="D640" s="242">
        <f t="shared" si="37"/>
        <v>11.25</v>
      </c>
      <c r="E640" s="242">
        <f>IF(DAY(A640)='Main Budget'!$J$12,('Main Budget'!$G$12),0)</f>
        <v>0</v>
      </c>
      <c r="F640" s="242">
        <f>IF(DAY(A640)='Main Budget'!$J$13,('Main Budget'!$G$13)*2,0)</f>
        <v>0</v>
      </c>
      <c r="G640" s="242"/>
      <c r="H640" s="242">
        <f>IF(DAY(A640)='Main Budget'!$J$14,'Main Budget'!$G$14,0)</f>
        <v>0</v>
      </c>
      <c r="I640" s="242"/>
      <c r="J640" s="252">
        <f t="shared" si="38"/>
        <v>583.75</v>
      </c>
      <c r="M640" t="str">
        <f t="shared" si="39"/>
        <v>Friday</v>
      </c>
    </row>
    <row r="641" spans="1:13" x14ac:dyDescent="0.25">
      <c r="A641" s="241">
        <v>46662</v>
      </c>
      <c r="B641" s="242">
        <f t="shared" si="36"/>
        <v>583.75</v>
      </c>
      <c r="C641" s="242">
        <f>IF(DAY(A641+2)=1,'Main Budget'!$G$39,IF(DAY(A641+2)=15,'Main Budget'!$G$39,0))</f>
        <v>0</v>
      </c>
      <c r="D641" s="242">
        <f t="shared" si="37"/>
        <v>0</v>
      </c>
      <c r="E641" s="242">
        <f>IF(DAY(A641)='Main Budget'!$J$12,('Main Budget'!$G$12),0)</f>
        <v>0</v>
      </c>
      <c r="F641" s="242">
        <f>IF(DAY(A641)='Main Budget'!$J$13,('Main Budget'!$G$13)*2,0)</f>
        <v>0</v>
      </c>
      <c r="G641" s="242"/>
      <c r="H641" s="242">
        <f>IF(DAY(A641)='Main Budget'!$J$14,'Main Budget'!$G$14,0)</f>
        <v>0</v>
      </c>
      <c r="I641" s="242"/>
      <c r="J641" s="252">
        <f t="shared" si="38"/>
        <v>583.75</v>
      </c>
      <c r="M641" t="str">
        <f t="shared" si="39"/>
        <v>Saturday</v>
      </c>
    </row>
    <row r="642" spans="1:13" x14ac:dyDescent="0.25">
      <c r="A642" s="241">
        <v>46663</v>
      </c>
      <c r="B642" s="242">
        <f t="shared" si="36"/>
        <v>583.75</v>
      </c>
      <c r="C642" s="242">
        <f>IF(DAY(A642+2)=1,'Main Budget'!$G$39,IF(DAY(A642+2)=15,'Main Budget'!$G$39,0))</f>
        <v>0</v>
      </c>
      <c r="D642" s="242">
        <f t="shared" si="37"/>
        <v>0</v>
      </c>
      <c r="E642" s="242">
        <f>IF(DAY(A642)='Main Budget'!$J$12,('Main Budget'!$G$12),0)</f>
        <v>0</v>
      </c>
      <c r="F642" s="242">
        <f>IF(DAY(A642)='Main Budget'!$J$13,('Main Budget'!$G$13)*2,0)</f>
        <v>0</v>
      </c>
      <c r="G642" s="242"/>
      <c r="H642" s="242">
        <f>IF(DAY(A642)='Main Budget'!$J$14,'Main Budget'!$G$14,0)</f>
        <v>0</v>
      </c>
      <c r="I642" s="242"/>
      <c r="J642" s="252">
        <f t="shared" si="38"/>
        <v>583.75</v>
      </c>
      <c r="M642" t="str">
        <f t="shared" si="39"/>
        <v>Sunday</v>
      </c>
    </row>
    <row r="643" spans="1:13" x14ac:dyDescent="0.25">
      <c r="A643" s="241">
        <v>46664</v>
      </c>
      <c r="B643" s="242">
        <f t="shared" si="36"/>
        <v>583.75</v>
      </c>
      <c r="C643" s="242">
        <f>IF(DAY(A643+2)=1,'Main Budget'!$G$39,IF(DAY(A643+2)=15,'Main Budget'!$G$39,0))</f>
        <v>0</v>
      </c>
      <c r="D643" s="242">
        <f t="shared" si="37"/>
        <v>0</v>
      </c>
      <c r="E643" s="242">
        <f>IF(DAY(A643)='Main Budget'!$J$12,('Main Budget'!$G$12),0)</f>
        <v>0</v>
      </c>
      <c r="F643" s="242">
        <f>IF(DAY(A643)='Main Budget'!$J$13,('Main Budget'!$G$13)*2,0)</f>
        <v>0</v>
      </c>
      <c r="G643" s="242"/>
      <c r="H643" s="242">
        <f>IF(DAY(A643)='Main Budget'!$J$14,'Main Budget'!$G$14,0)</f>
        <v>0</v>
      </c>
      <c r="I643" s="242"/>
      <c r="J643" s="252">
        <f t="shared" si="38"/>
        <v>583.75</v>
      </c>
      <c r="M643" t="str">
        <f t="shared" si="39"/>
        <v>Monday</v>
      </c>
    </row>
    <row r="644" spans="1:13" x14ac:dyDescent="0.25">
      <c r="A644" s="241">
        <v>46665</v>
      </c>
      <c r="B644" s="242">
        <f t="shared" si="36"/>
        <v>583.75</v>
      </c>
      <c r="C644" s="242">
        <f>IF(DAY(A644+2)=1,'Main Budget'!$G$39,IF(DAY(A644+2)=15,'Main Budget'!$G$39,0))</f>
        <v>0</v>
      </c>
      <c r="D644" s="242">
        <f t="shared" si="37"/>
        <v>0</v>
      </c>
      <c r="E644" s="242">
        <f>IF(DAY(A644)='Main Budget'!$J$12,('Main Budget'!$G$12),0)</f>
        <v>0</v>
      </c>
      <c r="F644" s="242">
        <f>IF(DAY(A644)='Main Budget'!$J$13,('Main Budget'!$G$13)*2,0)</f>
        <v>0</v>
      </c>
      <c r="G644" s="242"/>
      <c r="H644" s="242">
        <f>IF(DAY(A644)='Main Budget'!$J$14,'Main Budget'!$G$14,0)</f>
        <v>0</v>
      </c>
      <c r="I644" s="242"/>
      <c r="J644" s="252">
        <f t="shared" si="38"/>
        <v>583.75</v>
      </c>
      <c r="M644" t="str">
        <f t="shared" si="39"/>
        <v>Tuesday</v>
      </c>
    </row>
    <row r="645" spans="1:13" x14ac:dyDescent="0.25">
      <c r="A645" s="241">
        <v>46666</v>
      </c>
      <c r="B645" s="242">
        <f t="shared" si="36"/>
        <v>583.75</v>
      </c>
      <c r="C645" s="242">
        <f>IF(DAY(A645+2)=1,'Main Budget'!$G$39,IF(DAY(A645+2)=15,'Main Budget'!$G$39,0))</f>
        <v>0</v>
      </c>
      <c r="D645" s="242">
        <f t="shared" si="37"/>
        <v>0</v>
      </c>
      <c r="E645" s="242">
        <f>IF(DAY(A645)='Main Budget'!$J$12,('Main Budget'!$G$12),0)</f>
        <v>0</v>
      </c>
      <c r="F645" s="242">
        <f>IF(DAY(A645)='Main Budget'!$J$13,('Main Budget'!$G$13)*2,0)</f>
        <v>0</v>
      </c>
      <c r="G645" s="242"/>
      <c r="H645" s="242">
        <f>IF(DAY(A645)='Main Budget'!$J$14,'Main Budget'!$G$14,0)</f>
        <v>0</v>
      </c>
      <c r="I645" s="242"/>
      <c r="J645" s="252">
        <f t="shared" si="38"/>
        <v>583.75</v>
      </c>
      <c r="M645" t="str">
        <f t="shared" si="39"/>
        <v>Wednesday</v>
      </c>
    </row>
    <row r="646" spans="1:13" x14ac:dyDescent="0.25">
      <c r="A646" s="241">
        <v>46667</v>
      </c>
      <c r="B646" s="242">
        <f t="shared" si="36"/>
        <v>583.75</v>
      </c>
      <c r="C646" s="242">
        <f>IF(DAY(A646+2)=1,'Main Budget'!$G$39,IF(DAY(A646+2)=15,'Main Budget'!$G$39,0))</f>
        <v>0</v>
      </c>
      <c r="D646" s="242">
        <f t="shared" si="37"/>
        <v>0</v>
      </c>
      <c r="E646" s="242">
        <f>IF(DAY(A646)='Main Budget'!$J$12,('Main Budget'!$G$12),0)</f>
        <v>0</v>
      </c>
      <c r="F646" s="242">
        <f>IF(DAY(A646)='Main Budget'!$J$13,('Main Budget'!$G$13)*2,0)</f>
        <v>0</v>
      </c>
      <c r="G646" s="242"/>
      <c r="H646" s="242">
        <f>IF(DAY(A646)='Main Budget'!$J$14,'Main Budget'!$G$14,0)</f>
        <v>0</v>
      </c>
      <c r="I646" s="242"/>
      <c r="J646" s="252">
        <f t="shared" si="38"/>
        <v>583.75</v>
      </c>
      <c r="M646" t="str">
        <f t="shared" si="39"/>
        <v>Thursday</v>
      </c>
    </row>
    <row r="647" spans="1:13" x14ac:dyDescent="0.25">
      <c r="A647" s="241">
        <v>46668</v>
      </c>
      <c r="B647" s="242">
        <f t="shared" si="36"/>
        <v>583.75</v>
      </c>
      <c r="C647" s="242">
        <f>IF(DAY(A647+2)=1,'Main Budget'!$G$39,IF(DAY(A647+2)=15,'Main Budget'!$G$39,0))</f>
        <v>0</v>
      </c>
      <c r="D647" s="242">
        <f t="shared" si="37"/>
        <v>0</v>
      </c>
      <c r="E647" s="242">
        <f>IF(DAY(A647)='Main Budget'!$J$12,('Main Budget'!$G$12),0)</f>
        <v>0</v>
      </c>
      <c r="F647" s="242">
        <f>IF(DAY(A647)='Main Budget'!$J$13,('Main Budget'!$G$13)*2,0)</f>
        <v>0</v>
      </c>
      <c r="G647" s="242"/>
      <c r="H647" s="242">
        <f>IF(DAY(A647)='Main Budget'!$J$14,'Main Budget'!$G$14,0)</f>
        <v>0</v>
      </c>
      <c r="I647" s="242"/>
      <c r="J647" s="252">
        <f t="shared" si="38"/>
        <v>583.75</v>
      </c>
      <c r="M647" t="str">
        <f t="shared" si="39"/>
        <v>Friday</v>
      </c>
    </row>
    <row r="648" spans="1:13" x14ac:dyDescent="0.25">
      <c r="A648" s="241">
        <v>46669</v>
      </c>
      <c r="B648" s="242">
        <f t="shared" si="36"/>
        <v>583.75</v>
      </c>
      <c r="C648" s="242">
        <f>IF(DAY(A648+2)=1,'Main Budget'!$G$39,IF(DAY(A648+2)=15,'Main Budget'!$G$39,0))</f>
        <v>0</v>
      </c>
      <c r="D648" s="242">
        <f t="shared" si="37"/>
        <v>0</v>
      </c>
      <c r="E648" s="242">
        <f>IF(DAY(A648)='Main Budget'!$J$12,('Main Budget'!$G$12),0)</f>
        <v>0</v>
      </c>
      <c r="F648" s="242">
        <f>IF(DAY(A648)='Main Budget'!$J$13,('Main Budget'!$G$13)*2,0)</f>
        <v>0</v>
      </c>
      <c r="G648" s="242"/>
      <c r="H648" s="242">
        <f>IF(DAY(A648)='Main Budget'!$J$14,'Main Budget'!$G$14,0)</f>
        <v>0</v>
      </c>
      <c r="I648" s="242"/>
      <c r="J648" s="252">
        <f t="shared" si="38"/>
        <v>583.75</v>
      </c>
      <c r="M648" t="str">
        <f t="shared" si="39"/>
        <v>Saturday</v>
      </c>
    </row>
    <row r="649" spans="1:13" x14ac:dyDescent="0.25">
      <c r="A649" s="241">
        <v>46670</v>
      </c>
      <c r="B649" s="242">
        <f t="shared" si="36"/>
        <v>583.75</v>
      </c>
      <c r="C649" s="242">
        <f>IF(DAY(A649+2)=1,'Main Budget'!$G$39,IF(DAY(A649+2)=15,'Main Budget'!$G$39,0))</f>
        <v>0</v>
      </c>
      <c r="D649" s="242">
        <f t="shared" si="37"/>
        <v>0</v>
      </c>
      <c r="E649" s="242">
        <f>IF(DAY(A649)='Main Budget'!$J$12,('Main Budget'!$G$12),0)</f>
        <v>0</v>
      </c>
      <c r="F649" s="242">
        <f>IF(DAY(A649)='Main Budget'!$J$13,('Main Budget'!$G$13)*2,0)</f>
        <v>0</v>
      </c>
      <c r="G649" s="242"/>
      <c r="H649" s="242">
        <f>IF(DAY(A649)='Main Budget'!$J$14,'Main Budget'!$G$14,0)</f>
        <v>0</v>
      </c>
      <c r="I649" s="242"/>
      <c r="J649" s="252">
        <f t="shared" si="38"/>
        <v>583.75</v>
      </c>
      <c r="M649" t="str">
        <f t="shared" si="39"/>
        <v>Sunday</v>
      </c>
    </row>
    <row r="650" spans="1:13" x14ac:dyDescent="0.25">
      <c r="A650" s="241">
        <v>46671</v>
      </c>
      <c r="B650" s="242">
        <f t="shared" si="36"/>
        <v>583.75</v>
      </c>
      <c r="C650" s="242">
        <f>IF(DAY(A650+2)=1,'Main Budget'!$G$39,IF(DAY(A650+2)=15,'Main Budget'!$G$39,0))</f>
        <v>0</v>
      </c>
      <c r="D650" s="242">
        <f t="shared" si="37"/>
        <v>0</v>
      </c>
      <c r="E650" s="242">
        <f>IF(DAY(A650)='Main Budget'!$J$12,('Main Budget'!$G$12),0)</f>
        <v>0</v>
      </c>
      <c r="F650" s="242">
        <f>IF(DAY(A650)='Main Budget'!$J$13,('Main Budget'!$G$13)*2,0)</f>
        <v>0</v>
      </c>
      <c r="G650" s="242"/>
      <c r="H650" s="242">
        <f>IF(DAY(A650)='Main Budget'!$J$14,'Main Budget'!$G$14,0)</f>
        <v>0</v>
      </c>
      <c r="I650" s="242"/>
      <c r="J650" s="252">
        <f t="shared" si="38"/>
        <v>583.75</v>
      </c>
      <c r="M650" t="str">
        <f t="shared" si="39"/>
        <v>Monday</v>
      </c>
    </row>
    <row r="651" spans="1:13" x14ac:dyDescent="0.25">
      <c r="A651" s="241">
        <v>46672</v>
      </c>
      <c r="B651" s="242">
        <f t="shared" si="36"/>
        <v>583.75</v>
      </c>
      <c r="C651" s="242">
        <f>IF(DAY(A651+2)=1,'Main Budget'!$G$39,IF(DAY(A651+2)=15,'Main Budget'!$G$39,0))</f>
        <v>0</v>
      </c>
      <c r="D651" s="242">
        <f t="shared" si="37"/>
        <v>0</v>
      </c>
      <c r="E651" s="242">
        <f>IF(DAY(A651)='Main Budget'!$J$12,('Main Budget'!$G$12),0)</f>
        <v>0</v>
      </c>
      <c r="F651" s="242">
        <f>IF(DAY(A651)='Main Budget'!$J$13,('Main Budget'!$G$13)*2,0)</f>
        <v>0</v>
      </c>
      <c r="G651" s="242"/>
      <c r="H651" s="242">
        <f>IF(DAY(A651)='Main Budget'!$J$14,'Main Budget'!$G$14,0)</f>
        <v>0</v>
      </c>
      <c r="I651" s="242"/>
      <c r="J651" s="252">
        <f t="shared" si="38"/>
        <v>583.75</v>
      </c>
      <c r="M651" t="str">
        <f t="shared" si="39"/>
        <v>Tuesday</v>
      </c>
    </row>
    <row r="652" spans="1:13" x14ac:dyDescent="0.25">
      <c r="A652" s="241">
        <v>46673</v>
      </c>
      <c r="B652" s="242">
        <f t="shared" si="36"/>
        <v>583.75</v>
      </c>
      <c r="C652" s="242">
        <f>IF(DAY(A652+2)=1,'Main Budget'!$G$39,IF(DAY(A652+2)=15,'Main Budget'!$G$39,0))</f>
        <v>0</v>
      </c>
      <c r="D652" s="242">
        <f t="shared" si="37"/>
        <v>0</v>
      </c>
      <c r="E652" s="242">
        <f>IF(DAY(A652)='Main Budget'!$J$12,('Main Budget'!$G$12),0)</f>
        <v>0</v>
      </c>
      <c r="F652" s="242">
        <f>IF(DAY(A652)='Main Budget'!$J$13,('Main Budget'!$G$13)*2,0)</f>
        <v>0</v>
      </c>
      <c r="G652" s="242"/>
      <c r="H652" s="242">
        <f>IF(DAY(A652)='Main Budget'!$J$14,'Main Budget'!$G$14,0)</f>
        <v>0</v>
      </c>
      <c r="I652" s="242"/>
      <c r="J652" s="252">
        <f t="shared" si="38"/>
        <v>583.75</v>
      </c>
      <c r="M652" t="str">
        <f t="shared" si="39"/>
        <v>Wednesday</v>
      </c>
    </row>
    <row r="653" spans="1:13" x14ac:dyDescent="0.25">
      <c r="A653" s="241">
        <v>46674</v>
      </c>
      <c r="B653" s="242">
        <f t="shared" si="36"/>
        <v>583.75</v>
      </c>
      <c r="C653" s="242">
        <f>IF(DAY(A653+2)=1,'Main Budget'!$G$39,IF(DAY(A653+2)=15,'Main Budget'!$G$39,0))</f>
        <v>0</v>
      </c>
      <c r="D653" s="242">
        <f t="shared" si="37"/>
        <v>0</v>
      </c>
      <c r="E653" s="242">
        <f>IF(DAY(A653)='Main Budget'!$J$12,('Main Budget'!$G$12),0)</f>
        <v>0</v>
      </c>
      <c r="F653" s="242">
        <f>IF(DAY(A653)='Main Budget'!$J$13,('Main Budget'!$G$13)*2,0)</f>
        <v>0</v>
      </c>
      <c r="G653" s="242"/>
      <c r="H653" s="242">
        <f>IF(DAY(A653)='Main Budget'!$J$14,'Main Budget'!$G$14,0)</f>
        <v>0</v>
      </c>
      <c r="I653" s="242"/>
      <c r="J653" s="252">
        <f t="shared" si="38"/>
        <v>583.75</v>
      </c>
      <c r="M653" t="str">
        <f t="shared" si="39"/>
        <v>Thursday</v>
      </c>
    </row>
    <row r="654" spans="1:13" x14ac:dyDescent="0.25">
      <c r="A654" s="241">
        <v>46675</v>
      </c>
      <c r="B654" s="242">
        <f t="shared" si="36"/>
        <v>583.75</v>
      </c>
      <c r="C654" s="242">
        <f>IF(DAY(A654+2)=1,'Main Budget'!$G$39,IF(DAY(A654+2)=15,'Main Budget'!$G$39,0))</f>
        <v>0</v>
      </c>
      <c r="D654" s="242">
        <f t="shared" si="37"/>
        <v>11.25</v>
      </c>
      <c r="E654" s="242">
        <f>IF(DAY(A654)='Main Budget'!$J$12,('Main Budget'!$G$12),0)</f>
        <v>0</v>
      </c>
      <c r="F654" s="242">
        <f>IF(DAY(A654)='Main Budget'!$J$13,('Main Budget'!$G$13)*2,0)</f>
        <v>0</v>
      </c>
      <c r="G654" s="242"/>
      <c r="H654" s="242">
        <f>IF(DAY(A654)='Main Budget'!$J$14,'Main Budget'!$G$14,0)</f>
        <v>0</v>
      </c>
      <c r="I654" s="242"/>
      <c r="J654" s="252">
        <f t="shared" si="38"/>
        <v>595</v>
      </c>
      <c r="M654" t="str">
        <f t="shared" si="39"/>
        <v>Friday</v>
      </c>
    </row>
    <row r="655" spans="1:13" x14ac:dyDescent="0.25">
      <c r="A655" s="241">
        <v>46676</v>
      </c>
      <c r="B655" s="242">
        <f t="shared" si="36"/>
        <v>595</v>
      </c>
      <c r="C655" s="242">
        <f>IF(DAY(A655+2)=1,'Main Budget'!$G$39,IF(DAY(A655+2)=15,'Main Budget'!$G$39,0))</f>
        <v>0</v>
      </c>
      <c r="D655" s="242">
        <f t="shared" si="37"/>
        <v>0</v>
      </c>
      <c r="E655" s="242">
        <f>IF(DAY(A655)='Main Budget'!$J$12,('Main Budget'!$G$12),0)</f>
        <v>0</v>
      </c>
      <c r="F655" s="242">
        <f>IF(DAY(A655)='Main Budget'!$J$13,('Main Budget'!$G$13)*2,0)</f>
        <v>0</v>
      </c>
      <c r="G655" s="242"/>
      <c r="H655" s="242">
        <f>IF(DAY(A655)='Main Budget'!$J$14,'Main Budget'!$G$14,0)</f>
        <v>0</v>
      </c>
      <c r="I655" s="242"/>
      <c r="J655" s="252">
        <f t="shared" si="38"/>
        <v>595</v>
      </c>
      <c r="M655" t="str">
        <f t="shared" si="39"/>
        <v>Saturday</v>
      </c>
    </row>
    <row r="656" spans="1:13" x14ac:dyDescent="0.25">
      <c r="A656" s="241">
        <v>46677</v>
      </c>
      <c r="B656" s="242">
        <f t="shared" si="36"/>
        <v>595</v>
      </c>
      <c r="C656" s="242">
        <f>IF(DAY(A656+2)=1,'Main Budget'!$G$39,IF(DAY(A656+2)=15,'Main Budget'!$G$39,0))</f>
        <v>0</v>
      </c>
      <c r="D656" s="242">
        <f t="shared" si="37"/>
        <v>0</v>
      </c>
      <c r="E656" s="242">
        <f>IF(DAY(A656)='Main Budget'!$J$12,('Main Budget'!$G$12),0)</f>
        <v>0</v>
      </c>
      <c r="F656" s="242">
        <f>IF(DAY(A656)='Main Budget'!$J$13,('Main Budget'!$G$13)*2,0)</f>
        <v>0</v>
      </c>
      <c r="G656" s="242"/>
      <c r="H656" s="242">
        <f>IF(DAY(A656)='Main Budget'!$J$14,'Main Budget'!$G$14,0)</f>
        <v>0</v>
      </c>
      <c r="I656" s="242"/>
      <c r="J656" s="252">
        <f t="shared" si="38"/>
        <v>595</v>
      </c>
      <c r="M656" t="str">
        <f t="shared" si="39"/>
        <v>Sunday</v>
      </c>
    </row>
    <row r="657" spans="1:13" x14ac:dyDescent="0.25">
      <c r="A657" s="241">
        <v>46678</v>
      </c>
      <c r="B657" s="242">
        <f t="shared" ref="B657:B710" si="40">J656</f>
        <v>595</v>
      </c>
      <c r="C657" s="242">
        <f>IF(DAY(A657+2)=1,'Main Budget'!$G$39,IF(DAY(A657+2)=15,'Main Budget'!$G$39,0))</f>
        <v>0</v>
      </c>
      <c r="D657" s="242">
        <f t="shared" ref="D657:D710" si="41">IF(OR(DAY(A657)=1,DAY(A657)=15),11.25,0)</f>
        <v>0</v>
      </c>
      <c r="E657" s="242">
        <f>IF(DAY(A657)='Main Budget'!$J$12,('Main Budget'!$G$12),0)</f>
        <v>0</v>
      </c>
      <c r="F657" s="242">
        <f>IF(DAY(A657)='Main Budget'!$J$13,('Main Budget'!$G$13)*2,0)</f>
        <v>0</v>
      </c>
      <c r="G657" s="242"/>
      <c r="H657" s="242">
        <f>IF(DAY(A657)='Main Budget'!$J$14,'Main Budget'!$G$14,0)</f>
        <v>0</v>
      </c>
      <c r="I657" s="242"/>
      <c r="J657" s="252">
        <f t="shared" ref="J657:J710" si="42">J656+(SUM(C657:I657))</f>
        <v>595</v>
      </c>
      <c r="M657" t="str">
        <f t="shared" ref="M657:M710" si="43">TEXT(A657,"dddd")</f>
        <v>Monday</v>
      </c>
    </row>
    <row r="658" spans="1:13" x14ac:dyDescent="0.25">
      <c r="A658" s="241">
        <v>46679</v>
      </c>
      <c r="B658" s="242">
        <f t="shared" si="40"/>
        <v>595</v>
      </c>
      <c r="C658" s="242">
        <f>IF(DAY(A658+2)=1,'Main Budget'!$G$39,IF(DAY(A658+2)=15,'Main Budget'!$G$39,0))</f>
        <v>0</v>
      </c>
      <c r="D658" s="242">
        <f t="shared" si="41"/>
        <v>0</v>
      </c>
      <c r="E658" s="242">
        <f>IF(DAY(A658)='Main Budget'!$J$12,('Main Budget'!$G$12),0)</f>
        <v>0</v>
      </c>
      <c r="F658" s="242">
        <f>IF(DAY(A658)='Main Budget'!$J$13,('Main Budget'!$G$13)*2,0)</f>
        <v>0</v>
      </c>
      <c r="G658" s="242"/>
      <c r="H658" s="242">
        <f>IF(DAY(A658)='Main Budget'!$J$14,'Main Budget'!$G$14,0)</f>
        <v>0</v>
      </c>
      <c r="I658" s="242"/>
      <c r="J658" s="252">
        <f t="shared" si="42"/>
        <v>595</v>
      </c>
      <c r="M658" t="str">
        <f t="shared" si="43"/>
        <v>Tuesday</v>
      </c>
    </row>
    <row r="659" spans="1:13" x14ac:dyDescent="0.25">
      <c r="A659" s="241">
        <v>46680</v>
      </c>
      <c r="B659" s="242">
        <f t="shared" si="40"/>
        <v>595</v>
      </c>
      <c r="C659" s="242">
        <f>IF(DAY(A659+2)=1,'Main Budget'!$G$39,IF(DAY(A659+2)=15,'Main Budget'!$G$39,0))</f>
        <v>0</v>
      </c>
      <c r="D659" s="242">
        <f t="shared" si="41"/>
        <v>0</v>
      </c>
      <c r="E659" s="242">
        <f>IF(DAY(A659)='Main Budget'!$J$12,('Main Budget'!$G$12),0)</f>
        <v>0</v>
      </c>
      <c r="F659" s="242">
        <f>IF(DAY(A659)='Main Budget'!$J$13,('Main Budget'!$G$13)*2,0)</f>
        <v>0</v>
      </c>
      <c r="G659" s="242"/>
      <c r="H659" s="242">
        <f>IF(DAY(A659)='Main Budget'!$J$14,'Main Budget'!$G$14,0)</f>
        <v>0</v>
      </c>
      <c r="I659" s="242"/>
      <c r="J659" s="252">
        <f t="shared" si="42"/>
        <v>595</v>
      </c>
      <c r="M659" t="str">
        <f t="shared" si="43"/>
        <v>Wednesday</v>
      </c>
    </row>
    <row r="660" spans="1:13" x14ac:dyDescent="0.25">
      <c r="A660" s="241">
        <v>46681</v>
      </c>
      <c r="B660" s="242">
        <f t="shared" si="40"/>
        <v>595</v>
      </c>
      <c r="C660" s="242">
        <f>IF(DAY(A660+2)=1,'Main Budget'!$G$39,IF(DAY(A660+2)=15,'Main Budget'!$G$39,0))</f>
        <v>0</v>
      </c>
      <c r="D660" s="242">
        <f t="shared" si="41"/>
        <v>0</v>
      </c>
      <c r="E660" s="242">
        <f>IF(DAY(A660)='Main Budget'!$J$12,('Main Budget'!$G$12),0)</f>
        <v>0</v>
      </c>
      <c r="F660" s="242">
        <f>IF(DAY(A660)='Main Budget'!$J$13,('Main Budget'!$G$13)*2,0)</f>
        <v>0</v>
      </c>
      <c r="G660" s="242"/>
      <c r="H660" s="242">
        <f>IF(DAY(A660)='Main Budget'!$J$14,'Main Budget'!$G$14,0)</f>
        <v>0</v>
      </c>
      <c r="I660" s="242"/>
      <c r="J660" s="252">
        <f t="shared" si="42"/>
        <v>595</v>
      </c>
      <c r="M660" t="str">
        <f t="shared" si="43"/>
        <v>Thursday</v>
      </c>
    </row>
    <row r="661" spans="1:13" x14ac:dyDescent="0.25">
      <c r="A661" s="241">
        <v>46682</v>
      </c>
      <c r="B661" s="242">
        <f t="shared" si="40"/>
        <v>595</v>
      </c>
      <c r="C661" s="242">
        <f>IF(DAY(A661+2)=1,'Main Budget'!$G$39,IF(DAY(A661+2)=15,'Main Budget'!$G$39,0))</f>
        <v>0</v>
      </c>
      <c r="D661" s="242">
        <f t="shared" si="41"/>
        <v>0</v>
      </c>
      <c r="E661" s="242">
        <f>IF(DAY(A661)='Main Budget'!$J$12,('Main Budget'!$G$12),0)</f>
        <v>0</v>
      </c>
      <c r="F661" s="242">
        <f>IF(DAY(A661)='Main Budget'!$J$13,('Main Budget'!$G$13)*2,0)</f>
        <v>0</v>
      </c>
      <c r="G661" s="242"/>
      <c r="H661" s="242">
        <f>IF(DAY(A661)='Main Budget'!$J$14,'Main Budget'!$G$14,0)</f>
        <v>0</v>
      </c>
      <c r="I661" s="242"/>
      <c r="J661" s="252">
        <f t="shared" si="42"/>
        <v>595</v>
      </c>
      <c r="M661" t="str">
        <f t="shared" si="43"/>
        <v>Friday</v>
      </c>
    </row>
    <row r="662" spans="1:13" x14ac:dyDescent="0.25">
      <c r="A662" s="241">
        <v>46683</v>
      </c>
      <c r="B662" s="242">
        <f t="shared" si="40"/>
        <v>595</v>
      </c>
      <c r="C662" s="242">
        <f>IF(DAY(A662+2)=1,'Main Budget'!$G$39,IF(DAY(A662+2)=15,'Main Budget'!$G$39,0))</f>
        <v>0</v>
      </c>
      <c r="D662" s="242">
        <f t="shared" si="41"/>
        <v>0</v>
      </c>
      <c r="E662" s="242">
        <f>IF(DAY(A662)='Main Budget'!$J$12,('Main Budget'!$G$12),0)</f>
        <v>0</v>
      </c>
      <c r="F662" s="242">
        <f>IF(DAY(A662)='Main Budget'!$J$13,('Main Budget'!$G$13)*2,0)</f>
        <v>0</v>
      </c>
      <c r="G662" s="242"/>
      <c r="H662" s="242">
        <f>IF(DAY(A662)='Main Budget'!$J$14,'Main Budget'!$G$14,0)</f>
        <v>0</v>
      </c>
      <c r="I662" s="242"/>
      <c r="J662" s="252">
        <f t="shared" si="42"/>
        <v>595</v>
      </c>
      <c r="M662" t="str">
        <f t="shared" si="43"/>
        <v>Saturday</v>
      </c>
    </row>
    <row r="663" spans="1:13" x14ac:dyDescent="0.25">
      <c r="A663" s="241">
        <v>46684</v>
      </c>
      <c r="B663" s="242">
        <f t="shared" si="40"/>
        <v>595</v>
      </c>
      <c r="C663" s="242">
        <f>IF(DAY(A663+2)=1,'Main Budget'!$G$39,IF(DAY(A663+2)=15,'Main Budget'!$G$39,0))</f>
        <v>0</v>
      </c>
      <c r="D663" s="242">
        <f t="shared" si="41"/>
        <v>0</v>
      </c>
      <c r="E663" s="242">
        <f>IF(DAY(A663)='Main Budget'!$J$12,('Main Budget'!$G$12),0)</f>
        <v>0</v>
      </c>
      <c r="F663" s="242">
        <f>IF(DAY(A663)='Main Budget'!$J$13,('Main Budget'!$G$13)*2,0)</f>
        <v>0</v>
      </c>
      <c r="G663" s="242"/>
      <c r="H663" s="242">
        <f>IF(DAY(A663)='Main Budget'!$J$14,'Main Budget'!$G$14,0)</f>
        <v>0</v>
      </c>
      <c r="I663" s="242"/>
      <c r="J663" s="252">
        <f t="shared" si="42"/>
        <v>595</v>
      </c>
      <c r="M663" t="str">
        <f t="shared" si="43"/>
        <v>Sunday</v>
      </c>
    </row>
    <row r="664" spans="1:13" x14ac:dyDescent="0.25">
      <c r="A664" s="241">
        <v>46685</v>
      </c>
      <c r="B664" s="242">
        <f t="shared" si="40"/>
        <v>595</v>
      </c>
      <c r="C664" s="242">
        <f>IF(DAY(A664+2)=1,'Main Budget'!$G$39,IF(DAY(A664+2)=15,'Main Budget'!$G$39,0))</f>
        <v>0</v>
      </c>
      <c r="D664" s="242">
        <f t="shared" si="41"/>
        <v>0</v>
      </c>
      <c r="E664" s="242">
        <f>IF(DAY(A664)='Main Budget'!$J$12,('Main Budget'!$G$12),0)</f>
        <v>0</v>
      </c>
      <c r="F664" s="242">
        <f>IF(DAY(A664)='Main Budget'!$J$13,('Main Budget'!$G$13)*2,0)</f>
        <v>0</v>
      </c>
      <c r="G664" s="242"/>
      <c r="H664" s="242">
        <f>IF(DAY(A664)='Main Budget'!$J$14,'Main Budget'!$G$14,0)</f>
        <v>0</v>
      </c>
      <c r="I664" s="242"/>
      <c r="J664" s="252">
        <f t="shared" si="42"/>
        <v>595</v>
      </c>
      <c r="M664" t="str">
        <f t="shared" si="43"/>
        <v>Monday</v>
      </c>
    </row>
    <row r="665" spans="1:13" x14ac:dyDescent="0.25">
      <c r="A665" s="241">
        <v>46686</v>
      </c>
      <c r="B665" s="242">
        <f t="shared" si="40"/>
        <v>595</v>
      </c>
      <c r="C665" s="242">
        <f>IF(DAY(A665+2)=1,'Main Budget'!$G$39,IF(DAY(A665+2)=15,'Main Budget'!$G$39,0))</f>
        <v>0</v>
      </c>
      <c r="D665" s="242">
        <f t="shared" si="41"/>
        <v>0</v>
      </c>
      <c r="E665" s="242">
        <f>IF(DAY(A665)='Main Budget'!$J$12,('Main Budget'!$G$12),0)</f>
        <v>0</v>
      </c>
      <c r="F665" s="242">
        <f>IF(DAY(A665)='Main Budget'!$J$13,('Main Budget'!$G$13)*2,0)</f>
        <v>0</v>
      </c>
      <c r="G665" s="242"/>
      <c r="H665" s="242">
        <f>IF(DAY(A665)='Main Budget'!$J$14,'Main Budget'!$G$14,0)</f>
        <v>0</v>
      </c>
      <c r="I665" s="242"/>
      <c r="J665" s="252">
        <f t="shared" si="42"/>
        <v>595</v>
      </c>
      <c r="M665" t="str">
        <f t="shared" si="43"/>
        <v>Tuesday</v>
      </c>
    </row>
    <row r="666" spans="1:13" x14ac:dyDescent="0.25">
      <c r="A666" s="241">
        <v>46687</v>
      </c>
      <c r="B666" s="242">
        <f t="shared" si="40"/>
        <v>595</v>
      </c>
      <c r="C666" s="242">
        <f>IF(DAY(A666+2)=1,'Main Budget'!$G$39,IF(DAY(A666+2)=15,'Main Budget'!$G$39,0))</f>
        <v>0</v>
      </c>
      <c r="D666" s="242">
        <f t="shared" si="41"/>
        <v>0</v>
      </c>
      <c r="E666" s="242">
        <f>IF(DAY(A666)='Main Budget'!$J$12,('Main Budget'!$G$12),0)</f>
        <v>0</v>
      </c>
      <c r="F666" s="242">
        <f>IF(DAY(A666)='Main Budget'!$J$13,('Main Budget'!$G$13)*2,0)</f>
        <v>0</v>
      </c>
      <c r="G666" s="242"/>
      <c r="H666" s="242">
        <f>IF(DAY(A666)='Main Budget'!$J$14,'Main Budget'!$G$14,0)</f>
        <v>0</v>
      </c>
      <c r="I666" s="242"/>
      <c r="J666" s="252">
        <f t="shared" si="42"/>
        <v>595</v>
      </c>
      <c r="M666" t="str">
        <f t="shared" si="43"/>
        <v>Wednesday</v>
      </c>
    </row>
    <row r="667" spans="1:13" x14ac:dyDescent="0.25">
      <c r="A667" s="241">
        <v>46688</v>
      </c>
      <c r="B667" s="242">
        <f t="shared" si="40"/>
        <v>595</v>
      </c>
      <c r="C667" s="242">
        <f>IF(DAY(A667+2)=1,'Main Budget'!$G$39,IF(DAY(A667+2)=15,'Main Budget'!$G$39,0))</f>
        <v>0</v>
      </c>
      <c r="D667" s="242">
        <f t="shared" si="41"/>
        <v>0</v>
      </c>
      <c r="E667" s="242">
        <f>IF(DAY(A667)='Main Budget'!$J$12,('Main Budget'!$G$12),0)</f>
        <v>0</v>
      </c>
      <c r="F667" s="242">
        <f>IF(DAY(A667)='Main Budget'!$J$13,('Main Budget'!$G$13)*2,0)</f>
        <v>0</v>
      </c>
      <c r="G667" s="242"/>
      <c r="H667" s="242">
        <f>IF(DAY(A667)='Main Budget'!$J$14,'Main Budget'!$G$14,0)</f>
        <v>0</v>
      </c>
      <c r="I667" s="242"/>
      <c r="J667" s="252">
        <f t="shared" si="42"/>
        <v>595</v>
      </c>
      <c r="M667" t="str">
        <f t="shared" si="43"/>
        <v>Thursday</v>
      </c>
    </row>
    <row r="668" spans="1:13" x14ac:dyDescent="0.25">
      <c r="A668" s="241">
        <v>46689</v>
      </c>
      <c r="B668" s="242">
        <f t="shared" si="40"/>
        <v>595</v>
      </c>
      <c r="C668" s="242">
        <f>IF(DAY(A668+2)=1,'Main Budget'!$G$39,IF(DAY(A668+2)=15,'Main Budget'!$G$39,0))</f>
        <v>0</v>
      </c>
      <c r="D668" s="242">
        <f t="shared" si="41"/>
        <v>0</v>
      </c>
      <c r="E668" s="242">
        <f>IF(DAY(A668)='Main Budget'!$J$12,('Main Budget'!$G$12),0)</f>
        <v>0</v>
      </c>
      <c r="F668" s="242">
        <f>IF(DAY(A668)='Main Budget'!$J$13,('Main Budget'!$G$13)*2,0)</f>
        <v>0</v>
      </c>
      <c r="G668" s="242"/>
      <c r="H668" s="242">
        <f>IF(DAY(A668)='Main Budget'!$J$14,'Main Budget'!$G$14,0)</f>
        <v>0</v>
      </c>
      <c r="I668" s="242"/>
      <c r="J668" s="252">
        <f t="shared" si="42"/>
        <v>595</v>
      </c>
      <c r="M668" t="str">
        <f t="shared" si="43"/>
        <v>Friday</v>
      </c>
    </row>
    <row r="669" spans="1:13" x14ac:dyDescent="0.25">
      <c r="A669" s="241">
        <v>46690</v>
      </c>
      <c r="B669" s="242">
        <f t="shared" si="40"/>
        <v>595</v>
      </c>
      <c r="C669" s="242">
        <f>IF(DAY(A669+2)=1,'Main Budget'!$G$39,IF(DAY(A669+2)=15,'Main Budget'!$G$39,0))</f>
        <v>0</v>
      </c>
      <c r="D669" s="242">
        <f t="shared" si="41"/>
        <v>0</v>
      </c>
      <c r="E669" s="242">
        <f>IF(DAY(A669)='Main Budget'!$J$12,('Main Budget'!$G$12),0)</f>
        <v>0</v>
      </c>
      <c r="F669" s="242">
        <f>IF(DAY(A669)='Main Budget'!$J$13,('Main Budget'!$G$13)*2,0)</f>
        <v>0</v>
      </c>
      <c r="G669" s="242"/>
      <c r="H669" s="242">
        <f>IF(DAY(A669)='Main Budget'!$J$14,'Main Budget'!$G$14,0)</f>
        <v>0</v>
      </c>
      <c r="I669" s="242"/>
      <c r="J669" s="252">
        <f t="shared" si="42"/>
        <v>595</v>
      </c>
      <c r="M669" t="str">
        <f t="shared" si="43"/>
        <v>Saturday</v>
      </c>
    </row>
    <row r="670" spans="1:13" x14ac:dyDescent="0.25">
      <c r="A670" s="241">
        <v>46691</v>
      </c>
      <c r="B670" s="242">
        <f t="shared" si="40"/>
        <v>595</v>
      </c>
      <c r="C670" s="242">
        <f>IF(DAY(A670+2)=1,'Main Budget'!$G$39,IF(DAY(A670+2)=15,'Main Budget'!$G$39,0))</f>
        <v>0</v>
      </c>
      <c r="D670" s="242">
        <f t="shared" si="41"/>
        <v>0</v>
      </c>
      <c r="E670" s="242">
        <f>IF(DAY(A670)='Main Budget'!$J$12,('Main Budget'!$G$12),0)</f>
        <v>0</v>
      </c>
      <c r="F670" s="242">
        <f>IF(DAY(A670)='Main Budget'!$J$13,('Main Budget'!$G$13)*2,0)</f>
        <v>0</v>
      </c>
      <c r="G670" s="242"/>
      <c r="H670" s="242">
        <f>IF(DAY(A670)='Main Budget'!$J$14,'Main Budget'!$G$14,0)</f>
        <v>0</v>
      </c>
      <c r="I670" s="242"/>
      <c r="J670" s="252">
        <f t="shared" si="42"/>
        <v>595</v>
      </c>
      <c r="M670" t="str">
        <f t="shared" si="43"/>
        <v>Sunday</v>
      </c>
    </row>
    <row r="671" spans="1:13" x14ac:dyDescent="0.25">
      <c r="A671" s="241">
        <v>46692</v>
      </c>
      <c r="B671" s="242">
        <f t="shared" si="40"/>
        <v>595</v>
      </c>
      <c r="C671" s="242">
        <f>IF(DAY(A671+2)=1,'Main Budget'!$G$39,IF(DAY(A671+2)=15,'Main Budget'!$G$39,0))</f>
        <v>0</v>
      </c>
      <c r="D671" s="242">
        <f t="shared" si="41"/>
        <v>11.25</v>
      </c>
      <c r="E671" s="242">
        <f>IF(DAY(A671)='Main Budget'!$J$12,('Main Budget'!$G$12),0)</f>
        <v>0</v>
      </c>
      <c r="F671" s="242">
        <f>IF(DAY(A671)='Main Budget'!$J$13,('Main Budget'!$G$13)*2,0)</f>
        <v>0</v>
      </c>
      <c r="G671" s="242"/>
      <c r="H671" s="242">
        <f>IF(DAY(A671)='Main Budget'!$J$14,'Main Budget'!$G$14,0)</f>
        <v>0</v>
      </c>
      <c r="I671" s="242"/>
      <c r="J671" s="252">
        <f t="shared" si="42"/>
        <v>606.25</v>
      </c>
      <c r="M671" t="str">
        <f t="shared" si="43"/>
        <v>Monday</v>
      </c>
    </row>
    <row r="672" spans="1:13" x14ac:dyDescent="0.25">
      <c r="A672" s="241">
        <v>46693</v>
      </c>
      <c r="B672" s="242">
        <f t="shared" si="40"/>
        <v>606.25</v>
      </c>
      <c r="C672" s="242">
        <f>IF(DAY(A672+2)=1,'Main Budget'!$G$39,IF(DAY(A672+2)=15,'Main Budget'!$G$39,0))</f>
        <v>0</v>
      </c>
      <c r="D672" s="242">
        <f t="shared" si="41"/>
        <v>0</v>
      </c>
      <c r="E672" s="242">
        <f>IF(DAY(A672)='Main Budget'!$J$12,('Main Budget'!$G$12),0)</f>
        <v>0</v>
      </c>
      <c r="F672" s="242">
        <f>IF(DAY(A672)='Main Budget'!$J$13,('Main Budget'!$G$13)*2,0)</f>
        <v>0</v>
      </c>
      <c r="G672" s="242"/>
      <c r="H672" s="242">
        <f>IF(DAY(A672)='Main Budget'!$J$14,'Main Budget'!$G$14,0)</f>
        <v>0</v>
      </c>
      <c r="I672" s="242"/>
      <c r="J672" s="252">
        <f t="shared" si="42"/>
        <v>606.25</v>
      </c>
      <c r="M672" t="str">
        <f t="shared" si="43"/>
        <v>Tuesday</v>
      </c>
    </row>
    <row r="673" spans="1:13" x14ac:dyDescent="0.25">
      <c r="A673" s="241">
        <v>46694</v>
      </c>
      <c r="B673" s="242">
        <f t="shared" si="40"/>
        <v>606.25</v>
      </c>
      <c r="C673" s="242">
        <f>IF(DAY(A673+2)=1,'Main Budget'!$G$39,IF(DAY(A673+2)=15,'Main Budget'!$G$39,0))</f>
        <v>0</v>
      </c>
      <c r="D673" s="242">
        <f t="shared" si="41"/>
        <v>0</v>
      </c>
      <c r="E673" s="242">
        <f>IF(DAY(A673)='Main Budget'!$J$12,('Main Budget'!$G$12),0)</f>
        <v>0</v>
      </c>
      <c r="F673" s="242">
        <f>IF(DAY(A673)='Main Budget'!$J$13,('Main Budget'!$G$13)*2,0)</f>
        <v>0</v>
      </c>
      <c r="G673" s="242"/>
      <c r="H673" s="242">
        <f>IF(DAY(A673)='Main Budget'!$J$14,'Main Budget'!$G$14,0)</f>
        <v>0</v>
      </c>
      <c r="I673" s="242"/>
      <c r="J673" s="252">
        <f t="shared" si="42"/>
        <v>606.25</v>
      </c>
      <c r="M673" t="str">
        <f t="shared" si="43"/>
        <v>Wednesday</v>
      </c>
    </row>
    <row r="674" spans="1:13" x14ac:dyDescent="0.25">
      <c r="A674" s="241">
        <v>46695</v>
      </c>
      <c r="B674" s="242">
        <f t="shared" si="40"/>
        <v>606.25</v>
      </c>
      <c r="C674" s="242">
        <f>IF(DAY(A674+2)=1,'Main Budget'!$G$39,IF(DAY(A674+2)=15,'Main Budget'!$G$39,0))</f>
        <v>0</v>
      </c>
      <c r="D674" s="242">
        <f t="shared" si="41"/>
        <v>0</v>
      </c>
      <c r="E674" s="242">
        <f>IF(DAY(A674)='Main Budget'!$J$12,('Main Budget'!$G$12),0)</f>
        <v>0</v>
      </c>
      <c r="F674" s="242">
        <f>IF(DAY(A674)='Main Budget'!$J$13,('Main Budget'!$G$13)*2,0)</f>
        <v>0</v>
      </c>
      <c r="G674" s="242"/>
      <c r="H674" s="242">
        <f>IF(DAY(A674)='Main Budget'!$J$14,'Main Budget'!$G$14,0)</f>
        <v>0</v>
      </c>
      <c r="I674" s="242"/>
      <c r="J674" s="252">
        <f t="shared" si="42"/>
        <v>606.25</v>
      </c>
      <c r="M674" t="str">
        <f t="shared" si="43"/>
        <v>Thursday</v>
      </c>
    </row>
    <row r="675" spans="1:13" x14ac:dyDescent="0.25">
      <c r="A675" s="241">
        <v>46696</v>
      </c>
      <c r="B675" s="242">
        <f t="shared" si="40"/>
        <v>606.25</v>
      </c>
      <c r="C675" s="242">
        <f>IF(DAY(A675+2)=1,'Main Budget'!$G$39,IF(DAY(A675+2)=15,'Main Budget'!$G$39,0))</f>
        <v>0</v>
      </c>
      <c r="D675" s="242">
        <f t="shared" si="41"/>
        <v>0</v>
      </c>
      <c r="E675" s="242">
        <f>IF(DAY(A675)='Main Budget'!$J$12,('Main Budget'!$G$12),0)</f>
        <v>0</v>
      </c>
      <c r="F675" s="242">
        <f>IF(DAY(A675)='Main Budget'!$J$13,('Main Budget'!$G$13)*2,0)</f>
        <v>0</v>
      </c>
      <c r="G675" s="242"/>
      <c r="H675" s="242">
        <f>IF(DAY(A675)='Main Budget'!$J$14,'Main Budget'!$G$14,0)</f>
        <v>0</v>
      </c>
      <c r="I675" s="242"/>
      <c r="J675" s="252">
        <f t="shared" si="42"/>
        <v>606.25</v>
      </c>
      <c r="M675" t="str">
        <f t="shared" si="43"/>
        <v>Friday</v>
      </c>
    </row>
    <row r="676" spans="1:13" x14ac:dyDescent="0.25">
      <c r="A676" s="241">
        <v>46697</v>
      </c>
      <c r="B676" s="242">
        <f t="shared" si="40"/>
        <v>606.25</v>
      </c>
      <c r="C676" s="242">
        <f>IF(DAY(A676+2)=1,'Main Budget'!$G$39,IF(DAY(A676+2)=15,'Main Budget'!$G$39,0))</f>
        <v>0</v>
      </c>
      <c r="D676" s="242">
        <f t="shared" si="41"/>
        <v>0</v>
      </c>
      <c r="E676" s="242">
        <f>IF(DAY(A676)='Main Budget'!$J$12,('Main Budget'!$G$12),0)</f>
        <v>0</v>
      </c>
      <c r="F676" s="242">
        <f>IF(DAY(A676)='Main Budget'!$J$13,('Main Budget'!$G$13)*2,0)</f>
        <v>0</v>
      </c>
      <c r="G676" s="242"/>
      <c r="H676" s="242">
        <f>IF(DAY(A676)='Main Budget'!$J$14,'Main Budget'!$G$14,0)</f>
        <v>0</v>
      </c>
      <c r="I676" s="242"/>
      <c r="J676" s="252">
        <f t="shared" si="42"/>
        <v>606.25</v>
      </c>
      <c r="M676" t="str">
        <f t="shared" si="43"/>
        <v>Saturday</v>
      </c>
    </row>
    <row r="677" spans="1:13" x14ac:dyDescent="0.25">
      <c r="A677" s="241">
        <v>46698</v>
      </c>
      <c r="B677" s="242">
        <f t="shared" si="40"/>
        <v>606.25</v>
      </c>
      <c r="C677" s="242">
        <f>IF(DAY(A677+2)=1,'Main Budget'!$G$39,IF(DAY(A677+2)=15,'Main Budget'!$G$39,0))</f>
        <v>0</v>
      </c>
      <c r="D677" s="242">
        <f t="shared" si="41"/>
        <v>0</v>
      </c>
      <c r="E677" s="242">
        <f>IF(DAY(A677)='Main Budget'!$J$12,('Main Budget'!$G$12),0)</f>
        <v>0</v>
      </c>
      <c r="F677" s="242">
        <f>IF(DAY(A677)='Main Budget'!$J$13,('Main Budget'!$G$13)*2,0)</f>
        <v>0</v>
      </c>
      <c r="G677" s="242"/>
      <c r="H677" s="242">
        <f>IF(DAY(A677)='Main Budget'!$J$14,'Main Budget'!$G$14,0)</f>
        <v>0</v>
      </c>
      <c r="I677" s="242"/>
      <c r="J677" s="252">
        <f t="shared" si="42"/>
        <v>606.25</v>
      </c>
      <c r="M677" t="str">
        <f t="shared" si="43"/>
        <v>Sunday</v>
      </c>
    </row>
    <row r="678" spans="1:13" x14ac:dyDescent="0.25">
      <c r="A678" s="241">
        <v>46699</v>
      </c>
      <c r="B678" s="242">
        <f t="shared" si="40"/>
        <v>606.25</v>
      </c>
      <c r="C678" s="242">
        <f>IF(DAY(A678+2)=1,'Main Budget'!$G$39,IF(DAY(A678+2)=15,'Main Budget'!$G$39,0))</f>
        <v>0</v>
      </c>
      <c r="D678" s="242">
        <f t="shared" si="41"/>
        <v>0</v>
      </c>
      <c r="E678" s="242">
        <f>IF(DAY(A678)='Main Budget'!$J$12,('Main Budget'!$G$12),0)</f>
        <v>0</v>
      </c>
      <c r="F678" s="242">
        <f>IF(DAY(A678)='Main Budget'!$J$13,('Main Budget'!$G$13)*2,0)</f>
        <v>0</v>
      </c>
      <c r="G678" s="242"/>
      <c r="H678" s="242">
        <f>IF(DAY(A678)='Main Budget'!$J$14,'Main Budget'!$G$14,0)</f>
        <v>0</v>
      </c>
      <c r="I678" s="242"/>
      <c r="J678" s="252">
        <f t="shared" si="42"/>
        <v>606.25</v>
      </c>
      <c r="M678" t="str">
        <f t="shared" si="43"/>
        <v>Monday</v>
      </c>
    </row>
    <row r="679" spans="1:13" x14ac:dyDescent="0.25">
      <c r="A679" s="241">
        <v>46700</v>
      </c>
      <c r="B679" s="242">
        <f t="shared" si="40"/>
        <v>606.25</v>
      </c>
      <c r="C679" s="242">
        <f>IF(DAY(A679+2)=1,'Main Budget'!$G$39,IF(DAY(A679+2)=15,'Main Budget'!$G$39,0))</f>
        <v>0</v>
      </c>
      <c r="D679" s="242">
        <f t="shared" si="41"/>
        <v>0</v>
      </c>
      <c r="E679" s="242">
        <f>IF(DAY(A679)='Main Budget'!$J$12,('Main Budget'!$G$12),0)</f>
        <v>0</v>
      </c>
      <c r="F679" s="242">
        <f>IF(DAY(A679)='Main Budget'!$J$13,('Main Budget'!$G$13)*2,0)</f>
        <v>0</v>
      </c>
      <c r="G679" s="242"/>
      <c r="H679" s="242">
        <f>IF(DAY(A679)='Main Budget'!$J$14,'Main Budget'!$G$14,0)</f>
        <v>0</v>
      </c>
      <c r="I679" s="242"/>
      <c r="J679" s="252">
        <f t="shared" si="42"/>
        <v>606.25</v>
      </c>
      <c r="M679" t="str">
        <f t="shared" si="43"/>
        <v>Tuesday</v>
      </c>
    </row>
    <row r="680" spans="1:13" x14ac:dyDescent="0.25">
      <c r="A680" s="241">
        <v>46701</v>
      </c>
      <c r="B680" s="242">
        <f t="shared" si="40"/>
        <v>606.25</v>
      </c>
      <c r="C680" s="242">
        <f>IF(DAY(A680+2)=1,'Main Budget'!$G$39,IF(DAY(A680+2)=15,'Main Budget'!$G$39,0))</f>
        <v>0</v>
      </c>
      <c r="D680" s="242">
        <f t="shared" si="41"/>
        <v>0</v>
      </c>
      <c r="E680" s="242">
        <f>IF(DAY(A680)='Main Budget'!$J$12,('Main Budget'!$G$12),0)</f>
        <v>0</v>
      </c>
      <c r="F680" s="242">
        <f>IF(DAY(A680)='Main Budget'!$J$13,('Main Budget'!$G$13)*2,0)</f>
        <v>0</v>
      </c>
      <c r="G680" s="242"/>
      <c r="H680" s="242">
        <f>IF(DAY(A680)='Main Budget'!$J$14,'Main Budget'!$G$14,0)</f>
        <v>0</v>
      </c>
      <c r="I680" s="242"/>
      <c r="J680" s="252">
        <f t="shared" si="42"/>
        <v>606.25</v>
      </c>
      <c r="M680" t="str">
        <f t="shared" si="43"/>
        <v>Wednesday</v>
      </c>
    </row>
    <row r="681" spans="1:13" x14ac:dyDescent="0.25">
      <c r="A681" s="241">
        <v>46702</v>
      </c>
      <c r="B681" s="242">
        <f t="shared" si="40"/>
        <v>606.25</v>
      </c>
      <c r="C681" s="242">
        <f>IF(DAY(A681+2)=1,'Main Budget'!$G$39,IF(DAY(A681+2)=15,'Main Budget'!$G$39,0))</f>
        <v>0</v>
      </c>
      <c r="D681" s="242">
        <f t="shared" si="41"/>
        <v>0</v>
      </c>
      <c r="E681" s="242">
        <f>IF(DAY(A681)='Main Budget'!$J$12,('Main Budget'!$G$12),0)</f>
        <v>0</v>
      </c>
      <c r="F681" s="242">
        <f>IF(DAY(A681)='Main Budget'!$J$13,('Main Budget'!$G$13)*2,0)</f>
        <v>0</v>
      </c>
      <c r="G681" s="242"/>
      <c r="H681" s="242">
        <f>IF(DAY(A681)='Main Budget'!$J$14,'Main Budget'!$G$14,0)</f>
        <v>0</v>
      </c>
      <c r="I681" s="242"/>
      <c r="J681" s="252">
        <f t="shared" si="42"/>
        <v>606.25</v>
      </c>
      <c r="M681" t="str">
        <f t="shared" si="43"/>
        <v>Thursday</v>
      </c>
    </row>
    <row r="682" spans="1:13" x14ac:dyDescent="0.25">
      <c r="A682" s="241">
        <v>46703</v>
      </c>
      <c r="B682" s="242">
        <f t="shared" si="40"/>
        <v>606.25</v>
      </c>
      <c r="C682" s="242">
        <f>IF(DAY(A682+2)=1,'Main Budget'!$G$39,IF(DAY(A682+2)=15,'Main Budget'!$G$39,0))</f>
        <v>0</v>
      </c>
      <c r="D682" s="242">
        <f t="shared" si="41"/>
        <v>0</v>
      </c>
      <c r="E682" s="242">
        <f>IF(DAY(A682)='Main Budget'!$J$12,('Main Budget'!$G$12),0)</f>
        <v>0</v>
      </c>
      <c r="F682" s="242">
        <f>IF(DAY(A682)='Main Budget'!$J$13,('Main Budget'!$G$13)*2,0)</f>
        <v>0</v>
      </c>
      <c r="G682" s="242"/>
      <c r="H682" s="242">
        <f>IF(DAY(A682)='Main Budget'!$J$14,'Main Budget'!$G$14,0)</f>
        <v>0</v>
      </c>
      <c r="I682" s="242"/>
      <c r="J682" s="252">
        <f t="shared" si="42"/>
        <v>606.25</v>
      </c>
      <c r="M682" t="str">
        <f t="shared" si="43"/>
        <v>Friday</v>
      </c>
    </row>
    <row r="683" spans="1:13" x14ac:dyDescent="0.25">
      <c r="A683" s="241">
        <v>46704</v>
      </c>
      <c r="B683" s="242">
        <f t="shared" si="40"/>
        <v>606.25</v>
      </c>
      <c r="C683" s="242">
        <f>IF(DAY(A683+2)=1,'Main Budget'!$G$39,IF(DAY(A683+2)=15,'Main Budget'!$G$39,0))</f>
        <v>0</v>
      </c>
      <c r="D683" s="242">
        <f t="shared" si="41"/>
        <v>0</v>
      </c>
      <c r="E683" s="242">
        <f>IF(DAY(A683)='Main Budget'!$J$12,('Main Budget'!$G$12),0)</f>
        <v>0</v>
      </c>
      <c r="F683" s="242">
        <f>IF(DAY(A683)='Main Budget'!$J$13,('Main Budget'!$G$13)*2,0)</f>
        <v>0</v>
      </c>
      <c r="G683" s="242"/>
      <c r="H683" s="242">
        <f>IF(DAY(A683)='Main Budget'!$J$14,'Main Budget'!$G$14,0)</f>
        <v>0</v>
      </c>
      <c r="I683" s="242"/>
      <c r="J683" s="252">
        <f t="shared" si="42"/>
        <v>606.25</v>
      </c>
      <c r="M683" t="str">
        <f t="shared" si="43"/>
        <v>Saturday</v>
      </c>
    </row>
    <row r="684" spans="1:13" x14ac:dyDescent="0.25">
      <c r="A684" s="241">
        <v>46705</v>
      </c>
      <c r="B684" s="242">
        <f t="shared" si="40"/>
        <v>606.25</v>
      </c>
      <c r="C684" s="242">
        <f>IF(DAY(A684+2)=1,'Main Budget'!$G$39,IF(DAY(A684+2)=15,'Main Budget'!$G$39,0))</f>
        <v>0</v>
      </c>
      <c r="D684" s="242">
        <f t="shared" si="41"/>
        <v>0</v>
      </c>
      <c r="E684" s="242">
        <f>IF(DAY(A684)='Main Budget'!$J$12,('Main Budget'!$G$12),0)</f>
        <v>0</v>
      </c>
      <c r="F684" s="242">
        <f>IF(DAY(A684)='Main Budget'!$J$13,('Main Budget'!$G$13)*2,0)</f>
        <v>0</v>
      </c>
      <c r="G684" s="242"/>
      <c r="H684" s="242">
        <f>IF(DAY(A684)='Main Budget'!$J$14,'Main Budget'!$G$14,0)</f>
        <v>0</v>
      </c>
      <c r="I684" s="242"/>
      <c r="J684" s="252">
        <f t="shared" si="42"/>
        <v>606.25</v>
      </c>
      <c r="M684" t="str">
        <f t="shared" si="43"/>
        <v>Sunday</v>
      </c>
    </row>
    <row r="685" spans="1:13" x14ac:dyDescent="0.25">
      <c r="A685" s="241">
        <v>46706</v>
      </c>
      <c r="B685" s="242">
        <f t="shared" si="40"/>
        <v>606.25</v>
      </c>
      <c r="C685" s="242">
        <f>IF(DAY(A685+2)=1,'Main Budget'!$G$39,IF(DAY(A685+2)=15,'Main Budget'!$G$39,0))</f>
        <v>0</v>
      </c>
      <c r="D685" s="242">
        <f t="shared" si="41"/>
        <v>11.25</v>
      </c>
      <c r="E685" s="242">
        <f>IF(DAY(A685)='Main Budget'!$J$12,('Main Budget'!$G$12),0)</f>
        <v>0</v>
      </c>
      <c r="F685" s="242">
        <f>IF(DAY(A685)='Main Budget'!$J$13,('Main Budget'!$G$13)*2,0)</f>
        <v>0</v>
      </c>
      <c r="G685" s="242"/>
      <c r="H685" s="242">
        <f>IF(DAY(A685)='Main Budget'!$J$14,'Main Budget'!$G$14,0)</f>
        <v>0</v>
      </c>
      <c r="I685" s="242"/>
      <c r="J685" s="252">
        <f t="shared" si="42"/>
        <v>617.5</v>
      </c>
      <c r="M685" t="str">
        <f t="shared" si="43"/>
        <v>Monday</v>
      </c>
    </row>
    <row r="686" spans="1:13" x14ac:dyDescent="0.25">
      <c r="A686" s="241">
        <v>46707</v>
      </c>
      <c r="B686" s="242">
        <f t="shared" si="40"/>
        <v>617.5</v>
      </c>
      <c r="C686" s="242">
        <f>IF(DAY(A686+2)=1,'Main Budget'!$G$39,IF(DAY(A686+2)=15,'Main Budget'!$G$39,0))</f>
        <v>0</v>
      </c>
      <c r="D686" s="242">
        <f t="shared" si="41"/>
        <v>0</v>
      </c>
      <c r="E686" s="242">
        <f>IF(DAY(A686)='Main Budget'!$J$12,('Main Budget'!$G$12),0)</f>
        <v>0</v>
      </c>
      <c r="F686" s="242">
        <f>IF(DAY(A686)='Main Budget'!$J$13,('Main Budget'!$G$13)*2,0)</f>
        <v>0</v>
      </c>
      <c r="G686" s="242"/>
      <c r="H686" s="242">
        <f>IF(DAY(A686)='Main Budget'!$J$14,'Main Budget'!$G$14,0)</f>
        <v>0</v>
      </c>
      <c r="I686" s="242"/>
      <c r="J686" s="252">
        <f t="shared" si="42"/>
        <v>617.5</v>
      </c>
      <c r="M686" t="str">
        <f t="shared" si="43"/>
        <v>Tuesday</v>
      </c>
    </row>
    <row r="687" spans="1:13" x14ac:dyDescent="0.25">
      <c r="A687" s="241">
        <v>46708</v>
      </c>
      <c r="B687" s="242">
        <f t="shared" si="40"/>
        <v>617.5</v>
      </c>
      <c r="C687" s="242">
        <f>IF(DAY(A687+2)=1,'Main Budget'!$G$39,IF(DAY(A687+2)=15,'Main Budget'!$G$39,0))</f>
        <v>0</v>
      </c>
      <c r="D687" s="242">
        <f t="shared" si="41"/>
        <v>0</v>
      </c>
      <c r="E687" s="242">
        <f>IF(DAY(A687)='Main Budget'!$J$12,('Main Budget'!$G$12),0)</f>
        <v>0</v>
      </c>
      <c r="F687" s="242">
        <f>IF(DAY(A687)='Main Budget'!$J$13,('Main Budget'!$G$13)*2,0)</f>
        <v>0</v>
      </c>
      <c r="G687" s="242"/>
      <c r="H687" s="242">
        <f>IF(DAY(A687)='Main Budget'!$J$14,'Main Budget'!$G$14,0)</f>
        <v>0</v>
      </c>
      <c r="I687" s="242"/>
      <c r="J687" s="252">
        <f t="shared" si="42"/>
        <v>617.5</v>
      </c>
      <c r="M687" t="str">
        <f t="shared" si="43"/>
        <v>Wednesday</v>
      </c>
    </row>
    <row r="688" spans="1:13" x14ac:dyDescent="0.25">
      <c r="A688" s="241">
        <v>46709</v>
      </c>
      <c r="B688" s="242">
        <f t="shared" si="40"/>
        <v>617.5</v>
      </c>
      <c r="C688" s="242">
        <f>IF(DAY(A688+2)=1,'Main Budget'!$G$39,IF(DAY(A688+2)=15,'Main Budget'!$G$39,0))</f>
        <v>0</v>
      </c>
      <c r="D688" s="242">
        <f t="shared" si="41"/>
        <v>0</v>
      </c>
      <c r="E688" s="242">
        <f>IF(DAY(A688)='Main Budget'!$J$12,('Main Budget'!$G$12),0)</f>
        <v>0</v>
      </c>
      <c r="F688" s="242">
        <f>IF(DAY(A688)='Main Budget'!$J$13,('Main Budget'!$G$13)*2,0)</f>
        <v>0</v>
      </c>
      <c r="G688" s="242"/>
      <c r="H688" s="242">
        <f>IF(DAY(A688)='Main Budget'!$J$14,'Main Budget'!$G$14,0)</f>
        <v>0</v>
      </c>
      <c r="I688" s="242"/>
      <c r="J688" s="252">
        <f t="shared" si="42"/>
        <v>617.5</v>
      </c>
      <c r="M688" t="str">
        <f t="shared" si="43"/>
        <v>Thursday</v>
      </c>
    </row>
    <row r="689" spans="1:13" x14ac:dyDescent="0.25">
      <c r="A689" s="241">
        <v>46710</v>
      </c>
      <c r="B689" s="242">
        <f t="shared" si="40"/>
        <v>617.5</v>
      </c>
      <c r="C689" s="242">
        <f>IF(DAY(A689+2)=1,'Main Budget'!$G$39,IF(DAY(A689+2)=15,'Main Budget'!$G$39,0))</f>
        <v>0</v>
      </c>
      <c r="D689" s="242">
        <f t="shared" si="41"/>
        <v>0</v>
      </c>
      <c r="E689" s="242">
        <f>IF(DAY(A689)='Main Budget'!$J$12,('Main Budget'!$G$12),0)</f>
        <v>0</v>
      </c>
      <c r="F689" s="242">
        <f>IF(DAY(A689)='Main Budget'!$J$13,('Main Budget'!$G$13)*2,0)</f>
        <v>0</v>
      </c>
      <c r="G689" s="242"/>
      <c r="H689" s="242">
        <f>IF(DAY(A689)='Main Budget'!$J$14,'Main Budget'!$G$14,0)</f>
        <v>0</v>
      </c>
      <c r="I689" s="242"/>
      <c r="J689" s="252">
        <f t="shared" si="42"/>
        <v>617.5</v>
      </c>
      <c r="M689" t="str">
        <f t="shared" si="43"/>
        <v>Friday</v>
      </c>
    </row>
    <row r="690" spans="1:13" x14ac:dyDescent="0.25">
      <c r="A690" s="241">
        <v>46711</v>
      </c>
      <c r="B690" s="242">
        <f t="shared" si="40"/>
        <v>617.5</v>
      </c>
      <c r="C690" s="242">
        <f>IF(DAY(A690+2)=1,'Main Budget'!$G$39,IF(DAY(A690+2)=15,'Main Budget'!$G$39,0))</f>
        <v>0</v>
      </c>
      <c r="D690" s="242">
        <f t="shared" si="41"/>
        <v>0</v>
      </c>
      <c r="E690" s="242">
        <f>IF(DAY(A690)='Main Budget'!$J$12,('Main Budget'!$G$12),0)</f>
        <v>0</v>
      </c>
      <c r="F690" s="242">
        <f>IF(DAY(A690)='Main Budget'!$J$13,('Main Budget'!$G$13)*2,0)</f>
        <v>0</v>
      </c>
      <c r="G690" s="242"/>
      <c r="H690" s="242">
        <f>IF(DAY(A690)='Main Budget'!$J$14,'Main Budget'!$G$14,0)</f>
        <v>0</v>
      </c>
      <c r="I690" s="242"/>
      <c r="J690" s="252">
        <f t="shared" si="42"/>
        <v>617.5</v>
      </c>
      <c r="M690" t="str">
        <f t="shared" si="43"/>
        <v>Saturday</v>
      </c>
    </row>
    <row r="691" spans="1:13" x14ac:dyDescent="0.25">
      <c r="A691" s="241">
        <v>46712</v>
      </c>
      <c r="B691" s="242">
        <f t="shared" si="40"/>
        <v>617.5</v>
      </c>
      <c r="C691" s="242">
        <f>IF(DAY(A691+2)=1,'Main Budget'!$G$39,IF(DAY(A691+2)=15,'Main Budget'!$G$39,0))</f>
        <v>0</v>
      </c>
      <c r="D691" s="242">
        <f t="shared" si="41"/>
        <v>0</v>
      </c>
      <c r="E691" s="242">
        <f>IF(DAY(A691)='Main Budget'!$J$12,('Main Budget'!$G$12),0)</f>
        <v>0</v>
      </c>
      <c r="F691" s="242">
        <f>IF(DAY(A691)='Main Budget'!$J$13,('Main Budget'!$G$13)*2,0)</f>
        <v>0</v>
      </c>
      <c r="G691" s="242"/>
      <c r="H691" s="242">
        <f>IF(DAY(A691)='Main Budget'!$J$14,'Main Budget'!$G$14,0)</f>
        <v>0</v>
      </c>
      <c r="I691" s="242"/>
      <c r="J691" s="252">
        <f t="shared" si="42"/>
        <v>617.5</v>
      </c>
      <c r="M691" t="str">
        <f t="shared" si="43"/>
        <v>Sunday</v>
      </c>
    </row>
    <row r="692" spans="1:13" x14ac:dyDescent="0.25">
      <c r="A692" s="241">
        <v>46713</v>
      </c>
      <c r="B692" s="242">
        <f t="shared" si="40"/>
        <v>617.5</v>
      </c>
      <c r="C692" s="242">
        <f>IF(DAY(A692+2)=1,'Main Budget'!$G$39,IF(DAY(A692+2)=15,'Main Budget'!$G$39,0))</f>
        <v>0</v>
      </c>
      <c r="D692" s="242">
        <f t="shared" si="41"/>
        <v>0</v>
      </c>
      <c r="E692" s="242">
        <f>IF(DAY(A692)='Main Budget'!$J$12,('Main Budget'!$G$12),0)</f>
        <v>0</v>
      </c>
      <c r="F692" s="242">
        <f>IF(DAY(A692)='Main Budget'!$J$13,('Main Budget'!$G$13)*2,0)</f>
        <v>0</v>
      </c>
      <c r="G692" s="242"/>
      <c r="H692" s="242">
        <f>IF(DAY(A692)='Main Budget'!$J$14,'Main Budget'!$G$14,0)</f>
        <v>0</v>
      </c>
      <c r="I692" s="242"/>
      <c r="J692" s="252">
        <f t="shared" si="42"/>
        <v>617.5</v>
      </c>
      <c r="M692" t="str">
        <f t="shared" si="43"/>
        <v>Monday</v>
      </c>
    </row>
    <row r="693" spans="1:13" x14ac:dyDescent="0.25">
      <c r="A693" s="241">
        <v>46714</v>
      </c>
      <c r="B693" s="242">
        <f t="shared" si="40"/>
        <v>617.5</v>
      </c>
      <c r="C693" s="242">
        <f>IF(DAY(A693+2)=1,'Main Budget'!$G$39,IF(DAY(A693+2)=15,'Main Budget'!$G$39,0))</f>
        <v>0</v>
      </c>
      <c r="D693" s="242">
        <f t="shared" si="41"/>
        <v>0</v>
      </c>
      <c r="E693" s="242">
        <f>IF(DAY(A693)='Main Budget'!$J$12,('Main Budget'!$G$12),0)</f>
        <v>0</v>
      </c>
      <c r="F693" s="242">
        <f>IF(DAY(A693)='Main Budget'!$J$13,('Main Budget'!$G$13)*2,0)</f>
        <v>0</v>
      </c>
      <c r="G693" s="242"/>
      <c r="H693" s="242">
        <f>IF(DAY(A693)='Main Budget'!$J$14,'Main Budget'!$G$14,0)</f>
        <v>0</v>
      </c>
      <c r="I693" s="242"/>
      <c r="J693" s="252">
        <f t="shared" si="42"/>
        <v>617.5</v>
      </c>
      <c r="M693" t="str">
        <f t="shared" si="43"/>
        <v>Tuesday</v>
      </c>
    </row>
    <row r="694" spans="1:13" x14ac:dyDescent="0.25">
      <c r="A694" s="241">
        <v>46715</v>
      </c>
      <c r="B694" s="242">
        <f t="shared" si="40"/>
        <v>617.5</v>
      </c>
      <c r="C694" s="242">
        <f>IF(DAY(A694+2)=1,'Main Budget'!$G$39,IF(DAY(A694+2)=15,'Main Budget'!$G$39,0))</f>
        <v>0</v>
      </c>
      <c r="D694" s="242">
        <f t="shared" si="41"/>
        <v>0</v>
      </c>
      <c r="E694" s="242">
        <f>IF(DAY(A694)='Main Budget'!$J$12,('Main Budget'!$G$12),0)</f>
        <v>0</v>
      </c>
      <c r="F694" s="242">
        <f>IF(DAY(A694)='Main Budget'!$J$13,('Main Budget'!$G$13)*2,0)</f>
        <v>0</v>
      </c>
      <c r="G694" s="242"/>
      <c r="H694" s="242">
        <f>IF(DAY(A694)='Main Budget'!$J$14,'Main Budget'!$G$14,0)</f>
        <v>0</v>
      </c>
      <c r="I694" s="242"/>
      <c r="J694" s="252">
        <f t="shared" si="42"/>
        <v>617.5</v>
      </c>
      <c r="M694" t="str">
        <f t="shared" si="43"/>
        <v>Wednesday</v>
      </c>
    </row>
    <row r="695" spans="1:13" x14ac:dyDescent="0.25">
      <c r="A695" s="241">
        <v>46716</v>
      </c>
      <c r="B695" s="242">
        <f t="shared" si="40"/>
        <v>617.5</v>
      </c>
      <c r="C695" s="242">
        <f>IF(DAY(A695+2)=1,'Main Budget'!$G$39,IF(DAY(A695+2)=15,'Main Budget'!$G$39,0))</f>
        <v>0</v>
      </c>
      <c r="D695" s="242">
        <f t="shared" si="41"/>
        <v>0</v>
      </c>
      <c r="E695" s="242">
        <f>IF(DAY(A695)='Main Budget'!$J$12,('Main Budget'!$G$12),0)</f>
        <v>0</v>
      </c>
      <c r="F695" s="242">
        <f>IF(DAY(A695)='Main Budget'!$J$13,('Main Budget'!$G$13)*2,0)</f>
        <v>0</v>
      </c>
      <c r="G695" s="242"/>
      <c r="H695" s="242">
        <f>IF(DAY(A695)='Main Budget'!$J$14,'Main Budget'!$G$14,0)</f>
        <v>0</v>
      </c>
      <c r="I695" s="242"/>
      <c r="J695" s="252">
        <f t="shared" si="42"/>
        <v>617.5</v>
      </c>
      <c r="M695" t="str">
        <f t="shared" si="43"/>
        <v>Thursday</v>
      </c>
    </row>
    <row r="696" spans="1:13" x14ac:dyDescent="0.25">
      <c r="A696" s="241">
        <v>46717</v>
      </c>
      <c r="B696" s="242">
        <f t="shared" si="40"/>
        <v>617.5</v>
      </c>
      <c r="C696" s="242">
        <f>IF(DAY(A696+2)=1,'Main Budget'!$G$39,IF(DAY(A696+2)=15,'Main Budget'!$G$39,0))</f>
        <v>0</v>
      </c>
      <c r="D696" s="242">
        <f t="shared" si="41"/>
        <v>0</v>
      </c>
      <c r="E696" s="242">
        <f>IF(DAY(A696)='Main Budget'!$J$12,('Main Budget'!$G$12),0)</f>
        <v>0</v>
      </c>
      <c r="F696" s="242">
        <f>IF(DAY(A696)='Main Budget'!$J$13,('Main Budget'!$G$13)*2,0)</f>
        <v>0</v>
      </c>
      <c r="G696" s="242"/>
      <c r="H696" s="242">
        <f>IF(DAY(A696)='Main Budget'!$J$14,'Main Budget'!$G$14,0)</f>
        <v>0</v>
      </c>
      <c r="I696" s="242"/>
      <c r="J696" s="252">
        <f t="shared" si="42"/>
        <v>617.5</v>
      </c>
      <c r="M696" t="str">
        <f t="shared" si="43"/>
        <v>Friday</v>
      </c>
    </row>
    <row r="697" spans="1:13" x14ac:dyDescent="0.25">
      <c r="A697" s="241">
        <v>46718</v>
      </c>
      <c r="B697" s="242">
        <f t="shared" si="40"/>
        <v>617.5</v>
      </c>
      <c r="C697" s="242">
        <f>IF(DAY(A697+2)=1,'Main Budget'!$G$39,IF(DAY(A697+2)=15,'Main Budget'!$G$39,0))</f>
        <v>0</v>
      </c>
      <c r="D697" s="242">
        <f t="shared" si="41"/>
        <v>0</v>
      </c>
      <c r="E697" s="242">
        <f>IF(DAY(A697)='Main Budget'!$J$12,('Main Budget'!$G$12),0)</f>
        <v>0</v>
      </c>
      <c r="F697" s="242">
        <f>IF(DAY(A697)='Main Budget'!$J$13,('Main Budget'!$G$13)*2,0)</f>
        <v>0</v>
      </c>
      <c r="G697" s="242"/>
      <c r="H697" s="242">
        <f>IF(DAY(A697)='Main Budget'!$J$14,'Main Budget'!$G$14,0)</f>
        <v>0</v>
      </c>
      <c r="I697" s="242"/>
      <c r="J697" s="252">
        <f t="shared" si="42"/>
        <v>617.5</v>
      </c>
      <c r="M697" t="str">
        <f t="shared" si="43"/>
        <v>Saturday</v>
      </c>
    </row>
    <row r="698" spans="1:13" x14ac:dyDescent="0.25">
      <c r="A698" s="241">
        <v>46719</v>
      </c>
      <c r="B698" s="242">
        <f t="shared" si="40"/>
        <v>617.5</v>
      </c>
      <c r="C698" s="242">
        <f>IF(DAY(A698+2)=1,'Main Budget'!$G$39,IF(DAY(A698+2)=15,'Main Budget'!$G$39,0))</f>
        <v>0</v>
      </c>
      <c r="D698" s="242">
        <f t="shared" si="41"/>
        <v>0</v>
      </c>
      <c r="E698" s="242">
        <f>IF(DAY(A698)='Main Budget'!$J$12,('Main Budget'!$G$12),0)</f>
        <v>0</v>
      </c>
      <c r="F698" s="242">
        <f>IF(DAY(A698)='Main Budget'!$J$13,('Main Budget'!$G$13)*2,0)</f>
        <v>0</v>
      </c>
      <c r="G698" s="242"/>
      <c r="H698" s="242">
        <f>IF(DAY(A698)='Main Budget'!$J$14,'Main Budget'!$G$14,0)</f>
        <v>0</v>
      </c>
      <c r="I698" s="242"/>
      <c r="J698" s="252">
        <f t="shared" si="42"/>
        <v>617.5</v>
      </c>
      <c r="M698" t="str">
        <f t="shared" si="43"/>
        <v>Sunday</v>
      </c>
    </row>
    <row r="699" spans="1:13" x14ac:dyDescent="0.25">
      <c r="A699" s="241">
        <v>46720</v>
      </c>
      <c r="B699" s="242">
        <f t="shared" si="40"/>
        <v>617.5</v>
      </c>
      <c r="C699" s="242">
        <f>IF(DAY(A699+2)=1,'Main Budget'!$G$39,IF(DAY(A699+2)=15,'Main Budget'!$G$39,0))</f>
        <v>0</v>
      </c>
      <c r="D699" s="242">
        <f t="shared" si="41"/>
        <v>0</v>
      </c>
      <c r="E699" s="242">
        <f>IF(DAY(A699)='Main Budget'!$J$12,('Main Budget'!$G$12),0)</f>
        <v>0</v>
      </c>
      <c r="F699" s="242">
        <f>IF(DAY(A699)='Main Budget'!$J$13,('Main Budget'!$G$13)*2,0)</f>
        <v>0</v>
      </c>
      <c r="G699" s="242"/>
      <c r="H699" s="242">
        <f>IF(DAY(A699)='Main Budget'!$J$14,'Main Budget'!$G$14,0)</f>
        <v>0</v>
      </c>
      <c r="I699" s="242"/>
      <c r="J699" s="252">
        <f t="shared" si="42"/>
        <v>617.5</v>
      </c>
      <c r="M699" t="str">
        <f t="shared" si="43"/>
        <v>Monday</v>
      </c>
    </row>
    <row r="700" spans="1:13" x14ac:dyDescent="0.25">
      <c r="A700" s="241">
        <v>46721</v>
      </c>
      <c r="B700" s="242">
        <f t="shared" si="40"/>
        <v>617.5</v>
      </c>
      <c r="C700" s="242">
        <f>IF(DAY(A700+2)=1,'Main Budget'!$G$39,IF(DAY(A700+2)=15,'Main Budget'!$G$39,0))</f>
        <v>0</v>
      </c>
      <c r="D700" s="242">
        <f t="shared" si="41"/>
        <v>0</v>
      </c>
      <c r="E700" s="242">
        <f>IF(DAY(A700)='Main Budget'!$J$12,('Main Budget'!$G$12),0)</f>
        <v>0</v>
      </c>
      <c r="F700" s="242">
        <f>IF(DAY(A700)='Main Budget'!$J$13,('Main Budget'!$G$13)*2,0)</f>
        <v>0</v>
      </c>
      <c r="G700" s="242"/>
      <c r="H700" s="242">
        <f>IF(DAY(A700)='Main Budget'!$J$14,'Main Budget'!$G$14,0)</f>
        <v>0</v>
      </c>
      <c r="I700" s="242"/>
      <c r="J700" s="252">
        <f t="shared" si="42"/>
        <v>617.5</v>
      </c>
      <c r="M700" t="str">
        <f t="shared" si="43"/>
        <v>Tuesday</v>
      </c>
    </row>
    <row r="701" spans="1:13" x14ac:dyDescent="0.25">
      <c r="A701" s="241">
        <v>46722</v>
      </c>
      <c r="B701" s="242">
        <f t="shared" si="40"/>
        <v>617.5</v>
      </c>
      <c r="C701" s="242">
        <f>IF(DAY(A701+2)=1,'Main Budget'!$G$39,IF(DAY(A701+2)=15,'Main Budget'!$G$39,0))</f>
        <v>0</v>
      </c>
      <c r="D701" s="242">
        <f t="shared" si="41"/>
        <v>11.25</v>
      </c>
      <c r="E701" s="242">
        <f>IF(DAY(A701)='Main Budget'!$J$12,('Main Budget'!$G$12),0)</f>
        <v>0</v>
      </c>
      <c r="F701" s="242">
        <f>IF(DAY(A701)='Main Budget'!$J$13,('Main Budget'!$G$13)*2,0)</f>
        <v>0</v>
      </c>
      <c r="G701" s="242"/>
      <c r="H701" s="242">
        <f>IF(DAY(A701)='Main Budget'!$J$14,'Main Budget'!$G$14,0)</f>
        <v>0</v>
      </c>
      <c r="I701" s="242"/>
      <c r="J701" s="252">
        <f t="shared" si="42"/>
        <v>628.75</v>
      </c>
      <c r="M701" t="str">
        <f t="shared" si="43"/>
        <v>Wednesday</v>
      </c>
    </row>
    <row r="702" spans="1:13" x14ac:dyDescent="0.25">
      <c r="A702" s="241">
        <v>46723</v>
      </c>
      <c r="B702" s="242">
        <f t="shared" si="40"/>
        <v>628.75</v>
      </c>
      <c r="C702" s="242">
        <f>IF(DAY(A702+2)=1,'Main Budget'!$G$39,IF(DAY(A702+2)=15,'Main Budget'!$G$39,0))</f>
        <v>0</v>
      </c>
      <c r="D702" s="242">
        <f t="shared" si="41"/>
        <v>0</v>
      </c>
      <c r="E702" s="242">
        <f>IF(DAY(A702)='Main Budget'!$J$12,('Main Budget'!$G$12),0)</f>
        <v>0</v>
      </c>
      <c r="F702" s="242">
        <f>IF(DAY(A702)='Main Budget'!$J$13,('Main Budget'!$G$13)*2,0)</f>
        <v>0</v>
      </c>
      <c r="G702" s="242"/>
      <c r="H702" s="242">
        <f>IF(DAY(A702)='Main Budget'!$J$14,'Main Budget'!$G$14,0)</f>
        <v>0</v>
      </c>
      <c r="I702" s="242"/>
      <c r="J702" s="252">
        <f t="shared" si="42"/>
        <v>628.75</v>
      </c>
      <c r="M702" t="str">
        <f t="shared" si="43"/>
        <v>Thursday</v>
      </c>
    </row>
    <row r="703" spans="1:13" x14ac:dyDescent="0.25">
      <c r="A703" s="241">
        <v>46724</v>
      </c>
      <c r="B703" s="242">
        <f t="shared" si="40"/>
        <v>628.75</v>
      </c>
      <c r="C703" s="242">
        <f>IF(DAY(A703+2)=1,'Main Budget'!$G$39,IF(DAY(A703+2)=15,'Main Budget'!$G$39,0))</f>
        <v>0</v>
      </c>
      <c r="D703" s="242">
        <f t="shared" si="41"/>
        <v>0</v>
      </c>
      <c r="E703" s="242">
        <f>IF(DAY(A703)='Main Budget'!$J$12,('Main Budget'!$G$12),0)</f>
        <v>0</v>
      </c>
      <c r="F703" s="242">
        <f>IF(DAY(A703)='Main Budget'!$J$13,('Main Budget'!$G$13)*2,0)</f>
        <v>0</v>
      </c>
      <c r="G703" s="242"/>
      <c r="H703" s="242">
        <f>IF(DAY(A703)='Main Budget'!$J$14,'Main Budget'!$G$14,0)</f>
        <v>0</v>
      </c>
      <c r="I703" s="242"/>
      <c r="J703" s="252">
        <f t="shared" si="42"/>
        <v>628.75</v>
      </c>
      <c r="M703" t="str">
        <f t="shared" si="43"/>
        <v>Friday</v>
      </c>
    </row>
    <row r="704" spans="1:13" x14ac:dyDescent="0.25">
      <c r="A704" s="241">
        <v>46725</v>
      </c>
      <c r="B704" s="242">
        <f t="shared" si="40"/>
        <v>628.75</v>
      </c>
      <c r="C704" s="242">
        <f>IF(DAY(A704+2)=1,'Main Budget'!$G$39,IF(DAY(A704+2)=15,'Main Budget'!$G$39,0))</f>
        <v>0</v>
      </c>
      <c r="D704" s="242">
        <f t="shared" si="41"/>
        <v>0</v>
      </c>
      <c r="E704" s="242">
        <f>IF(DAY(A704)='Main Budget'!$J$12,('Main Budget'!$G$12),0)</f>
        <v>0</v>
      </c>
      <c r="F704" s="242">
        <f>IF(DAY(A704)='Main Budget'!$J$13,('Main Budget'!$G$13)*2,0)</f>
        <v>0</v>
      </c>
      <c r="G704" s="242"/>
      <c r="H704" s="242">
        <f>IF(DAY(A704)='Main Budget'!$J$14,'Main Budget'!$G$14,0)</f>
        <v>0</v>
      </c>
      <c r="I704" s="242"/>
      <c r="J704" s="252">
        <f t="shared" si="42"/>
        <v>628.75</v>
      </c>
      <c r="M704" t="str">
        <f t="shared" si="43"/>
        <v>Saturday</v>
      </c>
    </row>
    <row r="705" spans="1:13" x14ac:dyDescent="0.25">
      <c r="A705" s="241">
        <v>46726</v>
      </c>
      <c r="B705" s="242">
        <f t="shared" si="40"/>
        <v>628.75</v>
      </c>
      <c r="C705" s="242">
        <f>IF(DAY(A705+2)=1,'Main Budget'!$G$39,IF(DAY(A705+2)=15,'Main Budget'!$G$39,0))</f>
        <v>0</v>
      </c>
      <c r="D705" s="242">
        <f t="shared" si="41"/>
        <v>0</v>
      </c>
      <c r="E705" s="242">
        <f>IF(DAY(A705)='Main Budget'!$J$12,('Main Budget'!$G$12),0)</f>
        <v>0</v>
      </c>
      <c r="F705" s="242">
        <f>IF(DAY(A705)='Main Budget'!$J$13,('Main Budget'!$G$13)*2,0)</f>
        <v>0</v>
      </c>
      <c r="G705" s="242"/>
      <c r="H705" s="242">
        <f>IF(DAY(A705)='Main Budget'!$J$14,'Main Budget'!$G$14,0)</f>
        <v>0</v>
      </c>
      <c r="I705" s="242"/>
      <c r="J705" s="252">
        <f t="shared" si="42"/>
        <v>628.75</v>
      </c>
      <c r="M705" t="str">
        <f t="shared" si="43"/>
        <v>Sunday</v>
      </c>
    </row>
    <row r="706" spans="1:13" x14ac:dyDescent="0.25">
      <c r="A706" s="241">
        <v>46727</v>
      </c>
      <c r="B706" s="242">
        <f t="shared" si="40"/>
        <v>628.75</v>
      </c>
      <c r="C706" s="242">
        <f>IF(DAY(A706+2)=1,'Main Budget'!$G$39,IF(DAY(A706+2)=15,'Main Budget'!$G$39,0))</f>
        <v>0</v>
      </c>
      <c r="D706" s="242">
        <f t="shared" si="41"/>
        <v>0</v>
      </c>
      <c r="E706" s="242">
        <f>IF(DAY(A706)='Main Budget'!$J$12,('Main Budget'!$G$12),0)</f>
        <v>0</v>
      </c>
      <c r="F706" s="242">
        <f>IF(DAY(A706)='Main Budget'!$J$13,('Main Budget'!$G$13)*2,0)</f>
        <v>0</v>
      </c>
      <c r="G706" s="242"/>
      <c r="H706" s="242">
        <f>IF(DAY(A706)='Main Budget'!$J$14,'Main Budget'!$G$14,0)</f>
        <v>0</v>
      </c>
      <c r="I706" s="242"/>
      <c r="J706" s="252">
        <f t="shared" si="42"/>
        <v>628.75</v>
      </c>
      <c r="M706" t="str">
        <f t="shared" si="43"/>
        <v>Monday</v>
      </c>
    </row>
    <row r="707" spans="1:13" x14ac:dyDescent="0.25">
      <c r="A707" s="241">
        <v>46728</v>
      </c>
      <c r="B707" s="242">
        <f t="shared" si="40"/>
        <v>628.75</v>
      </c>
      <c r="C707" s="242">
        <f>IF(DAY(A707+2)=1,'Main Budget'!$G$39,IF(DAY(A707+2)=15,'Main Budget'!$G$39,0))</f>
        <v>0</v>
      </c>
      <c r="D707" s="242">
        <f t="shared" si="41"/>
        <v>0</v>
      </c>
      <c r="E707" s="242">
        <f>IF(DAY(A707)='Main Budget'!$J$12,('Main Budget'!$G$12),0)</f>
        <v>0</v>
      </c>
      <c r="F707" s="242">
        <f>IF(DAY(A707)='Main Budget'!$J$13,('Main Budget'!$G$13)*2,0)</f>
        <v>0</v>
      </c>
      <c r="G707" s="242"/>
      <c r="H707" s="242">
        <f>IF(DAY(A707)='Main Budget'!$J$14,'Main Budget'!$G$14,0)</f>
        <v>0</v>
      </c>
      <c r="I707" s="242"/>
      <c r="J707" s="252">
        <f t="shared" si="42"/>
        <v>628.75</v>
      </c>
      <c r="M707" t="str">
        <f t="shared" si="43"/>
        <v>Tuesday</v>
      </c>
    </row>
    <row r="708" spans="1:13" x14ac:dyDescent="0.25">
      <c r="A708" s="241">
        <v>46729</v>
      </c>
      <c r="B708" s="242">
        <f t="shared" si="40"/>
        <v>628.75</v>
      </c>
      <c r="C708" s="242">
        <f>IF(DAY(A708+2)=1,'Main Budget'!$G$39,IF(DAY(A708+2)=15,'Main Budget'!$G$39,0))</f>
        <v>0</v>
      </c>
      <c r="D708" s="242">
        <f t="shared" si="41"/>
        <v>0</v>
      </c>
      <c r="E708" s="242">
        <f>IF(DAY(A708)='Main Budget'!$J$12,('Main Budget'!$G$12),0)</f>
        <v>0</v>
      </c>
      <c r="F708" s="242">
        <f>IF(DAY(A708)='Main Budget'!$J$13,('Main Budget'!$G$13)*2,0)</f>
        <v>0</v>
      </c>
      <c r="G708" s="242"/>
      <c r="H708" s="242">
        <f>IF(DAY(A708)='Main Budget'!$J$14,'Main Budget'!$G$14,0)</f>
        <v>0</v>
      </c>
      <c r="I708" s="242"/>
      <c r="J708" s="252">
        <f t="shared" si="42"/>
        <v>628.75</v>
      </c>
      <c r="M708" t="str">
        <f t="shared" si="43"/>
        <v>Wednesday</v>
      </c>
    </row>
    <row r="709" spans="1:13" x14ac:dyDescent="0.25">
      <c r="A709" s="241">
        <v>46730</v>
      </c>
      <c r="B709" s="242">
        <f t="shared" si="40"/>
        <v>628.75</v>
      </c>
      <c r="C709" s="242">
        <f>IF(DAY(A709+2)=1,'Main Budget'!$G$39,IF(DAY(A709+2)=15,'Main Budget'!$G$39,0))</f>
        <v>0</v>
      </c>
      <c r="D709" s="242">
        <f t="shared" si="41"/>
        <v>0</v>
      </c>
      <c r="E709" s="242">
        <f>IF(DAY(A709)='Main Budget'!$J$12,('Main Budget'!$G$12),0)</f>
        <v>0</v>
      </c>
      <c r="F709" s="242">
        <f>IF(DAY(A709)='Main Budget'!$J$13,('Main Budget'!$G$13)*2,0)</f>
        <v>0</v>
      </c>
      <c r="G709" s="242"/>
      <c r="H709" s="242">
        <f>IF(DAY(A709)='Main Budget'!$J$14,'Main Budget'!$G$14,0)</f>
        <v>0</v>
      </c>
      <c r="I709" s="242"/>
      <c r="J709" s="252">
        <f t="shared" si="42"/>
        <v>628.75</v>
      </c>
      <c r="M709" t="str">
        <f t="shared" si="43"/>
        <v>Thursday</v>
      </c>
    </row>
    <row r="710" spans="1:13" x14ac:dyDescent="0.25">
      <c r="A710" s="241">
        <v>46731</v>
      </c>
      <c r="B710" s="242">
        <f t="shared" si="40"/>
        <v>628.75</v>
      </c>
      <c r="C710" s="242">
        <f>IF(DAY(A710+2)=1,'Main Budget'!$G$39,IF(DAY(A710+2)=15,'Main Budget'!$G$39,0))</f>
        <v>0</v>
      </c>
      <c r="D710" s="242">
        <f t="shared" si="41"/>
        <v>0</v>
      </c>
      <c r="E710" s="242">
        <f>IF(DAY(A710)='Main Budget'!$J$12,('Main Budget'!$G$12),0)</f>
        <v>0</v>
      </c>
      <c r="F710" s="242">
        <f>IF(DAY(A710)='Main Budget'!$J$13,('Main Budget'!$G$13)*2,0)</f>
        <v>0</v>
      </c>
      <c r="G710" s="242"/>
      <c r="H710" s="242">
        <f>IF(DAY(A710)='Main Budget'!$J$14,'Main Budget'!$G$14,0)</f>
        <v>0</v>
      </c>
      <c r="I710" s="242"/>
      <c r="J710" s="252">
        <f t="shared" si="42"/>
        <v>628.75</v>
      </c>
      <c r="M710" t="str">
        <f t="shared" si="43"/>
        <v>Friday</v>
      </c>
    </row>
  </sheetData>
  <autoFilter ref="L1:M707" xr:uid="{00000000-0009-0000-0000-000003000000}"/>
  <conditionalFormatting sqref="A1:M1">
    <cfRule type="expression" dxfId="8" priority="1">
      <formula>#REF!=TODAY()+1</formula>
    </cfRule>
  </conditionalFormatting>
  <conditionalFormatting sqref="A1047913:M1048212">
    <cfRule type="expression" dxfId="7" priority="3">
      <formula>$A505=TODAY()+1</formula>
    </cfRule>
  </conditionalFormatting>
  <conditionalFormatting sqref="A1048213:M1048576">
    <cfRule type="expression" dxfId="6" priority="2">
      <formula>$A789=TODAY()+1</formula>
    </cfRule>
  </conditionalFormatting>
  <conditionalFormatting sqref="J2:J710">
    <cfRule type="cellIs" dxfId="5" priority="4" operator="lessThan">
      <formula>0</formula>
    </cfRule>
    <cfRule type="cellIs" dxfId="4" priority="5" operator="between">
      <formula>0</formula>
      <formula>500</formula>
    </cfRule>
  </conditionalFormatting>
  <conditionalFormatting sqref="A1047077:M1047912">
    <cfRule type="expression" dxfId="0" priority="11">
      <formula>$A1=TODAY()+1</formula>
    </cfRule>
  </conditionalFormatting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B101-2BAC-4AEE-BEA8-B513DBFA35C1}">
  <dimension ref="A1:L74"/>
  <sheetViews>
    <sheetView workbookViewId="0">
      <pane ySplit="14" topLeftCell="A15" activePane="bottomLeft" state="frozen"/>
      <selection activeCell="G28" sqref="G28"/>
      <selection pane="bottomLeft" activeCell="G28" sqref="G28"/>
    </sheetView>
  </sheetViews>
  <sheetFormatPr defaultRowHeight="13.2" x14ac:dyDescent="0.25"/>
  <cols>
    <col min="1" max="1" width="20" bestFit="1" customWidth="1"/>
    <col min="2" max="2" width="23.6640625" bestFit="1" customWidth="1"/>
    <col min="3" max="3" width="8.5546875" bestFit="1" customWidth="1"/>
    <col min="4" max="4" width="15.6640625" bestFit="1" customWidth="1"/>
    <col min="5" max="5" width="13.5546875" bestFit="1" customWidth="1"/>
    <col min="6" max="6" width="8.5546875" bestFit="1" customWidth="1"/>
    <col min="7" max="7" width="5.33203125" bestFit="1" customWidth="1"/>
    <col min="8" max="8" width="7.6640625" bestFit="1" customWidth="1"/>
    <col min="9" max="9" width="13.21875" bestFit="1" customWidth="1"/>
    <col min="10" max="10" width="14.6640625" bestFit="1" customWidth="1"/>
    <col min="11" max="11" width="19" bestFit="1" customWidth="1"/>
    <col min="12" max="12" width="18.109375" bestFit="1" customWidth="1"/>
  </cols>
  <sheetData>
    <row r="1" spans="1:12" ht="21" x14ac:dyDescent="0.4">
      <c r="A1" s="364" t="str">
        <f>"LOAN AMORTIZATION: "&amp;B4</f>
        <v>LOAN AMORTIZATION: Enter Item Name/Description</v>
      </c>
      <c r="B1" s="364"/>
      <c r="C1" s="364"/>
      <c r="D1" s="364"/>
      <c r="E1" s="364"/>
      <c r="F1" s="364"/>
      <c r="G1" s="364"/>
      <c r="H1" s="364"/>
    </row>
    <row r="3" spans="1:12" x14ac:dyDescent="0.25">
      <c r="A3" s="365" t="s">
        <v>154</v>
      </c>
      <c r="B3" s="366"/>
      <c r="D3" s="365" t="s">
        <v>155</v>
      </c>
      <c r="E3" s="366"/>
    </row>
    <row r="4" spans="1:12" x14ac:dyDescent="0.25">
      <c r="A4" s="254" t="s">
        <v>156</v>
      </c>
      <c r="B4" s="255" t="s">
        <v>157</v>
      </c>
      <c r="D4" s="254" t="s">
        <v>158</v>
      </c>
      <c r="E4" s="256">
        <f>B5</f>
        <v>0</v>
      </c>
    </row>
    <row r="5" spans="1:12" x14ac:dyDescent="0.25">
      <c r="A5" s="254" t="s">
        <v>159</v>
      </c>
      <c r="B5" s="257"/>
      <c r="D5" s="254" t="s">
        <v>160</v>
      </c>
      <c r="E5" s="256">
        <f>SUMIF(H:H,"&gt;0",H:H)</f>
        <v>0</v>
      </c>
    </row>
    <row r="6" spans="1:12" x14ac:dyDescent="0.25">
      <c r="A6" s="254" t="s">
        <v>161</v>
      </c>
      <c r="B6" s="258"/>
      <c r="D6" s="254" t="s">
        <v>162</v>
      </c>
      <c r="E6" s="256">
        <f>E4+E5</f>
        <v>0</v>
      </c>
    </row>
    <row r="7" spans="1:12" x14ac:dyDescent="0.25">
      <c r="A7" s="254" t="s">
        <v>163</v>
      </c>
      <c r="B7" s="259" t="s">
        <v>22</v>
      </c>
      <c r="D7" s="254" t="s">
        <v>164</v>
      </c>
      <c r="E7" s="246">
        <f>MAX(I:I)</f>
        <v>0</v>
      </c>
    </row>
    <row r="8" spans="1:12" x14ac:dyDescent="0.25">
      <c r="A8" s="254" t="s">
        <v>165</v>
      </c>
      <c r="B8" s="259" t="s">
        <v>22</v>
      </c>
      <c r="D8" s="254" t="s">
        <v>166</v>
      </c>
      <c r="E8" s="246">
        <f>COUNTIF(A:A,"&gt;0")</f>
        <v>0</v>
      </c>
    </row>
    <row r="9" spans="1:12" x14ac:dyDescent="0.25">
      <c r="A9" s="254" t="s">
        <v>167</v>
      </c>
      <c r="B9" s="19"/>
      <c r="D9" s="254" t="s">
        <v>166</v>
      </c>
      <c r="E9" s="250">
        <f>COUNTIF(A:A,"&gt;0")</f>
        <v>0</v>
      </c>
    </row>
    <row r="10" spans="1:12" x14ac:dyDescent="0.25">
      <c r="A10" s="254" t="s">
        <v>168</v>
      </c>
      <c r="B10" s="260"/>
    </row>
    <row r="11" spans="1:12" x14ac:dyDescent="0.25">
      <c r="A11" s="254" t="s">
        <v>169</v>
      </c>
      <c r="B11" s="261"/>
    </row>
    <row r="12" spans="1:12" x14ac:dyDescent="0.25">
      <c r="A12" s="254" t="s">
        <v>170</v>
      </c>
      <c r="B12" s="257"/>
    </row>
    <row r="14" spans="1:12" x14ac:dyDescent="0.25">
      <c r="A14" s="262" t="s">
        <v>171</v>
      </c>
      <c r="B14" s="262" t="s">
        <v>172</v>
      </c>
      <c r="C14" s="262" t="s">
        <v>173</v>
      </c>
      <c r="D14" s="262" t="s">
        <v>170</v>
      </c>
      <c r="E14" s="262" t="s">
        <v>174</v>
      </c>
      <c r="F14" s="262" t="s">
        <v>175</v>
      </c>
      <c r="G14" s="262" t="s">
        <v>176</v>
      </c>
      <c r="H14" s="262" t="s">
        <v>177</v>
      </c>
      <c r="I14" s="262" t="s">
        <v>91</v>
      </c>
      <c r="J14" s="262" t="s">
        <v>153</v>
      </c>
      <c r="K14" s="262" t="s">
        <v>178</v>
      </c>
      <c r="L14" s="262" t="s">
        <v>179</v>
      </c>
    </row>
    <row r="15" spans="1:12" x14ac:dyDescent="0.25">
      <c r="A15" t="str">
        <f>IF($B$5&gt;0,1,"")</f>
        <v/>
      </c>
      <c r="B15" s="55" t="str">
        <f>IF(A15="","",$B$5)</f>
        <v/>
      </c>
      <c r="C15" s="55" t="str">
        <f>IF(A15="","",IF(B15+H15&lt;=$B$11,ROUND(B15+H15,2),ROUND($B$11,2)))</f>
        <v/>
      </c>
      <c r="D15" s="55" t="str">
        <f>IF(A15="","",MAX(0,ROUND(MIN($B$12,B15-F15),2)))</f>
        <v/>
      </c>
      <c r="E15" s="55" t="str">
        <f>IF(A15="","",ROUND(C15+D15,2))</f>
        <v/>
      </c>
      <c r="F15" s="55" t="str">
        <f>IF(A15="","",ROUND(C15-H15,2))</f>
        <v/>
      </c>
      <c r="G15" s="263" t="str">
        <f>IF(A15="","",IF($B$7="Daily",DAY(EOMONTH($B$10,0))-DAY($B$10)+1,""))</f>
        <v/>
      </c>
      <c r="H15" s="55" t="str">
        <f>IF(A15="","",IF($B$7="Daily",ROUND(B15*($B$6/365)*G15,2),ROUND(B15*($B$6/$B$9),2)))</f>
        <v/>
      </c>
      <c r="I15" s="241" t="str">
        <f>IF(A15="","",IF($B$7="Daily",EOMONTH($B$10,0),EDATE($B$10,A15-1)))</f>
        <v/>
      </c>
      <c r="J15" s="55" t="str">
        <f>IF(A15="","",ROUND(MAX(0,B15-F15-D15),2))</f>
        <v/>
      </c>
      <c r="K15" s="55" t="str">
        <f>IF(A15="","",ROUND(F15+D15,2))</f>
        <v/>
      </c>
      <c r="L15" s="55" t="str">
        <f>IF(A15="","",H15)</f>
        <v/>
      </c>
    </row>
    <row r="16" spans="1:12" x14ac:dyDescent="0.25">
      <c r="A16" t="str">
        <f>IF(OR(J15&lt;=0,J15=""),"",A15+1)</f>
        <v/>
      </c>
      <c r="B16" s="55" t="str">
        <f>IF(A16="","",J15)</f>
        <v/>
      </c>
      <c r="C16" s="55" t="str">
        <f>IF(A16="","",IF(B16+H16&lt;=$B$11,ROUND(B16+H16,2),ROUND($B$11,2)))</f>
        <v/>
      </c>
      <c r="D16" s="55" t="str">
        <f>IF(A16="","",MAX(0,ROUND(MIN($B$12,B16-F16),2)))</f>
        <v/>
      </c>
      <c r="E16" s="55" t="str">
        <f>IF(A16="","",ROUND(C16+D16,2))</f>
        <v/>
      </c>
      <c r="F16" s="55" t="str">
        <f>IF(A16="","",ROUND(C16-H16,2))</f>
        <v/>
      </c>
      <c r="G16" s="263" t="str">
        <f>IF(A16="","",IF($B$7="Daily",I16-I15,""))</f>
        <v/>
      </c>
      <c r="H16" s="55" t="str">
        <f>IF(A16="","",IF($B$7="Daily",ROUND(B16*($B$6/365)*G16,2),ROUND(B16*($B$6/$B$9),2)))</f>
        <v/>
      </c>
      <c r="I16" s="241" t="str">
        <f>IF(A16="","",IF($B$7="Daily",EOMONTH(I15,1),EDATE($B$10,A16-1)))</f>
        <v/>
      </c>
      <c r="J16" s="55" t="str">
        <f>IF(A16="","",ROUND(MAX(0,B16-F16-D16),2))</f>
        <v/>
      </c>
      <c r="K16" s="55" t="str">
        <f>IF(A16="","",ROUND(K15+F16+D16,2))</f>
        <v/>
      </c>
      <c r="L16" s="55" t="str">
        <f>IF(A16="","",ROUND(L15+H16,2))</f>
        <v/>
      </c>
    </row>
    <row r="17" spans="1:12" x14ac:dyDescent="0.25">
      <c r="A17" t="str">
        <f>IF(OR(J16&lt;=0,J16=""),"",A16+1)</f>
        <v/>
      </c>
      <c r="B17" s="55" t="str">
        <f>IF(A17="","",J16)</f>
        <v/>
      </c>
      <c r="C17" s="55" t="str">
        <f>IF(A17="","",IF(B17+H17&lt;=$B$11,ROUND(B17+H17,2),ROUND($B$11,2)))</f>
        <v/>
      </c>
      <c r="D17" s="55" t="str">
        <f>IF(A17="","",MAX(0,ROUND(MIN($B$12,B17-F17),2)))</f>
        <v/>
      </c>
      <c r="E17" s="55" t="str">
        <f>IF(A17="","",ROUND(C17+D17,2))</f>
        <v/>
      </c>
      <c r="F17" s="55" t="str">
        <f>IF(A17="","",ROUND(C17-H17,2))</f>
        <v/>
      </c>
      <c r="G17" s="263" t="str">
        <f>IF(A17="","",IF($B$7="Daily",I17-I16,""))</f>
        <v/>
      </c>
      <c r="H17" s="55" t="str">
        <f>IF(A17="","",IF($B$7="Daily",ROUND(B17*($B$6/365)*G17,2),ROUND(B17*($B$6/$B$9),2)))</f>
        <v/>
      </c>
      <c r="I17" s="241" t="str">
        <f>IF(A17="","",IF($B$7="Daily",EOMONTH(I16,1),EDATE($B$10,A17-1)))</f>
        <v/>
      </c>
      <c r="J17" s="55" t="str">
        <f>IF(A17="","",ROUND(MAX(0,B17-F17-D17),2))</f>
        <v/>
      </c>
      <c r="K17" s="55" t="str">
        <f>IF(A17="","",ROUND(K16+F17+D17,2))</f>
        <v/>
      </c>
      <c r="L17" s="55" t="str">
        <f>IF(A17="","",ROUND(L16+H17,2))</f>
        <v/>
      </c>
    </row>
    <row r="18" spans="1:12" x14ac:dyDescent="0.25">
      <c r="A18" t="str">
        <f>IF(OR(J17&lt;=0,J17=""),"",A17+1)</f>
        <v/>
      </c>
      <c r="B18" s="55" t="str">
        <f>IF(A18="","",J17)</f>
        <v/>
      </c>
      <c r="C18" s="55" t="str">
        <f>IF(A18="","",IF(B18+H18&lt;=$B$11,ROUND(B18+H18,2),ROUND($B$11,2)))</f>
        <v/>
      </c>
      <c r="D18" s="55" t="str">
        <f>IF(A18="","",MAX(0,ROUND(MIN($B$12,B18-F18),2)))</f>
        <v/>
      </c>
      <c r="E18" s="55" t="str">
        <f>IF(A18="","",ROUND(C18+D18,2))</f>
        <v/>
      </c>
      <c r="F18" s="55" t="str">
        <f>IF(A18="","",ROUND(C18-H18,2))</f>
        <v/>
      </c>
      <c r="G18" s="263" t="str">
        <f>IF(A18="","",IF($B$7="Daily",I18-I17,""))</f>
        <v/>
      </c>
      <c r="H18" s="55" t="str">
        <f>IF(A18="","",IF($B$7="Daily",ROUND(B18*($B$6/365)*G18,2),ROUND(B18*($B$6/$B$9),2)))</f>
        <v/>
      </c>
      <c r="I18" s="241" t="str">
        <f>IF(A18="","",IF($B$7="Daily",EOMONTH(I17,1),EDATE($B$10,A18-1)))</f>
        <v/>
      </c>
      <c r="J18" s="55" t="str">
        <f>IF(A18="","",ROUND(MAX(0,B18-F18-D18),2))</f>
        <v/>
      </c>
      <c r="K18" s="55" t="str">
        <f>IF(A18="","",ROUND(K17+F18+D18,2))</f>
        <v/>
      </c>
      <c r="L18" s="55" t="str">
        <f>IF(A18="","",ROUND(L17+H18,2))</f>
        <v/>
      </c>
    </row>
    <row r="19" spans="1:12" x14ac:dyDescent="0.25">
      <c r="A19" t="str">
        <f>IF(OR(J18&lt;=0,J18=""),"",A18+1)</f>
        <v/>
      </c>
      <c r="B19" s="55" t="str">
        <f>IF(A19="","",J18)</f>
        <v/>
      </c>
      <c r="C19" s="55" t="str">
        <f>IF(A19="","",IF(B19+H19&lt;=$B$11,ROUND(B19+H19,2),ROUND($B$11,2)))</f>
        <v/>
      </c>
      <c r="D19" s="55" t="str">
        <f>IF(A19="","",MAX(0,ROUND(MIN($B$12,B19-F19),2)))</f>
        <v/>
      </c>
      <c r="E19" s="55" t="str">
        <f>IF(A19="","",ROUND(C19+D19,2))</f>
        <v/>
      </c>
      <c r="F19" s="55" t="str">
        <f>IF(A19="","",ROUND(C19-H19,2))</f>
        <v/>
      </c>
      <c r="G19" s="263" t="str">
        <f>IF(A19="","",IF($B$7="Daily",I19-I18,""))</f>
        <v/>
      </c>
      <c r="H19" s="55" t="str">
        <f>IF(A19="","",IF($B$7="Daily",ROUND(B19*($B$6/365)*G19,2),ROUND(B19*($B$6/$B$9),2)))</f>
        <v/>
      </c>
      <c r="I19" s="241" t="str">
        <f>IF(A19="","",IF($B$7="Daily",EOMONTH(I18,1),EDATE($B$10,A19-1)))</f>
        <v/>
      </c>
      <c r="J19" s="55" t="str">
        <f>IF(A19="","",ROUND(MAX(0,B19-F19-D19),2))</f>
        <v/>
      </c>
      <c r="K19" s="55" t="str">
        <f>IF(A19="","",ROUND(K18+F19+D19,2))</f>
        <v/>
      </c>
      <c r="L19" s="55" t="str">
        <f>IF(A19="","",ROUND(L18+H19,2))</f>
        <v/>
      </c>
    </row>
    <row r="20" spans="1:12" x14ac:dyDescent="0.25">
      <c r="A20" t="str">
        <f>IF(OR(J19&lt;=0,J19=""),"",A19+1)</f>
        <v/>
      </c>
      <c r="B20" s="55" t="str">
        <f>IF(A20="","",J19)</f>
        <v/>
      </c>
      <c r="C20" s="55" t="str">
        <f>IF(A20="","",IF(B20+H20&lt;=$B$11,ROUND(B20+H20,2),ROUND($B$11,2)))</f>
        <v/>
      </c>
      <c r="D20" s="55" t="str">
        <f>IF(A20="","",MAX(0,ROUND(MIN($B$12,B20-F20),2)))</f>
        <v/>
      </c>
      <c r="E20" s="55" t="str">
        <f>IF(A20="","",ROUND(C20+D20,2))</f>
        <v/>
      </c>
      <c r="F20" s="55" t="str">
        <f>IF(A20="","",ROUND(C20-H20,2))</f>
        <v/>
      </c>
      <c r="G20" s="263" t="str">
        <f>IF(A20="","",IF($B$7="Daily",I20-I19,""))</f>
        <v/>
      </c>
      <c r="H20" s="55" t="str">
        <f>IF(A20="","",IF($B$7="Daily",ROUND(B20*($B$6/365)*G20,2),ROUND(B20*($B$6/$B$9),2)))</f>
        <v/>
      </c>
      <c r="I20" s="241" t="str">
        <f>IF(A20="","",IF($B$7="Daily",EOMONTH(I19,1),EDATE($B$10,A20-1)))</f>
        <v/>
      </c>
      <c r="J20" s="55" t="str">
        <f>IF(A20="","",ROUND(MAX(0,B20-F20-D20),2))</f>
        <v/>
      </c>
      <c r="K20" s="55" t="str">
        <f>IF(A20="","",ROUND(K19+F20+D20,2))</f>
        <v/>
      </c>
      <c r="L20" s="55" t="str">
        <f>IF(A20="","",ROUND(L19+H20,2))</f>
        <v/>
      </c>
    </row>
    <row r="21" spans="1:12" x14ac:dyDescent="0.25">
      <c r="A21" t="str">
        <f>IF(OR(J20&lt;=0,J20=""),"",A20+1)</f>
        <v/>
      </c>
      <c r="B21" s="55" t="str">
        <f>IF(A21="","",J20)</f>
        <v/>
      </c>
      <c r="C21" s="55" t="str">
        <f>IF(A21="","",IF(B21+H21&lt;=$B$11,ROUND(B21+H21,2),ROUND($B$11,2)))</f>
        <v/>
      </c>
      <c r="D21" s="55" t="str">
        <f>IF(A21="","",MAX(0,ROUND(MIN($B$12,B21-F21),2)))</f>
        <v/>
      </c>
      <c r="E21" s="55" t="str">
        <f>IF(A21="","",ROUND(C21+D21,2))</f>
        <v/>
      </c>
      <c r="F21" s="55" t="str">
        <f>IF(A21="","",ROUND(C21-H21,2))</f>
        <v/>
      </c>
      <c r="G21" s="263" t="str">
        <f>IF(A21="","",IF($B$7="Daily",I21-I20,""))</f>
        <v/>
      </c>
      <c r="H21" s="55" t="str">
        <f>IF(A21="","",IF($B$7="Daily",ROUND(B21*($B$6/365)*G21,2),ROUND(B21*($B$6/$B$9),2)))</f>
        <v/>
      </c>
      <c r="I21" s="241" t="str">
        <f>IF(A21="","",IF($B$7="Daily",EOMONTH(I20,1),EDATE($B$10,A21-1)))</f>
        <v/>
      </c>
      <c r="J21" s="55" t="str">
        <f>IF(A21="","",ROUND(MAX(0,B21-F21-D21),2))</f>
        <v/>
      </c>
      <c r="K21" s="55" t="str">
        <f>IF(A21="","",ROUND(K20+F21+D21,2))</f>
        <v/>
      </c>
      <c r="L21" s="55" t="str">
        <f>IF(A21="","",ROUND(L20+H21,2))</f>
        <v/>
      </c>
    </row>
    <row r="22" spans="1:12" x14ac:dyDescent="0.25">
      <c r="A22" t="str">
        <f>IF(OR(J21&lt;=0,J21=""),"",A21+1)</f>
        <v/>
      </c>
      <c r="B22" s="55" t="str">
        <f>IF(A22="","",J21)</f>
        <v/>
      </c>
      <c r="C22" s="55" t="str">
        <f>IF(A22="","",IF(B22+H22&lt;=$B$11,ROUND(B22+H22,2),ROUND($B$11,2)))</f>
        <v/>
      </c>
      <c r="D22" s="55" t="str">
        <f>IF(A22="","",MAX(0,ROUND(MIN($B$12,B22-F22),2)))</f>
        <v/>
      </c>
      <c r="E22" s="55" t="str">
        <f>IF(A22="","",ROUND(C22+D22,2))</f>
        <v/>
      </c>
      <c r="F22" s="55" t="str">
        <f>IF(A22="","",ROUND(C22-H22,2))</f>
        <v/>
      </c>
      <c r="G22" s="263" t="str">
        <f>IF(A22="","",IF($B$7="Daily",I22-I21,""))</f>
        <v/>
      </c>
      <c r="H22" s="55" t="str">
        <f>IF(A22="","",IF($B$7="Daily",ROUND(B22*($B$6/365)*G22,2),ROUND(B22*($B$6/$B$9),2)))</f>
        <v/>
      </c>
      <c r="I22" s="241" t="str">
        <f>IF(A22="","",IF($B$7="Daily",EOMONTH(I21,1),EDATE($B$10,A22-1)))</f>
        <v/>
      </c>
      <c r="J22" s="55" t="str">
        <f>IF(A22="","",ROUND(MAX(0,B22-F22-D22),2))</f>
        <v/>
      </c>
      <c r="K22" s="55" t="str">
        <f>IF(A22="","",ROUND(K21+F22+D22,2))</f>
        <v/>
      </c>
      <c r="L22" s="55" t="str">
        <f>IF(A22="","",ROUND(L21+H22,2))</f>
        <v/>
      </c>
    </row>
    <row r="23" spans="1:12" x14ac:dyDescent="0.25">
      <c r="A23" t="str">
        <f>IF(OR(J22&lt;=0,J22=""),"",A22+1)</f>
        <v/>
      </c>
      <c r="B23" s="55" t="str">
        <f>IF(A23="","",J22)</f>
        <v/>
      </c>
      <c r="C23" s="55" t="str">
        <f>IF(A23="","",IF(B23+H23&lt;=$B$11,ROUND(B23+H23,2),ROUND($B$11,2)))</f>
        <v/>
      </c>
      <c r="D23" s="55" t="str">
        <f>IF(A23="","",MAX(0,ROUND(MIN($B$12,B23-F23),2)))</f>
        <v/>
      </c>
      <c r="E23" s="55" t="str">
        <f>IF(A23="","",ROUND(C23+D23,2))</f>
        <v/>
      </c>
      <c r="F23" s="55" t="str">
        <f>IF(A23="","",ROUND(C23-H23,2))</f>
        <v/>
      </c>
      <c r="G23" s="263" t="str">
        <f>IF(A23="","",IF($B$7="Daily",I23-I22,""))</f>
        <v/>
      </c>
      <c r="H23" s="55" t="str">
        <f>IF(A23="","",IF($B$7="Daily",ROUND(B23*($B$6/365)*G23,2),ROUND(B23*($B$6/$B$9),2)))</f>
        <v/>
      </c>
      <c r="I23" s="241" t="str">
        <f>IF(A23="","",IF($B$7="Daily",EOMONTH(I22,1),EDATE($B$10,A23-1)))</f>
        <v/>
      </c>
      <c r="J23" s="55" t="str">
        <f>IF(A23="","",ROUND(MAX(0,B23-F23-D23),2))</f>
        <v/>
      </c>
      <c r="K23" s="55" t="str">
        <f>IF(A23="","",ROUND(K22+F23+D23,2))</f>
        <v/>
      </c>
      <c r="L23" s="55" t="str">
        <f>IF(A23="","",ROUND(L22+H23,2))</f>
        <v/>
      </c>
    </row>
    <row r="24" spans="1:12" x14ac:dyDescent="0.25">
      <c r="A24" t="str">
        <f>IF(OR(J23&lt;=0,J23=""),"",A23+1)</f>
        <v/>
      </c>
      <c r="B24" s="55" t="str">
        <f>IF(A24="","",J23)</f>
        <v/>
      </c>
      <c r="C24" s="55" t="str">
        <f>IF(A24="","",IF(B24+H24&lt;=$B$11,ROUND(B24+H24,2),ROUND($B$11,2)))</f>
        <v/>
      </c>
      <c r="D24" s="55" t="str">
        <f>IF(A24="","",MAX(0,ROUND(MIN($B$12,B24-F24),2)))</f>
        <v/>
      </c>
      <c r="E24" s="55" t="str">
        <f>IF(A24="","",ROUND(C24+D24,2))</f>
        <v/>
      </c>
      <c r="F24" s="55" t="str">
        <f>IF(A24="","",ROUND(C24-H24,2))</f>
        <v/>
      </c>
      <c r="G24" s="263" t="str">
        <f>IF(A24="","",IF($B$7="Daily",I24-I23,""))</f>
        <v/>
      </c>
      <c r="H24" s="55" t="str">
        <f>IF(A24="","",IF($B$7="Daily",ROUND(B24*($B$6/365)*G24,2),ROUND(B24*($B$6/$B$9),2)))</f>
        <v/>
      </c>
      <c r="I24" s="241" t="str">
        <f>IF(A24="","",IF($B$7="Daily",EOMONTH(I23,1),EDATE($B$10,A24-1)))</f>
        <v/>
      </c>
      <c r="J24" s="55" t="str">
        <f>IF(A24="","",ROUND(MAX(0,B24-F24-D24),2))</f>
        <v/>
      </c>
      <c r="K24" s="55" t="str">
        <f>IF(A24="","",ROUND(K23+F24+D24,2))</f>
        <v/>
      </c>
      <c r="L24" s="55" t="str">
        <f>IF(A24="","",ROUND(L23+H24,2))</f>
        <v/>
      </c>
    </row>
    <row r="25" spans="1:12" x14ac:dyDescent="0.25">
      <c r="A25" t="str">
        <f>IF(OR(J24&lt;=0,J24=""),"",A24+1)</f>
        <v/>
      </c>
      <c r="B25" s="55" t="str">
        <f>IF(A25="","",J24)</f>
        <v/>
      </c>
      <c r="C25" s="55" t="str">
        <f>IF(A25="","",IF(B25+H25&lt;=$B$11,ROUND(B25+H25,2),ROUND($B$11,2)))</f>
        <v/>
      </c>
      <c r="D25" s="55" t="str">
        <f>IF(A25="","",MAX(0,ROUND(MIN($B$12,B25-F25),2)))</f>
        <v/>
      </c>
      <c r="E25" s="55" t="str">
        <f>IF(A25="","",ROUND(C25+D25,2))</f>
        <v/>
      </c>
      <c r="F25" s="55" t="str">
        <f>IF(A25="","",ROUND(C25-H25,2))</f>
        <v/>
      </c>
      <c r="G25" s="263" t="str">
        <f>IF(A25="","",IF($B$7="Daily",I25-I24,""))</f>
        <v/>
      </c>
      <c r="H25" s="55" t="str">
        <f>IF(A25="","",IF($B$7="Daily",ROUND(B25*($B$6/365)*G25,2),ROUND(B25*($B$6/$B$9),2)))</f>
        <v/>
      </c>
      <c r="I25" s="241" t="str">
        <f>IF(A25="","",IF($B$7="Daily",EOMONTH(I24,1),EDATE($B$10,A25-1)))</f>
        <v/>
      </c>
      <c r="J25" s="55" t="str">
        <f>IF(A25="","",ROUND(MAX(0,B25-F25-D25),2))</f>
        <v/>
      </c>
      <c r="K25" s="55" t="str">
        <f>IF(A25="","",ROUND(K24+F25+D25,2))</f>
        <v/>
      </c>
      <c r="L25" s="55" t="str">
        <f>IF(A25="","",ROUND(L24+H25,2))</f>
        <v/>
      </c>
    </row>
    <row r="26" spans="1:12" x14ac:dyDescent="0.25">
      <c r="A26" t="str">
        <f>IF(OR(J25&lt;=0,J25=""),"",A25+1)</f>
        <v/>
      </c>
      <c r="B26" s="55" t="str">
        <f>IF(A26="","",J25)</f>
        <v/>
      </c>
      <c r="C26" s="55" t="str">
        <f>IF(A26="","",IF(B26+H26&lt;=$B$11,ROUND(B26+H26,2),ROUND($B$11,2)))</f>
        <v/>
      </c>
      <c r="D26" s="55" t="str">
        <f>IF(A26="","",MAX(0,ROUND(MIN($B$12,B26-F26),2)))</f>
        <v/>
      </c>
      <c r="E26" s="55" t="str">
        <f>IF(A26="","",ROUND(C26+D26,2))</f>
        <v/>
      </c>
      <c r="F26" s="55" t="str">
        <f>IF(A26="","",ROUND(C26-H26,2))</f>
        <v/>
      </c>
      <c r="G26" s="263" t="str">
        <f>IF(A26="","",IF($B$7="Daily",I26-I25,""))</f>
        <v/>
      </c>
      <c r="H26" s="55" t="str">
        <f>IF(A26="","",IF($B$7="Daily",ROUND(B26*($B$6/365)*G26,2),ROUND(B26*($B$6/$B$9),2)))</f>
        <v/>
      </c>
      <c r="I26" s="241" t="str">
        <f>IF(A26="","",IF($B$7="Daily",EOMONTH(I25,1),EDATE($B$10,A26-1)))</f>
        <v/>
      </c>
      <c r="J26" s="55" t="str">
        <f>IF(A26="","",ROUND(MAX(0,B26-F26-D26),2))</f>
        <v/>
      </c>
      <c r="K26" s="55" t="str">
        <f>IF(A26="","",ROUND(K25+F26+D26,2))</f>
        <v/>
      </c>
      <c r="L26" s="55" t="str">
        <f>IF(A26="","",ROUND(L25+H26,2))</f>
        <v/>
      </c>
    </row>
    <row r="27" spans="1:12" x14ac:dyDescent="0.25">
      <c r="A27" t="str">
        <f>IF(OR(J26&lt;=0,J26=""),"",A26+1)</f>
        <v/>
      </c>
      <c r="B27" s="55" t="str">
        <f>IF(A27="","",J26)</f>
        <v/>
      </c>
      <c r="C27" s="55" t="str">
        <f>IF(A27="","",IF(B27+H27&lt;=$B$11,ROUND(B27+H27,2),ROUND($B$11,2)))</f>
        <v/>
      </c>
      <c r="D27" s="55" t="str">
        <f>IF(A27="","",MAX(0,ROUND(MIN($B$12,B27-F27),2)))</f>
        <v/>
      </c>
      <c r="E27" s="55" t="str">
        <f>IF(A27="","",ROUND(C27+D27,2))</f>
        <v/>
      </c>
      <c r="F27" s="55" t="str">
        <f>IF(A27="","",ROUND(C27-H27,2))</f>
        <v/>
      </c>
      <c r="G27" s="263" t="str">
        <f>IF(A27="","",IF($B$7="Daily",I27-I26,""))</f>
        <v/>
      </c>
      <c r="H27" s="55" t="str">
        <f>IF(A27="","",IF($B$7="Daily",ROUND(B27*($B$6/365)*G27,2),ROUND(B27*($B$6/$B$9),2)))</f>
        <v/>
      </c>
      <c r="I27" s="241" t="str">
        <f>IF(A27="","",IF($B$7="Daily",EOMONTH(I26,1),EDATE($B$10,A27-1)))</f>
        <v/>
      </c>
      <c r="J27" s="55" t="str">
        <f>IF(A27="","",ROUND(MAX(0,B27-F27-D27),2))</f>
        <v/>
      </c>
      <c r="K27" s="55" t="str">
        <f>IF(A27="","",ROUND(K26+F27+D27,2))</f>
        <v/>
      </c>
      <c r="L27" s="55" t="str">
        <f>IF(A27="","",ROUND(L26+H27,2))</f>
        <v/>
      </c>
    </row>
    <row r="28" spans="1:12" x14ac:dyDescent="0.25">
      <c r="A28" t="str">
        <f>IF(OR(J27&lt;=0,J27=""),"",A27+1)</f>
        <v/>
      </c>
      <c r="B28" s="55" t="str">
        <f>IF(A28="","",J27)</f>
        <v/>
      </c>
      <c r="C28" s="55" t="str">
        <f>IF(A28="","",IF(B28+H28&lt;=$B$11,ROUND(B28+H28,2),ROUND($B$11,2)))</f>
        <v/>
      </c>
      <c r="D28" s="55" t="str">
        <f>IF(A28="","",MAX(0,ROUND(MIN($B$12,B28-F28),2)))</f>
        <v/>
      </c>
      <c r="E28" s="55" t="str">
        <f>IF(A28="","",ROUND(C28+D28,2))</f>
        <v/>
      </c>
      <c r="F28" s="55" t="str">
        <f>IF(A28="","",ROUND(C28-H28,2))</f>
        <v/>
      </c>
      <c r="G28" s="263" t="str">
        <f>IF(A28="","",IF($B$7="Daily",I28-I27,""))</f>
        <v/>
      </c>
      <c r="H28" s="55" t="str">
        <f>IF(A28="","",IF($B$7="Daily",ROUND(B28*($B$6/365)*G28,2),ROUND(B28*($B$6/$B$9),2)))</f>
        <v/>
      </c>
      <c r="I28" s="241" t="str">
        <f>IF(A28="","",IF($B$7="Daily",EOMONTH(I27,1),EDATE($B$10,A28-1)))</f>
        <v/>
      </c>
      <c r="J28" s="55" t="str">
        <f>IF(A28="","",ROUND(MAX(0,B28-F28-D28),2))</f>
        <v/>
      </c>
      <c r="K28" s="55" t="str">
        <f>IF(A28="","",ROUND(K27+F28+D28,2))</f>
        <v/>
      </c>
      <c r="L28" s="55" t="str">
        <f>IF(A28="","",ROUND(L27+H28,2))</f>
        <v/>
      </c>
    </row>
    <row r="29" spans="1:12" x14ac:dyDescent="0.25">
      <c r="A29" t="str">
        <f>IF(OR(J28&lt;=0,J28=""),"",A28+1)</f>
        <v/>
      </c>
      <c r="B29" s="55" t="str">
        <f>IF(A29="","",J28)</f>
        <v/>
      </c>
      <c r="C29" s="55" t="str">
        <f>IF(A29="","",IF(B29+H29&lt;=$B$11,ROUND(B29+H29,2),ROUND($B$11,2)))</f>
        <v/>
      </c>
      <c r="D29" s="55" t="str">
        <f>IF(A29="","",MAX(0,ROUND(MIN($B$12,B29-F29),2)))</f>
        <v/>
      </c>
      <c r="E29" s="55" t="str">
        <f>IF(A29="","",ROUND(C29+D29,2))</f>
        <v/>
      </c>
      <c r="F29" s="55" t="str">
        <f>IF(A29="","",ROUND(C29-H29,2))</f>
        <v/>
      </c>
      <c r="G29" s="263" t="str">
        <f>IF(A29="","",IF($B$7="Daily",I29-I28,""))</f>
        <v/>
      </c>
      <c r="H29" s="55" t="str">
        <f>IF(A29="","",IF($B$7="Daily",ROUND(B29*($B$6/365)*G29,2),ROUND(B29*($B$6/$B$9),2)))</f>
        <v/>
      </c>
      <c r="I29" s="241" t="str">
        <f>IF(A29="","",IF($B$7="Daily",EOMONTH(I28,1),EDATE($B$10,A29-1)))</f>
        <v/>
      </c>
      <c r="J29" s="55" t="str">
        <f>IF(A29="","",ROUND(MAX(0,B29-F29-D29),2))</f>
        <v/>
      </c>
      <c r="K29" s="55" t="str">
        <f>IF(A29="","",ROUND(K28+F29+D29,2))</f>
        <v/>
      </c>
      <c r="L29" s="55" t="str">
        <f>IF(A29="","",ROUND(L28+H29,2))</f>
        <v/>
      </c>
    </row>
    <row r="30" spans="1:12" x14ac:dyDescent="0.25">
      <c r="A30" t="str">
        <f>IF(OR(J29&lt;=0,J29=""),"",A29+1)</f>
        <v/>
      </c>
      <c r="B30" s="55" t="str">
        <f>IF(A30="","",J29)</f>
        <v/>
      </c>
      <c r="C30" s="55" t="str">
        <f>IF(A30="","",IF(B30+H30&lt;=$B$11,ROUND(B30+H30,2),ROUND($B$11,2)))</f>
        <v/>
      </c>
      <c r="D30" s="55" t="str">
        <f>IF(A30="","",MAX(0,ROUND(MIN($B$12,B30-F30),2)))</f>
        <v/>
      </c>
      <c r="E30" s="55" t="str">
        <f>IF(A30="","",ROUND(C30+D30,2))</f>
        <v/>
      </c>
      <c r="F30" s="55" t="str">
        <f>IF(A30="","",ROUND(C30-H30,2))</f>
        <v/>
      </c>
      <c r="G30" s="263" t="str">
        <f>IF(A30="","",IF($B$7="Daily",I30-I29,""))</f>
        <v/>
      </c>
      <c r="H30" s="55" t="str">
        <f>IF(A30="","",IF($B$7="Daily",ROUND(B30*($B$6/365)*G30,2),ROUND(B30*($B$6/$B$9),2)))</f>
        <v/>
      </c>
      <c r="I30" s="241" t="str">
        <f>IF(A30="","",IF($B$7="Daily",EOMONTH(I29,1),EDATE($B$10,A30-1)))</f>
        <v/>
      </c>
      <c r="J30" s="55" t="str">
        <f>IF(A30="","",ROUND(MAX(0,B30-F30-D30),2))</f>
        <v/>
      </c>
      <c r="K30" s="55" t="str">
        <f>IF(A30="","",ROUND(K29+F30+D30,2))</f>
        <v/>
      </c>
      <c r="L30" s="55" t="str">
        <f>IF(A30="","",ROUND(L29+H30,2))</f>
        <v/>
      </c>
    </row>
    <row r="31" spans="1:12" x14ac:dyDescent="0.25">
      <c r="A31" t="str">
        <f>IF(OR(J30&lt;=0,J30=""),"",A30+1)</f>
        <v/>
      </c>
      <c r="B31" s="55" t="str">
        <f>IF(A31="","",J30)</f>
        <v/>
      </c>
      <c r="C31" s="55" t="str">
        <f>IF(A31="","",IF(B31+H31&lt;=$B$11,ROUND(B31+H31,2),ROUND($B$11,2)))</f>
        <v/>
      </c>
      <c r="D31" s="55" t="str">
        <f>IF(A31="","",MAX(0,ROUND(MIN($B$12,B31-F31),2)))</f>
        <v/>
      </c>
      <c r="E31" s="55" t="str">
        <f>IF(A31="","",ROUND(C31+D31,2))</f>
        <v/>
      </c>
      <c r="F31" s="55" t="str">
        <f>IF(A31="","",ROUND(C31-H31,2))</f>
        <v/>
      </c>
      <c r="G31" s="263" t="str">
        <f>IF(A31="","",IF($B$7="Daily",I31-I30,""))</f>
        <v/>
      </c>
      <c r="H31" s="55" t="str">
        <f>IF(A31="","",IF($B$7="Daily",ROUND(B31*($B$6/365)*G31,2),ROUND(B31*($B$6/$B$9),2)))</f>
        <v/>
      </c>
      <c r="I31" s="241" t="str">
        <f>IF(A31="","",IF($B$7="Daily",EOMONTH(I30,1),EDATE($B$10,A31-1)))</f>
        <v/>
      </c>
      <c r="J31" s="55" t="str">
        <f>IF(A31="","",ROUND(MAX(0,B31-F31-D31),2))</f>
        <v/>
      </c>
      <c r="K31" s="55" t="str">
        <f>IF(A31="","",ROUND(K30+F31+D31,2))</f>
        <v/>
      </c>
      <c r="L31" s="55" t="str">
        <f>IF(A31="","",ROUND(L30+H31,2))</f>
        <v/>
      </c>
    </row>
    <row r="32" spans="1:12" x14ac:dyDescent="0.25">
      <c r="A32" t="str">
        <f>IF(OR(J31&lt;=0,J31=""),"",A31+1)</f>
        <v/>
      </c>
      <c r="B32" s="55" t="str">
        <f>IF(A32="","",J31)</f>
        <v/>
      </c>
      <c r="C32" s="55" t="str">
        <f>IF(A32="","",IF(B32+H32&lt;=$B$11,ROUND(B32+H32,2),ROUND($B$11,2)))</f>
        <v/>
      </c>
      <c r="D32" s="55" t="str">
        <f>IF(A32="","",MAX(0,ROUND(MIN($B$12,B32-F32),2)))</f>
        <v/>
      </c>
      <c r="E32" s="55" t="str">
        <f>IF(A32="","",ROUND(C32+D32,2))</f>
        <v/>
      </c>
      <c r="F32" s="55" t="str">
        <f>IF(A32="","",ROUND(C32-H32,2))</f>
        <v/>
      </c>
      <c r="G32" s="263" t="str">
        <f>IF(A32="","",IF($B$7="Daily",I32-I31,""))</f>
        <v/>
      </c>
      <c r="H32" s="55" t="str">
        <f>IF(A32="","",IF($B$7="Daily",ROUND(B32*($B$6/365)*G32,2),ROUND(B32*($B$6/$B$9),2)))</f>
        <v/>
      </c>
      <c r="I32" s="241" t="str">
        <f>IF(A32="","",IF($B$7="Daily",EOMONTH(I31,1),EDATE($B$10,A32-1)))</f>
        <v/>
      </c>
      <c r="J32" s="55" t="str">
        <f>IF(A32="","",ROUND(MAX(0,B32-F32-D32),2))</f>
        <v/>
      </c>
      <c r="K32" s="55" t="str">
        <f>IF(A32="","",ROUND(K31+F32+D32,2))</f>
        <v/>
      </c>
      <c r="L32" s="55" t="str">
        <f>IF(A32="","",ROUND(L31+H32,2))</f>
        <v/>
      </c>
    </row>
    <row r="33" spans="1:12" x14ac:dyDescent="0.25">
      <c r="A33" t="str">
        <f>IF(OR(J32&lt;=0,J32=""),"",A32+1)</f>
        <v/>
      </c>
      <c r="B33" s="55" t="str">
        <f>IF(A33="","",J32)</f>
        <v/>
      </c>
      <c r="C33" s="55" t="str">
        <f>IF(A33="","",IF(B33+H33&lt;=$B$11,ROUND(B33+H33,2),ROUND($B$11,2)))</f>
        <v/>
      </c>
      <c r="D33" s="55" t="str">
        <f>IF(A33="","",MAX(0,ROUND(MIN($B$12,B33-F33),2)))</f>
        <v/>
      </c>
      <c r="E33" s="55" t="str">
        <f>IF(A33="","",ROUND(C33+D33,2))</f>
        <v/>
      </c>
      <c r="F33" s="55" t="str">
        <f>IF(A33="","",ROUND(C33-H33,2))</f>
        <v/>
      </c>
      <c r="G33" s="263" t="str">
        <f>IF(A33="","",IF($B$7="Daily",I33-I32,""))</f>
        <v/>
      </c>
      <c r="H33" s="55" t="str">
        <f>IF(A33="","",IF($B$7="Daily",ROUND(B33*($B$6/365)*G33,2),ROUND(B33*($B$6/$B$9),2)))</f>
        <v/>
      </c>
      <c r="I33" s="241" t="str">
        <f>IF(A33="","",IF($B$7="Daily",EOMONTH(I32,1),EDATE($B$10,A33-1)))</f>
        <v/>
      </c>
      <c r="J33" s="55" t="str">
        <f>IF(A33="","",ROUND(MAX(0,B33-F33-D33),2))</f>
        <v/>
      </c>
      <c r="K33" s="55" t="str">
        <f>IF(A33="","",ROUND(K32+F33+D33,2))</f>
        <v/>
      </c>
      <c r="L33" s="55" t="str">
        <f>IF(A33="","",ROUND(L32+H33,2))</f>
        <v/>
      </c>
    </row>
    <row r="34" spans="1:12" x14ac:dyDescent="0.25">
      <c r="A34" t="str">
        <f>IF(OR(J33&lt;=0,J33=""),"",A33+1)</f>
        <v/>
      </c>
      <c r="B34" s="55" t="str">
        <f>IF(A34="","",J33)</f>
        <v/>
      </c>
      <c r="C34" s="55" t="str">
        <f>IF(A34="","",IF(B34+H34&lt;=$B$11,ROUND(B34+H34,2),ROUND($B$11,2)))</f>
        <v/>
      </c>
      <c r="D34" s="55" t="str">
        <f>IF(A34="","",MAX(0,ROUND(MIN($B$12,B34-F34),2)))</f>
        <v/>
      </c>
      <c r="E34" s="55" t="str">
        <f>IF(A34="","",ROUND(C34+D34,2))</f>
        <v/>
      </c>
      <c r="F34" s="55" t="str">
        <f>IF(A34="","",ROUND(C34-H34,2))</f>
        <v/>
      </c>
      <c r="G34" s="263" t="str">
        <f>IF(A34="","",IF($B$7="Daily",I34-I33,""))</f>
        <v/>
      </c>
      <c r="H34" s="55" t="str">
        <f>IF(A34="","",IF($B$7="Daily",ROUND(B34*($B$6/365)*G34,2),ROUND(B34*($B$6/$B$9),2)))</f>
        <v/>
      </c>
      <c r="I34" s="241" t="str">
        <f>IF(A34="","",IF($B$7="Daily",EOMONTH(I33,1),EDATE($B$10,A34-1)))</f>
        <v/>
      </c>
      <c r="J34" s="55" t="str">
        <f>IF(A34="","",ROUND(MAX(0,B34-F34-D34),2))</f>
        <v/>
      </c>
      <c r="K34" s="55" t="str">
        <f>IF(A34="","",ROUND(K33+F34+D34,2))</f>
        <v/>
      </c>
      <c r="L34" s="55" t="str">
        <f>IF(A34="","",ROUND(L33+H34,2))</f>
        <v/>
      </c>
    </row>
    <row r="35" spans="1:12" x14ac:dyDescent="0.25">
      <c r="A35" t="str">
        <f>IF(OR(J34&lt;=0,J34=""),"",A34+1)</f>
        <v/>
      </c>
      <c r="B35" s="55" t="str">
        <f>IF(A35="","",J34)</f>
        <v/>
      </c>
      <c r="C35" s="55" t="str">
        <f>IF(A35="","",IF(B35+H35&lt;=$B$11,ROUND(B35+H35,2),ROUND($B$11,2)))</f>
        <v/>
      </c>
      <c r="D35" s="55" t="str">
        <f>IF(A35="","",MAX(0,ROUND(MIN($B$12,B35-F35),2)))</f>
        <v/>
      </c>
      <c r="E35" s="55" t="str">
        <f>IF(A35="","",ROUND(C35+D35,2))</f>
        <v/>
      </c>
      <c r="F35" s="55" t="str">
        <f>IF(A35="","",ROUND(C35-H35,2))</f>
        <v/>
      </c>
      <c r="G35" s="263" t="str">
        <f>IF(A35="","",IF($B$7="Daily",I35-I34,""))</f>
        <v/>
      </c>
      <c r="H35" s="55" t="str">
        <f>IF(A35="","",IF($B$7="Daily",ROUND(B35*($B$6/365)*G35,2),ROUND(B35*($B$6/$B$9),2)))</f>
        <v/>
      </c>
      <c r="I35" s="241" t="str">
        <f>IF(A35="","",IF($B$7="Daily",EOMONTH(I34,1),EDATE($B$10,A35-1)))</f>
        <v/>
      </c>
      <c r="J35" s="55" t="str">
        <f>IF(A35="","",ROUND(MAX(0,B35-F35-D35),2))</f>
        <v/>
      </c>
      <c r="K35" s="55" t="str">
        <f>IF(A35="","",ROUND(K34+F35+D35,2))</f>
        <v/>
      </c>
      <c r="L35" s="55" t="str">
        <f>IF(A35="","",ROUND(L34+H35,2))</f>
        <v/>
      </c>
    </row>
    <row r="36" spans="1:12" x14ac:dyDescent="0.25">
      <c r="A36" t="str">
        <f>IF(OR(J35&lt;=0,J35=""),"",A35+1)</f>
        <v/>
      </c>
      <c r="B36" s="55" t="str">
        <f>IF(A36="","",J35)</f>
        <v/>
      </c>
      <c r="C36" s="55" t="str">
        <f>IF(A36="","",IF(B36+H36&lt;=$B$11,ROUND(B36+H36,2),ROUND($B$11,2)))</f>
        <v/>
      </c>
      <c r="D36" s="55" t="str">
        <f>IF(A36="","",MAX(0,ROUND(MIN($B$12,B36-F36),2)))</f>
        <v/>
      </c>
      <c r="E36" s="55" t="str">
        <f>IF(A36="","",ROUND(C36+D36,2))</f>
        <v/>
      </c>
      <c r="F36" s="55" t="str">
        <f>IF(A36="","",ROUND(C36-H36,2))</f>
        <v/>
      </c>
      <c r="G36" s="263" t="str">
        <f>IF(A36="","",IF($B$7="Daily",I36-I35,""))</f>
        <v/>
      </c>
      <c r="H36" s="55" t="str">
        <f>IF(A36="","",IF($B$7="Daily",ROUND(B36*($B$6/365)*G36,2),ROUND(B36*($B$6/$B$9),2)))</f>
        <v/>
      </c>
      <c r="I36" s="241" t="str">
        <f>IF(A36="","",IF($B$7="Daily",EOMONTH(I35,1),EDATE($B$10,A36-1)))</f>
        <v/>
      </c>
      <c r="J36" s="55" t="str">
        <f>IF(A36="","",ROUND(MAX(0,B36-F36-D36),2))</f>
        <v/>
      </c>
      <c r="K36" s="55" t="str">
        <f>IF(A36="","",ROUND(K35+F36+D36,2))</f>
        <v/>
      </c>
      <c r="L36" s="55" t="str">
        <f>IF(A36="","",ROUND(L35+H36,2))</f>
        <v/>
      </c>
    </row>
    <row r="37" spans="1:12" x14ac:dyDescent="0.25">
      <c r="A37" t="str">
        <f>IF(OR(J36&lt;=0,J36=""),"",A36+1)</f>
        <v/>
      </c>
      <c r="B37" s="55" t="str">
        <f>IF(A37="","",J36)</f>
        <v/>
      </c>
      <c r="C37" s="55" t="str">
        <f>IF(A37="","",IF(B37+H37&lt;=$B$11,ROUND(B37+H37,2),ROUND($B$11,2)))</f>
        <v/>
      </c>
      <c r="D37" s="55" t="str">
        <f>IF(A37="","",MAX(0,ROUND(MIN($B$12,B37-F37),2)))</f>
        <v/>
      </c>
      <c r="E37" s="55" t="str">
        <f>IF(A37="","",ROUND(C37+D37,2))</f>
        <v/>
      </c>
      <c r="F37" s="55" t="str">
        <f>IF(A37="","",ROUND(C37-H37,2))</f>
        <v/>
      </c>
      <c r="G37" s="263" t="str">
        <f>IF(A37="","",IF($B$7="Daily",I37-I36,""))</f>
        <v/>
      </c>
      <c r="H37" s="55" t="str">
        <f>IF(A37="","",IF($B$7="Daily",ROUND(B37*($B$6/365)*G37,2),ROUND(B37*($B$6/$B$9),2)))</f>
        <v/>
      </c>
      <c r="I37" s="241" t="str">
        <f>IF(A37="","",IF($B$7="Daily",EOMONTH(I36,1),EDATE($B$10,A37-1)))</f>
        <v/>
      </c>
      <c r="J37" s="55" t="str">
        <f>IF(A37="","",ROUND(MAX(0,B37-F37-D37),2))</f>
        <v/>
      </c>
      <c r="K37" s="55" t="str">
        <f>IF(A37="","",ROUND(K36+F37+D37,2))</f>
        <v/>
      </c>
      <c r="L37" s="55" t="str">
        <f>IF(A37="","",ROUND(L36+H37,2))</f>
        <v/>
      </c>
    </row>
    <row r="38" spans="1:12" x14ac:dyDescent="0.25">
      <c r="A38" t="str">
        <f>IF(OR(J37&lt;=0,J37=""),"",A37+1)</f>
        <v/>
      </c>
      <c r="B38" s="55" t="str">
        <f>IF(A38="","",J37)</f>
        <v/>
      </c>
      <c r="C38" s="55" t="str">
        <f>IF(A38="","",IF(B38+H38&lt;=$B$11,ROUND(B38+H38,2),ROUND($B$11,2)))</f>
        <v/>
      </c>
      <c r="D38" s="55" t="str">
        <f>IF(A38="","",MAX(0,ROUND(MIN($B$12,B38-F38),2)))</f>
        <v/>
      </c>
      <c r="E38" s="55" t="str">
        <f>IF(A38="","",ROUND(C38+D38,2))</f>
        <v/>
      </c>
      <c r="F38" s="55" t="str">
        <f>IF(A38="","",ROUND(C38-H38,2))</f>
        <v/>
      </c>
      <c r="G38" s="263" t="str">
        <f>IF(A38="","",IF($B$7="Daily",I38-I37,""))</f>
        <v/>
      </c>
      <c r="H38" s="55" t="str">
        <f>IF(A38="","",IF($B$7="Daily",ROUND(B38*($B$6/365)*G38,2),ROUND(B38*($B$6/$B$9),2)))</f>
        <v/>
      </c>
      <c r="I38" s="241" t="str">
        <f>IF(A38="","",IF($B$7="Daily",EOMONTH(I37,1),EDATE($B$10,A38-1)))</f>
        <v/>
      </c>
      <c r="J38" s="55" t="str">
        <f>IF(A38="","",ROUND(MAX(0,B38-F38-D38),2))</f>
        <v/>
      </c>
      <c r="K38" s="55" t="str">
        <f>IF(A38="","",ROUND(K37+F38+D38,2))</f>
        <v/>
      </c>
      <c r="L38" s="55" t="str">
        <f>IF(A38="","",ROUND(L37+H38,2))</f>
        <v/>
      </c>
    </row>
    <row r="39" spans="1:12" x14ac:dyDescent="0.25">
      <c r="A39" t="str">
        <f>IF(OR(J38&lt;=0,J38=""),"",A38+1)</f>
        <v/>
      </c>
      <c r="B39" s="55" t="str">
        <f>IF(A39="","",J38)</f>
        <v/>
      </c>
      <c r="C39" s="55" t="str">
        <f>IF(A39="","",IF(B39+H39&lt;=$B$11,ROUND(B39+H39,2),ROUND($B$11,2)))</f>
        <v/>
      </c>
      <c r="D39" s="55" t="str">
        <f>IF(A39="","",MAX(0,ROUND(MIN($B$12,B39-F39),2)))</f>
        <v/>
      </c>
      <c r="E39" s="55" t="str">
        <f>IF(A39="","",ROUND(C39+D39,2))</f>
        <v/>
      </c>
      <c r="F39" s="55" t="str">
        <f>IF(A39="","",ROUND(C39-H39,2))</f>
        <v/>
      </c>
      <c r="G39" s="263" t="str">
        <f>IF(A39="","",IF($B$7="Daily",I39-I38,""))</f>
        <v/>
      </c>
      <c r="H39" s="55" t="str">
        <f>IF(A39="","",IF($B$7="Daily",ROUND(B39*($B$6/365)*G39,2),ROUND(B39*($B$6/$B$9),2)))</f>
        <v/>
      </c>
      <c r="I39" s="241" t="str">
        <f>IF(A39="","",IF($B$7="Daily",EOMONTH(I38,1),EDATE($B$10,A39-1)))</f>
        <v/>
      </c>
      <c r="J39" s="55" t="str">
        <f>IF(A39="","",ROUND(MAX(0,B39-F39-D39),2))</f>
        <v/>
      </c>
      <c r="K39" s="55" t="str">
        <f>IF(A39="","",ROUND(K38+F39+D39,2))</f>
        <v/>
      </c>
      <c r="L39" s="55" t="str">
        <f>IF(A39="","",ROUND(L38+H39,2))</f>
        <v/>
      </c>
    </row>
    <row r="40" spans="1:12" x14ac:dyDescent="0.25">
      <c r="A40" t="str">
        <f>IF(OR(J39&lt;=0,J39=""),"",A39+1)</f>
        <v/>
      </c>
      <c r="B40" s="55" t="str">
        <f>IF(A40="","",J39)</f>
        <v/>
      </c>
      <c r="C40" s="55" t="str">
        <f>IF(A40="","",IF(B40+H40&lt;=$B$11,ROUND(B40+H40,2),ROUND($B$11,2)))</f>
        <v/>
      </c>
      <c r="D40" s="55" t="str">
        <f>IF(A40="","",MAX(0,ROUND(MIN($B$12,B40-F40),2)))</f>
        <v/>
      </c>
      <c r="E40" s="55" t="str">
        <f>IF(A40="","",ROUND(C40+D40,2))</f>
        <v/>
      </c>
      <c r="F40" s="55" t="str">
        <f>IF(A40="","",ROUND(C40-H40,2))</f>
        <v/>
      </c>
      <c r="G40" s="263" t="str">
        <f>IF(A40="","",IF($B$7="Daily",I40-I39,""))</f>
        <v/>
      </c>
      <c r="H40" s="55" t="str">
        <f>IF(A40="","",IF($B$7="Daily",ROUND(B40*($B$6/365)*G40,2),ROUND(B40*($B$6/$B$9),2)))</f>
        <v/>
      </c>
      <c r="I40" s="241" t="str">
        <f>IF(A40="","",IF($B$7="Daily",EOMONTH(I39,1),EDATE($B$10,A40-1)))</f>
        <v/>
      </c>
      <c r="J40" s="55" t="str">
        <f>IF(A40="","",ROUND(MAX(0,B40-F40-D40),2))</f>
        <v/>
      </c>
      <c r="K40" s="55" t="str">
        <f>IF(A40="","",ROUND(K39+F40+D40,2))</f>
        <v/>
      </c>
      <c r="L40" s="55" t="str">
        <f>IF(A40="","",ROUND(L39+H40,2))</f>
        <v/>
      </c>
    </row>
    <row r="41" spans="1:12" x14ac:dyDescent="0.25">
      <c r="A41" t="str">
        <f>IF(OR(J40&lt;=0,J40=""),"",A40+1)</f>
        <v/>
      </c>
      <c r="B41" s="55" t="str">
        <f>IF(A41="","",J40)</f>
        <v/>
      </c>
      <c r="C41" s="55" t="str">
        <f>IF(A41="","",IF(B41+H41&lt;=$B$11,ROUND(B41+H41,2),ROUND($B$11,2)))</f>
        <v/>
      </c>
      <c r="D41" s="55" t="str">
        <f>IF(A41="","",MAX(0,ROUND(MIN($B$12,B41-F41),2)))</f>
        <v/>
      </c>
      <c r="E41" s="55" t="str">
        <f>IF(A41="","",ROUND(C41+D41,2))</f>
        <v/>
      </c>
      <c r="F41" s="55" t="str">
        <f>IF(A41="","",ROUND(C41-H41,2))</f>
        <v/>
      </c>
      <c r="G41" s="263" t="str">
        <f>IF(A41="","",IF($B$7="Daily",I41-I40,""))</f>
        <v/>
      </c>
      <c r="H41" s="55" t="str">
        <f>IF(A41="","",IF($B$7="Daily",ROUND(B41*($B$6/365)*G41,2),ROUND(B41*($B$6/$B$9),2)))</f>
        <v/>
      </c>
      <c r="I41" s="241" t="str">
        <f>IF(A41="","",IF($B$7="Daily",EOMONTH(I40,1),EDATE($B$10,A41-1)))</f>
        <v/>
      </c>
      <c r="J41" s="55" t="str">
        <f>IF(A41="","",ROUND(MAX(0,B41-F41-D41),2))</f>
        <v/>
      </c>
      <c r="K41" s="55" t="str">
        <f>IF(A41="","",ROUND(K40+F41+D41,2))</f>
        <v/>
      </c>
      <c r="L41" s="55" t="str">
        <f>IF(A41="","",ROUND(L40+H41,2))</f>
        <v/>
      </c>
    </row>
    <row r="42" spans="1:12" x14ac:dyDescent="0.25">
      <c r="A42" t="str">
        <f>IF(OR(J41&lt;=0,J41=""),"",A41+1)</f>
        <v/>
      </c>
      <c r="B42" s="55" t="str">
        <f>IF(A42="","",J41)</f>
        <v/>
      </c>
      <c r="C42" s="55" t="str">
        <f>IF(A42="","",IF(B42+H42&lt;=$B$11,ROUND(B42+H42,2),ROUND($B$11,2)))</f>
        <v/>
      </c>
      <c r="D42" s="55" t="str">
        <f>IF(A42="","",MAX(0,ROUND(MIN($B$12,B42-F42),2)))</f>
        <v/>
      </c>
      <c r="E42" s="55" t="str">
        <f>IF(A42="","",ROUND(C42+D42,2))</f>
        <v/>
      </c>
      <c r="F42" s="55" t="str">
        <f>IF(A42="","",ROUND(C42-H42,2))</f>
        <v/>
      </c>
      <c r="G42" s="263" t="str">
        <f>IF(A42="","",IF($B$7="Daily",I42-I41,""))</f>
        <v/>
      </c>
      <c r="H42" s="55" t="str">
        <f>IF(A42="","",IF($B$7="Daily",ROUND(B42*($B$6/365)*G42,2),ROUND(B42*($B$6/$B$9),2)))</f>
        <v/>
      </c>
      <c r="I42" s="241" t="str">
        <f>IF(A42="","",IF($B$7="Daily",EOMONTH(I41,1),EDATE($B$10,A42-1)))</f>
        <v/>
      </c>
      <c r="J42" s="55" t="str">
        <f>IF(A42="","",ROUND(MAX(0,B42-F42-D42),2))</f>
        <v/>
      </c>
      <c r="K42" s="55" t="str">
        <f>IF(A42="","",ROUND(K41+F42+D42,2))</f>
        <v/>
      </c>
      <c r="L42" s="55" t="str">
        <f>IF(A42="","",ROUND(L41+H42,2))</f>
        <v/>
      </c>
    </row>
    <row r="43" spans="1:12" x14ac:dyDescent="0.25">
      <c r="A43" t="str">
        <f>IF(OR(J42&lt;=0,J42=""),"",A42+1)</f>
        <v/>
      </c>
      <c r="B43" s="55" t="str">
        <f>IF(A43="","",J42)</f>
        <v/>
      </c>
      <c r="C43" s="55" t="str">
        <f>IF(A43="","",IF(B43+H43&lt;=$B$11,ROUND(B43+H43,2),ROUND($B$11,2)))</f>
        <v/>
      </c>
      <c r="D43" s="55" t="str">
        <f>IF(A43="","",MAX(0,ROUND(MIN($B$12,B43-F43),2)))</f>
        <v/>
      </c>
      <c r="E43" s="55" t="str">
        <f>IF(A43="","",ROUND(C43+D43,2))</f>
        <v/>
      </c>
      <c r="F43" s="55" t="str">
        <f>IF(A43="","",ROUND(C43-H43,2))</f>
        <v/>
      </c>
      <c r="G43" s="263" t="str">
        <f>IF(A43="","",IF($B$7="Daily",I43-I42,""))</f>
        <v/>
      </c>
      <c r="H43" s="55" t="str">
        <f>IF(A43="","",IF($B$7="Daily",ROUND(B43*($B$6/365)*G43,2),ROUND(B43*($B$6/$B$9),2)))</f>
        <v/>
      </c>
      <c r="I43" s="241" t="str">
        <f>IF(A43="","",IF($B$7="Daily",EOMONTH(I42,1),EDATE($B$10,A43-1)))</f>
        <v/>
      </c>
      <c r="J43" s="55" t="str">
        <f>IF(A43="","",ROUND(MAX(0,B43-F43-D43),2))</f>
        <v/>
      </c>
      <c r="K43" s="55" t="str">
        <f>IF(A43="","",ROUND(K42+F43+D43,2))</f>
        <v/>
      </c>
      <c r="L43" s="55" t="str">
        <f>IF(A43="","",ROUND(L42+H43,2))</f>
        <v/>
      </c>
    </row>
    <row r="44" spans="1:12" x14ac:dyDescent="0.25">
      <c r="A44" t="str">
        <f>IF(OR(J43&lt;=0,J43=""),"",A43+1)</f>
        <v/>
      </c>
      <c r="B44" s="55" t="str">
        <f>IF(A44="","",J43)</f>
        <v/>
      </c>
      <c r="C44" s="55" t="str">
        <f>IF(A44="","",IF(B44+H44&lt;=$B$11,ROUND(B44+H44,2),ROUND($B$11,2)))</f>
        <v/>
      </c>
      <c r="D44" s="55" t="str">
        <f>IF(A44="","",MAX(0,ROUND(MIN($B$12,B44-F44),2)))</f>
        <v/>
      </c>
      <c r="E44" s="55" t="str">
        <f>IF(A44="","",ROUND(C44+D44,2))</f>
        <v/>
      </c>
      <c r="F44" s="55" t="str">
        <f>IF(A44="","",ROUND(C44-H44,2))</f>
        <v/>
      </c>
      <c r="G44" s="263" t="str">
        <f>IF(A44="","",IF($B$7="Daily",I44-I43,""))</f>
        <v/>
      </c>
      <c r="H44" s="55" t="str">
        <f>IF(A44="","",IF($B$7="Daily",ROUND(B44*($B$6/365)*G44,2),ROUND(B44*($B$6/$B$9),2)))</f>
        <v/>
      </c>
      <c r="I44" s="241" t="str">
        <f>IF(A44="","",IF($B$7="Daily",EOMONTH(I43,1),EDATE($B$10,A44-1)))</f>
        <v/>
      </c>
      <c r="J44" s="55" t="str">
        <f>IF(A44="","",ROUND(MAX(0,B44-F44-D44),2))</f>
        <v/>
      </c>
      <c r="K44" s="55" t="str">
        <f>IF(A44="","",ROUND(K43+F44+D44,2))</f>
        <v/>
      </c>
      <c r="L44" s="55" t="str">
        <f>IF(A44="","",ROUND(L43+H44,2))</f>
        <v/>
      </c>
    </row>
    <row r="45" spans="1:12" x14ac:dyDescent="0.25">
      <c r="A45" t="str">
        <f>IF(OR(J44&lt;=0,J44=""),"",A44+1)</f>
        <v/>
      </c>
      <c r="B45" s="55" t="str">
        <f>IF(A45="","",J44)</f>
        <v/>
      </c>
      <c r="C45" s="55" t="str">
        <f>IF(A45="","",IF(B45+H45&lt;=$B$11,ROUND(B45+H45,2),ROUND($B$11,2)))</f>
        <v/>
      </c>
      <c r="D45" s="55" t="str">
        <f>IF(A45="","",MAX(0,ROUND(MIN($B$12,B45-F45),2)))</f>
        <v/>
      </c>
      <c r="E45" s="55" t="str">
        <f>IF(A45="","",ROUND(C45+D45,2))</f>
        <v/>
      </c>
      <c r="F45" s="55" t="str">
        <f>IF(A45="","",ROUND(C45-H45,2))</f>
        <v/>
      </c>
      <c r="G45" s="263" t="str">
        <f>IF(A45="","",IF($B$7="Daily",I45-I44,""))</f>
        <v/>
      </c>
      <c r="H45" s="55" t="str">
        <f>IF(A45="","",IF($B$7="Daily",ROUND(B45*($B$6/365)*G45,2),ROUND(B45*($B$6/$B$9),2)))</f>
        <v/>
      </c>
      <c r="I45" s="241" t="str">
        <f>IF(A45="","",IF($B$7="Daily",EOMONTH(I44,1),EDATE($B$10,A45-1)))</f>
        <v/>
      </c>
      <c r="J45" s="55" t="str">
        <f>IF(A45="","",ROUND(MAX(0,B45-F45-D45),2))</f>
        <v/>
      </c>
      <c r="K45" s="55" t="str">
        <f>IF(A45="","",ROUND(K44+F45+D45,2))</f>
        <v/>
      </c>
      <c r="L45" s="55" t="str">
        <f>IF(A45="","",ROUND(L44+H45,2))</f>
        <v/>
      </c>
    </row>
    <row r="46" spans="1:12" x14ac:dyDescent="0.25">
      <c r="A46" t="str">
        <f>IF(OR(J45&lt;=0,J45=""),"",A45+1)</f>
        <v/>
      </c>
      <c r="B46" s="55" t="str">
        <f>IF(A46="","",J45)</f>
        <v/>
      </c>
      <c r="C46" s="55" t="str">
        <f>IF(A46="","",IF(B46+H46&lt;=$B$11,ROUND(B46+H46,2),ROUND($B$11,2)))</f>
        <v/>
      </c>
      <c r="D46" s="55" t="str">
        <f>IF(A46="","",MAX(0,ROUND(MIN($B$12,B46-F46),2)))</f>
        <v/>
      </c>
      <c r="E46" s="55" t="str">
        <f>IF(A46="","",ROUND(C46+D46,2))</f>
        <v/>
      </c>
      <c r="F46" s="55" t="str">
        <f>IF(A46="","",ROUND(C46-H46,2))</f>
        <v/>
      </c>
      <c r="G46" s="263" t="str">
        <f>IF(A46="","",IF($B$7="Daily",I46-I45,""))</f>
        <v/>
      </c>
      <c r="H46" s="55" t="str">
        <f>IF(A46="","",IF($B$7="Daily",ROUND(B46*($B$6/365)*G46,2),ROUND(B46*($B$6/$B$9),2)))</f>
        <v/>
      </c>
      <c r="I46" s="241" t="str">
        <f>IF(A46="","",IF($B$7="Daily",EOMONTH(I45,1),EDATE($B$10,A46-1)))</f>
        <v/>
      </c>
      <c r="J46" s="55" t="str">
        <f>IF(A46="","",ROUND(MAX(0,B46-F46-D46),2))</f>
        <v/>
      </c>
      <c r="K46" s="55" t="str">
        <f>IF(A46="","",ROUND(K45+F46+D46,2))</f>
        <v/>
      </c>
      <c r="L46" s="55" t="str">
        <f>IF(A46="","",ROUND(L45+H46,2))</f>
        <v/>
      </c>
    </row>
    <row r="47" spans="1:12" x14ac:dyDescent="0.25">
      <c r="A47" t="str">
        <f>IF(OR(J46&lt;=0,J46=""),"",A46+1)</f>
        <v/>
      </c>
      <c r="B47" s="55" t="str">
        <f>IF(A47="","",J46)</f>
        <v/>
      </c>
      <c r="C47" s="55" t="str">
        <f>IF(A47="","",IF(B47+H47&lt;=$B$11,ROUND(B47+H47,2),ROUND($B$11,2)))</f>
        <v/>
      </c>
      <c r="D47" s="55" t="str">
        <f>IF(A47="","",MAX(0,ROUND(MIN($B$12,B47-F47),2)))</f>
        <v/>
      </c>
      <c r="E47" s="55" t="str">
        <f>IF(A47="","",ROUND(C47+D47,2))</f>
        <v/>
      </c>
      <c r="F47" s="55" t="str">
        <f>IF(A47="","",ROUND(C47-H47,2))</f>
        <v/>
      </c>
      <c r="G47" s="263" t="str">
        <f>IF(A47="","",IF($B$7="Daily",I47-I46,""))</f>
        <v/>
      </c>
      <c r="H47" s="55" t="str">
        <f>IF(A47="","",IF($B$7="Daily",ROUND(B47*($B$6/365)*G47,2),ROUND(B47*($B$6/$B$9),2)))</f>
        <v/>
      </c>
      <c r="I47" s="241" t="str">
        <f>IF(A47="","",IF($B$7="Daily",EOMONTH(I46,1),EDATE($B$10,A47-1)))</f>
        <v/>
      </c>
      <c r="J47" s="55" t="str">
        <f>IF(A47="","",ROUND(MAX(0,B47-F47-D47),2))</f>
        <v/>
      </c>
      <c r="K47" s="55" t="str">
        <f>IF(A47="","",ROUND(K46+F47+D47,2))</f>
        <v/>
      </c>
      <c r="L47" s="55" t="str">
        <f>IF(A47="","",ROUND(L46+H47,2))</f>
        <v/>
      </c>
    </row>
    <row r="48" spans="1:12" x14ac:dyDescent="0.25">
      <c r="A48" t="str">
        <f>IF(OR(J47&lt;=0,J47=""),"",A47+1)</f>
        <v/>
      </c>
      <c r="B48" s="55" t="str">
        <f>IF(A48="","",J47)</f>
        <v/>
      </c>
      <c r="C48" s="55" t="str">
        <f>IF(A48="","",IF(B48+H48&lt;=$B$11,ROUND(B48+H48,2),ROUND($B$11,2)))</f>
        <v/>
      </c>
      <c r="D48" s="55" t="str">
        <f>IF(A48="","",MAX(0,ROUND(MIN($B$12,B48-F48),2)))</f>
        <v/>
      </c>
      <c r="E48" s="55" t="str">
        <f>IF(A48="","",ROUND(C48+D48,2))</f>
        <v/>
      </c>
      <c r="F48" s="55" t="str">
        <f>IF(A48="","",ROUND(C48-H48,2))</f>
        <v/>
      </c>
      <c r="G48" s="263" t="str">
        <f>IF(A48="","",IF($B$7="Daily",I48-I47,""))</f>
        <v/>
      </c>
      <c r="H48" s="55" t="str">
        <f>IF(A48="","",IF($B$7="Daily",ROUND(B48*($B$6/365)*G48,2),ROUND(B48*($B$6/$B$9),2)))</f>
        <v/>
      </c>
      <c r="I48" s="241" t="str">
        <f>IF(A48="","",IF($B$7="Daily",EOMONTH(I47,1),EDATE($B$10,A48-1)))</f>
        <v/>
      </c>
      <c r="J48" s="55" t="str">
        <f>IF(A48="","",ROUND(MAX(0,B48-F48-D48),2))</f>
        <v/>
      </c>
      <c r="K48" s="55" t="str">
        <f>IF(A48="","",ROUND(K47+F48+D48,2))</f>
        <v/>
      </c>
      <c r="L48" s="55" t="str">
        <f>IF(A48="","",ROUND(L47+H48,2))</f>
        <v/>
      </c>
    </row>
    <row r="49" spans="1:12" x14ac:dyDescent="0.25">
      <c r="A49" t="str">
        <f>IF(OR(J48&lt;=0,J48=""),"",A48+1)</f>
        <v/>
      </c>
      <c r="B49" s="55" t="str">
        <f>IF(A49="","",J48)</f>
        <v/>
      </c>
      <c r="C49" s="55" t="str">
        <f>IF(A49="","",IF(B49+H49&lt;=$B$11,ROUND(B49+H49,2),ROUND($B$11,2)))</f>
        <v/>
      </c>
      <c r="D49" s="55" t="str">
        <f>IF(A49="","",MAX(0,ROUND(MIN($B$12,B49-F49),2)))</f>
        <v/>
      </c>
      <c r="E49" s="55" t="str">
        <f>IF(A49="","",ROUND(C49+D49,2))</f>
        <v/>
      </c>
      <c r="F49" s="55" t="str">
        <f>IF(A49="","",ROUND(C49-H49,2))</f>
        <v/>
      </c>
      <c r="G49" s="263" t="str">
        <f>IF(A49="","",IF($B$7="Daily",I49-I48,""))</f>
        <v/>
      </c>
      <c r="H49" s="55" t="str">
        <f>IF(A49="","",IF($B$7="Daily",ROUND(B49*($B$6/365)*G49,2),ROUND(B49*($B$6/$B$9),2)))</f>
        <v/>
      </c>
      <c r="I49" s="241" t="str">
        <f>IF(A49="","",IF($B$7="Daily",EOMONTH(I48,1),EDATE($B$10,A49-1)))</f>
        <v/>
      </c>
      <c r="J49" s="55" t="str">
        <f>IF(A49="","",ROUND(MAX(0,B49-F49-D49),2))</f>
        <v/>
      </c>
      <c r="K49" s="55" t="str">
        <f>IF(A49="","",ROUND(K48+F49+D49,2))</f>
        <v/>
      </c>
      <c r="L49" s="55" t="str">
        <f>IF(A49="","",ROUND(L48+H49,2))</f>
        <v/>
      </c>
    </row>
    <row r="50" spans="1:12" x14ac:dyDescent="0.25">
      <c r="A50" t="str">
        <f>IF(OR(J49&lt;=0,J49=""),"",A49+1)</f>
        <v/>
      </c>
      <c r="B50" s="55" t="str">
        <f>IF(A50="","",J49)</f>
        <v/>
      </c>
      <c r="C50" s="55" t="str">
        <f>IF(A50="","",IF(B50+H50&lt;=$B$11,ROUND(B50+H50,2),ROUND($B$11,2)))</f>
        <v/>
      </c>
      <c r="D50" s="55" t="str">
        <f>IF(A50="","",MAX(0,ROUND(MIN($B$12,B50-F50),2)))</f>
        <v/>
      </c>
      <c r="E50" s="55" t="str">
        <f>IF(A50="","",ROUND(C50+D50,2))</f>
        <v/>
      </c>
      <c r="F50" s="55" t="str">
        <f>IF(A50="","",ROUND(C50-H50,2))</f>
        <v/>
      </c>
      <c r="G50" s="263" t="str">
        <f>IF(A50="","",IF($B$7="Daily",I50-I49,""))</f>
        <v/>
      </c>
      <c r="H50" s="55" t="str">
        <f>IF(A50="","",IF($B$7="Daily",ROUND(B50*($B$6/365)*G50,2),ROUND(B50*($B$6/$B$9),2)))</f>
        <v/>
      </c>
      <c r="I50" s="241" t="str">
        <f>IF(A50="","",IF($B$7="Daily",EOMONTH(I49,1),EDATE($B$10,A50-1)))</f>
        <v/>
      </c>
      <c r="J50" s="55" t="str">
        <f>IF(A50="","",ROUND(MAX(0,B50-F50-D50),2))</f>
        <v/>
      </c>
      <c r="K50" s="55" t="str">
        <f>IF(A50="","",ROUND(K49+F50+D50,2))</f>
        <v/>
      </c>
      <c r="L50" s="55" t="str">
        <f>IF(A50="","",ROUND(L49+H50,2))</f>
        <v/>
      </c>
    </row>
    <row r="51" spans="1:12" x14ac:dyDescent="0.25">
      <c r="A51" t="str">
        <f>IF(OR(J50&lt;=0,J50=""),"",A50+1)</f>
        <v/>
      </c>
      <c r="B51" s="55" t="str">
        <f>IF(A51="","",J50)</f>
        <v/>
      </c>
      <c r="C51" s="55" t="str">
        <f>IF(A51="","",IF(B51+H51&lt;=$B$11,ROUND(B51+H51,2),ROUND($B$11,2)))</f>
        <v/>
      </c>
      <c r="D51" s="55" t="str">
        <f>IF(A51="","",MAX(0,ROUND(MIN($B$12,B51-F51),2)))</f>
        <v/>
      </c>
      <c r="E51" s="55" t="str">
        <f>IF(A51="","",ROUND(C51+D51,2))</f>
        <v/>
      </c>
      <c r="F51" s="55" t="str">
        <f>IF(A51="","",ROUND(C51-H51,2))</f>
        <v/>
      </c>
      <c r="G51" s="263" t="str">
        <f>IF(A51="","",IF($B$7="Daily",I51-I50,""))</f>
        <v/>
      </c>
      <c r="H51" s="55" t="str">
        <f>IF(A51="","",IF($B$7="Daily",ROUND(B51*($B$6/365)*G51,2),ROUND(B51*($B$6/$B$9),2)))</f>
        <v/>
      </c>
      <c r="I51" s="241" t="str">
        <f>IF(A51="","",IF($B$7="Daily",EOMONTH(I50,1),EDATE($B$10,A51-1)))</f>
        <v/>
      </c>
      <c r="J51" s="55" t="str">
        <f>IF(A51="","",ROUND(MAX(0,B51-F51-D51),2))</f>
        <v/>
      </c>
      <c r="K51" s="55" t="str">
        <f>IF(A51="","",ROUND(K50+F51+D51,2))</f>
        <v/>
      </c>
      <c r="L51" s="55" t="str">
        <f>IF(A51="","",ROUND(L50+H51,2))</f>
        <v/>
      </c>
    </row>
    <row r="52" spans="1:12" x14ac:dyDescent="0.25">
      <c r="A52" t="str">
        <f>IF(OR(J51&lt;=0,J51=""),"",A51+1)</f>
        <v/>
      </c>
      <c r="B52" s="55" t="str">
        <f>IF(A52="","",J51)</f>
        <v/>
      </c>
      <c r="C52" s="55" t="str">
        <f>IF(A52="","",IF(B52+H52&lt;=$B$11,ROUND(B52+H52,2),ROUND($B$11,2)))</f>
        <v/>
      </c>
      <c r="D52" s="55" t="str">
        <f>IF(A52="","",MAX(0,ROUND(MIN($B$12,B52-F52),2)))</f>
        <v/>
      </c>
      <c r="E52" s="55" t="str">
        <f>IF(A52="","",ROUND(C52+D52,2))</f>
        <v/>
      </c>
      <c r="F52" s="55" t="str">
        <f>IF(A52="","",ROUND(C52-H52,2))</f>
        <v/>
      </c>
      <c r="G52" s="263" t="str">
        <f>IF(A52="","",IF($B$7="Daily",I52-I51,""))</f>
        <v/>
      </c>
      <c r="H52" s="55" t="str">
        <f>IF(A52="","",IF($B$7="Daily",ROUND(B52*($B$6/365)*G52,2),ROUND(B52*($B$6/$B$9),2)))</f>
        <v/>
      </c>
      <c r="I52" s="241" t="str">
        <f>IF(A52="","",IF($B$7="Daily",EOMONTH(I51,1),EDATE($B$10,A52-1)))</f>
        <v/>
      </c>
      <c r="J52" s="55" t="str">
        <f>IF(A52="","",ROUND(MAX(0,B52-F52-D52),2))</f>
        <v/>
      </c>
      <c r="K52" s="55" t="str">
        <f>IF(A52="","",ROUND(K51+F52+D52,2))</f>
        <v/>
      </c>
      <c r="L52" s="55" t="str">
        <f>IF(A52="","",ROUND(L51+H52,2))</f>
        <v/>
      </c>
    </row>
    <row r="53" spans="1:12" x14ac:dyDescent="0.25">
      <c r="A53" t="str">
        <f>IF(OR(J52&lt;=0,J52=""),"",A52+1)</f>
        <v/>
      </c>
      <c r="B53" s="55" t="str">
        <f>IF(A53="","",J52)</f>
        <v/>
      </c>
      <c r="C53" s="55" t="str">
        <f>IF(A53="","",IF(B53+H53&lt;=$B$11,ROUND(B53+H53,2),ROUND($B$11,2)))</f>
        <v/>
      </c>
      <c r="D53" s="55" t="str">
        <f>IF(A53="","",MAX(0,ROUND(MIN($B$12,B53-F53),2)))</f>
        <v/>
      </c>
      <c r="E53" s="55" t="str">
        <f>IF(A53="","",ROUND(C53+D53,2))</f>
        <v/>
      </c>
      <c r="F53" s="55" t="str">
        <f>IF(A53="","",ROUND(C53-H53,2))</f>
        <v/>
      </c>
      <c r="G53" s="263" t="str">
        <f>IF(A53="","",IF($B$7="Daily",I53-I52,""))</f>
        <v/>
      </c>
      <c r="H53" s="55" t="str">
        <f>IF(A53="","",IF($B$7="Daily",ROUND(B53*($B$6/365)*G53,2),ROUND(B53*($B$6/$B$9),2)))</f>
        <v/>
      </c>
      <c r="I53" s="241" t="str">
        <f>IF(A53="","",IF($B$7="Daily",EOMONTH(I52,1),EDATE($B$10,A53-1)))</f>
        <v/>
      </c>
      <c r="J53" s="55" t="str">
        <f>IF(A53="","",ROUND(MAX(0,B53-F53-D53),2))</f>
        <v/>
      </c>
      <c r="K53" s="55" t="str">
        <f>IF(A53="","",ROUND(K52+F53+D53,2))</f>
        <v/>
      </c>
      <c r="L53" s="55" t="str">
        <f>IF(A53="","",ROUND(L52+H53,2))</f>
        <v/>
      </c>
    </row>
    <row r="54" spans="1:12" x14ac:dyDescent="0.25">
      <c r="A54" t="str">
        <f>IF(OR(J53&lt;=0,J53=""),"",A53+1)</f>
        <v/>
      </c>
      <c r="B54" s="55" t="str">
        <f>IF(A54="","",J53)</f>
        <v/>
      </c>
      <c r="C54" s="55" t="str">
        <f>IF(A54="","",IF(B54+H54&lt;=$B$11,ROUND(B54+H54,2),ROUND($B$11,2)))</f>
        <v/>
      </c>
      <c r="D54" s="55" t="str">
        <f>IF(A54="","",MAX(0,ROUND(MIN($B$12,B54-F54),2)))</f>
        <v/>
      </c>
      <c r="E54" s="55" t="str">
        <f>IF(A54="","",ROUND(C54+D54,2))</f>
        <v/>
      </c>
      <c r="F54" s="55" t="str">
        <f>IF(A54="","",ROUND(C54-H54,2))</f>
        <v/>
      </c>
      <c r="G54" s="263" t="str">
        <f>IF(A54="","",IF($B$7="Daily",I54-I53,""))</f>
        <v/>
      </c>
      <c r="H54" s="55" t="str">
        <f>IF(A54="","",IF($B$7="Daily",ROUND(B54*($B$6/365)*G54,2),ROUND(B54*($B$6/$B$9),2)))</f>
        <v/>
      </c>
      <c r="I54" s="241" t="str">
        <f>IF(A54="","",IF($B$7="Daily",EOMONTH(I53,1),EDATE($B$10,A54-1)))</f>
        <v/>
      </c>
      <c r="J54" s="55" t="str">
        <f>IF(A54="","",ROUND(MAX(0,B54-F54-D54),2))</f>
        <v/>
      </c>
      <c r="K54" s="55" t="str">
        <f>IF(A54="","",ROUND(K53+F54+D54,2))</f>
        <v/>
      </c>
      <c r="L54" s="55" t="str">
        <f>IF(A54="","",ROUND(L53+H54,2))</f>
        <v/>
      </c>
    </row>
    <row r="55" spans="1:12" x14ac:dyDescent="0.25">
      <c r="A55" t="str">
        <f>IF(OR(J54&lt;=0,J54=""),"",A54+1)</f>
        <v/>
      </c>
      <c r="B55" s="55" t="str">
        <f>IF(A55="","",J54)</f>
        <v/>
      </c>
      <c r="C55" s="55" t="str">
        <f>IF(A55="","",IF(B55+H55&lt;=$B$11,ROUND(B55+H55,2),ROUND($B$11,2)))</f>
        <v/>
      </c>
      <c r="D55" s="55" t="str">
        <f>IF(A55="","",MAX(0,ROUND(MIN($B$12,B55-F55),2)))</f>
        <v/>
      </c>
      <c r="E55" s="55" t="str">
        <f>IF(A55="","",ROUND(C55+D55,2))</f>
        <v/>
      </c>
      <c r="F55" s="55" t="str">
        <f>IF(A55="","",ROUND(C55-H55,2))</f>
        <v/>
      </c>
      <c r="G55" s="263" t="str">
        <f>IF(A55="","",IF($B$7="Daily",I55-I54,""))</f>
        <v/>
      </c>
      <c r="H55" s="55" t="str">
        <f>IF(A55="","",IF($B$7="Daily",ROUND(B55*($B$6/365)*G55,2),ROUND(B55*($B$6/$B$9),2)))</f>
        <v/>
      </c>
      <c r="I55" s="241" t="str">
        <f>IF(A55="","",IF($B$7="Daily",EOMONTH(I54,1),EDATE($B$10,A55-1)))</f>
        <v/>
      </c>
      <c r="J55" s="55" t="str">
        <f>IF(A55="","",ROUND(MAX(0,B55-F55-D55),2))</f>
        <v/>
      </c>
      <c r="K55" s="55" t="str">
        <f>IF(A55="","",ROUND(K54+F55+D55,2))</f>
        <v/>
      </c>
      <c r="L55" s="55" t="str">
        <f>IF(A55="","",ROUND(L54+H55,2))</f>
        <v/>
      </c>
    </row>
    <row r="56" spans="1:12" x14ac:dyDescent="0.25">
      <c r="A56" t="str">
        <f>IF(OR(J55&lt;=0,J55=""),"",A55+1)</f>
        <v/>
      </c>
      <c r="B56" s="55" t="str">
        <f>IF(A56="","",J55)</f>
        <v/>
      </c>
      <c r="C56" s="55" t="str">
        <f>IF(A56="","",IF(B56+H56&lt;=$B$11,ROUND(B56+H56,2),ROUND($B$11,2)))</f>
        <v/>
      </c>
      <c r="D56" s="55" t="str">
        <f>IF(A56="","",MAX(0,ROUND(MIN($B$12,B56-F56),2)))</f>
        <v/>
      </c>
      <c r="E56" s="55" t="str">
        <f>IF(A56="","",ROUND(C56+D56,2))</f>
        <v/>
      </c>
      <c r="F56" s="55" t="str">
        <f>IF(A56="","",ROUND(C56-H56,2))</f>
        <v/>
      </c>
      <c r="G56" s="263" t="str">
        <f>IF(A56="","",IF($B$7="Daily",I56-I55,""))</f>
        <v/>
      </c>
      <c r="H56" s="55" t="str">
        <f>IF(A56="","",IF($B$7="Daily",ROUND(B56*($B$6/365)*G56,2),ROUND(B56*($B$6/$B$9),2)))</f>
        <v/>
      </c>
      <c r="I56" s="241" t="str">
        <f>IF(A56="","",IF($B$7="Daily",EOMONTH(I55,1),EDATE($B$10,A56-1)))</f>
        <v/>
      </c>
      <c r="J56" s="55" t="str">
        <f>IF(A56="","",ROUND(MAX(0,B56-F56-D56),2))</f>
        <v/>
      </c>
      <c r="K56" s="55" t="str">
        <f>IF(A56="","",ROUND(K55+F56+D56,2))</f>
        <v/>
      </c>
      <c r="L56" s="55" t="str">
        <f>IF(A56="","",ROUND(L55+H56,2))</f>
        <v/>
      </c>
    </row>
    <row r="57" spans="1:12" x14ac:dyDescent="0.25">
      <c r="A57" t="str">
        <f>IF(OR(J56&lt;=0,J56=""),"",A56+1)</f>
        <v/>
      </c>
      <c r="B57" s="55" t="str">
        <f>IF(A57="","",J56)</f>
        <v/>
      </c>
      <c r="C57" s="55" t="str">
        <f>IF(A57="","",IF(B57+H57&lt;=$B$11,ROUND(B57+H57,2),ROUND($B$11,2)))</f>
        <v/>
      </c>
      <c r="D57" s="55" t="str">
        <f>IF(A57="","",MAX(0,ROUND(MIN($B$12,B57-F57),2)))</f>
        <v/>
      </c>
      <c r="E57" s="55" t="str">
        <f>IF(A57="","",ROUND(C57+D57,2))</f>
        <v/>
      </c>
      <c r="F57" s="55" t="str">
        <f>IF(A57="","",ROUND(C57-H57,2))</f>
        <v/>
      </c>
      <c r="G57" s="263" t="str">
        <f>IF(A57="","",IF($B$7="Daily",I57-I56,""))</f>
        <v/>
      </c>
      <c r="H57" s="55" t="str">
        <f>IF(A57="","",IF($B$7="Daily",ROUND(B57*($B$6/365)*G57,2),ROUND(B57*($B$6/$B$9),2)))</f>
        <v/>
      </c>
      <c r="I57" s="241" t="str">
        <f>IF(A57="","",IF($B$7="Daily",EOMONTH(I56,1),EDATE($B$10,A57-1)))</f>
        <v/>
      </c>
      <c r="J57" s="55" t="str">
        <f>IF(A57="","",ROUND(MAX(0,B57-F57-D57),2))</f>
        <v/>
      </c>
      <c r="K57" s="55" t="str">
        <f>IF(A57="","",ROUND(K56+F57+D57,2))</f>
        <v/>
      </c>
      <c r="L57" s="55" t="str">
        <f>IF(A57="","",ROUND(L56+H57,2))</f>
        <v/>
      </c>
    </row>
    <row r="58" spans="1:12" x14ac:dyDescent="0.25">
      <c r="A58" t="str">
        <f>IF(OR(J57&lt;=0,J57=""),"",A57+1)</f>
        <v/>
      </c>
      <c r="B58" s="55" t="str">
        <f>IF(A58="","",J57)</f>
        <v/>
      </c>
      <c r="C58" s="55" t="str">
        <f>IF(A58="","",IF(B58+H58&lt;=$B$11,ROUND(B58+H58,2),ROUND($B$11,2)))</f>
        <v/>
      </c>
      <c r="D58" s="55" t="str">
        <f>IF(A58="","",MAX(0,ROUND(MIN($B$12,B58-F58),2)))</f>
        <v/>
      </c>
      <c r="E58" s="55" t="str">
        <f>IF(A58="","",ROUND(C58+D58,2))</f>
        <v/>
      </c>
      <c r="F58" s="55" t="str">
        <f>IF(A58="","",ROUND(C58-H58,2))</f>
        <v/>
      </c>
      <c r="G58" s="263" t="str">
        <f>IF(A58="","",IF($B$7="Daily",I58-I57,""))</f>
        <v/>
      </c>
      <c r="H58" s="55" t="str">
        <f>IF(A58="","",IF($B$7="Daily",ROUND(B58*($B$6/365)*G58,2),ROUND(B58*($B$6/$B$9),2)))</f>
        <v/>
      </c>
      <c r="I58" s="241" t="str">
        <f>IF(A58="","",IF($B$7="Daily",EOMONTH(I57,1),EDATE($B$10,A58-1)))</f>
        <v/>
      </c>
      <c r="J58" s="55" t="str">
        <f>IF(A58="","",ROUND(MAX(0,B58-F58-D58),2))</f>
        <v/>
      </c>
      <c r="K58" s="55" t="str">
        <f>IF(A58="","",ROUND(K57+F58+D58,2))</f>
        <v/>
      </c>
      <c r="L58" s="55" t="str">
        <f>IF(A58="","",ROUND(L57+H58,2))</f>
        <v/>
      </c>
    </row>
    <row r="59" spans="1:12" x14ac:dyDescent="0.25">
      <c r="A59" t="str">
        <f>IF(OR(J58&lt;=0,J58=""),"",A58+1)</f>
        <v/>
      </c>
      <c r="B59" s="55" t="str">
        <f>IF(A59="","",J58)</f>
        <v/>
      </c>
      <c r="C59" s="55" t="str">
        <f>IF(A59="","",IF(B59+H59&lt;=$B$11,ROUND(B59+H59,2),ROUND($B$11,2)))</f>
        <v/>
      </c>
      <c r="D59" s="55" t="str">
        <f>IF(A59="","",MAX(0,ROUND(MIN($B$12,B59-F59),2)))</f>
        <v/>
      </c>
      <c r="E59" s="55" t="str">
        <f>IF(A59="","",ROUND(C59+D59,2))</f>
        <v/>
      </c>
      <c r="F59" s="55" t="str">
        <f>IF(A59="","",ROUND(C59-H59,2))</f>
        <v/>
      </c>
      <c r="G59" s="263" t="str">
        <f>IF(A59="","",IF($B$7="Daily",I59-I58,""))</f>
        <v/>
      </c>
      <c r="H59" s="55" t="str">
        <f>IF(A59="","",IF($B$7="Daily",ROUND(B59*($B$6/365)*G59,2),ROUND(B59*($B$6/$B$9),2)))</f>
        <v/>
      </c>
      <c r="I59" s="241" t="str">
        <f>IF(A59="","",IF($B$7="Daily",EOMONTH(I58,1),EDATE($B$10,A59-1)))</f>
        <v/>
      </c>
      <c r="J59" s="55" t="str">
        <f>IF(A59="","",ROUND(MAX(0,B59-F59-D59),2))</f>
        <v/>
      </c>
      <c r="K59" s="55" t="str">
        <f>IF(A59="","",ROUND(K58+F59+D59,2))</f>
        <v/>
      </c>
      <c r="L59" s="55" t="str">
        <f>IF(A59="","",ROUND(L58+H59,2))</f>
        <v/>
      </c>
    </row>
    <row r="60" spans="1:12" x14ac:dyDescent="0.25">
      <c r="A60" t="str">
        <f>IF(OR(J59&lt;=0,J59=""),"",A59+1)</f>
        <v/>
      </c>
      <c r="B60" s="55" t="str">
        <f>IF(A60="","",J59)</f>
        <v/>
      </c>
      <c r="C60" s="55" t="str">
        <f>IF(A60="","",IF(B60+H60&lt;=$B$11,ROUND(B60+H60,2),ROUND($B$11,2)))</f>
        <v/>
      </c>
      <c r="D60" s="55" t="str">
        <f>IF(A60="","",MAX(0,ROUND(MIN($B$12,B60-F60),2)))</f>
        <v/>
      </c>
      <c r="E60" s="55" t="str">
        <f>IF(A60="","",ROUND(C60+D60,2))</f>
        <v/>
      </c>
      <c r="F60" s="55" t="str">
        <f>IF(A60="","",ROUND(C60-H60,2))</f>
        <v/>
      </c>
      <c r="G60" s="263" t="str">
        <f>IF(A60="","",IF($B$7="Daily",I60-I59,""))</f>
        <v/>
      </c>
      <c r="H60" s="55" t="str">
        <f>IF(A60="","",IF($B$7="Daily",ROUND(B60*($B$6/365)*G60,2),ROUND(B60*($B$6/$B$9),2)))</f>
        <v/>
      </c>
      <c r="I60" s="241" t="str">
        <f>IF(A60="","",IF($B$7="Daily",EOMONTH(I59,1),EDATE($B$10,A60-1)))</f>
        <v/>
      </c>
      <c r="J60" s="55" t="str">
        <f>IF(A60="","",ROUND(MAX(0,B60-F60-D60),2))</f>
        <v/>
      </c>
      <c r="K60" s="55" t="str">
        <f>IF(A60="","",ROUND(K59+F60+D60,2))</f>
        <v/>
      </c>
      <c r="L60" s="55" t="str">
        <f>IF(A60="","",ROUND(L59+H60,2))</f>
        <v/>
      </c>
    </row>
    <row r="61" spans="1:12" x14ac:dyDescent="0.25">
      <c r="A61" t="str">
        <f>IF(OR(J60&lt;=0,J60=""),"",A60+1)</f>
        <v/>
      </c>
      <c r="B61" s="55" t="str">
        <f>IF(A61="","",J60)</f>
        <v/>
      </c>
      <c r="C61" s="55" t="str">
        <f>IF(A61="","",IF(B61+H61&lt;=$B$11,ROUND(B61+H61,2),ROUND($B$11,2)))</f>
        <v/>
      </c>
      <c r="D61" s="55" t="str">
        <f>IF(A61="","",MAX(0,ROUND(MIN($B$12,B61-F61),2)))</f>
        <v/>
      </c>
      <c r="E61" s="55" t="str">
        <f>IF(A61="","",ROUND(C61+D61,2))</f>
        <v/>
      </c>
      <c r="F61" s="55" t="str">
        <f>IF(A61="","",ROUND(C61-H61,2))</f>
        <v/>
      </c>
      <c r="G61" s="263" t="str">
        <f>IF(A61="","",IF($B$7="Daily",I61-I60,""))</f>
        <v/>
      </c>
      <c r="H61" s="55" t="str">
        <f>IF(A61="","",IF($B$7="Daily",ROUND(B61*($B$6/365)*G61,2),ROUND(B61*($B$6/$B$9),2)))</f>
        <v/>
      </c>
      <c r="I61" s="241" t="str">
        <f>IF(A61="","",IF($B$7="Daily",EOMONTH(I60,1),EDATE($B$10,A61-1)))</f>
        <v/>
      </c>
      <c r="J61" s="55" t="str">
        <f>IF(A61="","",ROUND(MAX(0,B61-F61-D61),2))</f>
        <v/>
      </c>
      <c r="K61" s="55" t="str">
        <f>IF(A61="","",ROUND(K60+F61+D61,2))</f>
        <v/>
      </c>
      <c r="L61" s="55" t="str">
        <f>IF(A61="","",ROUND(L60+H61,2))</f>
        <v/>
      </c>
    </row>
    <row r="62" spans="1:12" x14ac:dyDescent="0.25">
      <c r="A62" t="str">
        <f>IF(OR(J61&lt;=0,J61=""),"",A61+1)</f>
        <v/>
      </c>
      <c r="B62" s="55" t="str">
        <f>IF(A62="","",J61)</f>
        <v/>
      </c>
      <c r="C62" s="55" t="str">
        <f>IF(A62="","",IF(B62+H62&lt;=$B$11,ROUND(B62+H62,2),ROUND($B$11,2)))</f>
        <v/>
      </c>
      <c r="D62" s="55" t="str">
        <f>IF(A62="","",MAX(0,ROUND(MIN($B$12,B62-F62),2)))</f>
        <v/>
      </c>
      <c r="E62" s="55" t="str">
        <f>IF(A62="","",ROUND(C62+D62,2))</f>
        <v/>
      </c>
      <c r="F62" s="55" t="str">
        <f>IF(A62="","",ROUND(C62-H62,2))</f>
        <v/>
      </c>
      <c r="G62" s="263" t="str">
        <f>IF(A62="","",IF($B$7="Daily",I62-I61,""))</f>
        <v/>
      </c>
      <c r="H62" s="55" t="str">
        <f>IF(A62="","",IF($B$7="Daily",ROUND(B62*($B$6/365)*G62,2),ROUND(B62*($B$6/$B$9),2)))</f>
        <v/>
      </c>
      <c r="I62" s="241" t="str">
        <f>IF(A62="","",IF($B$7="Daily",EOMONTH(I61,1),EDATE($B$10,A62-1)))</f>
        <v/>
      </c>
      <c r="J62" s="55" t="str">
        <f>IF(A62="","",ROUND(MAX(0,B62-F62-D62),2))</f>
        <v/>
      </c>
      <c r="K62" s="55" t="str">
        <f>IF(A62="","",ROUND(K61+F62+D62,2))</f>
        <v/>
      </c>
      <c r="L62" s="55" t="str">
        <f>IF(A62="","",ROUND(L61+H62,2))</f>
        <v/>
      </c>
    </row>
    <row r="63" spans="1:12" x14ac:dyDescent="0.25">
      <c r="A63" t="str">
        <f>IF(OR(J62&lt;=0,J62=""),"",A62+1)</f>
        <v/>
      </c>
      <c r="B63" s="55" t="str">
        <f>IF(A63="","",J62)</f>
        <v/>
      </c>
      <c r="C63" s="55" t="str">
        <f>IF(A63="","",IF(B63+H63&lt;=$B$11,ROUND(B63+H63,2),ROUND($B$11,2)))</f>
        <v/>
      </c>
      <c r="D63" s="55" t="str">
        <f>IF(A63="","",MAX(0,ROUND(MIN($B$12,B63-F63),2)))</f>
        <v/>
      </c>
      <c r="E63" s="55" t="str">
        <f>IF(A63="","",ROUND(C63+D63,2))</f>
        <v/>
      </c>
      <c r="F63" s="55" t="str">
        <f>IF(A63="","",ROUND(C63-H63,2))</f>
        <v/>
      </c>
      <c r="G63" s="263" t="str">
        <f>IF(A63="","",IF($B$7="Daily",I63-I62,""))</f>
        <v/>
      </c>
      <c r="H63" s="55" t="str">
        <f>IF(A63="","",IF($B$7="Daily",ROUND(B63*($B$6/365)*G63,2),ROUND(B63*($B$6/$B$9),2)))</f>
        <v/>
      </c>
      <c r="I63" s="241" t="str">
        <f>IF(A63="","",IF($B$7="Daily",EOMONTH(I62,1),EDATE($B$10,A63-1)))</f>
        <v/>
      </c>
      <c r="J63" s="55" t="str">
        <f>IF(A63="","",ROUND(MAX(0,B63-F63-D63),2))</f>
        <v/>
      </c>
      <c r="K63" s="55" t="str">
        <f>IF(A63="","",ROUND(K62+F63+D63,2))</f>
        <v/>
      </c>
      <c r="L63" s="55" t="str">
        <f>IF(A63="","",ROUND(L62+H63,2))</f>
        <v/>
      </c>
    </row>
    <row r="64" spans="1:12" x14ac:dyDescent="0.25">
      <c r="A64" t="str">
        <f>IF(OR(J63&lt;=0,J63=""),"",A63+1)</f>
        <v/>
      </c>
      <c r="B64" s="55" t="str">
        <f>IF(A64="","",J63)</f>
        <v/>
      </c>
      <c r="C64" s="55" t="str">
        <f>IF(A64="","",IF(B64+H64&lt;=$B$11,ROUND(B64+H64,2),ROUND($B$11,2)))</f>
        <v/>
      </c>
      <c r="D64" s="55" t="str">
        <f>IF(A64="","",MAX(0,ROUND(MIN($B$12,B64-F64),2)))</f>
        <v/>
      </c>
      <c r="E64" s="55" t="str">
        <f>IF(A64="","",ROUND(C64+D64,2))</f>
        <v/>
      </c>
      <c r="F64" s="55" t="str">
        <f>IF(A64="","",ROUND(C64-H64,2))</f>
        <v/>
      </c>
      <c r="G64" s="263" t="str">
        <f>IF(A64="","",IF($B$7="Daily",I64-I63,""))</f>
        <v/>
      </c>
      <c r="H64" s="55" t="str">
        <f>IF(A64="","",IF($B$7="Daily",ROUND(B64*($B$6/365)*G64,2),ROUND(B64*($B$6/$B$9),2)))</f>
        <v/>
      </c>
      <c r="I64" s="241" t="str">
        <f>IF(A64="","",IF($B$7="Daily",EOMONTH(I63,1),EDATE($B$10,A64-1)))</f>
        <v/>
      </c>
      <c r="J64" s="55" t="str">
        <f>IF(A64="","",ROUND(MAX(0,B64-F64-D64),2))</f>
        <v/>
      </c>
      <c r="K64" s="55" t="str">
        <f>IF(A64="","",ROUND(K63+F64+D64,2))</f>
        <v/>
      </c>
      <c r="L64" s="55" t="str">
        <f>IF(A64="","",ROUND(L63+H64,2))</f>
        <v/>
      </c>
    </row>
    <row r="65" spans="1:12" x14ac:dyDescent="0.25">
      <c r="A65" t="str">
        <f>IF(OR(J64&lt;=0,J64=""),"",A64+1)</f>
        <v/>
      </c>
      <c r="B65" s="55" t="str">
        <f>IF(A65="","",J64)</f>
        <v/>
      </c>
      <c r="C65" s="55" t="str">
        <f>IF(A65="","",IF(B65+H65&lt;=$B$11,ROUND(B65+H65,2),ROUND($B$11,2)))</f>
        <v/>
      </c>
      <c r="D65" s="55" t="str">
        <f>IF(A65="","",MAX(0,ROUND(MIN($B$12,B65-F65),2)))</f>
        <v/>
      </c>
      <c r="E65" s="55" t="str">
        <f>IF(A65="","",ROUND(C65+D65,2))</f>
        <v/>
      </c>
      <c r="F65" s="55" t="str">
        <f>IF(A65="","",ROUND(C65-H65,2))</f>
        <v/>
      </c>
      <c r="G65" s="263" t="str">
        <f>IF(A65="","",IF($B$7="Daily",I65-I64,""))</f>
        <v/>
      </c>
      <c r="H65" s="55" t="str">
        <f>IF(A65="","",IF($B$7="Daily",ROUND(B65*($B$6/365)*G65,2),ROUND(B65*($B$6/$B$9),2)))</f>
        <v/>
      </c>
      <c r="I65" s="241" t="str">
        <f>IF(A65="","",IF($B$7="Daily",EOMONTH(I64,1),EDATE($B$10,A65-1)))</f>
        <v/>
      </c>
      <c r="J65" s="55" t="str">
        <f>IF(A65="","",ROUND(MAX(0,B65-F65-D65),2))</f>
        <v/>
      </c>
      <c r="K65" s="55" t="str">
        <f>IF(A65="","",ROUND(K64+F65+D65,2))</f>
        <v/>
      </c>
      <c r="L65" s="55" t="str">
        <f>IF(A65="","",ROUND(L64+H65,2))</f>
        <v/>
      </c>
    </row>
    <row r="66" spans="1:12" x14ac:dyDescent="0.25">
      <c r="A66" t="str">
        <f>IF(OR(J65&lt;=0,J65=""),"",A65+1)</f>
        <v/>
      </c>
      <c r="B66" s="55" t="str">
        <f>IF(A66="","",J65)</f>
        <v/>
      </c>
      <c r="C66" s="55" t="str">
        <f>IF(A66="","",IF(B66+H66&lt;=$B$11,ROUND(B66+H66,2),ROUND($B$11,2)))</f>
        <v/>
      </c>
      <c r="D66" s="55" t="str">
        <f>IF(A66="","",MAX(0,ROUND(MIN($B$12,B66-F66),2)))</f>
        <v/>
      </c>
      <c r="E66" s="55" t="str">
        <f>IF(A66="","",ROUND(C66+D66,2))</f>
        <v/>
      </c>
      <c r="F66" s="55" t="str">
        <f>IF(A66="","",ROUND(C66-H66,2))</f>
        <v/>
      </c>
      <c r="G66" s="263" t="str">
        <f>IF(A66="","",IF($B$7="Daily",I66-I65,""))</f>
        <v/>
      </c>
      <c r="H66" s="55" t="str">
        <f>IF(A66="","",IF($B$7="Daily",ROUND(B66*($B$6/365)*G66,2),ROUND(B66*($B$6/$B$9),2)))</f>
        <v/>
      </c>
      <c r="I66" s="241" t="str">
        <f>IF(A66="","",IF($B$7="Daily",EOMONTH(I65,1),EDATE($B$10,A66-1)))</f>
        <v/>
      </c>
      <c r="J66" s="55" t="str">
        <f>IF(A66="","",ROUND(MAX(0,B66-F66-D66),2))</f>
        <v/>
      </c>
      <c r="K66" s="55" t="str">
        <f>IF(A66="","",ROUND(K65+F66+D66,2))</f>
        <v/>
      </c>
      <c r="L66" s="55" t="str">
        <f>IF(A66="","",ROUND(L65+H66,2))</f>
        <v/>
      </c>
    </row>
    <row r="67" spans="1:12" x14ac:dyDescent="0.25">
      <c r="A67" t="str">
        <f>IF(OR(J66&lt;=0,J66=""),"",A66+1)</f>
        <v/>
      </c>
      <c r="B67" s="55" t="str">
        <f>IF(A67="","",J66)</f>
        <v/>
      </c>
      <c r="C67" s="55" t="str">
        <f>IF(A67="","",IF(B67+H67&lt;=$B$11,ROUND(B67+H67,2),ROUND($B$11,2)))</f>
        <v/>
      </c>
      <c r="D67" s="55" t="str">
        <f>IF(A67="","",MAX(0,ROUND(MIN($B$12,B67-F67),2)))</f>
        <v/>
      </c>
      <c r="E67" s="55" t="str">
        <f>IF(A67="","",ROUND(C67+D67,2))</f>
        <v/>
      </c>
      <c r="F67" s="55" t="str">
        <f>IF(A67="","",ROUND(C67-H67,2))</f>
        <v/>
      </c>
      <c r="G67" s="263" t="str">
        <f>IF(A67="","",IF($B$7="Daily",I67-I66,""))</f>
        <v/>
      </c>
      <c r="H67" s="55" t="str">
        <f>IF(A67="","",IF($B$7="Daily",ROUND(B67*($B$6/365)*G67,2),ROUND(B67*($B$6/$B$9),2)))</f>
        <v/>
      </c>
      <c r="I67" s="241" t="str">
        <f>IF(A67="","",IF($B$7="Daily",EOMONTH(I66,1),EDATE($B$10,A67-1)))</f>
        <v/>
      </c>
      <c r="J67" s="55" t="str">
        <f>IF(A67="","",ROUND(MAX(0,B67-F67-D67),2))</f>
        <v/>
      </c>
      <c r="K67" s="55" t="str">
        <f>IF(A67="","",ROUND(K66+F67+D67,2))</f>
        <v/>
      </c>
      <c r="L67" s="55" t="str">
        <f>IF(A67="","",ROUND(L66+H67,2))</f>
        <v/>
      </c>
    </row>
    <row r="68" spans="1:12" x14ac:dyDescent="0.25">
      <c r="A68" t="str">
        <f>IF(OR(J67&lt;=0,J67=""),"",A67+1)</f>
        <v/>
      </c>
      <c r="B68" s="55" t="str">
        <f>IF(A68="","",J67)</f>
        <v/>
      </c>
      <c r="C68" s="55" t="str">
        <f>IF(A68="","",IF(B68+H68&lt;=$B$11,ROUND(B68+H68,2),ROUND($B$11,2)))</f>
        <v/>
      </c>
      <c r="D68" s="55" t="str">
        <f>IF(A68="","",MAX(0,ROUND(MIN($B$12,B68-F68),2)))</f>
        <v/>
      </c>
      <c r="E68" s="55" t="str">
        <f>IF(A68="","",ROUND(C68+D68,2))</f>
        <v/>
      </c>
      <c r="F68" s="55" t="str">
        <f>IF(A68="","",ROUND(C68-H68,2))</f>
        <v/>
      </c>
      <c r="G68" s="263" t="str">
        <f>IF(A68="","",IF($B$7="Daily",I68-I67,""))</f>
        <v/>
      </c>
      <c r="H68" s="55" t="str">
        <f>IF(A68="","",IF($B$7="Daily",ROUND(B68*($B$6/365)*G68,2),ROUND(B68*($B$6/$B$9),2)))</f>
        <v/>
      </c>
      <c r="I68" s="241" t="str">
        <f>IF(A68="","",IF($B$7="Daily",EOMONTH(I67,1),EDATE($B$10,A68-1)))</f>
        <v/>
      </c>
      <c r="J68" s="55" t="str">
        <f>IF(A68="","",ROUND(MAX(0,B68-F68-D68),2))</f>
        <v/>
      </c>
      <c r="K68" s="55" t="str">
        <f>IF(A68="","",ROUND(K67+F68+D68,2))</f>
        <v/>
      </c>
      <c r="L68" s="55" t="str">
        <f>IF(A68="","",ROUND(L67+H68,2))</f>
        <v/>
      </c>
    </row>
    <row r="69" spans="1:12" x14ac:dyDescent="0.25">
      <c r="A69" t="str">
        <f>IF(OR(J68&lt;=0,J68=""),"",A68+1)</f>
        <v/>
      </c>
      <c r="B69" s="55" t="str">
        <f>IF(A69="","",J68)</f>
        <v/>
      </c>
      <c r="C69" s="55" t="str">
        <f>IF(A69="","",IF(B69+H69&lt;=$B$11,ROUND(B69+H69,2),ROUND($B$11,2)))</f>
        <v/>
      </c>
      <c r="D69" s="55" t="str">
        <f>IF(A69="","",MAX(0,ROUND(MIN($B$12,B69-F69),2)))</f>
        <v/>
      </c>
      <c r="E69" s="55" t="str">
        <f>IF(A69="","",ROUND(C69+D69,2))</f>
        <v/>
      </c>
      <c r="F69" s="55" t="str">
        <f>IF(A69="","",ROUND(C69-H69,2))</f>
        <v/>
      </c>
      <c r="G69" s="263" t="str">
        <f>IF(A69="","",IF($B$7="Daily",I69-I68,""))</f>
        <v/>
      </c>
      <c r="H69" s="55" t="str">
        <f>IF(A69="","",IF($B$7="Daily",ROUND(B69*($B$6/365)*G69,2),ROUND(B69*($B$6/$B$9),2)))</f>
        <v/>
      </c>
      <c r="I69" s="241" t="str">
        <f>IF(A69="","",IF($B$7="Daily",EOMONTH(I68,1),EDATE($B$10,A69-1)))</f>
        <v/>
      </c>
      <c r="J69" s="55" t="str">
        <f>IF(A69="","",ROUND(MAX(0,B69-F69-D69),2))</f>
        <v/>
      </c>
      <c r="K69" s="55" t="str">
        <f>IF(A69="","",ROUND(K68+F69+D69,2))</f>
        <v/>
      </c>
      <c r="L69" s="55" t="str">
        <f>IF(A69="","",ROUND(L68+H69,2))</f>
        <v/>
      </c>
    </row>
    <row r="70" spans="1:12" x14ac:dyDescent="0.25">
      <c r="A70" t="str">
        <f>IF(OR(J69&lt;=0,J69=""),"",A69+1)</f>
        <v/>
      </c>
      <c r="B70" s="55" t="str">
        <f>IF(A70="","",J69)</f>
        <v/>
      </c>
      <c r="C70" s="55" t="str">
        <f>IF(A70="","",IF(B70+H70&lt;=$B$11,ROUND(B70+H70,2),ROUND($B$11,2)))</f>
        <v/>
      </c>
      <c r="D70" s="55" t="str">
        <f>IF(A70="","",MAX(0,ROUND(MIN($B$12,B70-F70),2)))</f>
        <v/>
      </c>
      <c r="E70" s="55" t="str">
        <f>IF(A70="","",ROUND(C70+D70,2))</f>
        <v/>
      </c>
      <c r="F70" s="55" t="str">
        <f>IF(A70="","",ROUND(C70-H70,2))</f>
        <v/>
      </c>
      <c r="G70" s="263" t="str">
        <f>IF(A70="","",IF($B$7="Daily",I70-I69,""))</f>
        <v/>
      </c>
      <c r="H70" s="55" t="str">
        <f>IF(A70="","",IF($B$7="Daily",ROUND(B70*($B$6/365)*G70,2),ROUND(B70*($B$6/$B$9),2)))</f>
        <v/>
      </c>
      <c r="I70" s="241" t="str">
        <f>IF(A70="","",IF($B$7="Daily",EOMONTH(I69,1),EDATE($B$10,A70-1)))</f>
        <v/>
      </c>
      <c r="J70" s="55" t="str">
        <f>IF(A70="","",ROUND(MAX(0,B70-F70-D70),2))</f>
        <v/>
      </c>
      <c r="K70" s="55" t="str">
        <f>IF(A70="","",ROUND(K69+F70+D70,2))</f>
        <v/>
      </c>
      <c r="L70" s="55" t="str">
        <f>IF(A70="","",ROUND(L69+H70,2))</f>
        <v/>
      </c>
    </row>
    <row r="71" spans="1:12" x14ac:dyDescent="0.25">
      <c r="A71" t="str">
        <f>IF(OR(J70&lt;=0,J70=""),"",A70+1)</f>
        <v/>
      </c>
      <c r="B71" s="55" t="str">
        <f>IF(A71="","",J70)</f>
        <v/>
      </c>
      <c r="C71" s="55" t="str">
        <f>IF(A71="","",IF(B71+H71&lt;=$B$11,ROUND(B71+H71,2),ROUND($B$11,2)))</f>
        <v/>
      </c>
      <c r="D71" s="55" t="str">
        <f>IF(A71="","",MAX(0,ROUND(MIN($B$12,B71-F71),2)))</f>
        <v/>
      </c>
      <c r="E71" s="55" t="str">
        <f>IF(A71="","",ROUND(C71+D71,2))</f>
        <v/>
      </c>
      <c r="F71" s="55" t="str">
        <f>IF(A71="","",ROUND(C71-H71,2))</f>
        <v/>
      </c>
      <c r="G71" s="263" t="str">
        <f>IF(A71="","",IF($B$7="Daily",I71-I70,""))</f>
        <v/>
      </c>
      <c r="H71" s="55" t="str">
        <f>IF(A71="","",IF($B$7="Daily",ROUND(B71*($B$6/365)*G71,2),ROUND(B71*($B$6/$B$9),2)))</f>
        <v/>
      </c>
      <c r="I71" s="241" t="str">
        <f>IF(A71="","",IF($B$7="Daily",EOMONTH(I70,1),EDATE($B$10,A71-1)))</f>
        <v/>
      </c>
      <c r="J71" s="55" t="str">
        <f>IF(A71="","",ROUND(MAX(0,B71-F71-D71),2))</f>
        <v/>
      </c>
      <c r="K71" s="55" t="str">
        <f>IF(A71="","",ROUND(K70+F71+D71,2))</f>
        <v/>
      </c>
      <c r="L71" s="55" t="str">
        <f>IF(A71="","",ROUND(L70+H71,2))</f>
        <v/>
      </c>
    </row>
    <row r="72" spans="1:12" x14ac:dyDescent="0.25">
      <c r="A72" t="str">
        <f>IF(OR(J71&lt;=0,J71=""),"",A71+1)</f>
        <v/>
      </c>
      <c r="B72" s="55" t="str">
        <f>IF(A72="","",J71)</f>
        <v/>
      </c>
      <c r="C72" s="55" t="str">
        <f>IF(A72="","",IF(B72+H72&lt;=$B$11,ROUND(B72+H72,2),ROUND($B$11,2)))</f>
        <v/>
      </c>
      <c r="D72" s="55" t="str">
        <f>IF(A72="","",MAX(0,ROUND(MIN($B$12,B72-F72),2)))</f>
        <v/>
      </c>
      <c r="E72" s="55" t="str">
        <f>IF(A72="","",ROUND(C72+D72,2))</f>
        <v/>
      </c>
      <c r="F72" s="55" t="str">
        <f>IF(A72="","",ROUND(C72-H72,2))</f>
        <v/>
      </c>
      <c r="G72" s="263" t="str">
        <f>IF(A72="","",IF($B$7="Daily",I72-I71,""))</f>
        <v/>
      </c>
      <c r="H72" s="55" t="str">
        <f>IF(A72="","",IF($B$7="Daily",ROUND(B72*($B$6/365)*G72,2),ROUND(B72*($B$6/$B$9),2)))</f>
        <v/>
      </c>
      <c r="I72" s="241" t="str">
        <f>IF(A72="","",IF($B$7="Daily",EOMONTH(I71,1),EDATE($B$10,A72-1)))</f>
        <v/>
      </c>
      <c r="J72" s="55" t="str">
        <f>IF(A72="","",ROUND(MAX(0,B72-F72-D72),2))</f>
        <v/>
      </c>
      <c r="K72" s="55" t="str">
        <f>IF(A72="","",ROUND(K71+F72+D72,2))</f>
        <v/>
      </c>
      <c r="L72" s="55" t="str">
        <f>IF(A72="","",ROUND(L71+H72,2))</f>
        <v/>
      </c>
    </row>
    <row r="73" spans="1:12" x14ac:dyDescent="0.25">
      <c r="A73" t="str">
        <f>IF(OR(J72&lt;=0,J72=""),"",A72+1)</f>
        <v/>
      </c>
      <c r="B73" s="55" t="str">
        <f>IF(A73="","",J72)</f>
        <v/>
      </c>
      <c r="C73" s="55" t="str">
        <f>IF(A73="","",IF(B73+H73&lt;=$B$11,ROUND(B73+H73,2),ROUND($B$11,2)))</f>
        <v/>
      </c>
      <c r="D73" s="55" t="str">
        <f>IF(A73="","",MAX(0,ROUND(MIN($B$12,B73-F73),2)))</f>
        <v/>
      </c>
      <c r="E73" s="55" t="str">
        <f>IF(A73="","",ROUND(C73+D73,2))</f>
        <v/>
      </c>
      <c r="F73" s="55" t="str">
        <f>IF(A73="","",ROUND(C73-H73,2))</f>
        <v/>
      </c>
      <c r="G73" s="263" t="str">
        <f>IF(A73="","",IF($B$7="Daily",I73-I72,""))</f>
        <v/>
      </c>
      <c r="H73" s="55" t="str">
        <f>IF(A73="","",IF($B$7="Daily",ROUND(B73*($B$6/365)*G73,2),ROUND(B73*($B$6/$B$9),2)))</f>
        <v/>
      </c>
      <c r="I73" s="241" t="str">
        <f>IF(A73="","",IF($B$7="Daily",EOMONTH(I72,1),EDATE($B$10,A73-1)))</f>
        <v/>
      </c>
      <c r="J73" s="55" t="str">
        <f>IF(A73="","",ROUND(MAX(0,B73-F73-D73),2))</f>
        <v/>
      </c>
      <c r="K73" s="55" t="str">
        <f>IF(A73="","",ROUND(K72+F73+D73,2))</f>
        <v/>
      </c>
      <c r="L73" s="55" t="str">
        <f>IF(A73="","",ROUND(L72+H73,2))</f>
        <v/>
      </c>
    </row>
    <row r="74" spans="1:12" x14ac:dyDescent="0.25">
      <c r="A74" t="str">
        <f>IF(OR(J73&lt;=0,J73=""),"",A73+1)</f>
        <v/>
      </c>
      <c r="B74" s="55" t="str">
        <f>IF(A74="","",J73)</f>
        <v/>
      </c>
      <c r="C74" s="55" t="str">
        <f>IF(A74="","",IF(B74+H74&lt;=$B$11,ROUND(B74+H74,2),ROUND($B$11,2)))</f>
        <v/>
      </c>
      <c r="D74" s="55" t="str">
        <f>IF(A74="","",MAX(0,ROUND(MIN($B$12,B74-F74),2)))</f>
        <v/>
      </c>
      <c r="E74" s="55" t="str">
        <f>IF(A74="","",ROUND(C74+D74,2))</f>
        <v/>
      </c>
      <c r="F74" s="55" t="str">
        <f>IF(A74="","",ROUND(C74-H74,2))</f>
        <v/>
      </c>
      <c r="G74" s="263" t="str">
        <f>IF(A74="","",IF($B$7="Daily",I74-I73,""))</f>
        <v/>
      </c>
      <c r="H74" s="55" t="str">
        <f>IF(A74="","",IF($B$7="Daily",ROUND(B74*($B$6/365)*G74,2),ROUND(B74*($B$6/$B$9),2)))</f>
        <v/>
      </c>
      <c r="I74" s="241" t="str">
        <f>IF(A74="","",IF($B$7="Daily",EOMONTH(I73,1),EDATE($B$10,A74-1)))</f>
        <v/>
      </c>
      <c r="J74" s="55" t="str">
        <f>IF(A74="","",ROUND(MAX(0,B74-F74-D74),2))</f>
        <v/>
      </c>
      <c r="K74" s="55" t="str">
        <f>IF(A74="","",ROUND(K73+F74+D74,2))</f>
        <v/>
      </c>
      <c r="L74" s="55" t="str">
        <f>IF(A74="","",ROUND(L73+H74,2))</f>
        <v/>
      </c>
    </row>
  </sheetData>
  <mergeCells count="3">
    <mergeCell ref="A1:H1"/>
    <mergeCell ref="A3:B3"/>
    <mergeCell ref="D3:E3"/>
  </mergeCells>
  <conditionalFormatting sqref="A15:L74">
    <cfRule type="expression" dxfId="3" priority="2">
      <formula>MOD(ROW(),2)=0</formula>
    </cfRule>
    <cfRule type="expression" dxfId="2" priority="3">
      <formula>AND(MONTH($I15)=MONTH(TODAY()),YEAR($I15)=YEAR(TODAY()),$I15&lt;&gt;"")</formula>
    </cfRule>
  </conditionalFormatting>
  <conditionalFormatting sqref="J15:J74">
    <cfRule type="cellIs" dxfId="1" priority="1" operator="equal">
      <formula>0</formula>
    </cfRule>
  </conditionalFormatting>
  <dataValidations count="3">
    <dataValidation type="list" allowBlank="1" showInputMessage="1" showErrorMessage="1" sqref="B7:B8" xr:uid="{E20DBAB1-749E-4606-8485-392B980FD630}">
      <formula1>"Monthly,Daily"</formula1>
    </dataValidation>
    <dataValidation type="decimal" allowBlank="1" showInputMessage="1" showErrorMessage="1" sqref="B6" xr:uid="{DD5E271B-3B57-469C-9595-E90D844A228E}">
      <formula1>0</formula1>
      <formula2>1</formula2>
    </dataValidation>
    <dataValidation type="decimal" allowBlank="1" showInputMessage="1" showErrorMessage="1" sqref="B5" xr:uid="{FDA63595-DBF8-44BF-AEB3-A191AA914965}">
      <formula1>0</formula1>
      <formula2>1000000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Dashboard</vt:lpstr>
      <vt:lpstr>Main Budget</vt:lpstr>
      <vt:lpstr>Mortgage Checking</vt:lpstr>
      <vt:lpstr>HOA Savings</vt:lpstr>
      <vt:lpstr>Bills Checking</vt:lpstr>
      <vt:lpstr>Loan Amortization</vt:lpstr>
      <vt:lpstr>'Loan Amortization'!Print_Area</vt:lpstr>
      <vt:lpstr>'Main Budget'!Print_Area</vt:lpstr>
      <vt:lpstr>'Loan Amortization'!Print_Titles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Kemp</dc:creator>
  <cp:lastModifiedBy>Jon Kemp</cp:lastModifiedBy>
  <dcterms:created xsi:type="dcterms:W3CDTF">2026-07-29T22:06:47Z</dcterms:created>
  <dcterms:modified xsi:type="dcterms:W3CDTF">2026-07-29T22:37:04Z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2026-07-29T22:07:59Z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baceeda3-adc3-4d4e-95c3-e2b8dc120127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