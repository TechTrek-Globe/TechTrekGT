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echTrek Finance\"/>
    </mc:Choice>
  </mc:AlternateContent>
  <bookViews>
    <workbookView xWindow="0" yWindow="0" windowWidth="22400" windowHeight="9510"/>
  </bookViews>
  <sheets>
    <sheet name="Main Budget" sheetId="1" r:id="rId1"/>
    <sheet name="Mortgage Checking" sheetId="2" r:id="rId2"/>
    <sheet name="HOA Savings" sheetId="3" r:id="rId3"/>
    <sheet name="Bills Checking" sheetId="4" r:id="rId4"/>
  </sheets>
  <definedNames>
    <definedName name="_xlnm._FilterDatabase" localSheetId="3" hidden="1">'Bills Checking'!$N$2:$N$218</definedName>
    <definedName name="ActualNumberOfPayments" localSheetId="2">IFERROR(IF('HOA Savings'!LoanIsGood,IF('HOA Savings'!PaymentsPerYear=1,1,MATCH(0.01,'HOA Savings'!End_Bal,-1)+1)),"")</definedName>
    <definedName name="ActualNumberOfPayments">IFERROR(IF(LoanIsGood,IF(PaymentsPerYear=1,1,MATCH(0.01,End_Bal,-1)+1)),"")</definedName>
    <definedName name="ColumnTitle1" localSheetId="2">#REF!</definedName>
    <definedName name="ColumnTitle1">#REF!</definedName>
    <definedName name="End_Bal" localSheetId="2">#REF!</definedName>
    <definedName name="End_Bal">#REF!</definedName>
    <definedName name="ExtraPayments" localSheetId="2">#REF!</definedName>
    <definedName name="ExtraPayments">#REF!</definedName>
    <definedName name="InterestRate" localSheetId="2">#REF!</definedName>
    <definedName name="InterestRate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astCol" localSheetId="2">MATCH(REPT("z",255),#REF!)</definedName>
    <definedName name="LastCol">MATCH(REPT("z",255),#REF!)</definedName>
    <definedName name="LastRow" localSheetId="2">MATCH(9.99E+307,#REF!)</definedName>
    <definedName name="LastRow">MATCH(9.99E+307,#REF!)</definedName>
    <definedName name="LenderName" localSheetId="2">#REF!</definedName>
    <definedName name="LenderName">#REF!</definedName>
    <definedName name="LoanAmount" localSheetId="2">#REF!</definedName>
    <definedName name="LoanAmount">#REF!</definedName>
    <definedName name="LoanIsGood" localSheetId="2">(#REF!*#REF!*#REF!*#REF!)&gt;0</definedName>
    <definedName name="LoanIsGood">(#REF!*#REF!*#REF!*#REF!)&gt;0</definedName>
    <definedName name="LoanPeriod" localSheetId="2">#REF!</definedName>
    <definedName name="LoanPeriod">#REF!</definedName>
    <definedName name="LoanStartDate" localSheetId="2">#REF!</definedName>
    <definedName name="LoanStartDate">#REF!</definedName>
    <definedName name="PaymentsPerYear" localSheetId="2">#REF!</definedName>
    <definedName name="PaymentsPerYear">#REF!</definedName>
    <definedName name="_xlnm.Print_Area" localSheetId="0">'Main Budget'!$B$1:$F$25</definedName>
    <definedName name="PrintArea_SET" localSheetId="2">OFFSET(#REF!,,,'HOA Savings'!LastRow,'HOA Savings'!LastCol)</definedName>
    <definedName name="PrintArea_SET">OFFSET(#REF!,,,LastRow,LastCol)</definedName>
    <definedName name="roundOpt" localSheetId="2">#REF!</definedName>
    <definedName name="roundOpt">#REF!</definedName>
    <definedName name="RowTitleRegion1..E9" localSheetId="2">#REF!</definedName>
    <definedName name="RowTitleRegion1..E9">#REF!</definedName>
    <definedName name="RowTitleRegion2..I7" localSheetId="2">#REF!</definedName>
    <definedName name="RowTitleRegion2..I7">#REF!</definedName>
    <definedName name="RowTitleRegion3..E9" localSheetId="2">#REF!</definedName>
    <definedName name="RowTitleRegion3..E9">#REF!</definedName>
    <definedName name="RowTitleRegion4..H9" localSheetId="2">#REF!</definedName>
    <definedName name="RowTitleRegion4..H9">#REF!</definedName>
    <definedName name="ScheduledNumberOfPayments" localSheetId="2">#REF!</definedName>
    <definedName name="ScheduledNumberOfPayments">#REF!</definedName>
    <definedName name="ScheduledPayment" localSheetId="2">#REF!</definedName>
    <definedName name="ScheduledPayment">#REF!</definedName>
    <definedName name="TotalEarlyPayments" localSheetId="2">SUM(#REF!)</definedName>
    <definedName name="TotalEarlyPayments">SUM(#REF!)</definedName>
    <definedName name="TotalInterest" localSheetId="2">SUM(#REF!)</definedName>
    <definedName name="TotalInterest">SUM(#REF!)</definedName>
    <definedName name="valuevx">42.314159</definedName>
    <definedName name="vertex42_copyright" hidden="1">"© 2008-2018 Vertex42 LLC"</definedName>
    <definedName name="vertex42_id" hidden="1">"simple-interest-loan-calculator.xlsx"</definedName>
    <definedName name="vertex42_title" hidden="1">"Simple Interest Loan Calculator"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18" i="3" l="1"/>
  <c r="F218" i="3"/>
  <c r="G218" i="3"/>
  <c r="H218" i="3"/>
  <c r="E219" i="3"/>
  <c r="F219" i="3"/>
  <c r="G219" i="3"/>
  <c r="H219" i="3"/>
  <c r="E220" i="3"/>
  <c r="F220" i="3"/>
  <c r="G220" i="3"/>
  <c r="H220" i="3"/>
  <c r="E221" i="3"/>
  <c r="F221" i="3"/>
  <c r="G221" i="3"/>
  <c r="H221" i="3"/>
  <c r="E222" i="3"/>
  <c r="F222" i="3"/>
  <c r="G222" i="3"/>
  <c r="H222" i="3"/>
  <c r="E223" i="3"/>
  <c r="F223" i="3"/>
  <c r="G223" i="3"/>
  <c r="H223" i="3"/>
  <c r="E224" i="3"/>
  <c r="F224" i="3"/>
  <c r="G224" i="3"/>
  <c r="H224" i="3"/>
  <c r="E225" i="3"/>
  <c r="F225" i="3"/>
  <c r="G225" i="3"/>
  <c r="H225" i="3"/>
  <c r="E226" i="3"/>
  <c r="F226" i="3"/>
  <c r="G226" i="3"/>
  <c r="H226" i="3"/>
  <c r="E227" i="3"/>
  <c r="F227" i="3"/>
  <c r="G227" i="3"/>
  <c r="H227" i="3"/>
  <c r="E228" i="3"/>
  <c r="F228" i="3"/>
  <c r="G228" i="3"/>
  <c r="H228" i="3"/>
  <c r="F229" i="3"/>
  <c r="H229" i="3"/>
  <c r="E230" i="3"/>
  <c r="F230" i="3"/>
  <c r="G230" i="3"/>
  <c r="H230" i="3"/>
  <c r="E231" i="3"/>
  <c r="F231" i="3"/>
  <c r="G231" i="3"/>
  <c r="H231" i="3"/>
  <c r="E232" i="3"/>
  <c r="F232" i="3"/>
  <c r="G232" i="3"/>
  <c r="H232" i="3"/>
  <c r="E233" i="3"/>
  <c r="F233" i="3"/>
  <c r="G233" i="3"/>
  <c r="H233" i="3"/>
  <c r="E219" i="4"/>
  <c r="F219" i="4"/>
  <c r="G219" i="4"/>
  <c r="H219" i="4"/>
  <c r="E220" i="4"/>
  <c r="F220" i="4"/>
  <c r="G220" i="4"/>
  <c r="H220" i="4"/>
  <c r="E221" i="4"/>
  <c r="F221" i="4"/>
  <c r="G221" i="4"/>
  <c r="H221" i="4"/>
  <c r="E222" i="4"/>
  <c r="F222" i="4"/>
  <c r="G222" i="4"/>
  <c r="H222" i="4"/>
  <c r="E223" i="4"/>
  <c r="F223" i="4"/>
  <c r="G223" i="4"/>
  <c r="H223" i="4"/>
  <c r="E224" i="4"/>
  <c r="F224" i="4"/>
  <c r="G224" i="4"/>
  <c r="H224" i="4"/>
  <c r="E225" i="4"/>
  <c r="F225" i="4"/>
  <c r="G225" i="4"/>
  <c r="H225" i="4"/>
  <c r="E226" i="4"/>
  <c r="F226" i="4"/>
  <c r="G226" i="4"/>
  <c r="H226" i="4"/>
  <c r="E227" i="4"/>
  <c r="F227" i="4"/>
  <c r="G227" i="4"/>
  <c r="H227" i="4"/>
  <c r="F228" i="4"/>
  <c r="G228" i="4"/>
  <c r="H228" i="4"/>
  <c r="E229" i="4"/>
  <c r="F229" i="4"/>
  <c r="G229" i="4"/>
  <c r="H229" i="4"/>
  <c r="E230" i="4"/>
  <c r="F230" i="4"/>
  <c r="G230" i="4"/>
  <c r="H230" i="4"/>
  <c r="E231" i="4"/>
  <c r="F231" i="4"/>
  <c r="G231" i="4"/>
  <c r="H231" i="4"/>
  <c r="E232" i="4"/>
  <c r="F232" i="4"/>
  <c r="G232" i="4"/>
  <c r="H232" i="4"/>
  <c r="E233" i="4"/>
  <c r="F233" i="4"/>
  <c r="G233" i="4"/>
  <c r="H233" i="4"/>
  <c r="E234" i="4"/>
  <c r="F234" i="4"/>
  <c r="G234" i="4"/>
  <c r="H234" i="4"/>
  <c r="E235" i="4"/>
  <c r="F235" i="4"/>
  <c r="G235" i="4"/>
  <c r="H235" i="4"/>
  <c r="E236" i="4"/>
  <c r="F236" i="4"/>
  <c r="G236" i="4"/>
  <c r="H236" i="4"/>
  <c r="E237" i="4"/>
  <c r="F237" i="4"/>
  <c r="G237" i="4"/>
  <c r="H237" i="4"/>
  <c r="E238" i="4"/>
  <c r="F238" i="4"/>
  <c r="G238" i="4"/>
  <c r="H238" i="4"/>
  <c r="E239" i="4"/>
  <c r="F239" i="4"/>
  <c r="G239" i="4"/>
  <c r="H239" i="4"/>
  <c r="E240" i="4"/>
  <c r="F240" i="4"/>
  <c r="G240" i="4"/>
  <c r="H240" i="4"/>
  <c r="E241" i="4"/>
  <c r="F241" i="4"/>
  <c r="G241" i="4"/>
  <c r="H241" i="4"/>
  <c r="E242" i="4"/>
  <c r="F242" i="4"/>
  <c r="G242" i="4"/>
  <c r="H242" i="4"/>
  <c r="E243" i="4"/>
  <c r="F243" i="4"/>
  <c r="G243" i="4"/>
  <c r="H243" i="4"/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6" i="2"/>
  <c r="C36" i="2"/>
  <c r="D36" i="2"/>
  <c r="P36" i="2" l="1"/>
  <c r="C37" i="2" s="1"/>
  <c r="P37" i="2" s="1"/>
  <c r="Q36" i="2"/>
  <c r="B35" i="2"/>
  <c r="E217" i="2"/>
  <c r="G217" i="2" s="1"/>
  <c r="F217" i="2"/>
  <c r="E219" i="2"/>
  <c r="G219" i="2" s="1"/>
  <c r="F219" i="2"/>
  <c r="H219" i="2" s="1"/>
  <c r="I219" i="2"/>
  <c r="J219" i="2"/>
  <c r="K219" i="2"/>
  <c r="L219" i="2"/>
  <c r="M219" i="2"/>
  <c r="N219" i="2"/>
  <c r="E220" i="2"/>
  <c r="G220" i="2" s="1"/>
  <c r="F220" i="2"/>
  <c r="H220" i="2" s="1"/>
  <c r="I220" i="2"/>
  <c r="J220" i="2"/>
  <c r="K220" i="2"/>
  <c r="L220" i="2"/>
  <c r="M220" i="2"/>
  <c r="N220" i="2"/>
  <c r="E221" i="2"/>
  <c r="G221" i="2" s="1"/>
  <c r="F221" i="2"/>
  <c r="H221" i="2"/>
  <c r="I221" i="2"/>
  <c r="J221" i="2"/>
  <c r="K221" i="2"/>
  <c r="L221" i="2"/>
  <c r="M221" i="2"/>
  <c r="N221" i="2"/>
  <c r="E222" i="2"/>
  <c r="G222" i="2" s="1"/>
  <c r="F222" i="2"/>
  <c r="H222" i="2"/>
  <c r="I222" i="2"/>
  <c r="J222" i="2"/>
  <c r="K222" i="2"/>
  <c r="L222" i="2"/>
  <c r="M222" i="2"/>
  <c r="N222" i="2"/>
  <c r="E223" i="2"/>
  <c r="G223" i="2" s="1"/>
  <c r="F223" i="2"/>
  <c r="H223" i="2" s="1"/>
  <c r="I223" i="2"/>
  <c r="J223" i="2"/>
  <c r="K223" i="2"/>
  <c r="L223" i="2"/>
  <c r="M223" i="2"/>
  <c r="N223" i="2"/>
  <c r="E224" i="2"/>
  <c r="G224" i="2" s="1"/>
  <c r="F224" i="2"/>
  <c r="H224" i="2"/>
  <c r="I224" i="2"/>
  <c r="J224" i="2"/>
  <c r="K224" i="2"/>
  <c r="L224" i="2"/>
  <c r="M224" i="2"/>
  <c r="N224" i="2"/>
  <c r="E225" i="2"/>
  <c r="G225" i="2" s="1"/>
  <c r="F225" i="2"/>
  <c r="H225" i="2"/>
  <c r="I225" i="2"/>
  <c r="J225" i="2"/>
  <c r="K225" i="2"/>
  <c r="L225" i="2"/>
  <c r="M225" i="2"/>
  <c r="N225" i="2"/>
  <c r="E226" i="2"/>
  <c r="F226" i="2"/>
  <c r="H226" i="2" s="1"/>
  <c r="G226" i="2"/>
  <c r="I226" i="2"/>
  <c r="J226" i="2"/>
  <c r="K226" i="2"/>
  <c r="L226" i="2"/>
  <c r="M226" i="2"/>
  <c r="N226" i="2"/>
  <c r="F227" i="2"/>
  <c r="H227" i="2" s="1"/>
  <c r="I227" i="2"/>
  <c r="J227" i="2"/>
  <c r="K227" i="2"/>
  <c r="L227" i="2"/>
  <c r="M227" i="2"/>
  <c r="N227" i="2"/>
  <c r="E218" i="2"/>
  <c r="F218" i="2"/>
  <c r="H218" i="2" s="1"/>
  <c r="G218" i="2"/>
  <c r="I218" i="2"/>
  <c r="J218" i="2"/>
  <c r="K218" i="2"/>
  <c r="L218" i="2"/>
  <c r="M218" i="2"/>
  <c r="N218" i="2"/>
  <c r="H217" i="2"/>
  <c r="I217" i="2"/>
  <c r="K217" i="2"/>
  <c r="L217" i="2"/>
  <c r="M217" i="2"/>
  <c r="N217" i="2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N211" i="3"/>
  <c r="B212" i="3" s="1"/>
  <c r="N210" i="3"/>
  <c r="M211" i="3"/>
  <c r="M210" i="3"/>
  <c r="D212" i="3"/>
  <c r="C38" i="2" l="1"/>
  <c r="P38" i="2" s="1"/>
  <c r="C39" i="2" s="1"/>
  <c r="P39" i="2" s="1"/>
  <c r="C40" i="2" s="1"/>
  <c r="R36" i="2"/>
  <c r="B37" i="2" s="1"/>
  <c r="D37" i="2"/>
  <c r="Q37" i="2" s="1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L196" i="4"/>
  <c r="D197" i="4" s="1"/>
  <c r="E198" i="4"/>
  <c r="E199" i="4"/>
  <c r="E200" i="4"/>
  <c r="E201" i="4"/>
  <c r="E202" i="4"/>
  <c r="C197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B197" i="4" s="1"/>
  <c r="M3" i="4"/>
  <c r="H9" i="1"/>
  <c r="G11" i="1"/>
  <c r="H7" i="1"/>
  <c r="I7" i="1" s="1"/>
  <c r="F8" i="1"/>
  <c r="H8" i="1" s="1"/>
  <c r="I8" i="1" s="1"/>
  <c r="F32" i="1"/>
  <c r="D38" i="2" l="1"/>
  <c r="Q38" i="2" s="1"/>
  <c r="R38" i="2" s="1"/>
  <c r="B39" i="2" s="1"/>
  <c r="R37" i="2"/>
  <c r="B38" i="2" s="1"/>
  <c r="P40" i="2"/>
  <c r="C41" i="2" s="1"/>
  <c r="F11" i="1"/>
  <c r="D39" i="2" l="1"/>
  <c r="Q39" i="2" s="1"/>
  <c r="P41" i="2"/>
  <c r="C42" i="2" s="1"/>
  <c r="D40" i="2" l="1"/>
  <c r="Q40" i="2" s="1"/>
  <c r="R39" i="2"/>
  <c r="B40" i="2" s="1"/>
  <c r="P42" i="2"/>
  <c r="C43" i="2" s="1"/>
  <c r="D41" i="2" l="1"/>
  <c r="Q41" i="2" s="1"/>
  <c r="R40" i="2"/>
  <c r="B41" i="2" s="1"/>
  <c r="P43" i="2"/>
  <c r="C44" i="2" s="1"/>
  <c r="D42" i="2" l="1"/>
  <c r="Q42" i="2" s="1"/>
  <c r="R41" i="2"/>
  <c r="B42" i="2" s="1"/>
  <c r="P44" i="2"/>
  <c r="C45" i="2" s="1"/>
  <c r="D43" i="2" l="1"/>
  <c r="Q43" i="2" s="1"/>
  <c r="R42" i="2"/>
  <c r="B43" i="2" s="1"/>
  <c r="P45" i="2"/>
  <c r="C46" i="2" s="1"/>
  <c r="D44" i="2" l="1"/>
  <c r="Q44" i="2" s="1"/>
  <c r="R43" i="2"/>
  <c r="B44" i="2" s="1"/>
  <c r="P46" i="2"/>
  <c r="C47" i="2" s="1"/>
  <c r="H218" i="4"/>
  <c r="G218" i="4"/>
  <c r="F218" i="4"/>
  <c r="E218" i="4"/>
  <c r="H217" i="4"/>
  <c r="G217" i="4"/>
  <c r="F217" i="4"/>
  <c r="E217" i="4"/>
  <c r="H216" i="4"/>
  <c r="G216" i="4"/>
  <c r="F216" i="4"/>
  <c r="E216" i="4"/>
  <c r="H215" i="4"/>
  <c r="G215" i="4"/>
  <c r="F215" i="4"/>
  <c r="E215" i="4"/>
  <c r="H214" i="4"/>
  <c r="G214" i="4"/>
  <c r="F214" i="4"/>
  <c r="H213" i="4"/>
  <c r="G213" i="4"/>
  <c r="F213" i="4"/>
  <c r="E213" i="4"/>
  <c r="H212" i="4"/>
  <c r="G212" i="4"/>
  <c r="F212" i="4"/>
  <c r="E212" i="4"/>
  <c r="H211" i="4"/>
  <c r="G211" i="4"/>
  <c r="F211" i="4"/>
  <c r="E211" i="4"/>
  <c r="H210" i="4"/>
  <c r="G210" i="4"/>
  <c r="F210" i="4"/>
  <c r="E210" i="4"/>
  <c r="H209" i="4"/>
  <c r="G209" i="4"/>
  <c r="F209" i="4"/>
  <c r="E209" i="4"/>
  <c r="H208" i="4"/>
  <c r="G208" i="4"/>
  <c r="F208" i="4"/>
  <c r="E208" i="4"/>
  <c r="H207" i="4"/>
  <c r="G207" i="4"/>
  <c r="F207" i="4"/>
  <c r="E207" i="4"/>
  <c r="H206" i="4"/>
  <c r="G206" i="4"/>
  <c r="F206" i="4"/>
  <c r="E206" i="4"/>
  <c r="H205" i="4"/>
  <c r="G205" i="4"/>
  <c r="F205" i="4"/>
  <c r="E205" i="4"/>
  <c r="H204" i="4"/>
  <c r="G204" i="4"/>
  <c r="F204" i="4"/>
  <c r="E204" i="4"/>
  <c r="H203" i="4"/>
  <c r="G203" i="4"/>
  <c r="F203" i="4"/>
  <c r="E203" i="4"/>
  <c r="H202" i="4"/>
  <c r="G202" i="4"/>
  <c r="F202" i="4"/>
  <c r="H217" i="3"/>
  <c r="G217" i="3"/>
  <c r="F217" i="3"/>
  <c r="E217" i="3"/>
  <c r="H216" i="3"/>
  <c r="G216" i="3"/>
  <c r="F216" i="3"/>
  <c r="E216" i="3"/>
  <c r="H215" i="3"/>
  <c r="G215" i="3"/>
  <c r="F215" i="3"/>
  <c r="E215" i="3"/>
  <c r="H214" i="3"/>
  <c r="F214" i="3"/>
  <c r="H213" i="3"/>
  <c r="G213" i="3"/>
  <c r="F213" i="3"/>
  <c r="E213" i="3"/>
  <c r="H212" i="3"/>
  <c r="G212" i="3"/>
  <c r="M212" i="3" s="1"/>
  <c r="D213" i="3" s="1"/>
  <c r="F212" i="3"/>
  <c r="E212" i="3"/>
  <c r="C212" i="3"/>
  <c r="H22" i="1"/>
  <c r="I22" i="1" s="1"/>
  <c r="F22" i="1"/>
  <c r="H21" i="1"/>
  <c r="I21" i="1" s="1"/>
  <c r="F21" i="1"/>
  <c r="H20" i="1"/>
  <c r="I20" i="1" s="1"/>
  <c r="F20" i="1"/>
  <c r="H19" i="1"/>
  <c r="I19" i="1" s="1"/>
  <c r="F19" i="1"/>
  <c r="H18" i="1"/>
  <c r="I18" i="1" s="1"/>
  <c r="F18" i="1"/>
  <c r="H17" i="1"/>
  <c r="I17" i="1" s="1"/>
  <c r="F17" i="1"/>
  <c r="H15" i="1"/>
  <c r="I15" i="1" s="1"/>
  <c r="G229" i="3" s="1"/>
  <c r="F15" i="1"/>
  <c r="E14" i="1"/>
  <c r="E10" i="1"/>
  <c r="I9" i="1"/>
  <c r="E227" i="2" l="1"/>
  <c r="D45" i="2"/>
  <c r="Q45" i="2" s="1"/>
  <c r="R44" i="2"/>
  <c r="B45" i="2" s="1"/>
  <c r="P47" i="2"/>
  <c r="C48" i="2" s="1"/>
  <c r="L212" i="3"/>
  <c r="N212" i="3" s="1"/>
  <c r="B213" i="3" s="1"/>
  <c r="I10" i="1"/>
  <c r="H10" i="1"/>
  <c r="H11" i="1" s="1"/>
  <c r="F14" i="1"/>
  <c r="E16" i="1"/>
  <c r="H14" i="1"/>
  <c r="I14" i="1" s="1"/>
  <c r="E229" i="3" s="1"/>
  <c r="E11" i="1"/>
  <c r="G214" i="3"/>
  <c r="M213" i="3"/>
  <c r="D214" i="3" s="1"/>
  <c r="D46" i="2" l="1"/>
  <c r="Q46" i="2" s="1"/>
  <c r="R45" i="2"/>
  <c r="B46" i="2" s="1"/>
  <c r="P48" i="2"/>
  <c r="C49" i="2" s="1"/>
  <c r="C213" i="3"/>
  <c r="L213" i="3" s="1"/>
  <c r="N213" i="3" s="1"/>
  <c r="B214" i="3" s="1"/>
  <c r="C214" i="3"/>
  <c r="H16" i="1"/>
  <c r="I16" i="1" s="1"/>
  <c r="E30" i="1" s="1"/>
  <c r="F16" i="1"/>
  <c r="I11" i="1"/>
  <c r="E29" i="1" s="1"/>
  <c r="M214" i="3"/>
  <c r="D215" i="3" s="1"/>
  <c r="E214" i="3"/>
  <c r="E31" i="1"/>
  <c r="D31" i="1"/>
  <c r="E214" i="4" l="1"/>
  <c r="E228" i="4"/>
  <c r="E197" i="4"/>
  <c r="G227" i="2"/>
  <c r="D47" i="2"/>
  <c r="Q47" i="2" s="1"/>
  <c r="R46" i="2"/>
  <c r="B47" i="2" s="1"/>
  <c r="P49" i="2"/>
  <c r="C50" i="2" s="1"/>
  <c r="L214" i="3"/>
  <c r="D30" i="1"/>
  <c r="D32" i="1" s="1"/>
  <c r="F23" i="1"/>
  <c r="E32" i="1"/>
  <c r="H23" i="1"/>
  <c r="I23" i="1"/>
  <c r="I25" i="1" s="1"/>
  <c r="M215" i="3"/>
  <c r="D216" i="3" s="1"/>
  <c r="K197" i="4" l="1"/>
  <c r="L197" i="4"/>
  <c r="D198" i="4" s="1"/>
  <c r="L198" i="4" s="1"/>
  <c r="D199" i="4" s="1"/>
  <c r="L199" i="4" s="1"/>
  <c r="D200" i="4" s="1"/>
  <c r="L200" i="4" s="1"/>
  <c r="D201" i="4" s="1"/>
  <c r="L201" i="4" s="1"/>
  <c r="D202" i="4" s="1"/>
  <c r="L202" i="4" s="1"/>
  <c r="D203" i="4" s="1"/>
  <c r="L203" i="4" s="1"/>
  <c r="D204" i="4" s="1"/>
  <c r="L204" i="4" s="1"/>
  <c r="D205" i="4" s="1"/>
  <c r="L205" i="4" s="1"/>
  <c r="D206" i="4" s="1"/>
  <c r="D48" i="2"/>
  <c r="Q48" i="2" s="1"/>
  <c r="R47" i="2"/>
  <c r="B48" i="2" s="1"/>
  <c r="P50" i="2"/>
  <c r="C51" i="2" s="1"/>
  <c r="N214" i="3"/>
  <c r="B215" i="3" s="1"/>
  <c r="C215" i="3"/>
  <c r="L215" i="3" s="1"/>
  <c r="L206" i="4"/>
  <c r="D207" i="4" s="1"/>
  <c r="E23" i="1"/>
  <c r="E25" i="1" s="1"/>
  <c r="K198" i="4" l="1"/>
  <c r="C198" i="4"/>
  <c r="M197" i="4"/>
  <c r="B198" i="4" s="1"/>
  <c r="D49" i="2"/>
  <c r="Q49" i="2" s="1"/>
  <c r="R48" i="2"/>
  <c r="B49" i="2" s="1"/>
  <c r="P51" i="2"/>
  <c r="C52" i="2" s="1"/>
  <c r="L207" i="4"/>
  <c r="D208" i="4" s="1"/>
  <c r="M216" i="3"/>
  <c r="D217" i="3" s="1"/>
  <c r="K199" i="4" l="1"/>
  <c r="C199" i="4"/>
  <c r="M198" i="4"/>
  <c r="B199" i="4" s="1"/>
  <c r="D50" i="2"/>
  <c r="Q50" i="2" s="1"/>
  <c r="R49" i="2"/>
  <c r="B50" i="2" s="1"/>
  <c r="P52" i="2"/>
  <c r="C53" i="2" s="1"/>
  <c r="C216" i="3"/>
  <c r="L216" i="3" s="1"/>
  <c r="N215" i="3"/>
  <c r="B216" i="3" s="1"/>
  <c r="L208" i="4"/>
  <c r="D209" i="4" s="1"/>
  <c r="K200" i="4" l="1"/>
  <c r="C200" i="4"/>
  <c r="M199" i="4"/>
  <c r="B200" i="4" s="1"/>
  <c r="D51" i="2"/>
  <c r="Q51" i="2" s="1"/>
  <c r="R50" i="2"/>
  <c r="B51" i="2" s="1"/>
  <c r="P53" i="2"/>
  <c r="C54" i="2" s="1"/>
  <c r="L209" i="4"/>
  <c r="D210" i="4" s="1"/>
  <c r="M217" i="3"/>
  <c r="D218" i="3" s="1"/>
  <c r="M218" i="3" s="1"/>
  <c r="D219" i="3" s="1"/>
  <c r="M219" i="3" s="1"/>
  <c r="D220" i="3" s="1"/>
  <c r="M220" i="3" s="1"/>
  <c r="D221" i="3" s="1"/>
  <c r="M221" i="3" s="1"/>
  <c r="D222" i="3" s="1"/>
  <c r="M222" i="3" s="1"/>
  <c r="D223" i="3" s="1"/>
  <c r="M223" i="3" s="1"/>
  <c r="D224" i="3" s="1"/>
  <c r="M224" i="3" s="1"/>
  <c r="D225" i="3" s="1"/>
  <c r="M225" i="3" s="1"/>
  <c r="D226" i="3" s="1"/>
  <c r="M226" i="3" s="1"/>
  <c r="D227" i="3" s="1"/>
  <c r="M227" i="3" s="1"/>
  <c r="D228" i="3" s="1"/>
  <c r="M228" i="3" s="1"/>
  <c r="D229" i="3" s="1"/>
  <c r="M229" i="3" s="1"/>
  <c r="D230" i="3" s="1"/>
  <c r="M230" i="3" s="1"/>
  <c r="D231" i="3" s="1"/>
  <c r="M231" i="3" s="1"/>
  <c r="D232" i="3" s="1"/>
  <c r="M232" i="3" s="1"/>
  <c r="D233" i="3" s="1"/>
  <c r="M233" i="3" s="1"/>
  <c r="K201" i="4" l="1"/>
  <c r="C201" i="4"/>
  <c r="M200" i="4"/>
  <c r="B201" i="4" s="1"/>
  <c r="D52" i="2"/>
  <c r="Q52" i="2" s="1"/>
  <c r="R51" i="2"/>
  <c r="B52" i="2" s="1"/>
  <c r="P54" i="2"/>
  <c r="C55" i="2" s="1"/>
  <c r="N216" i="3"/>
  <c r="B217" i="3" s="1"/>
  <c r="C217" i="3"/>
  <c r="L217" i="3" s="1"/>
  <c r="C218" i="3" s="1"/>
  <c r="L218" i="3" s="1"/>
  <c r="L210" i="4"/>
  <c r="D211" i="4" s="1"/>
  <c r="C202" i="4" l="1"/>
  <c r="M201" i="4"/>
  <c r="B202" i="4" s="1"/>
  <c r="K202" i="4"/>
  <c r="C219" i="3"/>
  <c r="L219" i="3" s="1"/>
  <c r="N218" i="3"/>
  <c r="B219" i="3" s="1"/>
  <c r="D53" i="2"/>
  <c r="Q53" i="2" s="1"/>
  <c r="R52" i="2"/>
  <c r="B53" i="2" s="1"/>
  <c r="P55" i="2"/>
  <c r="C56" i="2" s="1"/>
  <c r="L211" i="4"/>
  <c r="D212" i="4" s="1"/>
  <c r="C220" i="3" l="1"/>
  <c r="L220" i="3" s="1"/>
  <c r="N219" i="3"/>
  <c r="B220" i="3" s="1"/>
  <c r="K203" i="4"/>
  <c r="C203" i="4"/>
  <c r="M202" i="4"/>
  <c r="B203" i="4" s="1"/>
  <c r="D54" i="2"/>
  <c r="Q54" i="2" s="1"/>
  <c r="R53" i="2"/>
  <c r="B54" i="2" s="1"/>
  <c r="P56" i="2"/>
  <c r="C57" i="2" s="1"/>
  <c r="N217" i="3"/>
  <c r="B218" i="3" s="1"/>
  <c r="L212" i="4"/>
  <c r="D213" i="4" s="1"/>
  <c r="K204" i="4" l="1"/>
  <c r="C204" i="4"/>
  <c r="M203" i="4"/>
  <c r="B204" i="4" s="1"/>
  <c r="N220" i="3"/>
  <c r="B221" i="3" s="1"/>
  <c r="C221" i="3"/>
  <c r="L221" i="3" s="1"/>
  <c r="D55" i="2"/>
  <c r="Q55" i="2" s="1"/>
  <c r="R54" i="2"/>
  <c r="B55" i="2" s="1"/>
  <c r="P57" i="2"/>
  <c r="C58" i="2" s="1"/>
  <c r="L213" i="4"/>
  <c r="D214" i="4" s="1"/>
  <c r="L214" i="4" s="1"/>
  <c r="D215" i="4" s="1"/>
  <c r="K205" i="4" l="1"/>
  <c r="M204" i="4"/>
  <c r="B205" i="4" s="1"/>
  <c r="C205" i="4"/>
  <c r="C222" i="3"/>
  <c r="L222" i="3" s="1"/>
  <c r="N221" i="3"/>
  <c r="B222" i="3" s="1"/>
  <c r="D56" i="2"/>
  <c r="Q56" i="2" s="1"/>
  <c r="R55" i="2"/>
  <c r="B56" i="2" s="1"/>
  <c r="P58" i="2"/>
  <c r="C59" i="2" s="1"/>
  <c r="L215" i="4"/>
  <c r="D216" i="4" s="1"/>
  <c r="K206" i="4" l="1"/>
  <c r="M205" i="4"/>
  <c r="B206" i="4" s="1"/>
  <c r="C206" i="4"/>
  <c r="C223" i="3"/>
  <c r="L223" i="3" s="1"/>
  <c r="N222" i="3"/>
  <c r="B223" i="3" s="1"/>
  <c r="D57" i="2"/>
  <c r="Q57" i="2" s="1"/>
  <c r="R56" i="2"/>
  <c r="B57" i="2" s="1"/>
  <c r="P59" i="2"/>
  <c r="C60" i="2" s="1"/>
  <c r="L216" i="4"/>
  <c r="D217" i="4" s="1"/>
  <c r="C224" i="3" l="1"/>
  <c r="L224" i="3" s="1"/>
  <c r="N223" i="3"/>
  <c r="B224" i="3" s="1"/>
  <c r="K207" i="4"/>
  <c r="M206" i="4"/>
  <c r="B207" i="4" s="1"/>
  <c r="C207" i="4"/>
  <c r="D58" i="2"/>
  <c r="Q58" i="2" s="1"/>
  <c r="R57" i="2"/>
  <c r="B58" i="2" s="1"/>
  <c r="P60" i="2"/>
  <c r="C61" i="2" s="1"/>
  <c r="L217" i="4"/>
  <c r="D218" i="4" s="1"/>
  <c r="L218" i="4" s="1"/>
  <c r="D219" i="4" s="1"/>
  <c r="L219" i="4" s="1"/>
  <c r="K208" i="4" l="1"/>
  <c r="M207" i="4"/>
  <c r="B208" i="4" s="1"/>
  <c r="C208" i="4"/>
  <c r="C225" i="3"/>
  <c r="L225" i="3" s="1"/>
  <c r="N224" i="3"/>
  <c r="B225" i="3" s="1"/>
  <c r="D220" i="4"/>
  <c r="L220" i="4" s="1"/>
  <c r="D59" i="2"/>
  <c r="Q59" i="2" s="1"/>
  <c r="R58" i="2"/>
  <c r="B59" i="2" s="1"/>
  <c r="P61" i="2"/>
  <c r="C62" i="2" s="1"/>
  <c r="N225" i="3" l="1"/>
  <c r="B226" i="3" s="1"/>
  <c r="C226" i="3"/>
  <c r="L226" i="3" s="1"/>
  <c r="K209" i="4"/>
  <c r="M208" i="4"/>
  <c r="B209" i="4" s="1"/>
  <c r="C209" i="4"/>
  <c r="D221" i="4"/>
  <c r="L221" i="4" s="1"/>
  <c r="D60" i="2"/>
  <c r="Q60" i="2" s="1"/>
  <c r="R59" i="2"/>
  <c r="B60" i="2" s="1"/>
  <c r="P62" i="2"/>
  <c r="C63" i="2" s="1"/>
  <c r="K210" i="4" l="1"/>
  <c r="M209" i="4"/>
  <c r="B210" i="4" s="1"/>
  <c r="C210" i="4"/>
  <c r="N226" i="3"/>
  <c r="B227" i="3" s="1"/>
  <c r="C227" i="3"/>
  <c r="L227" i="3" s="1"/>
  <c r="D222" i="4"/>
  <c r="L222" i="4" s="1"/>
  <c r="D61" i="2"/>
  <c r="Q61" i="2" s="1"/>
  <c r="R60" i="2"/>
  <c r="B61" i="2" s="1"/>
  <c r="P63" i="2"/>
  <c r="C64" i="2" s="1"/>
  <c r="C228" i="3" l="1"/>
  <c r="L228" i="3" s="1"/>
  <c r="N227" i="3"/>
  <c r="B228" i="3" s="1"/>
  <c r="K211" i="4"/>
  <c r="M210" i="4"/>
  <c r="B211" i="4" s="1"/>
  <c r="C211" i="4"/>
  <c r="D223" i="4"/>
  <c r="L223" i="4" s="1"/>
  <c r="D62" i="2"/>
  <c r="Q62" i="2" s="1"/>
  <c r="R61" i="2"/>
  <c r="B62" i="2" s="1"/>
  <c r="P64" i="2"/>
  <c r="C65" i="2" s="1"/>
  <c r="K212" i="4" l="1"/>
  <c r="M211" i="4"/>
  <c r="B212" i="4" s="1"/>
  <c r="C212" i="4"/>
  <c r="C229" i="3"/>
  <c r="L229" i="3" s="1"/>
  <c r="N228" i="3"/>
  <c r="B229" i="3" s="1"/>
  <c r="D224" i="4"/>
  <c r="L224" i="4" s="1"/>
  <c r="D63" i="2"/>
  <c r="Q63" i="2" s="1"/>
  <c r="R62" i="2"/>
  <c r="B63" i="2" s="1"/>
  <c r="P65" i="2"/>
  <c r="C66" i="2" s="1"/>
  <c r="C230" i="3" l="1"/>
  <c r="L230" i="3" s="1"/>
  <c r="N229" i="3"/>
  <c r="B230" i="3" s="1"/>
  <c r="K213" i="4"/>
  <c r="M212" i="4"/>
  <c r="B213" i="4" s="1"/>
  <c r="C213" i="4"/>
  <c r="D225" i="4"/>
  <c r="L225" i="4" s="1"/>
  <c r="D64" i="2"/>
  <c r="Q64" i="2" s="1"/>
  <c r="R63" i="2"/>
  <c r="B64" i="2" s="1"/>
  <c r="P66" i="2"/>
  <c r="C67" i="2" s="1"/>
  <c r="K214" i="4" l="1"/>
  <c r="M213" i="4"/>
  <c r="B214" i="4" s="1"/>
  <c r="C214" i="4"/>
  <c r="C231" i="3"/>
  <c r="L231" i="3" s="1"/>
  <c r="N230" i="3"/>
  <c r="B231" i="3" s="1"/>
  <c r="D226" i="4"/>
  <c r="L226" i="4" s="1"/>
  <c r="D65" i="2"/>
  <c r="Q65" i="2" s="1"/>
  <c r="R64" i="2"/>
  <c r="B65" i="2" s="1"/>
  <c r="P67" i="2"/>
  <c r="C68" i="2" s="1"/>
  <c r="C232" i="3" l="1"/>
  <c r="L232" i="3" s="1"/>
  <c r="N231" i="3"/>
  <c r="B232" i="3" s="1"/>
  <c r="K215" i="4"/>
  <c r="M214" i="4"/>
  <c r="B215" i="4" s="1"/>
  <c r="C215" i="4"/>
  <c r="D227" i="4"/>
  <c r="L227" i="4" s="1"/>
  <c r="D66" i="2"/>
  <c r="Q66" i="2" s="1"/>
  <c r="R65" i="2"/>
  <c r="B66" i="2" s="1"/>
  <c r="P68" i="2"/>
  <c r="C69" i="2" s="1"/>
  <c r="C233" i="3" l="1"/>
  <c r="L233" i="3" s="1"/>
  <c r="N233" i="3" s="1"/>
  <c r="N232" i="3"/>
  <c r="B233" i="3" s="1"/>
  <c r="K216" i="4"/>
  <c r="M215" i="4"/>
  <c r="B216" i="4" s="1"/>
  <c r="C216" i="4"/>
  <c r="D228" i="4"/>
  <c r="L228" i="4" s="1"/>
  <c r="D67" i="2"/>
  <c r="Q67" i="2" s="1"/>
  <c r="R66" i="2"/>
  <c r="B67" i="2" s="1"/>
  <c r="P69" i="2"/>
  <c r="C70" i="2" s="1"/>
  <c r="K217" i="4" l="1"/>
  <c r="M216" i="4"/>
  <c r="B217" i="4" s="1"/>
  <c r="C217" i="4"/>
  <c r="D229" i="4"/>
  <c r="L229" i="4" s="1"/>
  <c r="D68" i="2"/>
  <c r="Q68" i="2" s="1"/>
  <c r="R67" i="2"/>
  <c r="B68" i="2" s="1"/>
  <c r="P70" i="2"/>
  <c r="C71" i="2" s="1"/>
  <c r="K218" i="4" l="1"/>
  <c r="M217" i="4"/>
  <c r="B218" i="4" s="1"/>
  <c r="C218" i="4"/>
  <c r="D230" i="4"/>
  <c r="L230" i="4" s="1"/>
  <c r="D69" i="2"/>
  <c r="Q69" i="2" s="1"/>
  <c r="R68" i="2"/>
  <c r="B69" i="2" s="1"/>
  <c r="P71" i="2"/>
  <c r="C72" i="2" s="1"/>
  <c r="C219" i="4" l="1"/>
  <c r="K219" i="4"/>
  <c r="M218" i="4"/>
  <c r="B219" i="4" s="1"/>
  <c r="D231" i="4"/>
  <c r="L231" i="4" s="1"/>
  <c r="D70" i="2"/>
  <c r="Q70" i="2" s="1"/>
  <c r="R69" i="2"/>
  <c r="B70" i="2" s="1"/>
  <c r="P72" i="2"/>
  <c r="C73" i="2" s="1"/>
  <c r="C220" i="4" l="1"/>
  <c r="K220" i="4"/>
  <c r="M219" i="4"/>
  <c r="B220" i="4" s="1"/>
  <c r="D232" i="4"/>
  <c r="L232" i="4" s="1"/>
  <c r="D71" i="2"/>
  <c r="Q71" i="2" s="1"/>
  <c r="R70" i="2"/>
  <c r="B71" i="2" s="1"/>
  <c r="P73" i="2"/>
  <c r="C74" i="2" s="1"/>
  <c r="C221" i="4" l="1"/>
  <c r="K221" i="4"/>
  <c r="M220" i="4"/>
  <c r="B221" i="4" s="1"/>
  <c r="D233" i="4"/>
  <c r="L233" i="4" s="1"/>
  <c r="D72" i="2"/>
  <c r="Q72" i="2" s="1"/>
  <c r="R71" i="2"/>
  <c r="B72" i="2" s="1"/>
  <c r="P74" i="2"/>
  <c r="C75" i="2" s="1"/>
  <c r="K222" i="4" l="1"/>
  <c r="C222" i="4"/>
  <c r="M221" i="4"/>
  <c r="B222" i="4" s="1"/>
  <c r="D234" i="4"/>
  <c r="L234" i="4" s="1"/>
  <c r="D73" i="2"/>
  <c r="Q73" i="2" s="1"/>
  <c r="R72" i="2"/>
  <c r="B73" i="2" s="1"/>
  <c r="P75" i="2"/>
  <c r="C223" i="4" l="1"/>
  <c r="K223" i="4"/>
  <c r="M222" i="4"/>
  <c r="B223" i="4" s="1"/>
  <c r="D235" i="4"/>
  <c r="L235" i="4" s="1"/>
  <c r="D74" i="2"/>
  <c r="Q74" i="2" s="1"/>
  <c r="R73" i="2"/>
  <c r="B74" i="2" s="1"/>
  <c r="C76" i="2"/>
  <c r="P76" i="2" s="1"/>
  <c r="C224" i="4" l="1"/>
  <c r="K224" i="4"/>
  <c r="M223" i="4"/>
  <c r="B224" i="4" s="1"/>
  <c r="D236" i="4"/>
  <c r="L236" i="4" s="1"/>
  <c r="D75" i="2"/>
  <c r="Q75" i="2" s="1"/>
  <c r="R74" i="2"/>
  <c r="B75" i="2" s="1"/>
  <c r="C77" i="2"/>
  <c r="P77" i="2" s="1"/>
  <c r="K225" i="4" l="1"/>
  <c r="C225" i="4"/>
  <c r="M224" i="4"/>
  <c r="B225" i="4" s="1"/>
  <c r="D237" i="4"/>
  <c r="L237" i="4" s="1"/>
  <c r="D76" i="2"/>
  <c r="Q76" i="2" s="1"/>
  <c r="R75" i="2"/>
  <c r="B76" i="2" s="1"/>
  <c r="C78" i="2"/>
  <c r="P78" i="2" s="1"/>
  <c r="C226" i="4" l="1"/>
  <c r="K226" i="4"/>
  <c r="M225" i="4"/>
  <c r="B226" i="4" s="1"/>
  <c r="D238" i="4"/>
  <c r="L238" i="4" s="1"/>
  <c r="D77" i="2"/>
  <c r="Q77" i="2" s="1"/>
  <c r="R76" i="2"/>
  <c r="B77" i="2" s="1"/>
  <c r="C79" i="2"/>
  <c r="P79" i="2" s="1"/>
  <c r="K227" i="4" l="1"/>
  <c r="C227" i="4"/>
  <c r="M226" i="4"/>
  <c r="B227" i="4" s="1"/>
  <c r="D239" i="4"/>
  <c r="L239" i="4" s="1"/>
  <c r="D78" i="2"/>
  <c r="Q78" i="2" s="1"/>
  <c r="R77" i="2"/>
  <c r="B78" i="2" s="1"/>
  <c r="C80" i="2"/>
  <c r="P80" i="2" s="1"/>
  <c r="K228" i="4" l="1"/>
  <c r="C228" i="4"/>
  <c r="M227" i="4"/>
  <c r="B228" i="4" s="1"/>
  <c r="D240" i="4"/>
  <c r="L240" i="4" s="1"/>
  <c r="D79" i="2"/>
  <c r="Q79" i="2" s="1"/>
  <c r="R78" i="2"/>
  <c r="B79" i="2" s="1"/>
  <c r="C81" i="2"/>
  <c r="P81" i="2" s="1"/>
  <c r="K229" i="4" l="1"/>
  <c r="C229" i="4"/>
  <c r="M228" i="4"/>
  <c r="B229" i="4" s="1"/>
  <c r="D241" i="4"/>
  <c r="L241" i="4" s="1"/>
  <c r="D80" i="2"/>
  <c r="Q80" i="2" s="1"/>
  <c r="R79" i="2"/>
  <c r="B80" i="2" s="1"/>
  <c r="C82" i="2"/>
  <c r="P82" i="2" s="1"/>
  <c r="C230" i="4" l="1"/>
  <c r="K230" i="4"/>
  <c r="M229" i="4"/>
  <c r="B230" i="4" s="1"/>
  <c r="D242" i="4"/>
  <c r="L242" i="4" s="1"/>
  <c r="D81" i="2"/>
  <c r="Q81" i="2" s="1"/>
  <c r="R80" i="2"/>
  <c r="B81" i="2" s="1"/>
  <c r="C83" i="2"/>
  <c r="P83" i="2" s="1"/>
  <c r="K231" i="4" l="1"/>
  <c r="C231" i="4"/>
  <c r="M230" i="4"/>
  <c r="B231" i="4" s="1"/>
  <c r="D243" i="4"/>
  <c r="L243" i="4" s="1"/>
  <c r="D82" i="2"/>
  <c r="Q82" i="2" s="1"/>
  <c r="R81" i="2"/>
  <c r="B82" i="2" s="1"/>
  <c r="C84" i="2"/>
  <c r="P84" i="2" s="1"/>
  <c r="C232" i="4" l="1"/>
  <c r="K232" i="4"/>
  <c r="M231" i="4"/>
  <c r="B232" i="4" s="1"/>
  <c r="D83" i="2"/>
  <c r="Q83" i="2" s="1"/>
  <c r="R82" i="2"/>
  <c r="B83" i="2" s="1"/>
  <c r="C85" i="2"/>
  <c r="P85" i="2" s="1"/>
  <c r="C233" i="4" l="1"/>
  <c r="K233" i="4"/>
  <c r="M232" i="4"/>
  <c r="B233" i="4" s="1"/>
  <c r="D84" i="2"/>
  <c r="Q84" i="2" s="1"/>
  <c r="R83" i="2"/>
  <c r="B84" i="2" s="1"/>
  <c r="C86" i="2"/>
  <c r="P86" i="2" s="1"/>
  <c r="C234" i="4" l="1"/>
  <c r="K234" i="4"/>
  <c r="M233" i="4"/>
  <c r="B234" i="4" s="1"/>
  <c r="D85" i="2"/>
  <c r="Q85" i="2" s="1"/>
  <c r="R84" i="2"/>
  <c r="B85" i="2" s="1"/>
  <c r="C87" i="2"/>
  <c r="P87" i="2" s="1"/>
  <c r="K235" i="4" l="1"/>
  <c r="C235" i="4"/>
  <c r="M234" i="4"/>
  <c r="B235" i="4" s="1"/>
  <c r="D86" i="2"/>
  <c r="Q86" i="2" s="1"/>
  <c r="R85" i="2"/>
  <c r="B86" i="2" s="1"/>
  <c r="C88" i="2"/>
  <c r="P88" i="2" s="1"/>
  <c r="K236" i="4" l="1"/>
  <c r="C236" i="4"/>
  <c r="M235" i="4"/>
  <c r="B236" i="4" s="1"/>
  <c r="D87" i="2"/>
  <c r="Q87" i="2" s="1"/>
  <c r="R86" i="2"/>
  <c r="B87" i="2" s="1"/>
  <c r="C89" i="2"/>
  <c r="P89" i="2" s="1"/>
  <c r="C237" i="4" l="1"/>
  <c r="K237" i="4"/>
  <c r="M236" i="4"/>
  <c r="B237" i="4" s="1"/>
  <c r="D88" i="2"/>
  <c r="Q88" i="2" s="1"/>
  <c r="R87" i="2"/>
  <c r="B88" i="2" s="1"/>
  <c r="C90" i="2"/>
  <c r="P90" i="2" s="1"/>
  <c r="C238" i="4" l="1"/>
  <c r="K238" i="4"/>
  <c r="M237" i="4"/>
  <c r="B238" i="4" s="1"/>
  <c r="D89" i="2"/>
  <c r="Q89" i="2" s="1"/>
  <c r="R88" i="2"/>
  <c r="B89" i="2" s="1"/>
  <c r="C91" i="2"/>
  <c r="P91" i="2" s="1"/>
  <c r="C239" i="4" l="1"/>
  <c r="K239" i="4"/>
  <c r="M238" i="4"/>
  <c r="B239" i="4" s="1"/>
  <c r="D90" i="2"/>
  <c r="Q90" i="2" s="1"/>
  <c r="R89" i="2"/>
  <c r="B90" i="2" s="1"/>
  <c r="C92" i="2"/>
  <c r="P92" i="2" s="1"/>
  <c r="C240" i="4" l="1"/>
  <c r="K240" i="4"/>
  <c r="M239" i="4"/>
  <c r="B240" i="4" s="1"/>
  <c r="D91" i="2"/>
  <c r="Q91" i="2" s="1"/>
  <c r="R90" i="2"/>
  <c r="B91" i="2" s="1"/>
  <c r="C93" i="2"/>
  <c r="P93" i="2" s="1"/>
  <c r="K241" i="4" l="1"/>
  <c r="C241" i="4"/>
  <c r="M240" i="4"/>
  <c r="B241" i="4" s="1"/>
  <c r="D92" i="2"/>
  <c r="Q92" i="2" s="1"/>
  <c r="R91" i="2"/>
  <c r="B92" i="2" s="1"/>
  <c r="C94" i="2"/>
  <c r="P94" i="2" s="1"/>
  <c r="K242" i="4" l="1"/>
  <c r="C242" i="4"/>
  <c r="M241" i="4"/>
  <c r="B242" i="4" s="1"/>
  <c r="D93" i="2"/>
  <c r="Q93" i="2" s="1"/>
  <c r="R92" i="2"/>
  <c r="B93" i="2" s="1"/>
  <c r="C95" i="2"/>
  <c r="P95" i="2" s="1"/>
  <c r="K243" i="4" l="1"/>
  <c r="M243" i="4" s="1"/>
  <c r="C243" i="4"/>
  <c r="M242" i="4"/>
  <c r="B243" i="4" s="1"/>
  <c r="D94" i="2"/>
  <c r="Q94" i="2" s="1"/>
  <c r="R93" i="2"/>
  <c r="B94" i="2" s="1"/>
  <c r="C96" i="2"/>
  <c r="P96" i="2" s="1"/>
  <c r="D95" i="2" l="1"/>
  <c r="Q95" i="2" s="1"/>
  <c r="R94" i="2"/>
  <c r="B95" i="2" s="1"/>
  <c r="C97" i="2"/>
  <c r="P97" i="2" s="1"/>
  <c r="D96" i="2" l="1"/>
  <c r="Q96" i="2" s="1"/>
  <c r="R95" i="2"/>
  <c r="B96" i="2" s="1"/>
  <c r="C98" i="2"/>
  <c r="P98" i="2" s="1"/>
  <c r="D97" i="2" l="1"/>
  <c r="Q97" i="2" s="1"/>
  <c r="R96" i="2"/>
  <c r="B97" i="2" s="1"/>
  <c r="C99" i="2"/>
  <c r="P99" i="2" s="1"/>
  <c r="D98" i="2" l="1"/>
  <c r="Q98" i="2" s="1"/>
  <c r="R97" i="2"/>
  <c r="B98" i="2" s="1"/>
  <c r="C100" i="2"/>
  <c r="P100" i="2" s="1"/>
  <c r="D99" i="2" l="1"/>
  <c r="Q99" i="2" s="1"/>
  <c r="R98" i="2"/>
  <c r="B99" i="2" s="1"/>
  <c r="C101" i="2"/>
  <c r="P101" i="2" s="1"/>
  <c r="D100" i="2" l="1"/>
  <c r="Q100" i="2" s="1"/>
  <c r="R99" i="2"/>
  <c r="B100" i="2" s="1"/>
  <c r="C102" i="2"/>
  <c r="P102" i="2" s="1"/>
  <c r="D101" i="2" l="1"/>
  <c r="Q101" i="2" s="1"/>
  <c r="R100" i="2"/>
  <c r="B101" i="2" s="1"/>
  <c r="C103" i="2"/>
  <c r="P103" i="2" s="1"/>
  <c r="D102" i="2" l="1"/>
  <c r="Q102" i="2" s="1"/>
  <c r="R101" i="2"/>
  <c r="B102" i="2" s="1"/>
  <c r="C104" i="2"/>
  <c r="P104" i="2" s="1"/>
  <c r="D103" i="2" l="1"/>
  <c r="Q103" i="2" s="1"/>
  <c r="R102" i="2"/>
  <c r="B103" i="2" s="1"/>
  <c r="C105" i="2"/>
  <c r="P105" i="2" s="1"/>
  <c r="D104" i="2" l="1"/>
  <c r="Q104" i="2" s="1"/>
  <c r="R103" i="2"/>
  <c r="B104" i="2" s="1"/>
  <c r="C106" i="2"/>
  <c r="P106" i="2" s="1"/>
  <c r="D105" i="2" l="1"/>
  <c r="Q105" i="2" s="1"/>
  <c r="R104" i="2"/>
  <c r="B105" i="2" s="1"/>
  <c r="C107" i="2"/>
  <c r="P107" i="2" s="1"/>
  <c r="D106" i="2" l="1"/>
  <c r="Q106" i="2" s="1"/>
  <c r="R105" i="2"/>
  <c r="B106" i="2" s="1"/>
  <c r="C108" i="2"/>
  <c r="P108" i="2" s="1"/>
  <c r="D107" i="2" l="1"/>
  <c r="Q107" i="2" s="1"/>
  <c r="R106" i="2"/>
  <c r="B107" i="2" s="1"/>
  <c r="C109" i="2"/>
  <c r="P109" i="2" s="1"/>
  <c r="D108" i="2" l="1"/>
  <c r="Q108" i="2" s="1"/>
  <c r="R107" i="2"/>
  <c r="B108" i="2" s="1"/>
  <c r="C110" i="2"/>
  <c r="P110" i="2" s="1"/>
  <c r="D109" i="2" l="1"/>
  <c r="Q109" i="2" s="1"/>
  <c r="R108" i="2"/>
  <c r="B109" i="2" s="1"/>
  <c r="C111" i="2"/>
  <c r="P111" i="2" s="1"/>
  <c r="D110" i="2" l="1"/>
  <c r="Q110" i="2" s="1"/>
  <c r="R109" i="2"/>
  <c r="B110" i="2" s="1"/>
  <c r="C112" i="2"/>
  <c r="P112" i="2" s="1"/>
  <c r="D111" i="2" l="1"/>
  <c r="Q111" i="2" s="1"/>
  <c r="R110" i="2"/>
  <c r="B111" i="2" s="1"/>
  <c r="C113" i="2"/>
  <c r="P113" i="2" s="1"/>
  <c r="D112" i="2" l="1"/>
  <c r="Q112" i="2" s="1"/>
  <c r="R111" i="2"/>
  <c r="B112" i="2" s="1"/>
  <c r="C114" i="2"/>
  <c r="P114" i="2" s="1"/>
  <c r="D113" i="2" l="1"/>
  <c r="Q113" i="2" s="1"/>
  <c r="R112" i="2"/>
  <c r="B113" i="2" s="1"/>
  <c r="C115" i="2"/>
  <c r="P115" i="2" s="1"/>
  <c r="D114" i="2" l="1"/>
  <c r="Q114" i="2" s="1"/>
  <c r="R113" i="2"/>
  <c r="B114" i="2" s="1"/>
  <c r="C116" i="2"/>
  <c r="P116" i="2" s="1"/>
  <c r="D115" i="2" l="1"/>
  <c r="Q115" i="2" s="1"/>
  <c r="R114" i="2"/>
  <c r="B115" i="2" s="1"/>
  <c r="C117" i="2"/>
  <c r="P117" i="2" s="1"/>
  <c r="D116" i="2" l="1"/>
  <c r="Q116" i="2" s="1"/>
  <c r="R115" i="2"/>
  <c r="B116" i="2" s="1"/>
  <c r="C118" i="2"/>
  <c r="P118" i="2" s="1"/>
  <c r="D117" i="2" l="1"/>
  <c r="Q117" i="2" s="1"/>
  <c r="R116" i="2"/>
  <c r="B117" i="2" s="1"/>
  <c r="C119" i="2"/>
  <c r="P119" i="2" s="1"/>
  <c r="D118" i="2" l="1"/>
  <c r="Q118" i="2" s="1"/>
  <c r="R117" i="2"/>
  <c r="B118" i="2" s="1"/>
  <c r="C120" i="2"/>
  <c r="P120" i="2" s="1"/>
  <c r="D119" i="2" l="1"/>
  <c r="Q119" i="2" s="1"/>
  <c r="R118" i="2"/>
  <c r="B119" i="2" s="1"/>
  <c r="C121" i="2"/>
  <c r="P121" i="2" s="1"/>
  <c r="D120" i="2" l="1"/>
  <c r="Q120" i="2" s="1"/>
  <c r="R119" i="2"/>
  <c r="B120" i="2" s="1"/>
  <c r="C122" i="2"/>
  <c r="P122" i="2" s="1"/>
  <c r="D121" i="2" l="1"/>
  <c r="Q121" i="2" s="1"/>
  <c r="R120" i="2"/>
  <c r="B121" i="2" s="1"/>
  <c r="C123" i="2"/>
  <c r="P123" i="2" s="1"/>
  <c r="D122" i="2" l="1"/>
  <c r="Q122" i="2" s="1"/>
  <c r="R121" i="2"/>
  <c r="B122" i="2" s="1"/>
  <c r="C124" i="2"/>
  <c r="P124" i="2" s="1"/>
  <c r="D123" i="2" l="1"/>
  <c r="Q123" i="2" s="1"/>
  <c r="R122" i="2"/>
  <c r="B123" i="2" s="1"/>
  <c r="C125" i="2"/>
  <c r="P125" i="2" s="1"/>
  <c r="D124" i="2" l="1"/>
  <c r="Q124" i="2" s="1"/>
  <c r="R123" i="2"/>
  <c r="B124" i="2" s="1"/>
  <c r="C126" i="2"/>
  <c r="P126" i="2" s="1"/>
  <c r="D125" i="2" l="1"/>
  <c r="Q125" i="2" s="1"/>
  <c r="R124" i="2"/>
  <c r="B125" i="2" s="1"/>
  <c r="C127" i="2"/>
  <c r="P127" i="2" s="1"/>
  <c r="D126" i="2" l="1"/>
  <c r="Q126" i="2" s="1"/>
  <c r="R125" i="2"/>
  <c r="B126" i="2" s="1"/>
  <c r="C128" i="2"/>
  <c r="P128" i="2" s="1"/>
  <c r="D127" i="2" l="1"/>
  <c r="Q127" i="2" s="1"/>
  <c r="R126" i="2"/>
  <c r="B127" i="2" s="1"/>
  <c r="C129" i="2"/>
  <c r="P129" i="2" s="1"/>
  <c r="D128" i="2" l="1"/>
  <c r="Q128" i="2" s="1"/>
  <c r="R127" i="2"/>
  <c r="B128" i="2" s="1"/>
  <c r="C130" i="2"/>
  <c r="P130" i="2" s="1"/>
  <c r="D129" i="2" l="1"/>
  <c r="Q129" i="2" s="1"/>
  <c r="R128" i="2"/>
  <c r="B129" i="2" s="1"/>
  <c r="C131" i="2"/>
  <c r="P131" i="2" s="1"/>
  <c r="D130" i="2" l="1"/>
  <c r="Q130" i="2" s="1"/>
  <c r="R129" i="2"/>
  <c r="B130" i="2" s="1"/>
  <c r="C132" i="2"/>
  <c r="P132" i="2" s="1"/>
  <c r="D131" i="2" l="1"/>
  <c r="Q131" i="2" s="1"/>
  <c r="R130" i="2"/>
  <c r="B131" i="2" s="1"/>
  <c r="C133" i="2"/>
  <c r="P133" i="2" s="1"/>
  <c r="D132" i="2" l="1"/>
  <c r="Q132" i="2" s="1"/>
  <c r="R131" i="2"/>
  <c r="B132" i="2" s="1"/>
  <c r="C134" i="2"/>
  <c r="P134" i="2" s="1"/>
  <c r="D133" i="2" l="1"/>
  <c r="Q133" i="2" s="1"/>
  <c r="R132" i="2"/>
  <c r="B133" i="2" s="1"/>
  <c r="C135" i="2"/>
  <c r="P135" i="2" s="1"/>
  <c r="D134" i="2" l="1"/>
  <c r="Q134" i="2" s="1"/>
  <c r="R133" i="2"/>
  <c r="B134" i="2" s="1"/>
  <c r="C136" i="2"/>
  <c r="P136" i="2" s="1"/>
  <c r="D135" i="2" l="1"/>
  <c r="Q135" i="2" s="1"/>
  <c r="R134" i="2"/>
  <c r="B135" i="2" s="1"/>
  <c r="C137" i="2"/>
  <c r="P137" i="2" s="1"/>
  <c r="D136" i="2" l="1"/>
  <c r="Q136" i="2" s="1"/>
  <c r="R135" i="2"/>
  <c r="B136" i="2" s="1"/>
  <c r="C138" i="2"/>
  <c r="P138" i="2" s="1"/>
  <c r="D137" i="2" l="1"/>
  <c r="Q137" i="2" s="1"/>
  <c r="R136" i="2"/>
  <c r="B137" i="2" s="1"/>
  <c r="C139" i="2"/>
  <c r="P139" i="2" s="1"/>
  <c r="D138" i="2" l="1"/>
  <c r="Q138" i="2" s="1"/>
  <c r="R137" i="2"/>
  <c r="B138" i="2" s="1"/>
  <c r="C140" i="2"/>
  <c r="P140" i="2" s="1"/>
  <c r="D139" i="2" l="1"/>
  <c r="Q139" i="2" s="1"/>
  <c r="R138" i="2"/>
  <c r="B139" i="2" s="1"/>
  <c r="C141" i="2"/>
  <c r="P141" i="2" s="1"/>
  <c r="D140" i="2" l="1"/>
  <c r="Q140" i="2" s="1"/>
  <c r="R139" i="2"/>
  <c r="B140" i="2" s="1"/>
  <c r="C142" i="2"/>
  <c r="P142" i="2" s="1"/>
  <c r="D141" i="2" l="1"/>
  <c r="Q141" i="2" s="1"/>
  <c r="R140" i="2"/>
  <c r="B141" i="2" s="1"/>
  <c r="C143" i="2"/>
  <c r="P143" i="2" s="1"/>
  <c r="D142" i="2" l="1"/>
  <c r="Q142" i="2" s="1"/>
  <c r="R141" i="2"/>
  <c r="B142" i="2" s="1"/>
  <c r="C144" i="2"/>
  <c r="P144" i="2" s="1"/>
  <c r="D143" i="2" l="1"/>
  <c r="Q143" i="2" s="1"/>
  <c r="R142" i="2"/>
  <c r="B143" i="2" s="1"/>
  <c r="C145" i="2"/>
  <c r="P145" i="2" s="1"/>
  <c r="D144" i="2" l="1"/>
  <c r="Q144" i="2" s="1"/>
  <c r="R143" i="2"/>
  <c r="B144" i="2" s="1"/>
  <c r="C146" i="2"/>
  <c r="P146" i="2" s="1"/>
  <c r="D145" i="2" l="1"/>
  <c r="Q145" i="2" s="1"/>
  <c r="R144" i="2"/>
  <c r="B145" i="2" s="1"/>
  <c r="C147" i="2"/>
  <c r="P147" i="2" s="1"/>
  <c r="D146" i="2" l="1"/>
  <c r="Q146" i="2" s="1"/>
  <c r="R145" i="2"/>
  <c r="B146" i="2" s="1"/>
  <c r="C148" i="2"/>
  <c r="P148" i="2" s="1"/>
  <c r="D147" i="2" l="1"/>
  <c r="Q147" i="2" s="1"/>
  <c r="R146" i="2"/>
  <c r="B147" i="2" s="1"/>
  <c r="C149" i="2"/>
  <c r="P149" i="2" s="1"/>
  <c r="D148" i="2" l="1"/>
  <c r="Q148" i="2" s="1"/>
  <c r="R147" i="2"/>
  <c r="B148" i="2" s="1"/>
  <c r="C150" i="2"/>
  <c r="P150" i="2" s="1"/>
  <c r="D149" i="2" l="1"/>
  <c r="Q149" i="2" s="1"/>
  <c r="R148" i="2"/>
  <c r="B149" i="2" s="1"/>
  <c r="C151" i="2"/>
  <c r="P151" i="2" s="1"/>
  <c r="D150" i="2" l="1"/>
  <c r="Q150" i="2" s="1"/>
  <c r="R149" i="2"/>
  <c r="B150" i="2" s="1"/>
  <c r="C152" i="2"/>
  <c r="P152" i="2" s="1"/>
  <c r="D151" i="2" l="1"/>
  <c r="Q151" i="2" s="1"/>
  <c r="R150" i="2"/>
  <c r="B151" i="2" s="1"/>
  <c r="C153" i="2"/>
  <c r="P153" i="2" s="1"/>
  <c r="D152" i="2" l="1"/>
  <c r="Q152" i="2" s="1"/>
  <c r="R151" i="2"/>
  <c r="B152" i="2" s="1"/>
  <c r="C154" i="2"/>
  <c r="P154" i="2" s="1"/>
  <c r="D153" i="2" l="1"/>
  <c r="Q153" i="2" s="1"/>
  <c r="R152" i="2"/>
  <c r="B153" i="2" s="1"/>
  <c r="C155" i="2"/>
  <c r="P155" i="2" s="1"/>
  <c r="D154" i="2" l="1"/>
  <c r="Q154" i="2" s="1"/>
  <c r="R153" i="2"/>
  <c r="B154" i="2" s="1"/>
  <c r="C156" i="2"/>
  <c r="P156" i="2" s="1"/>
  <c r="D155" i="2" l="1"/>
  <c r="Q155" i="2" s="1"/>
  <c r="R154" i="2"/>
  <c r="B155" i="2" s="1"/>
  <c r="C157" i="2"/>
  <c r="P157" i="2" s="1"/>
  <c r="D156" i="2" l="1"/>
  <c r="Q156" i="2" s="1"/>
  <c r="R155" i="2"/>
  <c r="B156" i="2" s="1"/>
  <c r="C158" i="2"/>
  <c r="P158" i="2" s="1"/>
  <c r="D157" i="2" l="1"/>
  <c r="Q157" i="2" s="1"/>
  <c r="R156" i="2"/>
  <c r="B157" i="2" s="1"/>
  <c r="C159" i="2"/>
  <c r="P159" i="2" s="1"/>
  <c r="D158" i="2" l="1"/>
  <c r="Q158" i="2" s="1"/>
  <c r="R157" i="2"/>
  <c r="B158" i="2" s="1"/>
  <c r="C160" i="2"/>
  <c r="P160" i="2" s="1"/>
  <c r="D159" i="2" l="1"/>
  <c r="Q159" i="2" s="1"/>
  <c r="R158" i="2"/>
  <c r="B159" i="2" s="1"/>
  <c r="C161" i="2"/>
  <c r="P161" i="2" s="1"/>
  <c r="D160" i="2" l="1"/>
  <c r="Q160" i="2" s="1"/>
  <c r="R159" i="2"/>
  <c r="B160" i="2" s="1"/>
  <c r="C162" i="2"/>
  <c r="P162" i="2" s="1"/>
  <c r="D161" i="2" l="1"/>
  <c r="Q161" i="2" s="1"/>
  <c r="R160" i="2"/>
  <c r="B161" i="2" s="1"/>
  <c r="C163" i="2"/>
  <c r="P163" i="2" s="1"/>
  <c r="D162" i="2" l="1"/>
  <c r="Q162" i="2" s="1"/>
  <c r="R161" i="2"/>
  <c r="B162" i="2" s="1"/>
  <c r="C164" i="2"/>
  <c r="P164" i="2" s="1"/>
  <c r="D163" i="2" l="1"/>
  <c r="Q163" i="2" s="1"/>
  <c r="R162" i="2"/>
  <c r="B163" i="2" s="1"/>
  <c r="C165" i="2"/>
  <c r="P165" i="2" s="1"/>
  <c r="D164" i="2" l="1"/>
  <c r="Q164" i="2" s="1"/>
  <c r="R163" i="2"/>
  <c r="B164" i="2" s="1"/>
  <c r="C166" i="2"/>
  <c r="P166" i="2" s="1"/>
  <c r="D165" i="2" l="1"/>
  <c r="Q165" i="2" s="1"/>
  <c r="R164" i="2"/>
  <c r="B165" i="2" s="1"/>
  <c r="C167" i="2"/>
  <c r="P167" i="2" s="1"/>
  <c r="D166" i="2" l="1"/>
  <c r="Q166" i="2" s="1"/>
  <c r="R165" i="2"/>
  <c r="B166" i="2" s="1"/>
  <c r="C168" i="2"/>
  <c r="P168" i="2" s="1"/>
  <c r="D167" i="2" l="1"/>
  <c r="Q167" i="2" s="1"/>
  <c r="R166" i="2"/>
  <c r="B167" i="2" s="1"/>
  <c r="C169" i="2"/>
  <c r="P169" i="2" s="1"/>
  <c r="D168" i="2" l="1"/>
  <c r="Q168" i="2" s="1"/>
  <c r="R167" i="2"/>
  <c r="B168" i="2" s="1"/>
  <c r="C170" i="2"/>
  <c r="P170" i="2" s="1"/>
  <c r="D169" i="2" l="1"/>
  <c r="Q169" i="2" s="1"/>
  <c r="R168" i="2"/>
  <c r="B169" i="2" s="1"/>
  <c r="C171" i="2"/>
  <c r="P171" i="2" s="1"/>
  <c r="D170" i="2" l="1"/>
  <c r="Q170" i="2" s="1"/>
  <c r="R169" i="2"/>
  <c r="B170" i="2" s="1"/>
  <c r="C172" i="2"/>
  <c r="P172" i="2" s="1"/>
  <c r="D171" i="2" l="1"/>
  <c r="Q171" i="2" s="1"/>
  <c r="R170" i="2"/>
  <c r="B171" i="2" s="1"/>
  <c r="C173" i="2"/>
  <c r="P173" i="2" s="1"/>
  <c r="D172" i="2" l="1"/>
  <c r="Q172" i="2" s="1"/>
  <c r="R171" i="2"/>
  <c r="B172" i="2" s="1"/>
  <c r="C174" i="2"/>
  <c r="P174" i="2" s="1"/>
  <c r="D173" i="2" l="1"/>
  <c r="Q173" i="2" s="1"/>
  <c r="R172" i="2"/>
  <c r="B173" i="2" s="1"/>
  <c r="C175" i="2"/>
  <c r="P175" i="2" s="1"/>
  <c r="D174" i="2" l="1"/>
  <c r="Q174" i="2" s="1"/>
  <c r="R173" i="2"/>
  <c r="B174" i="2" s="1"/>
  <c r="C176" i="2"/>
  <c r="P176" i="2" s="1"/>
  <c r="D175" i="2" l="1"/>
  <c r="Q175" i="2" s="1"/>
  <c r="R174" i="2"/>
  <c r="B175" i="2" s="1"/>
  <c r="C177" i="2"/>
  <c r="P177" i="2" s="1"/>
  <c r="D176" i="2" l="1"/>
  <c r="Q176" i="2" s="1"/>
  <c r="R175" i="2"/>
  <c r="B176" i="2" s="1"/>
  <c r="C178" i="2"/>
  <c r="P178" i="2" s="1"/>
  <c r="D177" i="2" l="1"/>
  <c r="Q177" i="2" s="1"/>
  <c r="R176" i="2"/>
  <c r="B177" i="2" s="1"/>
  <c r="C179" i="2"/>
  <c r="P179" i="2" s="1"/>
  <c r="D178" i="2" l="1"/>
  <c r="Q178" i="2" s="1"/>
  <c r="R177" i="2"/>
  <c r="B178" i="2" s="1"/>
  <c r="C180" i="2"/>
  <c r="P180" i="2" s="1"/>
  <c r="D179" i="2" l="1"/>
  <c r="Q179" i="2" s="1"/>
  <c r="R178" i="2"/>
  <c r="B179" i="2" s="1"/>
  <c r="C181" i="2"/>
  <c r="P181" i="2" s="1"/>
  <c r="D180" i="2" l="1"/>
  <c r="Q180" i="2" s="1"/>
  <c r="R179" i="2"/>
  <c r="B180" i="2" s="1"/>
  <c r="C182" i="2"/>
  <c r="P182" i="2" s="1"/>
  <c r="D181" i="2" l="1"/>
  <c r="Q181" i="2" s="1"/>
  <c r="R180" i="2"/>
  <c r="B181" i="2" s="1"/>
  <c r="C183" i="2"/>
  <c r="P183" i="2" s="1"/>
  <c r="D182" i="2" l="1"/>
  <c r="Q182" i="2" s="1"/>
  <c r="R181" i="2"/>
  <c r="B182" i="2" s="1"/>
  <c r="C184" i="2"/>
  <c r="P184" i="2" s="1"/>
  <c r="D183" i="2" l="1"/>
  <c r="Q183" i="2" s="1"/>
  <c r="R182" i="2"/>
  <c r="B183" i="2" s="1"/>
  <c r="C185" i="2"/>
  <c r="P185" i="2" s="1"/>
  <c r="D184" i="2" l="1"/>
  <c r="Q184" i="2" s="1"/>
  <c r="R183" i="2"/>
  <c r="B184" i="2" s="1"/>
  <c r="C186" i="2"/>
  <c r="P186" i="2" s="1"/>
  <c r="D185" i="2" l="1"/>
  <c r="Q185" i="2" s="1"/>
  <c r="R184" i="2"/>
  <c r="B185" i="2" s="1"/>
  <c r="C187" i="2"/>
  <c r="P187" i="2" s="1"/>
  <c r="D186" i="2" l="1"/>
  <c r="Q186" i="2" s="1"/>
  <c r="R185" i="2"/>
  <c r="B186" i="2" s="1"/>
  <c r="C188" i="2"/>
  <c r="P188" i="2" s="1"/>
  <c r="D187" i="2" l="1"/>
  <c r="Q187" i="2" s="1"/>
  <c r="R186" i="2"/>
  <c r="B187" i="2" s="1"/>
  <c r="C189" i="2"/>
  <c r="P189" i="2" s="1"/>
  <c r="D188" i="2" l="1"/>
  <c r="Q188" i="2" s="1"/>
  <c r="R187" i="2"/>
  <c r="B188" i="2" s="1"/>
  <c r="C190" i="2"/>
  <c r="P190" i="2" s="1"/>
  <c r="D189" i="2" l="1"/>
  <c r="Q189" i="2" s="1"/>
  <c r="R188" i="2"/>
  <c r="B189" i="2" s="1"/>
  <c r="C191" i="2"/>
  <c r="P191" i="2" s="1"/>
  <c r="D190" i="2" l="1"/>
  <c r="Q190" i="2" s="1"/>
  <c r="R189" i="2"/>
  <c r="B190" i="2" s="1"/>
  <c r="C192" i="2"/>
  <c r="P192" i="2" s="1"/>
  <c r="D191" i="2" l="1"/>
  <c r="Q191" i="2" s="1"/>
  <c r="R190" i="2"/>
  <c r="B191" i="2" s="1"/>
  <c r="C193" i="2"/>
  <c r="P193" i="2" s="1"/>
  <c r="D192" i="2" l="1"/>
  <c r="Q192" i="2" s="1"/>
  <c r="R191" i="2"/>
  <c r="B192" i="2" s="1"/>
  <c r="C194" i="2"/>
  <c r="P194" i="2" s="1"/>
  <c r="D193" i="2" l="1"/>
  <c r="Q193" i="2" s="1"/>
  <c r="R192" i="2"/>
  <c r="B193" i="2" s="1"/>
  <c r="C195" i="2"/>
  <c r="P195" i="2" s="1"/>
  <c r="D194" i="2" l="1"/>
  <c r="Q194" i="2" s="1"/>
  <c r="R193" i="2"/>
  <c r="B194" i="2" s="1"/>
  <c r="C196" i="2"/>
  <c r="P196" i="2" s="1"/>
  <c r="D195" i="2" l="1"/>
  <c r="Q195" i="2" s="1"/>
  <c r="R194" i="2"/>
  <c r="B195" i="2" s="1"/>
  <c r="C197" i="2"/>
  <c r="P197" i="2" s="1"/>
  <c r="D196" i="2" l="1"/>
  <c r="Q196" i="2" s="1"/>
  <c r="R195" i="2"/>
  <c r="B196" i="2" s="1"/>
  <c r="C198" i="2"/>
  <c r="P198" i="2" s="1"/>
  <c r="D197" i="2" l="1"/>
  <c r="Q197" i="2" s="1"/>
  <c r="R196" i="2"/>
  <c r="B197" i="2" s="1"/>
  <c r="C199" i="2"/>
  <c r="P199" i="2" s="1"/>
  <c r="D198" i="2" l="1"/>
  <c r="Q198" i="2" s="1"/>
  <c r="R197" i="2"/>
  <c r="B198" i="2" s="1"/>
  <c r="C200" i="2"/>
  <c r="P200" i="2" s="1"/>
  <c r="D199" i="2" l="1"/>
  <c r="Q199" i="2" s="1"/>
  <c r="R198" i="2"/>
  <c r="B199" i="2" s="1"/>
  <c r="C201" i="2"/>
  <c r="P201" i="2" s="1"/>
  <c r="D200" i="2" l="1"/>
  <c r="Q200" i="2" s="1"/>
  <c r="R199" i="2"/>
  <c r="B200" i="2" s="1"/>
  <c r="C202" i="2"/>
  <c r="P202" i="2" s="1"/>
  <c r="D201" i="2" l="1"/>
  <c r="Q201" i="2" s="1"/>
  <c r="R200" i="2"/>
  <c r="B201" i="2" s="1"/>
  <c r="C203" i="2"/>
  <c r="P203" i="2" s="1"/>
  <c r="D202" i="2" l="1"/>
  <c r="Q202" i="2" s="1"/>
  <c r="R201" i="2"/>
  <c r="B202" i="2" s="1"/>
  <c r="C204" i="2"/>
  <c r="P204" i="2" s="1"/>
  <c r="D203" i="2" l="1"/>
  <c r="Q203" i="2" s="1"/>
  <c r="R202" i="2"/>
  <c r="B203" i="2" s="1"/>
  <c r="C205" i="2"/>
  <c r="P205" i="2" s="1"/>
  <c r="D204" i="2" l="1"/>
  <c r="Q204" i="2" s="1"/>
  <c r="R203" i="2"/>
  <c r="B204" i="2" s="1"/>
  <c r="C206" i="2"/>
  <c r="P206" i="2" s="1"/>
  <c r="D205" i="2" l="1"/>
  <c r="Q205" i="2" s="1"/>
  <c r="R204" i="2"/>
  <c r="B205" i="2" s="1"/>
  <c r="C207" i="2"/>
  <c r="P207" i="2" s="1"/>
  <c r="D206" i="2" l="1"/>
  <c r="Q206" i="2" s="1"/>
  <c r="R205" i="2"/>
  <c r="B206" i="2" s="1"/>
  <c r="C208" i="2"/>
  <c r="P208" i="2" s="1"/>
  <c r="D207" i="2" l="1"/>
  <c r="Q207" i="2" s="1"/>
  <c r="R206" i="2"/>
  <c r="B207" i="2" s="1"/>
  <c r="C209" i="2"/>
  <c r="P209" i="2" s="1"/>
  <c r="D208" i="2" l="1"/>
  <c r="Q208" i="2" s="1"/>
  <c r="R207" i="2"/>
  <c r="B208" i="2" s="1"/>
  <c r="C210" i="2"/>
  <c r="P210" i="2" s="1"/>
  <c r="D209" i="2" l="1"/>
  <c r="Q209" i="2" s="1"/>
  <c r="R208" i="2"/>
  <c r="B209" i="2" s="1"/>
  <c r="C211" i="2"/>
  <c r="P211" i="2" s="1"/>
  <c r="D210" i="2" l="1"/>
  <c r="Q210" i="2" s="1"/>
  <c r="R209" i="2"/>
  <c r="B210" i="2" s="1"/>
  <c r="C212" i="2"/>
  <c r="P212" i="2" s="1"/>
  <c r="D211" i="2" l="1"/>
  <c r="Q211" i="2" s="1"/>
  <c r="R210" i="2"/>
  <c r="B211" i="2" s="1"/>
  <c r="C213" i="2"/>
  <c r="P213" i="2" s="1"/>
  <c r="D212" i="2" l="1"/>
  <c r="Q212" i="2" s="1"/>
  <c r="R211" i="2"/>
  <c r="B212" i="2" s="1"/>
  <c r="C214" i="2"/>
  <c r="P214" i="2" s="1"/>
  <c r="D213" i="2" l="1"/>
  <c r="Q213" i="2" s="1"/>
  <c r="R212" i="2"/>
  <c r="B213" i="2" s="1"/>
  <c r="C215" i="2"/>
  <c r="P215" i="2" s="1"/>
  <c r="D214" i="2" l="1"/>
  <c r="Q214" i="2" s="1"/>
  <c r="R213" i="2"/>
  <c r="B214" i="2" s="1"/>
  <c r="C216" i="2"/>
  <c r="P216" i="2" s="1"/>
  <c r="D215" i="2" l="1"/>
  <c r="Q215" i="2" s="1"/>
  <c r="R214" i="2"/>
  <c r="B215" i="2" s="1"/>
  <c r="C217" i="2"/>
  <c r="P217" i="2" s="1"/>
  <c r="D216" i="2" l="1"/>
  <c r="Q216" i="2" s="1"/>
  <c r="R215" i="2"/>
  <c r="B216" i="2" s="1"/>
  <c r="C218" i="2"/>
  <c r="P218" i="2" s="1"/>
  <c r="D217" i="2" l="1"/>
  <c r="Q217" i="2" s="1"/>
  <c r="R216" i="2"/>
  <c r="B217" i="2" s="1"/>
  <c r="C219" i="2"/>
  <c r="P219" i="2" s="1"/>
  <c r="D218" i="2" l="1"/>
  <c r="Q218" i="2" s="1"/>
  <c r="R217" i="2"/>
  <c r="B218" i="2" s="1"/>
  <c r="C220" i="2"/>
  <c r="P220" i="2" s="1"/>
  <c r="D219" i="2" l="1"/>
  <c r="Q219" i="2" s="1"/>
  <c r="R218" i="2"/>
  <c r="B219" i="2" s="1"/>
  <c r="C221" i="2"/>
  <c r="P221" i="2" s="1"/>
  <c r="D220" i="2" l="1"/>
  <c r="Q220" i="2" s="1"/>
  <c r="R219" i="2"/>
  <c r="B220" i="2" s="1"/>
  <c r="C222" i="2"/>
  <c r="P222" i="2" s="1"/>
  <c r="D221" i="2" l="1"/>
  <c r="Q221" i="2" s="1"/>
  <c r="R220" i="2"/>
  <c r="B221" i="2" s="1"/>
  <c r="C223" i="2"/>
  <c r="P223" i="2" s="1"/>
  <c r="D222" i="2" l="1"/>
  <c r="Q222" i="2" s="1"/>
  <c r="R221" i="2"/>
  <c r="B222" i="2" s="1"/>
  <c r="C224" i="2"/>
  <c r="P224" i="2" s="1"/>
  <c r="D223" i="2" l="1"/>
  <c r="Q223" i="2" s="1"/>
  <c r="R222" i="2"/>
  <c r="B223" i="2" s="1"/>
  <c r="C225" i="2"/>
  <c r="P225" i="2" s="1"/>
  <c r="D224" i="2" l="1"/>
  <c r="Q224" i="2" s="1"/>
  <c r="R223" i="2"/>
  <c r="B224" i="2" s="1"/>
  <c r="C226" i="2"/>
  <c r="P226" i="2" s="1"/>
  <c r="D225" i="2" l="1"/>
  <c r="Q225" i="2" s="1"/>
  <c r="R224" i="2"/>
  <c r="B225" i="2" s="1"/>
  <c r="C227" i="2"/>
  <c r="P227" i="2" s="1"/>
  <c r="D226" i="2" l="1"/>
  <c r="Q226" i="2" s="1"/>
  <c r="R225" i="2"/>
  <c r="B226" i="2" s="1"/>
  <c r="D227" i="2" l="1"/>
  <c r="Q227" i="2" s="1"/>
  <c r="R227" i="2" s="1"/>
  <c r="R226" i="2"/>
  <c r="B227" i="2" s="1"/>
</calcChain>
</file>

<file path=xl/sharedStrings.xml><?xml version="1.0" encoding="utf-8"?>
<sst xmlns="http://schemas.openxmlformats.org/spreadsheetml/2006/main" count="148" uniqueCount="95">
  <si>
    <t>Jon Kemp Personal Budget Plan: Bi-weekly</t>
  </si>
  <si>
    <t>Payment Date</t>
  </si>
  <si>
    <t>Payment Source</t>
  </si>
  <si>
    <t>Monthly Expenses</t>
  </si>
  <si>
    <t>Monthly</t>
  </si>
  <si>
    <t>Per Pay Check</t>
  </si>
  <si>
    <t>Account</t>
  </si>
  <si>
    <t>Notes</t>
  </si>
  <si>
    <t>Cell Phone Service</t>
  </si>
  <si>
    <t>USAA Bills</t>
  </si>
  <si>
    <t>Wells Fargo Credit</t>
  </si>
  <si>
    <t>Auto Pay set for 17th of each month.</t>
  </si>
  <si>
    <t>Gym Membership</t>
  </si>
  <si>
    <t>Bank of America VISA</t>
  </si>
  <si>
    <t>Auto Pay set for 18th of each month.</t>
  </si>
  <si>
    <t>Extra to Bill checking</t>
  </si>
  <si>
    <t>Insurance (Vehicle)</t>
  </si>
  <si>
    <t>Ronnie Portion</t>
  </si>
  <si>
    <t>Jon Portion</t>
  </si>
  <si>
    <t>Emory Parc - HOA Dues</t>
  </si>
  <si>
    <t>USAA HOA Savings</t>
  </si>
  <si>
    <t>Emory Parc - HOA Extra Payments</t>
  </si>
  <si>
    <t>Mortgage - Extra Payments for Random Expenses</t>
  </si>
  <si>
    <t>USAA Mortgage</t>
  </si>
  <si>
    <t>Emory Parc - Mortgage</t>
  </si>
  <si>
    <t>Auto Pay Mortgage Checking</t>
  </si>
  <si>
    <t>Youtube TV Zack</t>
  </si>
  <si>
    <t>Mortgage Checking</t>
  </si>
  <si>
    <t>Must Pay via ZELLE to Zack</t>
  </si>
  <si>
    <t>Water/Sewer</t>
  </si>
  <si>
    <t>Must pay through USAA bill Pay</t>
  </si>
  <si>
    <t>Georgia Power - Electricity</t>
  </si>
  <si>
    <t>Auto Pay from USAA Mortgage Checking</t>
  </si>
  <si>
    <t>Natural Gas</t>
  </si>
  <si>
    <t xml:space="preserve">Auto Pay set for 1st of each Month </t>
  </si>
  <si>
    <t>Comcast Cable</t>
  </si>
  <si>
    <t xml:space="preserve">Auto Pay set for 11th of each Month </t>
  </si>
  <si>
    <t>Total Expenses</t>
  </si>
  <si>
    <t>Jon Portion (Per Paycheck)</t>
  </si>
  <si>
    <t>Amount To USAA Bill Checking - 7071</t>
  </si>
  <si>
    <t>Amount to USAA Mortgage Checking - 3223</t>
  </si>
  <si>
    <t>Amount To USAA HOA Savings - 9575</t>
  </si>
  <si>
    <t>Date</t>
  </si>
  <si>
    <t>Extra Beg Balance</t>
  </si>
  <si>
    <t>Jon Credit</t>
  </si>
  <si>
    <t>Ronnie Credit</t>
  </si>
  <si>
    <t>Jon Extra Credit</t>
  </si>
  <si>
    <t>Ronnie Extra Credit</t>
  </si>
  <si>
    <t>Mortgage</t>
  </si>
  <si>
    <t>Water (GA Utility) (AutoPay Checking)</t>
  </si>
  <si>
    <t>Electric: Georgia Power (AutoPay Checking)</t>
  </si>
  <si>
    <t>Natural Gas (AutoPay Checking : Energy Inc Geo)</t>
  </si>
  <si>
    <t>Comcast (AutoPay Checking)</t>
  </si>
  <si>
    <t>YouTube TV 
(Zelle to Zack)</t>
  </si>
  <si>
    <t>Regular Ending Balance</t>
  </si>
  <si>
    <t>Extra Ending Balance</t>
  </si>
  <si>
    <t>Total End Balance</t>
  </si>
  <si>
    <t>Other Description</t>
  </si>
  <si>
    <t>Mattress</t>
  </si>
  <si>
    <t>Temper Mattress</t>
  </si>
  <si>
    <t>Harry Potter @ Fox</t>
  </si>
  <si>
    <t>New Gas Range Kitchen</t>
  </si>
  <si>
    <t>Grill</t>
  </si>
  <si>
    <t>Bathroom Fan</t>
  </si>
  <si>
    <t>Regular Beg Balance</t>
  </si>
  <si>
    <t>Total Beg Balance</t>
  </si>
  <si>
    <t>HOA Payment</t>
  </si>
  <si>
    <t>Other Explination</t>
  </si>
  <si>
    <t>New Weber Spirit Grill</t>
  </si>
  <si>
    <t>Gym Credit</t>
  </si>
  <si>
    <t>Cell Service</t>
  </si>
  <si>
    <t>Gym</t>
  </si>
  <si>
    <t>Insurance Payment</t>
  </si>
  <si>
    <t>Car Insurance</t>
  </si>
  <si>
    <t>Pay for Auction</t>
  </si>
  <si>
    <t>Prestine Auction</t>
  </si>
  <si>
    <t>Other $</t>
  </si>
  <si>
    <t>Gym Portion</t>
  </si>
  <si>
    <t>Gym Portion (Bi Weekly)</t>
  </si>
  <si>
    <t>Gym Portion Per Paycheck (Bi-Weekly)</t>
  </si>
  <si>
    <t>Jon Portion Per Pay Check (15th and Last Day of month)</t>
  </si>
  <si>
    <t>Semi Annual</t>
  </si>
  <si>
    <t>$622 Due July 1 and Jan 1</t>
  </si>
  <si>
    <t>Outgoing Payments (Debits)</t>
  </si>
  <si>
    <t>Credits</t>
  </si>
  <si>
    <t>Regular Beg  Balance</t>
  </si>
  <si>
    <t>Total Beg  Balance</t>
  </si>
  <si>
    <t>Total Ending Balance</t>
  </si>
  <si>
    <t>Other $ (Credit or Debit)</t>
  </si>
  <si>
    <t>Other $
(Credit or Debit)</t>
  </si>
  <si>
    <t>Jan 8, July 8</t>
  </si>
  <si>
    <t>Paid Semi Annual</t>
  </si>
  <si>
    <t>Debit/Credit</t>
  </si>
  <si>
    <t>Debit</t>
  </si>
  <si>
    <t>Credit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</si>
</sst>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;&quot;$&quot;\(#,##0.00\)"/>
    <numFmt numFmtId="165" formatCode="&quot;$&quot;#,##0.00"/>
  </numFmts>
  <fonts count="23" x14ac:knownFonts="1">
    <font>
      <sz val="10"/>
      <name val="Arial"/>
      <family val="2"/>
    </font>
    <font>
      <sz val="10"/>
      <name val="Arial"/>
      <family val="2"/>
    </font>
    <font>
      <sz val="10"/>
      <color indexed="63"/>
      <name val="Tahoma"/>
      <family val="2"/>
    </font>
    <font>
      <sz val="24"/>
      <color indexed="63"/>
      <name val="Tahoma"/>
      <family val="2"/>
    </font>
    <font>
      <b/>
      <sz val="10"/>
      <color indexed="63"/>
      <name val="Tahoma"/>
      <family val="2"/>
    </font>
    <font>
      <b/>
      <u/>
      <sz val="9"/>
      <color indexed="63"/>
      <name val="Tahoma"/>
      <family val="2"/>
    </font>
    <font>
      <sz val="9"/>
      <color indexed="63"/>
      <name val="Tahoma"/>
      <family val="2"/>
    </font>
    <font>
      <b/>
      <sz val="9"/>
      <color indexed="63"/>
      <name val="Tahoma"/>
      <family val="2"/>
    </font>
    <font>
      <sz val="10"/>
      <color rgb="FFFF0000"/>
      <name val="Arial"/>
      <family val="2"/>
    </font>
    <font>
      <b/>
      <u/>
      <sz val="10"/>
      <color indexed="63"/>
      <name val="Tahoma"/>
      <family val="2"/>
    </font>
    <font>
      <b/>
      <sz val="10"/>
      <name val="Arial"/>
      <family val="2"/>
    </font>
    <font>
      <sz val="10"/>
      <color indexed="13"/>
      <name val="Arial"/>
      <family val="2"/>
    </font>
    <font>
      <b/>
      <sz val="10"/>
      <color indexed="20"/>
      <name val="Tahoma"/>
      <family val="2"/>
    </font>
    <font>
      <sz val="10"/>
      <color indexed="20"/>
      <name val="Tahoma"/>
      <family val="2"/>
    </font>
    <font>
      <b/>
      <sz val="8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sz val="10"/>
      <color rgb="FFFF0000"/>
      <name val="Arial"/>
      <family val="2"/>
    </font>
    <font>
      <sz val="10"/>
      <color rgb="FF008000"/>
      <name val="Arial"/>
      <family val="2"/>
    </font>
    <font>
      <b/>
      <sz val="10"/>
      <color rgb="FF008000"/>
      <name val="Arial"/>
      <family val="2"/>
    </font>
    <font>
      <b/>
      <u/>
      <sz val="10"/>
      <color rgb="FF008000"/>
      <name val="Arial"/>
      <family val="2"/>
    </font>
    <font>
      <b/>
      <u/>
      <sz val="10"/>
      <color rgb="FFFF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5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1" tint="0.2499465926084170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1" tint="0.24994659260841701"/>
      </top>
      <bottom/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double">
        <color indexed="64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5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left" vertical="center" wrapText="1"/>
    </xf>
    <xf numFmtId="8" fontId="0" fillId="3" borderId="0" xfId="0" applyNumberFormat="1" applyFill="1" applyAlignment="1">
      <alignment horizontal="left"/>
    </xf>
    <xf numFmtId="0" fontId="0" fillId="0" borderId="8" xfId="0" applyBorder="1"/>
    <xf numFmtId="0" fontId="5" fillId="2" borderId="1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5" fillId="2" borderId="3" xfId="0" applyFont="1" applyFill="1" applyBorder="1" applyAlignment="1">
      <alignment horizontal="left" vertical="center" wrapText="1"/>
    </xf>
    <xf numFmtId="0" fontId="4" fillId="9" borderId="7" xfId="0" applyFont="1" applyFill="1" applyBorder="1" applyAlignment="1">
      <alignment horizontal="right" vertical="center" wrapText="1"/>
    </xf>
    <xf numFmtId="8" fontId="2" fillId="9" borderId="11" xfId="0" applyNumberFormat="1" applyFont="1" applyFill="1" applyBorder="1" applyAlignment="1">
      <alignment vertical="center" wrapText="1"/>
    </xf>
    <xf numFmtId="0" fontId="1" fillId="9" borderId="0" xfId="0" applyFont="1" applyFill="1"/>
    <xf numFmtId="0" fontId="0" fillId="9" borderId="0" xfId="0" applyFill="1" applyAlignment="1">
      <alignment horizontal="center"/>
    </xf>
    <xf numFmtId="0" fontId="1" fillId="3" borderId="0" xfId="0" applyFont="1" applyFill="1"/>
    <xf numFmtId="0" fontId="1" fillId="0" borderId="0" xfId="0" applyFont="1"/>
    <xf numFmtId="8" fontId="2" fillId="9" borderId="7" xfId="0" applyNumberFormat="1" applyFont="1" applyFill="1" applyBorder="1" applyAlignment="1">
      <alignment vertical="center" wrapText="1"/>
    </xf>
    <xf numFmtId="0" fontId="0" fillId="3" borderId="0" xfId="0" applyFill="1"/>
    <xf numFmtId="8" fontId="2" fillId="9" borderId="12" xfId="0" applyNumberFormat="1" applyFont="1" applyFill="1" applyBorder="1" applyAlignment="1">
      <alignment vertical="center" wrapText="1"/>
    </xf>
    <xf numFmtId="8" fontId="2" fillId="9" borderId="13" xfId="0" applyNumberFormat="1" applyFont="1" applyFill="1" applyBorder="1" applyAlignment="1">
      <alignment vertical="center" wrapText="1"/>
    </xf>
    <xf numFmtId="0" fontId="4" fillId="0" borderId="7" xfId="0" applyFont="1" applyBorder="1" applyAlignment="1">
      <alignment horizontal="center" vertical="center" wrapText="1"/>
    </xf>
    <xf numFmtId="8" fontId="4" fillId="9" borderId="5" xfId="0" applyNumberFormat="1" applyFont="1" applyFill="1" applyBorder="1" applyAlignment="1">
      <alignment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7" fillId="2" borderId="3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6" fillId="2" borderId="6" xfId="0" applyFont="1" applyFill="1" applyBorder="1" applyAlignment="1">
      <alignment horizontal="left" vertical="center" wrapText="1"/>
    </xf>
    <xf numFmtId="8" fontId="2" fillId="10" borderId="12" xfId="0" applyNumberFormat="1" applyFont="1" applyFill="1" applyBorder="1" applyAlignment="1">
      <alignment vertical="center" wrapText="1"/>
    </xf>
    <xf numFmtId="8" fontId="2" fillId="10" borderId="7" xfId="0" applyNumberFormat="1" applyFont="1" applyFill="1" applyBorder="1" applyAlignment="1">
      <alignment vertical="center" wrapText="1"/>
    </xf>
    <xf numFmtId="0" fontId="1" fillId="10" borderId="0" xfId="0" applyFont="1" applyFill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/>
    <xf numFmtId="8" fontId="2" fillId="11" borderId="0" xfId="0" applyNumberFormat="1" applyFont="1" applyFill="1" applyAlignment="1">
      <alignment vertical="center" wrapText="1"/>
    </xf>
    <xf numFmtId="8" fontId="2" fillId="11" borderId="7" xfId="0" applyNumberFormat="1" applyFont="1" applyFill="1" applyBorder="1" applyAlignment="1">
      <alignment vertical="center" wrapText="1"/>
    </xf>
    <xf numFmtId="0" fontId="1" fillId="11" borderId="0" xfId="0" applyFont="1" applyFill="1"/>
    <xf numFmtId="8" fontId="0" fillId="0" borderId="0" xfId="0" applyNumberFormat="1"/>
    <xf numFmtId="0" fontId="4" fillId="11" borderId="7" xfId="0" applyFont="1" applyFill="1" applyBorder="1" applyAlignment="1">
      <alignment horizontal="right" vertical="center" wrapText="1"/>
    </xf>
    <xf numFmtId="8" fontId="2" fillId="11" borderId="11" xfId="0" applyNumberFormat="1" applyFont="1" applyFill="1" applyBorder="1" applyAlignment="1">
      <alignment vertical="center" wrapText="1"/>
    </xf>
    <xf numFmtId="0" fontId="1" fillId="0" borderId="0" xfId="0" applyFont="1" applyAlignment="1">
      <alignment horizontal="center"/>
    </xf>
    <xf numFmtId="0" fontId="10" fillId="0" borderId="0" xfId="0" applyFont="1"/>
    <xf numFmtId="8" fontId="2" fillId="11" borderId="15" xfId="0" applyNumberFormat="1" applyFont="1" applyFill="1" applyBorder="1" applyAlignment="1">
      <alignment vertical="center" wrapText="1"/>
    </xf>
    <xf numFmtId="8" fontId="2" fillId="11" borderId="13" xfId="0" applyNumberFormat="1" applyFont="1" applyFill="1" applyBorder="1" applyAlignment="1">
      <alignment vertical="center" wrapText="1"/>
    </xf>
    <xf numFmtId="8" fontId="4" fillId="11" borderId="5" xfId="0" applyNumberFormat="1" applyFont="1" applyFill="1" applyBorder="1" applyAlignment="1">
      <alignment vertical="center" wrapText="1"/>
    </xf>
    <xf numFmtId="8" fontId="4" fillId="0" borderId="5" xfId="0" applyNumberFormat="1" applyFont="1" applyBorder="1" applyAlignment="1">
      <alignment vertical="center" wrapText="1"/>
    </xf>
    <xf numFmtId="8" fontId="4" fillId="8" borderId="11" xfId="0" applyNumberFormat="1" applyFont="1" applyFill="1" applyBorder="1" applyAlignment="1">
      <alignment vertical="center" wrapText="1"/>
    </xf>
    <xf numFmtId="8" fontId="4" fillId="8" borderId="11" xfId="1" applyNumberFormat="1" applyFont="1" applyFill="1" applyBorder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11" fillId="0" borderId="0" xfId="0" applyFont="1" applyAlignment="1">
      <alignment wrapText="1"/>
    </xf>
    <xf numFmtId="0" fontId="12" fillId="0" borderId="16" xfId="0" applyFont="1" applyBorder="1" applyAlignment="1">
      <alignment horizontal="left" vertical="center" wrapText="1"/>
    </xf>
    <xf numFmtId="164" fontId="13" fillId="9" borderId="18" xfId="0" applyNumberFormat="1" applyFont="1" applyFill="1" applyBorder="1" applyAlignment="1">
      <alignment horizontal="left" vertical="center"/>
    </xf>
    <xf numFmtId="164" fontId="13" fillId="9" borderId="19" xfId="0" applyNumberFormat="1" applyFont="1" applyFill="1" applyBorder="1" applyAlignment="1">
      <alignment horizontal="left" vertical="center"/>
    </xf>
    <xf numFmtId="164" fontId="13" fillId="11" borderId="20" xfId="0" applyNumberFormat="1" applyFont="1" applyFill="1" applyBorder="1" applyAlignment="1">
      <alignment horizontal="left" vertical="center"/>
    </xf>
    <xf numFmtId="164" fontId="13" fillId="11" borderId="21" xfId="0" applyNumberFormat="1" applyFont="1" applyFill="1" applyBorder="1" applyAlignment="1">
      <alignment horizontal="left" vertical="center"/>
    </xf>
    <xf numFmtId="164" fontId="13" fillId="10" borderId="22" xfId="0" applyNumberFormat="1" applyFont="1" applyFill="1" applyBorder="1" applyAlignment="1">
      <alignment horizontal="left" vertical="center"/>
    </xf>
    <xf numFmtId="164" fontId="13" fillId="10" borderId="23" xfId="0" applyNumberFormat="1" applyFont="1" applyFill="1" applyBorder="1" applyAlignment="1">
      <alignment horizontal="left" vertical="center"/>
    </xf>
    <xf numFmtId="8" fontId="2" fillId="0" borderId="0" xfId="0" applyNumberFormat="1" applyFont="1" applyAlignment="1">
      <alignment horizontal="left" vertical="center"/>
    </xf>
    <xf numFmtId="0" fontId="14" fillId="0" borderId="0" xfId="0" applyFont="1" applyAlignment="1">
      <alignment wrapText="1"/>
    </xf>
    <xf numFmtId="44" fontId="10" fillId="6" borderId="0" xfId="1" applyFont="1" applyFill="1" applyAlignment="1">
      <alignment wrapText="1"/>
    </xf>
    <xf numFmtId="44" fontId="15" fillId="12" borderId="0" xfId="1" applyFont="1" applyFill="1" applyAlignment="1">
      <alignment wrapText="1"/>
    </xf>
    <xf numFmtId="44" fontId="15" fillId="6" borderId="0" xfId="1" applyFont="1" applyFill="1" applyAlignment="1">
      <alignment wrapText="1"/>
    </xf>
    <xf numFmtId="44" fontId="15" fillId="13" borderId="0" xfId="1" applyFont="1" applyFill="1" applyAlignment="1">
      <alignment wrapText="1"/>
    </xf>
    <xf numFmtId="44" fontId="10" fillId="12" borderId="0" xfId="1" applyFont="1" applyFill="1" applyAlignment="1">
      <alignment wrapText="1"/>
    </xf>
    <xf numFmtId="44" fontId="10" fillId="14" borderId="0" xfId="1" applyFont="1" applyFill="1" applyAlignment="1">
      <alignment wrapText="1"/>
    </xf>
    <xf numFmtId="0" fontId="10" fillId="0" borderId="0" xfId="0" applyFont="1" applyAlignment="1">
      <alignment wrapText="1"/>
    </xf>
    <xf numFmtId="14" fontId="16" fillId="0" borderId="0" xfId="0" applyNumberFormat="1" applyFont="1"/>
    <xf numFmtId="44" fontId="1" fillId="0" borderId="0" xfId="1" applyFont="1"/>
    <xf numFmtId="44" fontId="17" fillId="0" borderId="0" xfId="1" applyFont="1"/>
    <xf numFmtId="44" fontId="10" fillId="0" borderId="0" xfId="1" applyFont="1"/>
    <xf numFmtId="0" fontId="16" fillId="0" borderId="0" xfId="0" applyFont="1"/>
    <xf numFmtId="14" fontId="0" fillId="0" borderId="0" xfId="0" applyNumberFormat="1"/>
    <xf numFmtId="165" fontId="0" fillId="0" borderId="0" xfId="1" applyNumberFormat="1" applyFont="1"/>
    <xf numFmtId="165" fontId="8" fillId="0" borderId="0" xfId="1" applyNumberFormat="1" applyFont="1"/>
    <xf numFmtId="165" fontId="10" fillId="0" borderId="0" xfId="1" applyNumberFormat="1" applyFont="1"/>
    <xf numFmtId="164" fontId="13" fillId="9" borderId="0" xfId="0" applyNumberFormat="1" applyFont="1" applyFill="1" applyAlignment="1">
      <alignment horizontal="left" vertical="center"/>
    </xf>
    <xf numFmtId="164" fontId="13" fillId="11" borderId="24" xfId="0" applyNumberFormat="1" applyFont="1" applyFill="1" applyBorder="1" applyAlignment="1">
      <alignment horizontal="left" vertical="center"/>
    </xf>
    <xf numFmtId="164" fontId="13" fillId="10" borderId="25" xfId="0" applyNumberFormat="1" applyFont="1" applyFill="1" applyBorder="1" applyAlignment="1">
      <alignment horizontal="left" vertical="center"/>
    </xf>
    <xf numFmtId="164" fontId="2" fillId="0" borderId="0" xfId="0" applyNumberFormat="1" applyFont="1" applyAlignment="1">
      <alignment horizontal="left" vertical="center"/>
    </xf>
    <xf numFmtId="0" fontId="5" fillId="2" borderId="26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4" fillId="9" borderId="10" xfId="0" applyFont="1" applyFill="1" applyBorder="1" applyAlignment="1">
      <alignment horizontal="right" vertical="center"/>
    </xf>
    <xf numFmtId="0" fontId="0" fillId="15" borderId="0" xfId="0" applyFill="1" applyAlignment="1">
      <alignment horizontal="center"/>
    </xf>
    <xf numFmtId="0" fontId="10" fillId="0" borderId="17" xfId="0" applyFont="1" applyBorder="1" applyAlignment="1">
      <alignment wrapText="1"/>
    </xf>
    <xf numFmtId="0" fontId="10" fillId="0" borderId="1" xfId="0" applyFont="1" applyBorder="1" applyAlignment="1">
      <alignment wrapText="1"/>
    </xf>
    <xf numFmtId="165" fontId="10" fillId="13" borderId="2" xfId="1" applyNumberFormat="1" applyFont="1" applyFill="1" applyBorder="1" applyAlignment="1">
      <alignment wrapText="1"/>
    </xf>
    <xf numFmtId="0" fontId="10" fillId="0" borderId="3" xfId="0" applyFont="1" applyBorder="1" applyAlignment="1">
      <alignment wrapText="1"/>
    </xf>
    <xf numFmtId="165" fontId="10" fillId="13" borderId="30" xfId="1" applyNumberFormat="1" applyFont="1" applyFill="1" applyBorder="1" applyAlignment="1">
      <alignment wrapText="1"/>
    </xf>
    <xf numFmtId="165" fontId="19" fillId="0" borderId="0" xfId="1" applyNumberFormat="1" applyFont="1"/>
    <xf numFmtId="165" fontId="20" fillId="6" borderId="2" xfId="1" applyNumberFormat="1" applyFont="1" applyFill="1" applyBorder="1" applyAlignment="1">
      <alignment wrapText="1"/>
    </xf>
    <xf numFmtId="165" fontId="18" fillId="16" borderId="2" xfId="1" applyNumberFormat="1" applyFont="1" applyFill="1" applyBorder="1" applyAlignment="1">
      <alignment wrapText="1"/>
    </xf>
    <xf numFmtId="165" fontId="10" fillId="0" borderId="17" xfId="1" applyNumberFormat="1" applyFont="1" applyBorder="1" applyAlignment="1">
      <alignment wrapText="1"/>
    </xf>
    <xf numFmtId="165" fontId="20" fillId="0" borderId="17" xfId="1" applyNumberFormat="1" applyFont="1" applyBorder="1" applyAlignment="1">
      <alignment wrapText="1"/>
    </xf>
    <xf numFmtId="165" fontId="18" fillId="0" borderId="33" xfId="1" applyNumberFormat="1" applyFont="1" applyBorder="1" applyAlignment="1">
      <alignment wrapText="1"/>
    </xf>
    <xf numFmtId="0" fontId="12" fillId="10" borderId="17" xfId="0" applyFont="1" applyFill="1" applyBorder="1" applyAlignment="1">
      <alignment horizontal="left" vertical="center"/>
    </xf>
    <xf numFmtId="0" fontId="4" fillId="11" borderId="10" xfId="0" applyFont="1" applyFill="1" applyBorder="1" applyAlignment="1">
      <alignment horizontal="right" vertical="center" wrapText="1"/>
    </xf>
    <xf numFmtId="0" fontId="4" fillId="11" borderId="8" xfId="0" applyFont="1" applyFill="1" applyBorder="1" applyAlignment="1">
      <alignment horizontal="right" vertical="center" wrapText="1"/>
    </xf>
    <xf numFmtId="0" fontId="4" fillId="11" borderId="14" xfId="0" applyFont="1" applyFill="1" applyBorder="1" applyAlignment="1">
      <alignment horizontal="right" vertical="center" wrapText="1"/>
    </xf>
    <xf numFmtId="0" fontId="9" fillId="11" borderId="10" xfId="0" applyFont="1" applyFill="1" applyBorder="1" applyAlignment="1">
      <alignment horizontal="right" vertical="center" wrapText="1"/>
    </xf>
    <xf numFmtId="0" fontId="9" fillId="11" borderId="8" xfId="0" applyFont="1" applyFill="1" applyBorder="1" applyAlignment="1">
      <alignment horizontal="right" vertical="center" wrapText="1"/>
    </xf>
    <xf numFmtId="0" fontId="9" fillId="11" borderId="14" xfId="0" applyFont="1" applyFill="1" applyBorder="1" applyAlignment="1">
      <alignment horizontal="right" vertical="center" wrapText="1"/>
    </xf>
    <xf numFmtId="8" fontId="0" fillId="3" borderId="0" xfId="0" applyNumberFormat="1" applyFill="1" applyAlignment="1">
      <alignment horizontal="left"/>
    </xf>
    <xf numFmtId="0" fontId="4" fillId="5" borderId="7" xfId="0" applyFont="1" applyFill="1" applyBorder="1" applyAlignment="1">
      <alignment horizontal="center" vertical="center" wrapText="1"/>
    </xf>
    <xf numFmtId="0" fontId="12" fillId="9" borderId="17" xfId="0" applyFont="1" applyFill="1" applyBorder="1" applyAlignment="1">
      <alignment horizontal="left" vertical="center"/>
    </xf>
    <xf numFmtId="0" fontId="12" fillId="11" borderId="17" xfId="0" applyFont="1" applyFill="1" applyBorder="1" applyAlignment="1">
      <alignment horizontal="left" vertical="center"/>
    </xf>
    <xf numFmtId="0" fontId="4" fillId="10" borderId="7" xfId="0" applyFont="1" applyFill="1" applyBorder="1" applyAlignment="1">
      <alignment horizontal="right" vertical="center" wrapText="1"/>
    </xf>
    <xf numFmtId="0" fontId="4" fillId="11" borderId="7" xfId="0" applyFont="1" applyFill="1" applyBorder="1" applyAlignment="1">
      <alignment horizontal="right" vertical="center" wrapText="1"/>
    </xf>
    <xf numFmtId="0" fontId="4" fillId="4" borderId="4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2" fillId="7" borderId="7" xfId="0" applyFont="1" applyFill="1" applyBorder="1" applyAlignment="1">
      <alignment horizontal="center" vertical="center" wrapText="1"/>
    </xf>
    <xf numFmtId="0" fontId="2" fillId="7" borderId="10" xfId="0" applyFont="1" applyFill="1" applyBorder="1" applyAlignment="1">
      <alignment horizontal="center" vertical="center" wrapText="1"/>
    </xf>
    <xf numFmtId="0" fontId="4" fillId="9" borderId="7" xfId="0" applyFont="1" applyFill="1" applyBorder="1" applyAlignment="1">
      <alignment horizontal="right" vertical="center" wrapText="1"/>
    </xf>
    <xf numFmtId="0" fontId="5" fillId="3" borderId="2" xfId="0" applyFont="1" applyFill="1" applyBorder="1" applyAlignment="1">
      <alignment horizontal="left" vertical="center" wrapText="1"/>
    </xf>
    <xf numFmtId="165" fontId="21" fillId="6" borderId="31" xfId="1" applyNumberFormat="1" applyFont="1" applyFill="1" applyBorder="1" applyAlignment="1">
      <alignment horizontal="center"/>
    </xf>
    <xf numFmtId="165" fontId="21" fillId="6" borderId="32" xfId="1" applyNumberFormat="1" applyFont="1" applyFill="1" applyBorder="1" applyAlignment="1">
      <alignment horizontal="center"/>
    </xf>
    <xf numFmtId="165" fontId="22" fillId="16" borderId="1" xfId="1" applyNumberFormat="1" applyFont="1" applyFill="1" applyBorder="1" applyAlignment="1">
      <alignment horizontal="center" wrapText="1"/>
    </xf>
    <xf numFmtId="165" fontId="22" fillId="16" borderId="3" xfId="1" applyNumberFormat="1" applyFont="1" applyFill="1" applyBorder="1" applyAlignment="1">
      <alignment horizontal="center" wrapText="1"/>
    </xf>
    <xf numFmtId="165" fontId="22" fillId="16" borderId="27" xfId="1" applyNumberFormat="1" applyFont="1" applyFill="1" applyBorder="1" applyAlignment="1">
      <alignment horizontal="center"/>
    </xf>
    <xf numFmtId="165" fontId="22" fillId="16" borderId="29" xfId="1" applyNumberFormat="1" applyFont="1" applyFill="1" applyBorder="1" applyAlignment="1">
      <alignment horizontal="center"/>
    </xf>
    <xf numFmtId="165" fontId="22" fillId="16" borderId="28" xfId="1" applyNumberFormat="1" applyFont="1" applyFill="1" applyBorder="1" applyAlignment="1">
      <alignment horizontal="center"/>
    </xf>
    <xf numFmtId="165" fontId="21" fillId="6" borderId="27" xfId="1" applyNumberFormat="1" applyFont="1" applyFill="1" applyBorder="1" applyAlignment="1">
      <alignment horizontal="center"/>
    </xf>
    <xf numFmtId="165" fontId="21" fillId="6" borderId="28" xfId="1" applyNumberFormat="1" applyFont="1" applyFill="1" applyBorder="1" applyAlignment="1">
      <alignment horizontal="center"/>
    </xf>
    <xf numFmtId="165" fontId="10" fillId="17" borderId="17" xfId="1" applyNumberFormat="1" applyFont="1" applyFill="1" applyBorder="1" applyAlignment="1">
      <alignment wrapText="1"/>
    </xf>
    <xf numFmtId="0" fontId="0" fillId="10" borderId="0" xfId="0" applyFont="1" applyFill="1"/>
    <xf numFmtId="0" fontId="0" fillId="0" borderId="0" xfId="0" applyFont="1" applyAlignment="1">
      <alignment horizontal="center"/>
    </xf>
  </cellXfs>
  <cellStyles count="2">
    <cellStyle name="Currency" xfId="1" builtinId="4"/>
    <cellStyle name="Normal" xfId="0" builtinId="0"/>
  </cellStyles>
  <dxfs count="32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chedulepayment.com/DKLB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4"/>
    <pageSetUpPr fitToPage="1"/>
  </sheetPr>
  <dimension ref="B1:Q35"/>
  <sheetViews>
    <sheetView showGridLines="0" tabSelected="1" zoomScale="90" zoomScaleNormal="100" workbookViewId="0">
      <selection activeCell="J31" sqref="J31"/>
    </sheetView>
  </sheetViews>
  <sheetFormatPr defaultColWidth="9.1796875" defaultRowHeight="12.5" x14ac:dyDescent="0.25"/>
  <cols>
    <col min="1" max="1" width="1.6328125" style="2" customWidth="1"/>
    <col min="2" max="2" width="25.36328125" style="47" bestFit="1" customWidth="1"/>
    <col min="3" max="3" width="11.453125" style="2" bestFit="1" customWidth="1"/>
    <col min="4" max="4" width="17.90625" style="2" customWidth="1"/>
    <col min="5" max="5" width="20.6328125" style="2" customWidth="1"/>
    <col min="6" max="6" width="16" style="2" customWidth="1"/>
    <col min="7" max="7" width="17.453125" style="2" bestFit="1" customWidth="1"/>
    <col min="8" max="8" width="15.36328125" style="2" customWidth="1"/>
    <col min="9" max="9" width="21" style="2" customWidth="1"/>
    <col min="10" max="10" width="16.90625" style="2" customWidth="1"/>
    <col min="11" max="12" width="12.6328125" style="2" customWidth="1"/>
    <col min="13" max="13" width="11.54296875" style="2" customWidth="1"/>
    <col min="14" max="14" width="18.453125" style="2" customWidth="1"/>
    <col min="15" max="15" width="39.36328125" style="2" customWidth="1"/>
    <col min="16" max="16384" width="9.1796875" style="2"/>
  </cols>
  <sheetData>
    <row r="1" spans="2:17" s="1" customFormat="1" x14ac:dyDescent="0.25">
      <c r="B1" s="108" t="s">
        <v>0</v>
      </c>
      <c r="C1" s="108"/>
      <c r="D1" s="108"/>
      <c r="E1" s="108"/>
      <c r="F1" s="108"/>
    </row>
    <row r="2" spans="2:17" x14ac:dyDescent="0.25">
      <c r="B2" s="108"/>
      <c r="C2" s="108"/>
      <c r="D2" s="108"/>
      <c r="E2" s="108"/>
      <c r="F2" s="108"/>
    </row>
    <row r="3" spans="2:17" ht="21.65" customHeight="1" x14ac:dyDescent="0.25">
      <c r="B3" s="108"/>
      <c r="C3" s="108"/>
      <c r="D3" s="108"/>
      <c r="E3" s="108"/>
      <c r="F3" s="108"/>
    </row>
    <row r="4" spans="2:17" customFormat="1" x14ac:dyDescent="0.25">
      <c r="B4" s="6"/>
      <c r="C4" s="6"/>
      <c r="D4" s="6"/>
      <c r="E4" s="6"/>
      <c r="F4" s="6"/>
    </row>
    <row r="5" spans="2:17" customFormat="1" ht="13" thickBot="1" x14ac:dyDescent="0.3">
      <c r="B5" s="106" t="s">
        <v>3</v>
      </c>
      <c r="C5" s="106"/>
      <c r="D5" s="106"/>
      <c r="E5" s="107"/>
      <c r="F5" s="107"/>
    </row>
    <row r="6" spans="2:17" customFormat="1" ht="35" thickBot="1" x14ac:dyDescent="0.3">
      <c r="B6" s="109"/>
      <c r="C6" s="109"/>
      <c r="D6" s="110"/>
      <c r="E6" s="7" t="s">
        <v>4</v>
      </c>
      <c r="F6" s="78" t="s">
        <v>77</v>
      </c>
      <c r="G6" s="78" t="s">
        <v>79</v>
      </c>
      <c r="H6" s="78" t="s">
        <v>18</v>
      </c>
      <c r="I6" s="8" t="s">
        <v>80</v>
      </c>
      <c r="J6" s="8" t="s">
        <v>6</v>
      </c>
      <c r="K6" s="3" t="s">
        <v>1</v>
      </c>
      <c r="L6" s="3" t="s">
        <v>92</v>
      </c>
      <c r="M6" s="4" t="s">
        <v>2</v>
      </c>
      <c r="N6" s="9" t="s">
        <v>7</v>
      </c>
    </row>
    <row r="7" spans="2:17" customFormat="1" x14ac:dyDescent="0.25">
      <c r="B7" s="111" t="s">
        <v>8</v>
      </c>
      <c r="C7" s="111"/>
      <c r="D7" s="111"/>
      <c r="E7" s="11">
        <v>-30</v>
      </c>
      <c r="F7" s="11">
        <v>0</v>
      </c>
      <c r="G7" s="11">
        <v>0</v>
      </c>
      <c r="H7" s="11">
        <f>E7-F7</f>
        <v>-30</v>
      </c>
      <c r="I7" s="11">
        <f>H7/2</f>
        <v>-15</v>
      </c>
      <c r="J7" s="12" t="s">
        <v>9</v>
      </c>
      <c r="K7" s="81">
        <v>15</v>
      </c>
      <c r="L7" s="81" t="s">
        <v>93</v>
      </c>
      <c r="M7" s="14" t="s">
        <v>10</v>
      </c>
      <c r="N7" s="15" t="s">
        <v>11</v>
      </c>
    </row>
    <row r="8" spans="2:17" customFormat="1" x14ac:dyDescent="0.25">
      <c r="B8" s="111" t="s">
        <v>12</v>
      </c>
      <c r="C8" s="111"/>
      <c r="D8" s="111"/>
      <c r="E8" s="16">
        <v>-44.99</v>
      </c>
      <c r="F8" s="16">
        <f>-(11.25*2)</f>
        <v>-22.5</v>
      </c>
      <c r="G8" s="16">
        <v>-11.25</v>
      </c>
      <c r="H8" s="16">
        <f t="shared" ref="H8:H10" si="0">E8-F8</f>
        <v>-22.490000000000002</v>
      </c>
      <c r="I8" s="16">
        <f>H8/2</f>
        <v>-11.245000000000001</v>
      </c>
      <c r="J8" s="12" t="s">
        <v>9</v>
      </c>
      <c r="K8" s="81">
        <v>17</v>
      </c>
      <c r="L8" s="81" t="s">
        <v>93</v>
      </c>
      <c r="M8" s="17" t="s">
        <v>13</v>
      </c>
      <c r="N8" s="15" t="s">
        <v>14</v>
      </c>
    </row>
    <row r="9" spans="2:17" customFormat="1" ht="13.25" customHeight="1" x14ac:dyDescent="0.25">
      <c r="B9" s="10"/>
      <c r="C9" s="10"/>
      <c r="D9" s="80" t="s">
        <v>15</v>
      </c>
      <c r="E9" s="18">
        <v>-13.84</v>
      </c>
      <c r="F9" s="18">
        <v>0</v>
      </c>
      <c r="G9" s="16">
        <v>0</v>
      </c>
      <c r="H9" s="16">
        <f t="shared" si="0"/>
        <v>-13.84</v>
      </c>
      <c r="I9" s="16">
        <f>E9/2</f>
        <v>-6.92</v>
      </c>
      <c r="J9" s="12"/>
      <c r="K9" s="13"/>
      <c r="L9" s="13" t="s">
        <v>94</v>
      </c>
      <c r="M9" s="17"/>
      <c r="N9" s="15"/>
    </row>
    <row r="10" spans="2:17" customFormat="1" ht="13" thickBot="1" x14ac:dyDescent="0.3">
      <c r="B10" s="111" t="s">
        <v>16</v>
      </c>
      <c r="C10" s="111"/>
      <c r="D10" s="111"/>
      <c r="E10" s="19">
        <f>(-622*2)/12</f>
        <v>-103.66666666666667</v>
      </c>
      <c r="F10" s="19">
        <v>0</v>
      </c>
      <c r="G10" s="19">
        <v>0</v>
      </c>
      <c r="H10" s="19">
        <f t="shared" si="0"/>
        <v>-103.66666666666667</v>
      </c>
      <c r="I10" s="19">
        <f>E10/2</f>
        <v>-51.833333333333336</v>
      </c>
      <c r="J10" s="12" t="s">
        <v>9</v>
      </c>
      <c r="K10" s="81" t="s">
        <v>81</v>
      </c>
      <c r="L10" s="81" t="s">
        <v>93</v>
      </c>
      <c r="M10" s="17"/>
      <c r="N10" t="s">
        <v>82</v>
      </c>
    </row>
    <row r="11" spans="2:17" customFormat="1" ht="13" thickTop="1" x14ac:dyDescent="0.25">
      <c r="B11" s="20"/>
      <c r="C11" s="20"/>
      <c r="D11" s="20"/>
      <c r="E11" s="21">
        <f>SUM(E7:E10)</f>
        <v>-192.49666666666667</v>
      </c>
      <c r="F11" s="21">
        <f>SUM(F7:F10)</f>
        <v>-22.5</v>
      </c>
      <c r="G11" s="21">
        <f>SUM(G7:G10)</f>
        <v>-11.25</v>
      </c>
      <c r="H11" s="21">
        <f>SUM(H7:H10)</f>
        <v>-169.99666666666667</v>
      </c>
      <c r="I11" s="21">
        <f>SUM(I7:I10)</f>
        <v>-84.998333333333335</v>
      </c>
      <c r="J11" s="15"/>
    </row>
    <row r="12" spans="2:17" customFormat="1" ht="13" thickBot="1" x14ac:dyDescent="0.3">
      <c r="B12" s="20"/>
      <c r="C12" s="20"/>
      <c r="D12" s="20"/>
      <c r="E12" s="22"/>
      <c r="F12" s="22"/>
      <c r="G12" s="79"/>
      <c r="H12" s="15"/>
    </row>
    <row r="13" spans="2:17" customFormat="1" ht="25.25" customHeight="1" thickBot="1" x14ac:dyDescent="0.3">
      <c r="B13" s="20"/>
      <c r="C13" s="20"/>
      <c r="D13" s="23"/>
      <c r="E13" s="7" t="s">
        <v>4</v>
      </c>
      <c r="F13" s="8" t="s">
        <v>17</v>
      </c>
      <c r="G13" s="8"/>
      <c r="H13" s="8" t="s">
        <v>18</v>
      </c>
      <c r="I13" s="8" t="s">
        <v>5</v>
      </c>
      <c r="J13" s="8" t="s">
        <v>6</v>
      </c>
      <c r="K13" s="8" t="s">
        <v>1</v>
      </c>
      <c r="L13" s="3" t="s">
        <v>92</v>
      </c>
      <c r="M13" s="112" t="s">
        <v>2</v>
      </c>
      <c r="N13" s="112"/>
      <c r="O13" s="24" t="s">
        <v>7</v>
      </c>
      <c r="P13" s="25"/>
      <c r="Q13" s="26"/>
    </row>
    <row r="14" spans="2:17" customFormat="1" x14ac:dyDescent="0.25">
      <c r="B14" s="104" t="s">
        <v>19</v>
      </c>
      <c r="C14" s="104"/>
      <c r="D14" s="104"/>
      <c r="E14" s="27">
        <f>-((2350+3.95)/6)</f>
        <v>-392.32499999999999</v>
      </c>
      <c r="F14" s="27">
        <f>(E14/2)</f>
        <v>-196.16249999999999</v>
      </c>
      <c r="G14" s="27"/>
      <c r="H14" s="28">
        <f>E14/2</f>
        <v>-196.16249999999999</v>
      </c>
      <c r="I14" s="28">
        <f t="shared" ref="I14:I22" si="1">H14/2</f>
        <v>-98.081249999999997</v>
      </c>
      <c r="J14" s="123" t="s">
        <v>20</v>
      </c>
      <c r="K14" s="30" t="s">
        <v>90</v>
      </c>
      <c r="L14" s="30" t="s">
        <v>93</v>
      </c>
      <c r="M14" s="100" t="s">
        <v>20</v>
      </c>
      <c r="N14" s="100"/>
      <c r="O14" s="31" t="s">
        <v>91</v>
      </c>
      <c r="P14" s="32"/>
      <c r="Q14" s="32"/>
    </row>
    <row r="15" spans="2:17" customFormat="1" x14ac:dyDescent="0.25">
      <c r="B15" s="104" t="s">
        <v>21</v>
      </c>
      <c r="C15" s="104"/>
      <c r="D15" s="104"/>
      <c r="E15" s="27">
        <v>-50</v>
      </c>
      <c r="F15" s="27">
        <f>E15/2</f>
        <v>-25</v>
      </c>
      <c r="G15" s="27"/>
      <c r="H15" s="28">
        <f>E15/2</f>
        <v>-25</v>
      </c>
      <c r="I15" s="28">
        <f>H15/2</f>
        <v>-12.5</v>
      </c>
      <c r="J15" s="29" t="s">
        <v>20</v>
      </c>
      <c r="K15" s="30"/>
      <c r="L15" s="30" t="s">
        <v>94</v>
      </c>
      <c r="M15" s="100"/>
      <c r="N15" s="100"/>
      <c r="O15" s="31"/>
      <c r="P15" s="32"/>
      <c r="Q15" s="32"/>
    </row>
    <row r="16" spans="2:17" customFormat="1" x14ac:dyDescent="0.25">
      <c r="B16" s="94" t="s">
        <v>22</v>
      </c>
      <c r="C16" s="95"/>
      <c r="D16" s="96"/>
      <c r="E16" s="33">
        <f>-3200-SUM(E14:E15)-SUM(E17:E22)</f>
        <v>-312.46500000000015</v>
      </c>
      <c r="F16" s="33">
        <f>E16/2</f>
        <v>-156.23250000000007</v>
      </c>
      <c r="G16" s="33"/>
      <c r="H16" s="33">
        <f>E16/2</f>
        <v>-156.23250000000007</v>
      </c>
      <c r="I16" s="34">
        <f>H16/2</f>
        <v>-78.116250000000036</v>
      </c>
      <c r="J16" s="35" t="s">
        <v>23</v>
      </c>
      <c r="K16" s="30"/>
      <c r="L16" s="30" t="s">
        <v>94</v>
      </c>
      <c r="M16" s="100"/>
      <c r="N16" s="100"/>
      <c r="Q16" s="36"/>
    </row>
    <row r="17" spans="2:17" customFormat="1" x14ac:dyDescent="0.25">
      <c r="B17" s="105" t="s">
        <v>24</v>
      </c>
      <c r="C17" s="105"/>
      <c r="D17" s="105"/>
      <c r="E17" s="38">
        <v>-2036.51</v>
      </c>
      <c r="F17" s="38">
        <f t="shared" ref="F17:F22" si="2">E17/2</f>
        <v>-1018.255</v>
      </c>
      <c r="G17" s="38"/>
      <c r="H17" s="38">
        <f t="shared" ref="H17:H22" si="3">E17/2</f>
        <v>-1018.255</v>
      </c>
      <c r="I17" s="38">
        <f>H17/2</f>
        <v>-509.1275</v>
      </c>
      <c r="J17" s="35" t="s">
        <v>23</v>
      </c>
      <c r="K17" s="39">
        <v>7</v>
      </c>
      <c r="L17" s="124" t="s">
        <v>93</v>
      </c>
      <c r="M17" s="100" t="s">
        <v>25</v>
      </c>
      <c r="N17" s="100"/>
      <c r="O17" s="36"/>
      <c r="P17" s="36"/>
    </row>
    <row r="18" spans="2:17" customFormat="1" x14ac:dyDescent="0.25">
      <c r="B18" s="94" t="s">
        <v>26</v>
      </c>
      <c r="C18" s="95"/>
      <c r="D18" s="96"/>
      <c r="E18" s="33">
        <v>-36.5</v>
      </c>
      <c r="F18" s="33">
        <f t="shared" si="2"/>
        <v>-18.25</v>
      </c>
      <c r="G18" s="33"/>
      <c r="H18" s="33">
        <f t="shared" si="3"/>
        <v>-18.25</v>
      </c>
      <c r="I18" s="34">
        <f>H18/2</f>
        <v>-9.125</v>
      </c>
      <c r="J18" s="35" t="s">
        <v>23</v>
      </c>
      <c r="K18" s="30">
        <v>9</v>
      </c>
      <c r="L18" s="30" t="s">
        <v>93</v>
      </c>
      <c r="M18" s="5" t="s">
        <v>27</v>
      </c>
      <c r="N18" s="5"/>
      <c r="O18" t="s">
        <v>28</v>
      </c>
      <c r="Q18" s="36"/>
    </row>
    <row r="19" spans="2:17" customFormat="1" ht="13" x14ac:dyDescent="0.3">
      <c r="B19" s="97" t="s">
        <v>29</v>
      </c>
      <c r="C19" s="98"/>
      <c r="D19" s="99"/>
      <c r="E19" s="33">
        <v>-70</v>
      </c>
      <c r="F19" s="33">
        <f t="shared" si="2"/>
        <v>-35</v>
      </c>
      <c r="G19" s="33"/>
      <c r="H19" s="34">
        <f t="shared" si="3"/>
        <v>-35</v>
      </c>
      <c r="I19" s="34">
        <f t="shared" si="1"/>
        <v>-17.5</v>
      </c>
      <c r="J19" s="35" t="s">
        <v>23</v>
      </c>
      <c r="K19" s="30">
        <v>3</v>
      </c>
      <c r="L19" s="30" t="s">
        <v>93</v>
      </c>
      <c r="M19" s="100" t="s">
        <v>27</v>
      </c>
      <c r="N19" s="100"/>
      <c r="O19" s="40" t="s">
        <v>30</v>
      </c>
      <c r="Q19" s="36"/>
    </row>
    <row r="20" spans="2:17" customFormat="1" x14ac:dyDescent="0.25">
      <c r="B20" s="94" t="s">
        <v>31</v>
      </c>
      <c r="C20" s="95"/>
      <c r="D20" s="96"/>
      <c r="E20" s="33">
        <v>-175</v>
      </c>
      <c r="F20" s="33">
        <f t="shared" si="2"/>
        <v>-87.5</v>
      </c>
      <c r="G20" s="33"/>
      <c r="H20" s="33">
        <f t="shared" si="3"/>
        <v>-87.5</v>
      </c>
      <c r="I20" s="34">
        <f t="shared" si="1"/>
        <v>-43.75</v>
      </c>
      <c r="J20" s="35" t="s">
        <v>23</v>
      </c>
      <c r="K20" s="30">
        <v>1</v>
      </c>
      <c r="L20" s="30" t="s">
        <v>93</v>
      </c>
      <c r="M20" s="100" t="s">
        <v>27</v>
      </c>
      <c r="N20" s="100"/>
      <c r="O20" t="s">
        <v>32</v>
      </c>
      <c r="Q20" s="36"/>
    </row>
    <row r="21" spans="2:17" customFormat="1" x14ac:dyDescent="0.25">
      <c r="B21" s="94" t="s">
        <v>33</v>
      </c>
      <c r="C21" s="95"/>
      <c r="D21" s="96"/>
      <c r="E21" s="33">
        <v>-76</v>
      </c>
      <c r="F21" s="33">
        <f t="shared" si="2"/>
        <v>-38</v>
      </c>
      <c r="G21" s="33"/>
      <c r="H21" s="33">
        <f t="shared" si="3"/>
        <v>-38</v>
      </c>
      <c r="I21" s="34">
        <f t="shared" si="1"/>
        <v>-19</v>
      </c>
      <c r="J21" s="35" t="s">
        <v>23</v>
      </c>
      <c r="K21" s="30">
        <v>26</v>
      </c>
      <c r="L21" s="30" t="s">
        <v>93</v>
      </c>
      <c r="M21" s="100" t="s">
        <v>27</v>
      </c>
      <c r="N21" s="100"/>
      <c r="O21" s="15" t="s">
        <v>34</v>
      </c>
      <c r="Q21" s="36"/>
    </row>
    <row r="22" spans="2:17" customFormat="1" ht="14" customHeight="1" thickBot="1" x14ac:dyDescent="0.3">
      <c r="B22" s="94" t="s">
        <v>35</v>
      </c>
      <c r="C22" s="95"/>
      <c r="D22" s="96"/>
      <c r="E22" s="41">
        <v>-51.2</v>
      </c>
      <c r="F22" s="41">
        <f t="shared" si="2"/>
        <v>-25.6</v>
      </c>
      <c r="G22" s="41"/>
      <c r="H22" s="41">
        <f t="shared" si="3"/>
        <v>-25.6</v>
      </c>
      <c r="I22" s="42">
        <f t="shared" si="1"/>
        <v>-12.8</v>
      </c>
      <c r="J22" s="35" t="s">
        <v>23</v>
      </c>
      <c r="K22" s="30">
        <v>12</v>
      </c>
      <c r="L22" s="30" t="s">
        <v>93</v>
      </c>
      <c r="M22" s="100" t="s">
        <v>27</v>
      </c>
      <c r="N22" s="100"/>
      <c r="O22" s="15" t="s">
        <v>36</v>
      </c>
    </row>
    <row r="23" spans="2:17" customFormat="1" ht="13" thickTop="1" x14ac:dyDescent="0.25">
      <c r="B23" s="37"/>
      <c r="C23" s="37"/>
      <c r="D23" s="37"/>
      <c r="E23" s="43">
        <f>F23+H23</f>
        <v>-3200</v>
      </c>
      <c r="F23" s="43">
        <f>(SUM(F14:F22))</f>
        <v>-1600</v>
      </c>
      <c r="G23" s="43"/>
      <c r="H23" s="43">
        <f>SUM(H14:H22)</f>
        <v>-1600</v>
      </c>
      <c r="I23" s="43">
        <f>SUM(I14:I22)</f>
        <v>-800</v>
      </c>
      <c r="J23" s="35"/>
    </row>
    <row r="24" spans="2:17" customFormat="1" x14ac:dyDescent="0.25">
      <c r="B24" s="20"/>
      <c r="C24" s="20"/>
      <c r="D24" s="20"/>
      <c r="E24" s="44"/>
      <c r="F24" s="44"/>
      <c r="G24" s="44"/>
      <c r="H24" s="44"/>
      <c r="I24" s="44"/>
      <c r="J24" s="15"/>
    </row>
    <row r="25" spans="2:17" customFormat="1" x14ac:dyDescent="0.25">
      <c r="B25" s="101" t="s">
        <v>37</v>
      </c>
      <c r="C25" s="101"/>
      <c r="D25" s="101"/>
      <c r="E25" s="45">
        <f>E23+E11</f>
        <v>-3392.4966666666669</v>
      </c>
      <c r="F25" s="45"/>
      <c r="G25" s="45"/>
      <c r="H25" s="45"/>
      <c r="I25" s="46">
        <f>I23+I11</f>
        <v>-884.99833333333333</v>
      </c>
    </row>
    <row r="27" spans="2:17" ht="13" thickBot="1" x14ac:dyDescent="0.3"/>
    <row r="28" spans="2:17" ht="25.5" thickBot="1" x14ac:dyDescent="0.3">
      <c r="B28" s="48"/>
      <c r="C28" s="48"/>
      <c r="D28" s="49" t="s">
        <v>17</v>
      </c>
      <c r="E28" s="49" t="s">
        <v>38</v>
      </c>
      <c r="F28" s="49" t="s">
        <v>78</v>
      </c>
    </row>
    <row r="29" spans="2:17" x14ac:dyDescent="0.25">
      <c r="B29" s="102" t="s">
        <v>39</v>
      </c>
      <c r="C29" s="102"/>
      <c r="D29" s="50">
        <v>0</v>
      </c>
      <c r="E29" s="51">
        <f>-I11</f>
        <v>84.998333333333335</v>
      </c>
      <c r="F29" s="74">
        <v>11.25</v>
      </c>
    </row>
    <row r="30" spans="2:17" x14ac:dyDescent="0.25">
      <c r="B30" s="103" t="s">
        <v>40</v>
      </c>
      <c r="C30" s="103"/>
      <c r="D30" s="52">
        <f>-SUM(F16:F22)</f>
        <v>1378.8375000000001</v>
      </c>
      <c r="E30" s="53">
        <f>-SUM(I16:I22)</f>
        <v>689.41875000000005</v>
      </c>
      <c r="F30" s="75">
        <v>0</v>
      </c>
    </row>
    <row r="31" spans="2:17" ht="13" thickBot="1" x14ac:dyDescent="0.3">
      <c r="B31" s="93" t="s">
        <v>41</v>
      </c>
      <c r="C31" s="93"/>
      <c r="D31" s="54">
        <f>-F14-F15</f>
        <v>221.16249999999999</v>
      </c>
      <c r="E31" s="55">
        <f>-I14-I15</f>
        <v>110.58125</v>
      </c>
      <c r="F31" s="76">
        <v>0</v>
      </c>
    </row>
    <row r="32" spans="2:17" x14ac:dyDescent="0.25">
      <c r="D32" s="77">
        <f>SUM(D29:D31)</f>
        <v>1600</v>
      </c>
      <c r="E32" s="77">
        <f t="shared" ref="E32:F32" si="4">SUM(E29:E31)</f>
        <v>884.99833333333333</v>
      </c>
      <c r="F32" s="77">
        <f t="shared" si="4"/>
        <v>11.25</v>
      </c>
    </row>
    <row r="35" spans="5:5" x14ac:dyDescent="0.25">
      <c r="E35" s="56"/>
    </row>
  </sheetData>
  <mergeCells count="28">
    <mergeCell ref="B14:D14"/>
    <mergeCell ref="M14:N14"/>
    <mergeCell ref="B5:F5"/>
    <mergeCell ref="B1:F3"/>
    <mergeCell ref="B6:D6"/>
    <mergeCell ref="B7:D7"/>
    <mergeCell ref="B8:D8"/>
    <mergeCell ref="B10:D10"/>
    <mergeCell ref="M13:N13"/>
    <mergeCell ref="B15:D15"/>
    <mergeCell ref="M15:N15"/>
    <mergeCell ref="B16:D16"/>
    <mergeCell ref="M16:N16"/>
    <mergeCell ref="B17:D17"/>
    <mergeCell ref="M17:N17"/>
    <mergeCell ref="B31:C31"/>
    <mergeCell ref="B18:D18"/>
    <mergeCell ref="B19:D19"/>
    <mergeCell ref="M19:N19"/>
    <mergeCell ref="B20:D20"/>
    <mergeCell ref="M20:N20"/>
    <mergeCell ref="B21:D21"/>
    <mergeCell ref="M21:N21"/>
    <mergeCell ref="B22:D22"/>
    <mergeCell ref="M22:N22"/>
    <mergeCell ref="B25:D25"/>
    <mergeCell ref="B29:C29"/>
    <mergeCell ref="B30:C30"/>
  </mergeCells>
  <hyperlinks>
    <hyperlink ref="B19:D19" r:id="rId1" display="Water/Sewer"/>
  </hyperlinks>
  <printOptions horizontalCentered="1"/>
  <pageMargins left="0.75" right="0.75" top="1" bottom="1" header="0.5" footer="0.5"/>
  <pageSetup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S227"/>
  <sheetViews>
    <sheetView workbookViewId="0">
      <pane ySplit="1" topLeftCell="A200" activePane="bottomLeft" state="frozen"/>
      <selection activeCell="G21" sqref="G21"/>
      <selection pane="bottomLeft" activeCell="A219" sqref="A219:XFD219"/>
    </sheetView>
  </sheetViews>
  <sheetFormatPr defaultColWidth="8.81640625" defaultRowHeight="13" x14ac:dyDescent="0.3"/>
  <cols>
    <col min="1" max="1" width="8.54296875" style="69" customWidth="1"/>
    <col min="2" max="3" width="11.6328125" style="66" customWidth="1"/>
    <col min="4" max="4" width="8.90625" style="67" customWidth="1"/>
    <col min="5" max="5" width="8.1796875" style="67" customWidth="1"/>
    <col min="6" max="6" width="9.6328125" style="67" customWidth="1"/>
    <col min="7" max="8" width="8.1796875" style="67" customWidth="1"/>
    <col min="9" max="9" width="11.1796875" style="66" customWidth="1"/>
    <col min="10" max="10" width="11" style="66" customWidth="1"/>
    <col min="11" max="11" width="9.6328125" style="66" customWidth="1"/>
    <col min="12" max="12" width="11.08984375" style="66" customWidth="1"/>
    <col min="13" max="13" width="9.54296875" style="66" customWidth="1"/>
    <col min="14" max="14" width="9" style="66" customWidth="1"/>
    <col min="15" max="15" width="11.08984375" style="66" bestFit="1" customWidth="1"/>
    <col min="16" max="16" width="10.54296875" style="67" customWidth="1"/>
    <col min="17" max="17" width="9" style="67" bestFit="1" customWidth="1"/>
    <col min="18" max="18" width="11.1796875" style="68" customWidth="1"/>
    <col min="19" max="19" width="32.08984375" style="15" customWidth="1"/>
    <col min="20" max="16384" width="8.81640625" style="15"/>
  </cols>
  <sheetData>
    <row r="1" spans="1:19" s="64" customFormat="1" ht="86.5" customHeight="1" x14ac:dyDescent="0.3">
      <c r="A1" s="57" t="s">
        <v>42</v>
      </c>
      <c r="B1" s="90" t="s">
        <v>65</v>
      </c>
      <c r="C1" s="90" t="s">
        <v>64</v>
      </c>
      <c r="D1" s="59" t="s">
        <v>43</v>
      </c>
      <c r="E1" s="60" t="s">
        <v>44</v>
      </c>
      <c r="F1" s="60" t="s">
        <v>45</v>
      </c>
      <c r="G1" s="61" t="s">
        <v>46</v>
      </c>
      <c r="H1" s="61" t="s">
        <v>47</v>
      </c>
      <c r="I1" s="58" t="s">
        <v>48</v>
      </c>
      <c r="J1" s="58" t="s">
        <v>49</v>
      </c>
      <c r="K1" s="58" t="s">
        <v>50</v>
      </c>
      <c r="L1" s="58" t="s">
        <v>51</v>
      </c>
      <c r="M1" s="58" t="s">
        <v>52</v>
      </c>
      <c r="N1" s="58" t="s">
        <v>53</v>
      </c>
      <c r="O1" s="62" t="s">
        <v>76</v>
      </c>
      <c r="P1" s="60" t="s">
        <v>54</v>
      </c>
      <c r="Q1" s="59" t="s">
        <v>55</v>
      </c>
      <c r="R1" s="63" t="s">
        <v>56</v>
      </c>
      <c r="S1" s="64" t="s">
        <v>57</v>
      </c>
    </row>
    <row r="2" spans="1:19" x14ac:dyDescent="0.3">
      <c r="A2" s="65">
        <v>46022</v>
      </c>
      <c r="B2" s="66">
        <v>2591.06</v>
      </c>
      <c r="C2" s="66">
        <v>0</v>
      </c>
      <c r="E2" s="67">
        <v>0</v>
      </c>
      <c r="F2" s="67">
        <v>0</v>
      </c>
      <c r="I2" s="66">
        <v>0</v>
      </c>
      <c r="J2" s="66">
        <v>0</v>
      </c>
      <c r="K2" s="66">
        <v>0</v>
      </c>
      <c r="L2" s="66">
        <v>0</v>
      </c>
      <c r="M2" s="66">
        <v>0</v>
      </c>
      <c r="N2" s="66">
        <v>0</v>
      </c>
      <c r="P2" s="67">
        <v>1861.9725000000012</v>
      </c>
      <c r="Q2" s="67">
        <v>729.08500000000026</v>
      </c>
      <c r="R2" s="68">
        <v>2591.0575000000017</v>
      </c>
    </row>
    <row r="3" spans="1:19" x14ac:dyDescent="0.3">
      <c r="A3" s="65">
        <v>46023</v>
      </c>
      <c r="B3" s="66">
        <f t="shared" ref="B3:B33" si="0">R2</f>
        <v>2591.0575000000017</v>
      </c>
      <c r="C3" s="66">
        <v>0</v>
      </c>
      <c r="E3" s="67">
        <v>0</v>
      </c>
      <c r="F3" s="67">
        <v>0</v>
      </c>
      <c r="I3" s="66">
        <v>0</v>
      </c>
      <c r="J3" s="66">
        <v>0</v>
      </c>
      <c r="K3" s="66">
        <v>-175</v>
      </c>
      <c r="L3" s="66">
        <v>0</v>
      </c>
      <c r="M3" s="66">
        <v>0</v>
      </c>
      <c r="N3" s="66">
        <v>0</v>
      </c>
      <c r="P3" s="67">
        <v>1861.9725000000012</v>
      </c>
      <c r="Q3" s="67">
        <v>729.08500000000026</v>
      </c>
      <c r="R3" s="68">
        <v>2591.0575000000017</v>
      </c>
    </row>
    <row r="4" spans="1:19" x14ac:dyDescent="0.3">
      <c r="A4" s="65">
        <v>46024</v>
      </c>
      <c r="B4" s="66">
        <f t="shared" si="0"/>
        <v>2591.0575000000017</v>
      </c>
      <c r="C4" s="66">
        <v>0</v>
      </c>
      <c r="E4" s="67">
        <v>0</v>
      </c>
      <c r="F4" s="67">
        <v>0</v>
      </c>
      <c r="I4" s="66">
        <v>0</v>
      </c>
      <c r="J4" s="66">
        <v>0</v>
      </c>
      <c r="K4" s="66">
        <v>0</v>
      </c>
      <c r="L4" s="66">
        <v>0</v>
      </c>
      <c r="M4" s="66">
        <v>0</v>
      </c>
      <c r="N4" s="66">
        <v>0</v>
      </c>
      <c r="P4" s="67">
        <v>1861.9725000000012</v>
      </c>
      <c r="Q4" s="67">
        <v>729.08500000000026</v>
      </c>
      <c r="R4" s="68">
        <v>2591.0575000000017</v>
      </c>
    </row>
    <row r="5" spans="1:19" x14ac:dyDescent="0.3">
      <c r="A5" s="65">
        <v>46025</v>
      </c>
      <c r="B5" s="66">
        <f t="shared" si="0"/>
        <v>2591.0575000000017</v>
      </c>
      <c r="C5" s="66">
        <v>0</v>
      </c>
      <c r="E5" s="67">
        <v>0</v>
      </c>
      <c r="F5" s="67">
        <v>0</v>
      </c>
      <c r="I5" s="66">
        <v>0</v>
      </c>
      <c r="J5" s="66">
        <v>-78.34</v>
      </c>
      <c r="K5" s="66">
        <v>0</v>
      </c>
      <c r="L5" s="66">
        <v>0</v>
      </c>
      <c r="M5" s="66">
        <v>0</v>
      </c>
      <c r="N5" s="66">
        <v>0</v>
      </c>
      <c r="P5" s="67">
        <v>1861.9725000000012</v>
      </c>
      <c r="Q5" s="67">
        <v>729.08500000000026</v>
      </c>
      <c r="R5" s="68">
        <v>2591.0575000000017</v>
      </c>
    </row>
    <row r="6" spans="1:19" x14ac:dyDescent="0.3">
      <c r="A6" s="65">
        <v>46026</v>
      </c>
      <c r="B6" s="66">
        <f t="shared" si="0"/>
        <v>2591.0575000000017</v>
      </c>
      <c r="C6" s="66">
        <v>0</v>
      </c>
      <c r="E6" s="67">
        <v>0</v>
      </c>
      <c r="F6" s="67">
        <v>0</v>
      </c>
      <c r="I6" s="66">
        <v>0</v>
      </c>
      <c r="J6" s="66">
        <v>0</v>
      </c>
      <c r="K6" s="66">
        <v>0</v>
      </c>
      <c r="L6" s="66">
        <v>0</v>
      </c>
      <c r="M6" s="66">
        <v>0</v>
      </c>
      <c r="N6" s="66">
        <v>0</v>
      </c>
      <c r="P6" s="67">
        <v>1861.9725000000012</v>
      </c>
      <c r="Q6" s="67">
        <v>729.08500000000026</v>
      </c>
      <c r="R6" s="68">
        <v>2591.0575000000017</v>
      </c>
    </row>
    <row r="7" spans="1:19" x14ac:dyDescent="0.3">
      <c r="A7" s="65">
        <v>46027</v>
      </c>
      <c r="B7" s="66">
        <f t="shared" si="0"/>
        <v>2591.0575000000017</v>
      </c>
      <c r="C7" s="66">
        <v>0</v>
      </c>
      <c r="E7" s="67">
        <v>0</v>
      </c>
      <c r="F7" s="67">
        <v>0</v>
      </c>
      <c r="I7" s="66">
        <v>0</v>
      </c>
      <c r="J7" s="66">
        <v>0</v>
      </c>
      <c r="K7" s="66">
        <v>0</v>
      </c>
      <c r="L7" s="66">
        <v>0</v>
      </c>
      <c r="M7" s="66">
        <v>0</v>
      </c>
      <c r="N7" s="66">
        <v>-36.5</v>
      </c>
      <c r="P7" s="67">
        <v>1861.9725000000012</v>
      </c>
      <c r="Q7" s="67">
        <v>729.08500000000026</v>
      </c>
      <c r="R7" s="68">
        <v>2591.0575000000017</v>
      </c>
    </row>
    <row r="8" spans="1:19" x14ac:dyDescent="0.3">
      <c r="A8" s="65">
        <v>46028</v>
      </c>
      <c r="B8" s="66">
        <f t="shared" si="0"/>
        <v>2591.0575000000017</v>
      </c>
      <c r="C8" s="66">
        <v>0</v>
      </c>
      <c r="E8" s="67">
        <v>0</v>
      </c>
      <c r="F8" s="67">
        <v>0</v>
      </c>
      <c r="I8" s="66">
        <v>0</v>
      </c>
      <c r="J8" s="66">
        <v>0</v>
      </c>
      <c r="K8" s="66">
        <v>0</v>
      </c>
      <c r="L8" s="66">
        <v>0</v>
      </c>
      <c r="M8" s="66">
        <v>0</v>
      </c>
      <c r="N8" s="66">
        <v>0</v>
      </c>
      <c r="P8" s="67">
        <v>1861.9725000000012</v>
      </c>
      <c r="Q8" s="67">
        <v>729.08500000000026</v>
      </c>
      <c r="R8" s="68">
        <v>2591.0575000000017</v>
      </c>
    </row>
    <row r="9" spans="1:19" x14ac:dyDescent="0.3">
      <c r="A9" s="65">
        <v>46029</v>
      </c>
      <c r="B9" s="66">
        <f t="shared" si="0"/>
        <v>2591.0575000000017</v>
      </c>
      <c r="C9" s="66">
        <v>0</v>
      </c>
      <c r="E9" s="67">
        <v>0</v>
      </c>
      <c r="F9" s="67">
        <v>0</v>
      </c>
      <c r="I9" s="66">
        <v>-2036.51</v>
      </c>
      <c r="J9" s="66">
        <v>0</v>
      </c>
      <c r="K9" s="66">
        <v>0</v>
      </c>
      <c r="L9" s="66">
        <v>0</v>
      </c>
      <c r="M9" s="66">
        <v>0</v>
      </c>
      <c r="N9" s="66">
        <v>0</v>
      </c>
      <c r="P9" s="67">
        <v>1861.9725000000012</v>
      </c>
      <c r="Q9" s="67">
        <v>729.08500000000026</v>
      </c>
      <c r="R9" s="68">
        <v>2591.0575000000017</v>
      </c>
    </row>
    <row r="10" spans="1:19" x14ac:dyDescent="0.3">
      <c r="A10" s="65">
        <v>46030</v>
      </c>
      <c r="B10" s="66">
        <f t="shared" si="0"/>
        <v>2591.0575000000017</v>
      </c>
      <c r="C10" s="66">
        <v>0</v>
      </c>
      <c r="E10" s="67">
        <v>0</v>
      </c>
      <c r="F10" s="67">
        <v>0</v>
      </c>
      <c r="I10" s="66">
        <v>0</v>
      </c>
      <c r="J10" s="66">
        <v>0</v>
      </c>
      <c r="K10" s="66">
        <v>0</v>
      </c>
      <c r="L10" s="66">
        <v>0</v>
      </c>
      <c r="M10" s="66">
        <v>0</v>
      </c>
      <c r="N10" s="66">
        <v>0</v>
      </c>
      <c r="P10" s="67">
        <v>1861.9725000000012</v>
      </c>
      <c r="Q10" s="67">
        <v>729.08500000000026</v>
      </c>
      <c r="R10" s="68">
        <v>2591.0575000000017</v>
      </c>
    </row>
    <row r="11" spans="1:19" x14ac:dyDescent="0.3">
      <c r="A11" s="65">
        <v>46031</v>
      </c>
      <c r="B11" s="66">
        <f t="shared" si="0"/>
        <v>2591.0575000000017</v>
      </c>
      <c r="C11" s="66">
        <v>0</v>
      </c>
      <c r="E11" s="67">
        <v>0</v>
      </c>
      <c r="F11" s="67">
        <v>0</v>
      </c>
      <c r="I11" s="66">
        <v>0</v>
      </c>
      <c r="J11" s="66">
        <v>0</v>
      </c>
      <c r="K11" s="66">
        <v>0</v>
      </c>
      <c r="L11" s="66">
        <v>0</v>
      </c>
      <c r="M11" s="66">
        <v>0</v>
      </c>
      <c r="N11" s="66">
        <v>0</v>
      </c>
      <c r="P11" s="67">
        <v>1861.9725000000012</v>
      </c>
      <c r="Q11" s="67">
        <v>729.08500000000026</v>
      </c>
      <c r="R11" s="68">
        <v>2591.0575000000017</v>
      </c>
    </row>
    <row r="12" spans="1:19" x14ac:dyDescent="0.3">
      <c r="A12" s="65">
        <v>46032</v>
      </c>
      <c r="B12" s="66">
        <f t="shared" si="0"/>
        <v>2591.0575000000017</v>
      </c>
      <c r="C12" s="66">
        <v>0</v>
      </c>
      <c r="E12" s="67">
        <v>0</v>
      </c>
      <c r="F12" s="67">
        <v>0</v>
      </c>
      <c r="I12" s="66">
        <v>0</v>
      </c>
      <c r="J12" s="66">
        <v>0</v>
      </c>
      <c r="K12" s="66">
        <v>0</v>
      </c>
      <c r="L12" s="66">
        <v>0</v>
      </c>
      <c r="M12" s="66">
        <v>0</v>
      </c>
      <c r="N12" s="66">
        <v>0</v>
      </c>
      <c r="P12" s="67">
        <v>1861.9725000000012</v>
      </c>
      <c r="Q12" s="67">
        <v>729.08500000000026</v>
      </c>
      <c r="R12" s="68">
        <v>2591.0575000000017</v>
      </c>
    </row>
    <row r="13" spans="1:19" x14ac:dyDescent="0.3">
      <c r="A13" s="65">
        <v>46033</v>
      </c>
      <c r="B13" s="66">
        <f t="shared" si="0"/>
        <v>2591.0575000000017</v>
      </c>
      <c r="C13" s="66">
        <v>0</v>
      </c>
      <c r="E13" s="67">
        <v>0</v>
      </c>
      <c r="F13" s="67">
        <v>0</v>
      </c>
      <c r="I13" s="66">
        <v>0</v>
      </c>
      <c r="J13" s="66">
        <v>0</v>
      </c>
      <c r="K13" s="66">
        <v>0</v>
      </c>
      <c r="L13" s="66">
        <v>0</v>
      </c>
      <c r="M13" s="66">
        <v>0</v>
      </c>
      <c r="N13" s="66">
        <v>0</v>
      </c>
      <c r="P13" s="67">
        <v>1861.9725000000012</v>
      </c>
      <c r="Q13" s="67">
        <v>729.08500000000026</v>
      </c>
      <c r="R13" s="68">
        <v>2591.0575000000017</v>
      </c>
    </row>
    <row r="14" spans="1:19" x14ac:dyDescent="0.3">
      <c r="A14" s="65">
        <v>46034</v>
      </c>
      <c r="B14" s="66">
        <f t="shared" si="0"/>
        <v>2591.0575000000017</v>
      </c>
      <c r="C14" s="66">
        <v>0</v>
      </c>
      <c r="E14" s="67">
        <v>0</v>
      </c>
      <c r="F14" s="67">
        <v>0</v>
      </c>
      <c r="I14" s="66">
        <v>0</v>
      </c>
      <c r="J14" s="66">
        <v>0</v>
      </c>
      <c r="K14" s="66">
        <v>0</v>
      </c>
      <c r="L14" s="66">
        <v>0</v>
      </c>
      <c r="M14" s="66">
        <v>-51.2</v>
      </c>
      <c r="N14" s="66">
        <v>0</v>
      </c>
      <c r="P14" s="67">
        <v>1861.9725000000012</v>
      </c>
      <c r="Q14" s="67">
        <v>729.08500000000026</v>
      </c>
      <c r="R14" s="68">
        <v>2591.0575000000017</v>
      </c>
    </row>
    <row r="15" spans="1:19" x14ac:dyDescent="0.3">
      <c r="A15" s="65">
        <v>46035</v>
      </c>
      <c r="B15" s="66">
        <f t="shared" si="0"/>
        <v>2591.0575000000017</v>
      </c>
      <c r="C15" s="66">
        <v>0</v>
      </c>
      <c r="E15" s="67">
        <v>0</v>
      </c>
      <c r="F15" s="67">
        <v>0</v>
      </c>
      <c r="I15" s="66">
        <v>0</v>
      </c>
      <c r="J15" s="66">
        <v>0</v>
      </c>
      <c r="K15" s="66">
        <v>0</v>
      </c>
      <c r="L15" s="66">
        <v>0</v>
      </c>
      <c r="M15" s="66">
        <v>0</v>
      </c>
      <c r="N15" s="66">
        <v>0</v>
      </c>
      <c r="P15" s="67">
        <v>1861.9725000000012</v>
      </c>
      <c r="Q15" s="67">
        <v>729.08500000000026</v>
      </c>
      <c r="R15" s="68">
        <v>2591.0575000000017</v>
      </c>
    </row>
    <row r="16" spans="1:19" x14ac:dyDescent="0.3">
      <c r="A16" s="65">
        <v>46036</v>
      </c>
      <c r="B16" s="66">
        <f t="shared" si="0"/>
        <v>2591.0575000000017</v>
      </c>
      <c r="C16" s="66">
        <v>0</v>
      </c>
      <c r="E16" s="67">
        <v>689</v>
      </c>
      <c r="F16" s="67">
        <v>0</v>
      </c>
      <c r="I16" s="66">
        <v>0</v>
      </c>
      <c r="J16" s="66">
        <v>0</v>
      </c>
      <c r="K16" s="66">
        <v>0</v>
      </c>
      <c r="L16" s="66">
        <v>0</v>
      </c>
      <c r="M16" s="66">
        <v>0</v>
      </c>
      <c r="N16" s="66">
        <v>0</v>
      </c>
      <c r="P16" s="67">
        <v>1861.9725000000012</v>
      </c>
      <c r="Q16" s="67">
        <v>729.08500000000026</v>
      </c>
      <c r="R16" s="68">
        <v>2591.0575000000017</v>
      </c>
    </row>
    <row r="17" spans="1:18" x14ac:dyDescent="0.3">
      <c r="A17" s="65">
        <v>46037</v>
      </c>
      <c r="B17" s="66">
        <f t="shared" si="0"/>
        <v>2591.0575000000017</v>
      </c>
      <c r="C17" s="66">
        <v>0</v>
      </c>
      <c r="E17" s="67">
        <v>0</v>
      </c>
      <c r="F17" s="67">
        <v>0</v>
      </c>
      <c r="I17" s="66">
        <v>0</v>
      </c>
      <c r="J17" s="66">
        <v>0</v>
      </c>
      <c r="K17" s="66">
        <v>0</v>
      </c>
      <c r="L17" s="66">
        <v>0</v>
      </c>
      <c r="M17" s="66">
        <v>0</v>
      </c>
      <c r="N17" s="66">
        <v>0</v>
      </c>
      <c r="P17" s="67">
        <v>1861.9725000000012</v>
      </c>
      <c r="Q17" s="67">
        <v>729.08500000000026</v>
      </c>
      <c r="R17" s="68">
        <v>2591.0575000000017</v>
      </c>
    </row>
    <row r="18" spans="1:18" x14ac:dyDescent="0.3">
      <c r="A18" s="65">
        <v>46038</v>
      </c>
      <c r="B18" s="66">
        <f t="shared" si="0"/>
        <v>2591.0575000000017</v>
      </c>
      <c r="C18" s="66">
        <v>0</v>
      </c>
      <c r="E18" s="67">
        <v>0</v>
      </c>
      <c r="F18" s="67">
        <v>0</v>
      </c>
      <c r="I18" s="66">
        <v>0</v>
      </c>
      <c r="J18" s="66">
        <v>0</v>
      </c>
      <c r="K18" s="66">
        <v>0</v>
      </c>
      <c r="L18" s="66">
        <v>0</v>
      </c>
      <c r="M18" s="66">
        <v>0</v>
      </c>
      <c r="N18" s="66">
        <v>0</v>
      </c>
      <c r="P18" s="67">
        <v>1861.9725000000012</v>
      </c>
      <c r="Q18" s="67">
        <v>729.08500000000026</v>
      </c>
      <c r="R18" s="68">
        <v>2591.0575000000017</v>
      </c>
    </row>
    <row r="19" spans="1:18" x14ac:dyDescent="0.3">
      <c r="A19" s="65">
        <v>46039</v>
      </c>
      <c r="B19" s="66">
        <f t="shared" si="0"/>
        <v>2591.0575000000017</v>
      </c>
      <c r="C19" s="66">
        <v>0</v>
      </c>
      <c r="E19" s="67">
        <v>0</v>
      </c>
      <c r="F19" s="67">
        <v>0</v>
      </c>
      <c r="I19" s="66">
        <v>0</v>
      </c>
      <c r="J19" s="66">
        <v>0</v>
      </c>
      <c r="K19" s="66">
        <v>0</v>
      </c>
      <c r="L19" s="66">
        <v>0</v>
      </c>
      <c r="M19" s="66">
        <v>0</v>
      </c>
      <c r="N19" s="66">
        <v>0</v>
      </c>
      <c r="P19" s="67">
        <v>1861.9725000000012</v>
      </c>
      <c r="Q19" s="67">
        <v>729.08500000000026</v>
      </c>
      <c r="R19" s="68">
        <v>2591.0575000000017</v>
      </c>
    </row>
    <row r="20" spans="1:18" x14ac:dyDescent="0.3">
      <c r="A20" s="65">
        <v>46040</v>
      </c>
      <c r="B20" s="66">
        <f t="shared" si="0"/>
        <v>2591.0575000000017</v>
      </c>
      <c r="C20" s="66">
        <v>0</v>
      </c>
      <c r="E20" s="67">
        <v>0</v>
      </c>
      <c r="F20" s="67">
        <v>0</v>
      </c>
      <c r="I20" s="66">
        <v>0</v>
      </c>
      <c r="J20" s="66">
        <v>0</v>
      </c>
      <c r="K20" s="66">
        <v>0</v>
      </c>
      <c r="L20" s="66">
        <v>0</v>
      </c>
      <c r="M20" s="66">
        <v>0</v>
      </c>
      <c r="N20" s="66">
        <v>0</v>
      </c>
      <c r="P20" s="67">
        <v>1861.9725000000012</v>
      </c>
      <c r="Q20" s="67">
        <v>729.08500000000026</v>
      </c>
      <c r="R20" s="68">
        <v>2591.0575000000017</v>
      </c>
    </row>
    <row r="21" spans="1:18" x14ac:dyDescent="0.3">
      <c r="A21" s="65">
        <v>46041</v>
      </c>
      <c r="B21" s="66">
        <f t="shared" si="0"/>
        <v>2591.0575000000017</v>
      </c>
      <c r="C21" s="66">
        <v>0</v>
      </c>
      <c r="E21" s="67">
        <v>0</v>
      </c>
      <c r="F21" s="67">
        <v>0</v>
      </c>
      <c r="I21" s="66">
        <v>0</v>
      </c>
      <c r="J21" s="66">
        <v>0</v>
      </c>
      <c r="K21" s="66">
        <v>0</v>
      </c>
      <c r="L21" s="66">
        <v>0</v>
      </c>
      <c r="M21" s="66">
        <v>0</v>
      </c>
      <c r="N21" s="66">
        <v>0</v>
      </c>
      <c r="O21" s="66">
        <v>0.02</v>
      </c>
      <c r="P21" s="67">
        <v>1861.9725000000012</v>
      </c>
      <c r="Q21" s="67">
        <v>729.08500000000026</v>
      </c>
      <c r="R21" s="68">
        <v>2591.0575000000017</v>
      </c>
    </row>
    <row r="22" spans="1:18" x14ac:dyDescent="0.3">
      <c r="A22" s="65">
        <v>46042</v>
      </c>
      <c r="B22" s="66">
        <f t="shared" si="0"/>
        <v>2591.0575000000017</v>
      </c>
      <c r="C22" s="66">
        <v>0</v>
      </c>
      <c r="E22" s="67">
        <v>0</v>
      </c>
      <c r="F22" s="67">
        <v>0</v>
      </c>
      <c r="I22" s="66">
        <v>0</v>
      </c>
      <c r="J22" s="66">
        <v>0</v>
      </c>
      <c r="K22" s="66">
        <v>0</v>
      </c>
      <c r="L22" s="66">
        <v>0</v>
      </c>
      <c r="M22" s="66">
        <v>0</v>
      </c>
      <c r="N22" s="66">
        <v>0</v>
      </c>
      <c r="P22" s="67">
        <v>1861.9725000000012</v>
      </c>
      <c r="Q22" s="67">
        <v>729.08500000000026</v>
      </c>
      <c r="R22" s="68">
        <v>2591.0575000000017</v>
      </c>
    </row>
    <row r="23" spans="1:18" x14ac:dyDescent="0.3">
      <c r="A23" s="65">
        <v>46043</v>
      </c>
      <c r="B23" s="66">
        <f t="shared" si="0"/>
        <v>2591.0575000000017</v>
      </c>
      <c r="C23" s="66">
        <v>0</v>
      </c>
      <c r="E23" s="67">
        <v>0</v>
      </c>
      <c r="F23" s="67">
        <v>0</v>
      </c>
      <c r="I23" s="66">
        <v>0</v>
      </c>
      <c r="J23" s="66">
        <v>0</v>
      </c>
      <c r="K23" s="66">
        <v>0</v>
      </c>
      <c r="L23" s="66">
        <v>0</v>
      </c>
      <c r="M23" s="66">
        <v>0</v>
      </c>
      <c r="N23" s="66">
        <v>0</v>
      </c>
      <c r="P23" s="67">
        <v>1861.9725000000012</v>
      </c>
      <c r="Q23" s="67">
        <v>729.08500000000026</v>
      </c>
      <c r="R23" s="68">
        <v>2591.0575000000017</v>
      </c>
    </row>
    <row r="24" spans="1:18" x14ac:dyDescent="0.3">
      <c r="A24" s="65">
        <v>46044</v>
      </c>
      <c r="B24" s="66">
        <f t="shared" si="0"/>
        <v>2591.0575000000017</v>
      </c>
      <c r="C24" s="66">
        <v>0</v>
      </c>
      <c r="E24" s="67">
        <v>0</v>
      </c>
      <c r="F24" s="67">
        <v>0</v>
      </c>
      <c r="I24" s="66">
        <v>0</v>
      </c>
      <c r="J24" s="66">
        <v>0</v>
      </c>
      <c r="K24" s="66">
        <v>0</v>
      </c>
      <c r="L24" s="66">
        <v>0</v>
      </c>
      <c r="M24" s="66">
        <v>0</v>
      </c>
      <c r="N24" s="66">
        <v>0</v>
      </c>
      <c r="P24" s="67">
        <v>1861.9725000000012</v>
      </c>
      <c r="Q24" s="67">
        <v>729.08500000000026</v>
      </c>
      <c r="R24" s="68">
        <v>2591.0575000000017</v>
      </c>
    </row>
    <row r="25" spans="1:18" x14ac:dyDescent="0.3">
      <c r="A25" s="65">
        <v>46045</v>
      </c>
      <c r="B25" s="66">
        <f t="shared" si="0"/>
        <v>2591.0575000000017</v>
      </c>
      <c r="C25" s="66">
        <v>0</v>
      </c>
      <c r="E25" s="67">
        <v>0</v>
      </c>
      <c r="F25" s="67">
        <v>0</v>
      </c>
      <c r="I25" s="66">
        <v>0</v>
      </c>
      <c r="J25" s="66">
        <v>0</v>
      </c>
      <c r="K25" s="66">
        <v>0</v>
      </c>
      <c r="L25" s="66">
        <v>0</v>
      </c>
      <c r="M25" s="66">
        <v>0</v>
      </c>
      <c r="N25" s="66">
        <v>0</v>
      </c>
      <c r="P25" s="67">
        <v>1861.9725000000012</v>
      </c>
      <c r="Q25" s="67">
        <v>729.08500000000026</v>
      </c>
      <c r="R25" s="68">
        <v>2591.0575000000017</v>
      </c>
    </row>
    <row r="26" spans="1:18" x14ac:dyDescent="0.3">
      <c r="A26" s="65">
        <v>46046</v>
      </c>
      <c r="B26" s="66">
        <f t="shared" si="0"/>
        <v>2591.0575000000017</v>
      </c>
      <c r="C26" s="66">
        <v>0</v>
      </c>
      <c r="E26" s="67">
        <v>0</v>
      </c>
      <c r="F26" s="67">
        <v>0</v>
      </c>
      <c r="I26" s="66">
        <v>0</v>
      </c>
      <c r="J26" s="66">
        <v>0</v>
      </c>
      <c r="K26" s="66">
        <v>0</v>
      </c>
      <c r="L26" s="66">
        <v>0</v>
      </c>
      <c r="M26" s="66">
        <v>0</v>
      </c>
      <c r="N26" s="66">
        <v>0</v>
      </c>
      <c r="P26" s="67">
        <v>1861.9725000000012</v>
      </c>
      <c r="Q26" s="67">
        <v>729.08500000000026</v>
      </c>
      <c r="R26" s="68">
        <v>2591.0575000000017</v>
      </c>
    </row>
    <row r="27" spans="1:18" x14ac:dyDescent="0.3">
      <c r="A27" s="65">
        <v>46047</v>
      </c>
      <c r="B27" s="66">
        <f t="shared" si="0"/>
        <v>2591.0575000000017</v>
      </c>
      <c r="C27" s="66">
        <v>0</v>
      </c>
      <c r="E27" s="67">
        <v>0</v>
      </c>
      <c r="F27" s="67">
        <v>0</v>
      </c>
      <c r="I27" s="66">
        <v>0</v>
      </c>
      <c r="J27" s="66">
        <v>0</v>
      </c>
      <c r="K27" s="66">
        <v>0</v>
      </c>
      <c r="L27" s="66">
        <v>0</v>
      </c>
      <c r="M27" s="66">
        <v>0</v>
      </c>
      <c r="N27" s="66">
        <v>0</v>
      </c>
      <c r="P27" s="67">
        <v>1861.9725000000012</v>
      </c>
      <c r="Q27" s="67">
        <v>729.08500000000026</v>
      </c>
      <c r="R27" s="68">
        <v>2591.0575000000017</v>
      </c>
    </row>
    <row r="28" spans="1:18" x14ac:dyDescent="0.3">
      <c r="A28" s="65">
        <v>46048</v>
      </c>
      <c r="B28" s="66">
        <f t="shared" si="0"/>
        <v>2591.0575000000017</v>
      </c>
      <c r="C28" s="66">
        <v>0</v>
      </c>
      <c r="E28" s="67">
        <v>0</v>
      </c>
      <c r="F28" s="67">
        <v>0</v>
      </c>
      <c r="I28" s="66">
        <v>0</v>
      </c>
      <c r="J28" s="66">
        <v>0</v>
      </c>
      <c r="K28" s="66">
        <v>0</v>
      </c>
      <c r="L28" s="66">
        <v>-57.89</v>
      </c>
      <c r="M28" s="66">
        <v>0</v>
      </c>
      <c r="N28" s="66">
        <v>0</v>
      </c>
      <c r="P28" s="67">
        <v>1861.9725000000012</v>
      </c>
      <c r="Q28" s="67">
        <v>729.08500000000026</v>
      </c>
      <c r="R28" s="68">
        <v>2591.0575000000017</v>
      </c>
    </row>
    <row r="29" spans="1:18" x14ac:dyDescent="0.3">
      <c r="A29" s="65">
        <v>46049</v>
      </c>
      <c r="B29" s="66">
        <f t="shared" si="0"/>
        <v>2591.0575000000017</v>
      </c>
      <c r="C29" s="66">
        <v>0</v>
      </c>
      <c r="E29" s="67">
        <v>0</v>
      </c>
      <c r="F29" s="67">
        <v>1378</v>
      </c>
      <c r="I29" s="66">
        <v>0</v>
      </c>
      <c r="J29" s="66">
        <v>0</v>
      </c>
      <c r="K29" s="66">
        <v>0</v>
      </c>
      <c r="L29" s="66">
        <v>0</v>
      </c>
      <c r="M29" s="66">
        <v>0</v>
      </c>
      <c r="N29" s="66">
        <v>0</v>
      </c>
      <c r="P29" s="67">
        <v>1861.9725000000012</v>
      </c>
      <c r="Q29" s="67">
        <v>729.08500000000026</v>
      </c>
      <c r="R29" s="68">
        <v>2591.0575000000017</v>
      </c>
    </row>
    <row r="30" spans="1:18" x14ac:dyDescent="0.3">
      <c r="A30" s="65">
        <v>46050</v>
      </c>
      <c r="B30" s="66">
        <f t="shared" si="0"/>
        <v>2591.0575000000017</v>
      </c>
      <c r="C30" s="66">
        <v>0</v>
      </c>
      <c r="E30" s="67">
        <v>0</v>
      </c>
      <c r="F30" s="67">
        <v>0</v>
      </c>
      <c r="I30" s="66">
        <v>0</v>
      </c>
      <c r="J30" s="66">
        <v>0</v>
      </c>
      <c r="K30" s="66">
        <v>0</v>
      </c>
      <c r="L30" s="66">
        <v>0</v>
      </c>
      <c r="M30" s="66">
        <v>0</v>
      </c>
      <c r="N30" s="66">
        <v>0</v>
      </c>
      <c r="P30" s="67">
        <v>1861.9725000000012</v>
      </c>
      <c r="Q30" s="67">
        <v>729.08500000000026</v>
      </c>
      <c r="R30" s="68">
        <v>2591.0575000000017</v>
      </c>
    </row>
    <row r="31" spans="1:18" x14ac:dyDescent="0.3">
      <c r="A31" s="65">
        <v>46051</v>
      </c>
      <c r="B31" s="66">
        <f t="shared" si="0"/>
        <v>2591.0575000000017</v>
      </c>
      <c r="C31" s="66">
        <v>0</v>
      </c>
      <c r="E31" s="67">
        <v>0</v>
      </c>
      <c r="F31" s="67">
        <v>0</v>
      </c>
      <c r="I31" s="66">
        <v>0</v>
      </c>
      <c r="J31" s="66">
        <v>0</v>
      </c>
      <c r="K31" s="66">
        <v>0</v>
      </c>
      <c r="L31" s="66">
        <v>0</v>
      </c>
      <c r="M31" s="66">
        <v>0</v>
      </c>
      <c r="N31" s="66">
        <v>0</v>
      </c>
      <c r="P31" s="67">
        <v>1861.9725000000012</v>
      </c>
      <c r="Q31" s="67">
        <v>729.08500000000026</v>
      </c>
      <c r="R31" s="68">
        <v>2591.0575000000017</v>
      </c>
    </row>
    <row r="32" spans="1:18" x14ac:dyDescent="0.3">
      <c r="A32" s="65">
        <v>46052</v>
      </c>
      <c r="B32" s="66">
        <f t="shared" si="0"/>
        <v>2591.0575000000017</v>
      </c>
      <c r="C32" s="66">
        <v>0</v>
      </c>
      <c r="E32" s="67">
        <v>689</v>
      </c>
      <c r="F32" s="67">
        <v>0</v>
      </c>
      <c r="I32" s="66">
        <v>0</v>
      </c>
      <c r="J32" s="66">
        <v>0</v>
      </c>
      <c r="K32" s="66">
        <v>0</v>
      </c>
      <c r="L32" s="66">
        <v>0</v>
      </c>
      <c r="M32" s="66">
        <v>0</v>
      </c>
      <c r="N32" s="66">
        <v>0</v>
      </c>
      <c r="P32" s="67">
        <v>1861.9725000000012</v>
      </c>
      <c r="Q32" s="67">
        <v>729.08500000000026</v>
      </c>
      <c r="R32" s="68">
        <v>2591.0575000000017</v>
      </c>
    </row>
    <row r="33" spans="1:18" x14ac:dyDescent="0.3">
      <c r="A33" s="65">
        <v>46053</v>
      </c>
      <c r="B33" s="66">
        <f t="shared" si="0"/>
        <v>2591.0575000000017</v>
      </c>
      <c r="C33" s="66">
        <v>0</v>
      </c>
      <c r="E33" s="67">
        <v>0</v>
      </c>
      <c r="F33" s="67">
        <v>0</v>
      </c>
      <c r="I33" s="66">
        <v>0</v>
      </c>
      <c r="J33" s="66">
        <v>0</v>
      </c>
      <c r="K33" s="66">
        <v>0</v>
      </c>
      <c r="L33" s="66">
        <v>0</v>
      </c>
      <c r="M33" s="66">
        <v>0</v>
      </c>
      <c r="N33" s="66">
        <v>0</v>
      </c>
      <c r="P33" s="67">
        <v>1861.9725000000012</v>
      </c>
      <c r="Q33" s="67">
        <v>729.08500000000026</v>
      </c>
      <c r="R33" s="68">
        <v>2591.0575000000017</v>
      </c>
    </row>
    <row r="34" spans="1:18" x14ac:dyDescent="0.3">
      <c r="A34" s="65">
        <v>46054</v>
      </c>
      <c r="B34" s="66">
        <f>R33</f>
        <v>2591.0575000000017</v>
      </c>
      <c r="C34" s="66">
        <v>0</v>
      </c>
      <c r="E34" s="67">
        <v>0</v>
      </c>
      <c r="F34" s="67">
        <v>0</v>
      </c>
      <c r="I34" s="66">
        <v>0</v>
      </c>
      <c r="J34" s="66">
        <v>0</v>
      </c>
      <c r="K34" s="66">
        <v>-175</v>
      </c>
      <c r="L34" s="66">
        <v>0</v>
      </c>
      <c r="M34" s="66">
        <v>0</v>
      </c>
      <c r="N34" s="66">
        <v>0</v>
      </c>
      <c r="P34" s="67">
        <v>1861.9725000000012</v>
      </c>
      <c r="Q34" s="67">
        <v>729.08500000000026</v>
      </c>
      <c r="R34" s="68">
        <v>2591.0575000000017</v>
      </c>
    </row>
    <row r="35" spans="1:18" x14ac:dyDescent="0.3">
      <c r="A35" s="65">
        <v>46055</v>
      </c>
      <c r="B35" s="66">
        <f t="shared" ref="B35:B98" si="1">R34</f>
        <v>2591.0575000000017</v>
      </c>
      <c r="C35" s="66">
        <v>2328.4625000000001</v>
      </c>
      <c r="D35" s="67">
        <v>1300</v>
      </c>
      <c r="E35" s="67">
        <v>0</v>
      </c>
      <c r="F35" s="67">
        <v>0</v>
      </c>
      <c r="I35" s="66">
        <v>0</v>
      </c>
      <c r="J35" s="66">
        <v>0</v>
      </c>
      <c r="K35" s="66">
        <v>0</v>
      </c>
      <c r="L35" s="66">
        <v>0</v>
      </c>
      <c r="M35" s="66">
        <v>0</v>
      </c>
      <c r="N35" s="66">
        <v>0</v>
      </c>
      <c r="P35" s="67">
        <v>2328.4625000000001</v>
      </c>
      <c r="Q35" s="67">
        <v>1300</v>
      </c>
      <c r="R35" s="68">
        <v>3628.4625000000001</v>
      </c>
    </row>
    <row r="36" spans="1:18" x14ac:dyDescent="0.3">
      <c r="A36" s="65">
        <v>46056</v>
      </c>
      <c r="B36" s="66">
        <f t="shared" ref="B36:B75" si="2">R35</f>
        <v>3628.4625000000001</v>
      </c>
      <c r="C36" s="66">
        <f t="shared" ref="C36:C75" si="3">P35</f>
        <v>2328.4625000000001</v>
      </c>
      <c r="D36" s="67">
        <f t="shared" ref="D36:D75" si="4">Q35</f>
        <v>1300</v>
      </c>
      <c r="E36" s="67">
        <v>0</v>
      </c>
      <c r="F36" s="67">
        <v>0</v>
      </c>
      <c r="G36" s="67">
        <v>0</v>
      </c>
      <c r="H36" s="67">
        <v>0</v>
      </c>
      <c r="I36" s="66">
        <v>0</v>
      </c>
      <c r="J36" s="66">
        <v>-81.97</v>
      </c>
      <c r="K36" s="66">
        <v>0</v>
      </c>
      <c r="L36" s="66">
        <v>0</v>
      </c>
      <c r="M36" s="66">
        <v>0</v>
      </c>
      <c r="N36" s="66">
        <v>0</v>
      </c>
      <c r="P36" s="67">
        <f t="shared" ref="P36:P99" si="5">C36+(SUM(I36:N36)+(SUM(E36:F36)))</f>
        <v>2246.4925000000003</v>
      </c>
      <c r="Q36" s="67">
        <f t="shared" ref="Q36:Q99" si="6">D36+G36+H36+O36</f>
        <v>1300</v>
      </c>
      <c r="R36" s="68">
        <f t="shared" ref="R36:R99" si="7">P36+Q36</f>
        <v>3546.4925000000003</v>
      </c>
    </row>
    <row r="37" spans="1:18" x14ac:dyDescent="0.3">
      <c r="A37" s="65">
        <v>46057</v>
      </c>
      <c r="B37" s="66">
        <f t="shared" si="2"/>
        <v>3546.4925000000003</v>
      </c>
      <c r="C37" s="66">
        <f t="shared" si="3"/>
        <v>2246.4925000000003</v>
      </c>
      <c r="D37" s="67">
        <f t="shared" si="4"/>
        <v>1300</v>
      </c>
      <c r="E37" s="67">
        <v>0</v>
      </c>
      <c r="F37" s="67">
        <v>0</v>
      </c>
      <c r="G37" s="67">
        <v>0</v>
      </c>
      <c r="H37" s="67">
        <v>0</v>
      </c>
      <c r="I37" s="66">
        <v>0</v>
      </c>
      <c r="J37" s="66">
        <v>0</v>
      </c>
      <c r="K37" s="66">
        <v>0</v>
      </c>
      <c r="L37" s="66">
        <v>0</v>
      </c>
      <c r="M37" s="66">
        <v>0</v>
      </c>
      <c r="N37" s="66">
        <v>0</v>
      </c>
      <c r="P37" s="67">
        <f t="shared" si="5"/>
        <v>2246.4925000000003</v>
      </c>
      <c r="Q37" s="67">
        <f t="shared" si="6"/>
        <v>1300</v>
      </c>
      <c r="R37" s="68">
        <f t="shared" si="7"/>
        <v>3546.4925000000003</v>
      </c>
    </row>
    <row r="38" spans="1:18" x14ac:dyDescent="0.3">
      <c r="A38" s="65">
        <v>46058</v>
      </c>
      <c r="B38" s="66">
        <f t="shared" si="2"/>
        <v>3546.4925000000003</v>
      </c>
      <c r="C38" s="66">
        <f t="shared" si="3"/>
        <v>2246.4925000000003</v>
      </c>
      <c r="D38" s="67">
        <f t="shared" si="4"/>
        <v>1300</v>
      </c>
      <c r="E38" s="67">
        <v>0</v>
      </c>
      <c r="F38" s="67">
        <v>0</v>
      </c>
      <c r="G38" s="67">
        <v>0</v>
      </c>
      <c r="H38" s="67">
        <v>0</v>
      </c>
      <c r="I38" s="66">
        <v>0</v>
      </c>
      <c r="J38" s="66">
        <v>0</v>
      </c>
      <c r="K38" s="66">
        <v>0</v>
      </c>
      <c r="L38" s="66">
        <v>0</v>
      </c>
      <c r="M38" s="66">
        <v>0</v>
      </c>
      <c r="N38" s="66">
        <v>0</v>
      </c>
      <c r="P38" s="67">
        <f t="shared" si="5"/>
        <v>2246.4925000000003</v>
      </c>
      <c r="Q38" s="67">
        <f t="shared" si="6"/>
        <v>1300</v>
      </c>
      <c r="R38" s="68">
        <f t="shared" si="7"/>
        <v>3546.4925000000003</v>
      </c>
    </row>
    <row r="39" spans="1:18" x14ac:dyDescent="0.3">
      <c r="A39" s="65">
        <v>46059</v>
      </c>
      <c r="B39" s="66">
        <f t="shared" si="2"/>
        <v>3546.4925000000003</v>
      </c>
      <c r="C39" s="66">
        <f t="shared" si="3"/>
        <v>2246.4925000000003</v>
      </c>
      <c r="D39" s="67">
        <f t="shared" si="4"/>
        <v>1300</v>
      </c>
      <c r="E39" s="67">
        <v>0</v>
      </c>
      <c r="F39" s="67">
        <v>0</v>
      </c>
      <c r="G39" s="67">
        <v>0</v>
      </c>
      <c r="H39" s="67">
        <v>0</v>
      </c>
      <c r="I39" s="66">
        <v>0</v>
      </c>
      <c r="J39" s="66">
        <v>0</v>
      </c>
      <c r="K39" s="66">
        <v>0</v>
      </c>
      <c r="L39" s="66">
        <v>0</v>
      </c>
      <c r="M39" s="66">
        <v>0</v>
      </c>
      <c r="N39" s="66">
        <v>0</v>
      </c>
      <c r="P39" s="67">
        <f t="shared" si="5"/>
        <v>2246.4925000000003</v>
      </c>
      <c r="Q39" s="67">
        <f t="shared" si="6"/>
        <v>1300</v>
      </c>
      <c r="R39" s="68">
        <f t="shared" si="7"/>
        <v>3546.4925000000003</v>
      </c>
    </row>
    <row r="40" spans="1:18" x14ac:dyDescent="0.3">
      <c r="A40" s="65">
        <v>46060</v>
      </c>
      <c r="B40" s="66">
        <f t="shared" si="2"/>
        <v>3546.4925000000003</v>
      </c>
      <c r="C40" s="66">
        <f t="shared" si="3"/>
        <v>2246.4925000000003</v>
      </c>
      <c r="D40" s="67">
        <f t="shared" si="4"/>
        <v>1300</v>
      </c>
      <c r="E40" s="67">
        <v>0</v>
      </c>
      <c r="F40" s="67">
        <v>0</v>
      </c>
      <c r="G40" s="67">
        <v>0</v>
      </c>
      <c r="H40" s="67">
        <v>0</v>
      </c>
      <c r="I40" s="66">
        <v>-2036.51</v>
      </c>
      <c r="J40" s="66">
        <v>0</v>
      </c>
      <c r="K40" s="66">
        <v>0</v>
      </c>
      <c r="L40" s="66">
        <v>0</v>
      </c>
      <c r="M40" s="66">
        <v>0</v>
      </c>
      <c r="N40" s="66">
        <v>0</v>
      </c>
      <c r="P40" s="67">
        <f t="shared" si="5"/>
        <v>209.9825000000003</v>
      </c>
      <c r="Q40" s="67">
        <f t="shared" si="6"/>
        <v>1300</v>
      </c>
      <c r="R40" s="68">
        <f t="shared" si="7"/>
        <v>1509.9825000000003</v>
      </c>
    </row>
    <row r="41" spans="1:18" x14ac:dyDescent="0.3">
      <c r="A41" s="65">
        <v>46061</v>
      </c>
      <c r="B41" s="66">
        <f t="shared" si="2"/>
        <v>1509.9825000000003</v>
      </c>
      <c r="C41" s="66">
        <f t="shared" si="3"/>
        <v>209.9825000000003</v>
      </c>
      <c r="D41" s="67">
        <f t="shared" si="4"/>
        <v>1300</v>
      </c>
      <c r="E41" s="67">
        <v>0</v>
      </c>
      <c r="F41" s="67">
        <v>0</v>
      </c>
      <c r="G41" s="67">
        <v>0</v>
      </c>
      <c r="H41" s="67">
        <v>0</v>
      </c>
      <c r="I41" s="66">
        <v>0</v>
      </c>
      <c r="J41" s="66">
        <v>0</v>
      </c>
      <c r="K41" s="66">
        <v>0</v>
      </c>
      <c r="L41" s="66">
        <v>0</v>
      </c>
      <c r="M41" s="66">
        <v>0</v>
      </c>
      <c r="N41" s="66">
        <v>0</v>
      </c>
      <c r="P41" s="67">
        <f t="shared" si="5"/>
        <v>209.9825000000003</v>
      </c>
      <c r="Q41" s="67">
        <f t="shared" si="6"/>
        <v>1300</v>
      </c>
      <c r="R41" s="68">
        <f t="shared" si="7"/>
        <v>1509.9825000000003</v>
      </c>
    </row>
    <row r="42" spans="1:18" x14ac:dyDescent="0.3">
      <c r="A42" s="65">
        <v>46062</v>
      </c>
      <c r="B42" s="66">
        <f t="shared" si="2"/>
        <v>1509.9825000000003</v>
      </c>
      <c r="C42" s="66">
        <f t="shared" si="3"/>
        <v>209.9825000000003</v>
      </c>
      <c r="D42" s="67">
        <f t="shared" si="4"/>
        <v>1300</v>
      </c>
      <c r="E42" s="67">
        <v>0</v>
      </c>
      <c r="F42" s="67">
        <v>0</v>
      </c>
      <c r="G42" s="67">
        <v>0</v>
      </c>
      <c r="H42" s="67">
        <v>0</v>
      </c>
      <c r="I42" s="66">
        <v>0</v>
      </c>
      <c r="J42" s="66">
        <v>0</v>
      </c>
      <c r="K42" s="66">
        <v>0</v>
      </c>
      <c r="L42" s="66">
        <v>0</v>
      </c>
      <c r="M42" s="66">
        <v>0</v>
      </c>
      <c r="N42" s="66">
        <v>0</v>
      </c>
      <c r="P42" s="67">
        <f t="shared" si="5"/>
        <v>209.9825000000003</v>
      </c>
      <c r="Q42" s="67">
        <f t="shared" si="6"/>
        <v>1300</v>
      </c>
      <c r="R42" s="68">
        <f t="shared" si="7"/>
        <v>1509.9825000000003</v>
      </c>
    </row>
    <row r="43" spans="1:18" x14ac:dyDescent="0.3">
      <c r="A43" s="65">
        <v>46063</v>
      </c>
      <c r="B43" s="66">
        <f t="shared" si="2"/>
        <v>1509.9825000000003</v>
      </c>
      <c r="C43" s="66">
        <f t="shared" si="3"/>
        <v>209.9825000000003</v>
      </c>
      <c r="D43" s="67">
        <f t="shared" si="4"/>
        <v>1300</v>
      </c>
      <c r="E43" s="67">
        <v>0</v>
      </c>
      <c r="F43" s="67">
        <v>0</v>
      </c>
      <c r="G43" s="67">
        <v>0</v>
      </c>
      <c r="H43" s="67">
        <v>0</v>
      </c>
      <c r="I43" s="66">
        <v>0</v>
      </c>
      <c r="J43" s="66">
        <v>0</v>
      </c>
      <c r="K43" s="66">
        <v>0</v>
      </c>
      <c r="L43" s="66">
        <v>0</v>
      </c>
      <c r="M43" s="66">
        <v>0</v>
      </c>
      <c r="N43" s="66">
        <v>0</v>
      </c>
      <c r="P43" s="67">
        <f t="shared" si="5"/>
        <v>209.9825000000003</v>
      </c>
      <c r="Q43" s="67">
        <f t="shared" si="6"/>
        <v>1300</v>
      </c>
      <c r="R43" s="68">
        <f t="shared" si="7"/>
        <v>1509.9825000000003</v>
      </c>
    </row>
    <row r="44" spans="1:18" x14ac:dyDescent="0.3">
      <c r="A44" s="65">
        <v>46064</v>
      </c>
      <c r="B44" s="66">
        <f t="shared" si="2"/>
        <v>1509.9825000000003</v>
      </c>
      <c r="C44" s="66">
        <f t="shared" si="3"/>
        <v>209.9825000000003</v>
      </c>
      <c r="D44" s="67">
        <f t="shared" si="4"/>
        <v>1300</v>
      </c>
      <c r="E44" s="67">
        <v>0</v>
      </c>
      <c r="F44" s="67">
        <v>0</v>
      </c>
      <c r="G44" s="67">
        <v>0</v>
      </c>
      <c r="H44" s="67">
        <v>0</v>
      </c>
      <c r="I44" s="66">
        <v>0</v>
      </c>
      <c r="J44" s="66">
        <v>0</v>
      </c>
      <c r="K44" s="66">
        <v>0</v>
      </c>
      <c r="L44" s="66">
        <v>0</v>
      </c>
      <c r="M44" s="66">
        <v>0</v>
      </c>
      <c r="N44" s="66">
        <v>0</v>
      </c>
      <c r="P44" s="67">
        <f t="shared" si="5"/>
        <v>209.9825000000003</v>
      </c>
      <c r="Q44" s="67">
        <f t="shared" si="6"/>
        <v>1300</v>
      </c>
      <c r="R44" s="68">
        <f t="shared" si="7"/>
        <v>1509.9825000000003</v>
      </c>
    </row>
    <row r="45" spans="1:18" x14ac:dyDescent="0.3">
      <c r="A45" s="65">
        <v>46065</v>
      </c>
      <c r="B45" s="66">
        <f t="shared" si="2"/>
        <v>1509.9825000000003</v>
      </c>
      <c r="C45" s="66">
        <f t="shared" si="3"/>
        <v>209.9825000000003</v>
      </c>
      <c r="D45" s="67">
        <f t="shared" si="4"/>
        <v>1300</v>
      </c>
      <c r="E45" s="67">
        <v>0</v>
      </c>
      <c r="F45" s="67">
        <v>0</v>
      </c>
      <c r="G45" s="67">
        <v>0</v>
      </c>
      <c r="H45" s="67">
        <v>0</v>
      </c>
      <c r="I45" s="66">
        <v>0</v>
      </c>
      <c r="J45" s="66">
        <v>0</v>
      </c>
      <c r="K45" s="66">
        <v>0</v>
      </c>
      <c r="L45" s="66">
        <v>0</v>
      </c>
      <c r="M45" s="66">
        <v>-51.2</v>
      </c>
      <c r="N45" s="66">
        <v>0</v>
      </c>
      <c r="P45" s="67">
        <f t="shared" si="5"/>
        <v>158.78250000000031</v>
      </c>
      <c r="Q45" s="67">
        <f t="shared" si="6"/>
        <v>1300</v>
      </c>
      <c r="R45" s="68">
        <f t="shared" si="7"/>
        <v>1458.7825000000003</v>
      </c>
    </row>
    <row r="46" spans="1:18" x14ac:dyDescent="0.3">
      <c r="A46" s="65">
        <v>46066</v>
      </c>
      <c r="B46" s="66">
        <f t="shared" si="2"/>
        <v>1458.7825000000003</v>
      </c>
      <c r="C46" s="66">
        <f t="shared" si="3"/>
        <v>158.78250000000031</v>
      </c>
      <c r="D46" s="67">
        <f t="shared" si="4"/>
        <v>1300</v>
      </c>
      <c r="E46" s="67">
        <v>0</v>
      </c>
      <c r="F46" s="67">
        <v>0</v>
      </c>
      <c r="G46" s="67">
        <v>0</v>
      </c>
      <c r="H46" s="67">
        <v>0</v>
      </c>
      <c r="I46" s="66">
        <v>0</v>
      </c>
      <c r="J46" s="66">
        <v>0</v>
      </c>
      <c r="K46" s="66">
        <v>0</v>
      </c>
      <c r="L46" s="66">
        <v>0</v>
      </c>
      <c r="M46" s="66">
        <v>0</v>
      </c>
      <c r="N46" s="66">
        <v>0</v>
      </c>
      <c r="P46" s="67">
        <f t="shared" si="5"/>
        <v>158.78250000000031</v>
      </c>
      <c r="Q46" s="67">
        <f t="shared" si="6"/>
        <v>1300</v>
      </c>
      <c r="R46" s="68">
        <f t="shared" si="7"/>
        <v>1458.7825000000003</v>
      </c>
    </row>
    <row r="47" spans="1:18" x14ac:dyDescent="0.3">
      <c r="A47" s="65">
        <v>46067</v>
      </c>
      <c r="B47" s="66">
        <f t="shared" si="2"/>
        <v>1458.7825000000003</v>
      </c>
      <c r="C47" s="66">
        <f t="shared" si="3"/>
        <v>158.78250000000031</v>
      </c>
      <c r="D47" s="67">
        <f t="shared" si="4"/>
        <v>1300</v>
      </c>
      <c r="E47" s="67">
        <v>611.31500000000005</v>
      </c>
      <c r="F47" s="67">
        <v>0</v>
      </c>
      <c r="G47" s="67">
        <v>77.685000000000002</v>
      </c>
      <c r="H47" s="67">
        <v>0</v>
      </c>
      <c r="I47" s="66">
        <v>0</v>
      </c>
      <c r="J47" s="66">
        <v>0</v>
      </c>
      <c r="K47" s="66">
        <v>0</v>
      </c>
      <c r="L47" s="66">
        <v>0</v>
      </c>
      <c r="M47" s="66">
        <v>0</v>
      </c>
      <c r="N47" s="66">
        <v>0</v>
      </c>
      <c r="P47" s="67">
        <f t="shared" si="5"/>
        <v>770.09750000000031</v>
      </c>
      <c r="Q47" s="67">
        <f t="shared" si="6"/>
        <v>1377.6849999999999</v>
      </c>
      <c r="R47" s="68">
        <f t="shared" si="7"/>
        <v>2147.7825000000003</v>
      </c>
    </row>
    <row r="48" spans="1:18" x14ac:dyDescent="0.3">
      <c r="A48" s="65">
        <v>46068</v>
      </c>
      <c r="B48" s="66">
        <f t="shared" si="2"/>
        <v>2147.7825000000003</v>
      </c>
      <c r="C48" s="66">
        <f t="shared" si="3"/>
        <v>770.09750000000031</v>
      </c>
      <c r="D48" s="67">
        <f t="shared" si="4"/>
        <v>1377.6849999999999</v>
      </c>
      <c r="E48" s="67">
        <v>0</v>
      </c>
      <c r="F48" s="67">
        <v>0</v>
      </c>
      <c r="G48" s="67">
        <v>0</v>
      </c>
      <c r="H48" s="67">
        <v>0</v>
      </c>
      <c r="I48" s="66">
        <v>0</v>
      </c>
      <c r="J48" s="66">
        <v>0</v>
      </c>
      <c r="K48" s="66">
        <v>0</v>
      </c>
      <c r="L48" s="66">
        <v>0</v>
      </c>
      <c r="M48" s="66">
        <v>0</v>
      </c>
      <c r="N48" s="66">
        <v>-36.5</v>
      </c>
      <c r="P48" s="67">
        <f t="shared" si="5"/>
        <v>733.59750000000031</v>
      </c>
      <c r="Q48" s="67">
        <f t="shared" si="6"/>
        <v>1377.6849999999999</v>
      </c>
      <c r="R48" s="68">
        <f t="shared" si="7"/>
        <v>2111.2825000000003</v>
      </c>
    </row>
    <row r="49" spans="1:19" x14ac:dyDescent="0.3">
      <c r="A49" s="65">
        <v>46069</v>
      </c>
      <c r="B49" s="66">
        <f t="shared" si="2"/>
        <v>2111.2825000000003</v>
      </c>
      <c r="C49" s="66">
        <f t="shared" si="3"/>
        <v>733.59750000000031</v>
      </c>
      <c r="D49" s="67">
        <f t="shared" si="4"/>
        <v>1377.6849999999999</v>
      </c>
      <c r="E49" s="67">
        <v>0</v>
      </c>
      <c r="F49" s="67">
        <v>0</v>
      </c>
      <c r="G49" s="67">
        <v>0</v>
      </c>
      <c r="H49" s="67">
        <v>0</v>
      </c>
      <c r="I49" s="66">
        <v>0</v>
      </c>
      <c r="J49" s="66">
        <v>0</v>
      </c>
      <c r="K49" s="66">
        <v>0</v>
      </c>
      <c r="L49" s="66">
        <v>0</v>
      </c>
      <c r="M49" s="66">
        <v>0</v>
      </c>
      <c r="N49" s="66">
        <v>0</v>
      </c>
      <c r="O49" s="66">
        <v>-1004.99</v>
      </c>
      <c r="P49" s="67">
        <f t="shared" si="5"/>
        <v>733.59750000000031</v>
      </c>
      <c r="Q49" s="67">
        <f t="shared" si="6"/>
        <v>372.69499999999994</v>
      </c>
      <c r="R49" s="68">
        <f t="shared" si="7"/>
        <v>1106.2925000000002</v>
      </c>
      <c r="S49" s="15" t="s">
        <v>58</v>
      </c>
    </row>
    <row r="50" spans="1:19" x14ac:dyDescent="0.3">
      <c r="A50" s="65">
        <v>46070</v>
      </c>
      <c r="B50" s="66">
        <f t="shared" si="2"/>
        <v>1106.2925000000002</v>
      </c>
      <c r="C50" s="66">
        <f t="shared" si="3"/>
        <v>733.59750000000031</v>
      </c>
      <c r="D50" s="67">
        <f t="shared" si="4"/>
        <v>372.69499999999994</v>
      </c>
      <c r="E50" s="67">
        <v>0</v>
      </c>
      <c r="F50" s="67">
        <v>0</v>
      </c>
      <c r="G50" s="67">
        <v>0</v>
      </c>
      <c r="H50" s="67">
        <v>0</v>
      </c>
      <c r="I50" s="66">
        <v>0</v>
      </c>
      <c r="J50" s="66">
        <v>0</v>
      </c>
      <c r="K50" s="66">
        <v>0</v>
      </c>
      <c r="L50" s="66">
        <v>0</v>
      </c>
      <c r="M50" s="66">
        <v>0</v>
      </c>
      <c r="N50" s="66">
        <v>0</v>
      </c>
      <c r="O50" s="66">
        <v>0.02</v>
      </c>
      <c r="P50" s="67">
        <f t="shared" si="5"/>
        <v>733.59750000000031</v>
      </c>
      <c r="Q50" s="67">
        <f t="shared" si="6"/>
        <v>372.71499999999992</v>
      </c>
      <c r="R50" s="68">
        <f t="shared" si="7"/>
        <v>1106.3125000000002</v>
      </c>
    </row>
    <row r="51" spans="1:19" x14ac:dyDescent="0.3">
      <c r="A51" s="65">
        <v>46071</v>
      </c>
      <c r="B51" s="66">
        <f t="shared" si="2"/>
        <v>1106.3125000000002</v>
      </c>
      <c r="C51" s="66">
        <f t="shared" si="3"/>
        <v>733.59750000000031</v>
      </c>
      <c r="D51" s="67">
        <f t="shared" si="4"/>
        <v>372.71499999999992</v>
      </c>
      <c r="E51" s="67">
        <v>0</v>
      </c>
      <c r="F51" s="67">
        <v>0</v>
      </c>
      <c r="G51" s="67">
        <v>0</v>
      </c>
      <c r="H51" s="67">
        <v>0</v>
      </c>
      <c r="I51" s="66">
        <v>0</v>
      </c>
      <c r="J51" s="66">
        <v>0</v>
      </c>
      <c r="K51" s="66">
        <v>0</v>
      </c>
      <c r="L51" s="66">
        <v>0</v>
      </c>
      <c r="M51" s="66">
        <v>0</v>
      </c>
      <c r="N51" s="66">
        <v>0</v>
      </c>
      <c r="P51" s="67">
        <f t="shared" si="5"/>
        <v>733.59750000000031</v>
      </c>
      <c r="Q51" s="67">
        <f t="shared" si="6"/>
        <v>372.71499999999992</v>
      </c>
      <c r="R51" s="68">
        <f t="shared" si="7"/>
        <v>1106.3125000000002</v>
      </c>
    </row>
    <row r="52" spans="1:19" x14ac:dyDescent="0.3">
      <c r="A52" s="65">
        <v>46072</v>
      </c>
      <c r="B52" s="66">
        <f t="shared" si="2"/>
        <v>1106.3125000000002</v>
      </c>
      <c r="C52" s="66">
        <f t="shared" si="3"/>
        <v>733.59750000000031</v>
      </c>
      <c r="D52" s="67">
        <f t="shared" si="4"/>
        <v>372.71499999999992</v>
      </c>
      <c r="E52" s="67">
        <v>0</v>
      </c>
      <c r="F52" s="67">
        <v>0</v>
      </c>
      <c r="G52" s="67">
        <v>0</v>
      </c>
      <c r="H52" s="67">
        <v>0</v>
      </c>
      <c r="I52" s="66">
        <v>0</v>
      </c>
      <c r="J52" s="66">
        <v>0</v>
      </c>
      <c r="K52" s="66">
        <v>0</v>
      </c>
      <c r="L52" s="66">
        <v>0</v>
      </c>
      <c r="M52" s="66">
        <v>0</v>
      </c>
      <c r="N52" s="66">
        <v>0</v>
      </c>
      <c r="P52" s="67">
        <f t="shared" si="5"/>
        <v>733.59750000000031</v>
      </c>
      <c r="Q52" s="67">
        <f t="shared" si="6"/>
        <v>372.71499999999992</v>
      </c>
      <c r="R52" s="68">
        <f t="shared" si="7"/>
        <v>1106.3125000000002</v>
      </c>
    </row>
    <row r="53" spans="1:19" x14ac:dyDescent="0.3">
      <c r="A53" s="65">
        <v>46073</v>
      </c>
      <c r="B53" s="66">
        <f t="shared" si="2"/>
        <v>1106.3125000000002</v>
      </c>
      <c r="C53" s="66">
        <f t="shared" si="3"/>
        <v>733.59750000000031</v>
      </c>
      <c r="D53" s="67">
        <f t="shared" si="4"/>
        <v>372.71499999999992</v>
      </c>
      <c r="E53" s="67">
        <v>0</v>
      </c>
      <c r="F53" s="67">
        <v>0</v>
      </c>
      <c r="G53" s="67">
        <v>0</v>
      </c>
      <c r="H53" s="67">
        <v>0</v>
      </c>
      <c r="I53" s="66">
        <v>0</v>
      </c>
      <c r="J53" s="66">
        <v>0</v>
      </c>
      <c r="K53" s="66">
        <v>0</v>
      </c>
      <c r="L53" s="66">
        <v>0</v>
      </c>
      <c r="M53" s="66">
        <v>0</v>
      </c>
      <c r="N53" s="66">
        <v>0</v>
      </c>
      <c r="P53" s="67">
        <f t="shared" si="5"/>
        <v>733.59750000000031</v>
      </c>
      <c r="Q53" s="67">
        <f t="shared" si="6"/>
        <v>372.71499999999992</v>
      </c>
      <c r="R53" s="68">
        <f t="shared" si="7"/>
        <v>1106.3125000000002</v>
      </c>
    </row>
    <row r="54" spans="1:19" x14ac:dyDescent="0.3">
      <c r="A54" s="65">
        <v>46074</v>
      </c>
      <c r="B54" s="66">
        <f t="shared" si="2"/>
        <v>1106.3125000000002</v>
      </c>
      <c r="C54" s="66">
        <f t="shared" si="3"/>
        <v>733.59750000000031</v>
      </c>
      <c r="D54" s="67">
        <f t="shared" si="4"/>
        <v>372.71499999999992</v>
      </c>
      <c r="E54" s="67">
        <v>0</v>
      </c>
      <c r="F54" s="67">
        <v>0</v>
      </c>
      <c r="G54" s="67">
        <v>0</v>
      </c>
      <c r="H54" s="67">
        <v>0</v>
      </c>
      <c r="I54" s="66">
        <v>0</v>
      </c>
      <c r="J54" s="66">
        <v>0</v>
      </c>
      <c r="K54" s="66">
        <v>0</v>
      </c>
      <c r="L54" s="66">
        <v>0</v>
      </c>
      <c r="M54" s="66">
        <v>0</v>
      </c>
      <c r="N54" s="66">
        <v>0</v>
      </c>
      <c r="P54" s="67">
        <f t="shared" si="5"/>
        <v>733.59750000000031</v>
      </c>
      <c r="Q54" s="67">
        <f t="shared" si="6"/>
        <v>372.71499999999992</v>
      </c>
      <c r="R54" s="68">
        <f t="shared" si="7"/>
        <v>1106.3125000000002</v>
      </c>
    </row>
    <row r="55" spans="1:19" x14ac:dyDescent="0.3">
      <c r="A55" s="65">
        <v>46075</v>
      </c>
      <c r="B55" s="66">
        <f t="shared" si="2"/>
        <v>1106.3125000000002</v>
      </c>
      <c r="C55" s="66">
        <f t="shared" si="3"/>
        <v>733.59750000000031</v>
      </c>
      <c r="D55" s="67">
        <f t="shared" si="4"/>
        <v>372.71499999999992</v>
      </c>
      <c r="E55" s="67">
        <v>0</v>
      </c>
      <c r="F55" s="67">
        <v>0</v>
      </c>
      <c r="G55" s="67">
        <v>0</v>
      </c>
      <c r="H55" s="67">
        <v>0</v>
      </c>
      <c r="I55" s="66">
        <v>0</v>
      </c>
      <c r="J55" s="66">
        <v>0</v>
      </c>
      <c r="K55" s="66">
        <v>0</v>
      </c>
      <c r="L55" s="66">
        <v>0</v>
      </c>
      <c r="M55" s="66">
        <v>0</v>
      </c>
      <c r="N55" s="66">
        <v>0</v>
      </c>
      <c r="P55" s="67">
        <f t="shared" si="5"/>
        <v>733.59750000000031</v>
      </c>
      <c r="Q55" s="67">
        <f t="shared" si="6"/>
        <v>372.71499999999992</v>
      </c>
      <c r="R55" s="68">
        <f t="shared" si="7"/>
        <v>1106.3125000000002</v>
      </c>
    </row>
    <row r="56" spans="1:19" x14ac:dyDescent="0.3">
      <c r="A56" s="65">
        <v>46076</v>
      </c>
      <c r="B56" s="66">
        <f t="shared" si="2"/>
        <v>1106.3125000000002</v>
      </c>
      <c r="C56" s="66">
        <f t="shared" si="3"/>
        <v>733.59750000000031</v>
      </c>
      <c r="D56" s="67">
        <f t="shared" si="4"/>
        <v>372.71499999999992</v>
      </c>
      <c r="E56" s="67">
        <v>0</v>
      </c>
      <c r="F56" s="67">
        <v>0</v>
      </c>
      <c r="G56" s="67">
        <v>0</v>
      </c>
      <c r="H56" s="67">
        <v>0</v>
      </c>
      <c r="I56" s="66">
        <v>0</v>
      </c>
      <c r="J56" s="66">
        <v>0</v>
      </c>
      <c r="K56" s="66">
        <v>0</v>
      </c>
      <c r="L56" s="66">
        <v>0</v>
      </c>
      <c r="M56" s="66">
        <v>0</v>
      </c>
      <c r="N56" s="66">
        <v>0</v>
      </c>
      <c r="P56" s="67">
        <f t="shared" si="5"/>
        <v>733.59750000000031</v>
      </c>
      <c r="Q56" s="67">
        <f t="shared" si="6"/>
        <v>372.71499999999992</v>
      </c>
      <c r="R56" s="68">
        <f t="shared" si="7"/>
        <v>1106.3125000000002</v>
      </c>
    </row>
    <row r="57" spans="1:19" x14ac:dyDescent="0.3">
      <c r="A57" s="65">
        <v>46077</v>
      </c>
      <c r="B57" s="66">
        <f t="shared" si="2"/>
        <v>1106.3125000000002</v>
      </c>
      <c r="C57" s="66">
        <f t="shared" si="3"/>
        <v>733.59750000000031</v>
      </c>
      <c r="D57" s="67">
        <f t="shared" si="4"/>
        <v>372.71499999999992</v>
      </c>
      <c r="E57" s="67">
        <v>0</v>
      </c>
      <c r="F57" s="67">
        <v>0</v>
      </c>
      <c r="G57" s="67">
        <v>0</v>
      </c>
      <c r="H57" s="67">
        <v>0</v>
      </c>
      <c r="I57" s="66">
        <v>0</v>
      </c>
      <c r="J57" s="66">
        <v>0</v>
      </c>
      <c r="K57" s="66">
        <v>0</v>
      </c>
      <c r="L57" s="66">
        <v>0</v>
      </c>
      <c r="M57" s="66">
        <v>0</v>
      </c>
      <c r="N57" s="66">
        <v>0</v>
      </c>
      <c r="P57" s="67">
        <f t="shared" si="5"/>
        <v>733.59750000000031</v>
      </c>
      <c r="Q57" s="67">
        <f t="shared" si="6"/>
        <v>372.71499999999992</v>
      </c>
      <c r="R57" s="68">
        <f t="shared" si="7"/>
        <v>1106.3125000000002</v>
      </c>
    </row>
    <row r="58" spans="1:19" x14ac:dyDescent="0.3">
      <c r="A58" s="65">
        <v>46078</v>
      </c>
      <c r="B58" s="66">
        <f t="shared" si="2"/>
        <v>1106.3125000000002</v>
      </c>
      <c r="C58" s="66">
        <f t="shared" si="3"/>
        <v>733.59750000000031</v>
      </c>
      <c r="D58" s="67">
        <f t="shared" si="4"/>
        <v>372.71499999999992</v>
      </c>
      <c r="E58" s="67">
        <v>0</v>
      </c>
      <c r="F58" s="67">
        <v>0</v>
      </c>
      <c r="G58" s="67">
        <v>0</v>
      </c>
      <c r="H58" s="67">
        <v>0</v>
      </c>
      <c r="I58" s="66">
        <v>0</v>
      </c>
      <c r="J58" s="66">
        <v>0</v>
      </c>
      <c r="K58" s="66">
        <v>0</v>
      </c>
      <c r="L58" s="66">
        <v>0</v>
      </c>
      <c r="M58" s="66">
        <v>0</v>
      </c>
      <c r="N58" s="66">
        <v>0</v>
      </c>
      <c r="P58" s="67">
        <f t="shared" si="5"/>
        <v>733.59750000000031</v>
      </c>
      <c r="Q58" s="67">
        <f t="shared" si="6"/>
        <v>372.71499999999992</v>
      </c>
      <c r="R58" s="68">
        <f t="shared" si="7"/>
        <v>1106.3125000000002</v>
      </c>
    </row>
    <row r="59" spans="1:19" x14ac:dyDescent="0.3">
      <c r="A59" s="65">
        <v>46079</v>
      </c>
      <c r="B59" s="66">
        <f t="shared" si="2"/>
        <v>1106.3125000000002</v>
      </c>
      <c r="C59" s="66">
        <f t="shared" si="3"/>
        <v>733.59750000000031</v>
      </c>
      <c r="D59" s="67">
        <f t="shared" si="4"/>
        <v>372.71499999999992</v>
      </c>
      <c r="E59" s="67">
        <v>0</v>
      </c>
      <c r="F59" s="67">
        <v>0</v>
      </c>
      <c r="G59" s="67">
        <v>0</v>
      </c>
      <c r="H59" s="67">
        <v>0</v>
      </c>
      <c r="I59" s="66">
        <v>0</v>
      </c>
      <c r="J59" s="66">
        <v>0</v>
      </c>
      <c r="K59" s="66">
        <v>0</v>
      </c>
      <c r="L59" s="66">
        <v>-117.13</v>
      </c>
      <c r="M59" s="66">
        <v>0</v>
      </c>
      <c r="N59" s="66">
        <v>0</v>
      </c>
      <c r="P59" s="67">
        <f t="shared" si="5"/>
        <v>616.46750000000031</v>
      </c>
      <c r="Q59" s="67">
        <f t="shared" si="6"/>
        <v>372.71499999999992</v>
      </c>
      <c r="R59" s="68">
        <f t="shared" si="7"/>
        <v>989.18250000000023</v>
      </c>
    </row>
    <row r="60" spans="1:19" x14ac:dyDescent="0.3">
      <c r="A60" s="65">
        <v>46080</v>
      </c>
      <c r="B60" s="66">
        <f t="shared" si="2"/>
        <v>989.18250000000023</v>
      </c>
      <c r="C60" s="66">
        <f t="shared" si="3"/>
        <v>616.46750000000031</v>
      </c>
      <c r="D60" s="67">
        <f t="shared" si="4"/>
        <v>372.71499999999992</v>
      </c>
      <c r="E60" s="67">
        <v>611.31500000000005</v>
      </c>
      <c r="F60" s="67">
        <v>1222.6300000000001</v>
      </c>
      <c r="G60" s="67">
        <v>77.685000000000002</v>
      </c>
      <c r="H60" s="67">
        <v>155.37</v>
      </c>
      <c r="I60" s="66">
        <v>0</v>
      </c>
      <c r="J60" s="66">
        <v>0</v>
      </c>
      <c r="K60" s="66">
        <v>0</v>
      </c>
      <c r="L60" s="66">
        <v>0</v>
      </c>
      <c r="M60" s="66">
        <v>0</v>
      </c>
      <c r="N60" s="66">
        <v>0</v>
      </c>
      <c r="P60" s="67">
        <f t="shared" si="5"/>
        <v>2450.4125000000004</v>
      </c>
      <c r="Q60" s="67">
        <f t="shared" si="6"/>
        <v>605.77</v>
      </c>
      <c r="R60" s="68">
        <f t="shared" si="7"/>
        <v>3056.1825000000003</v>
      </c>
    </row>
    <row r="61" spans="1:19" x14ac:dyDescent="0.3">
      <c r="A61" s="65">
        <v>46081</v>
      </c>
      <c r="B61" s="66">
        <f t="shared" si="2"/>
        <v>3056.1825000000003</v>
      </c>
      <c r="C61" s="66">
        <f t="shared" si="3"/>
        <v>2450.4125000000004</v>
      </c>
      <c r="D61" s="67">
        <f t="shared" si="4"/>
        <v>605.77</v>
      </c>
      <c r="E61" s="67">
        <v>0</v>
      </c>
      <c r="F61" s="67">
        <v>0</v>
      </c>
      <c r="G61" s="67">
        <v>0</v>
      </c>
      <c r="H61" s="67">
        <v>0</v>
      </c>
      <c r="I61" s="66">
        <v>0</v>
      </c>
      <c r="J61" s="66">
        <v>0</v>
      </c>
      <c r="K61" s="66">
        <v>0</v>
      </c>
      <c r="L61" s="66">
        <v>0</v>
      </c>
      <c r="M61" s="66">
        <v>0</v>
      </c>
      <c r="N61" s="66">
        <v>0</v>
      </c>
      <c r="P61" s="67">
        <f t="shared" si="5"/>
        <v>2450.4125000000004</v>
      </c>
      <c r="Q61" s="67">
        <f t="shared" si="6"/>
        <v>605.77</v>
      </c>
      <c r="R61" s="68">
        <f t="shared" si="7"/>
        <v>3056.1825000000003</v>
      </c>
    </row>
    <row r="62" spans="1:19" x14ac:dyDescent="0.3">
      <c r="A62" s="65">
        <v>46082</v>
      </c>
      <c r="B62" s="66">
        <f t="shared" si="2"/>
        <v>3056.1825000000003</v>
      </c>
      <c r="C62" s="66">
        <f t="shared" si="3"/>
        <v>2450.4125000000004</v>
      </c>
      <c r="D62" s="67">
        <f t="shared" si="4"/>
        <v>605.77</v>
      </c>
      <c r="E62" s="67">
        <v>0</v>
      </c>
      <c r="F62" s="67">
        <v>0</v>
      </c>
      <c r="G62" s="67">
        <v>0</v>
      </c>
      <c r="H62" s="67">
        <v>0</v>
      </c>
      <c r="I62" s="66">
        <v>0</v>
      </c>
      <c r="J62" s="66">
        <v>0</v>
      </c>
      <c r="K62" s="66">
        <v>-175</v>
      </c>
      <c r="L62" s="66">
        <v>0</v>
      </c>
      <c r="M62" s="66">
        <v>0</v>
      </c>
      <c r="N62" s="66">
        <v>0</v>
      </c>
      <c r="P62" s="67">
        <f t="shared" si="5"/>
        <v>2275.4125000000004</v>
      </c>
      <c r="Q62" s="67">
        <f t="shared" si="6"/>
        <v>605.77</v>
      </c>
      <c r="R62" s="68">
        <f t="shared" si="7"/>
        <v>2881.1825000000003</v>
      </c>
    </row>
    <row r="63" spans="1:19" x14ac:dyDescent="0.3">
      <c r="A63" s="65">
        <v>46083</v>
      </c>
      <c r="B63" s="66">
        <f t="shared" si="2"/>
        <v>2881.1825000000003</v>
      </c>
      <c r="C63" s="66">
        <f t="shared" si="3"/>
        <v>2275.4125000000004</v>
      </c>
      <c r="D63" s="67">
        <f t="shared" si="4"/>
        <v>605.77</v>
      </c>
      <c r="E63" s="67">
        <v>0</v>
      </c>
      <c r="F63" s="67">
        <v>0</v>
      </c>
      <c r="G63" s="67">
        <v>0</v>
      </c>
      <c r="H63" s="67">
        <v>0</v>
      </c>
      <c r="I63" s="66">
        <v>0</v>
      </c>
      <c r="J63" s="66">
        <v>0</v>
      </c>
      <c r="K63" s="66">
        <v>0</v>
      </c>
      <c r="L63" s="66">
        <v>0</v>
      </c>
      <c r="M63" s="66">
        <v>0</v>
      </c>
      <c r="N63" s="66">
        <v>0</v>
      </c>
      <c r="P63" s="67">
        <f t="shared" si="5"/>
        <v>2275.4125000000004</v>
      </c>
      <c r="Q63" s="67">
        <f t="shared" si="6"/>
        <v>605.77</v>
      </c>
      <c r="R63" s="68">
        <f t="shared" si="7"/>
        <v>2881.1825000000003</v>
      </c>
    </row>
    <row r="64" spans="1:19" x14ac:dyDescent="0.3">
      <c r="A64" s="65">
        <v>46084</v>
      </c>
      <c r="B64" s="66">
        <f t="shared" si="2"/>
        <v>2881.1825000000003</v>
      </c>
      <c r="C64" s="66">
        <f t="shared" si="3"/>
        <v>2275.4125000000004</v>
      </c>
      <c r="D64" s="67">
        <f t="shared" si="4"/>
        <v>605.77</v>
      </c>
      <c r="E64" s="67">
        <v>0</v>
      </c>
      <c r="F64" s="67">
        <v>0</v>
      </c>
      <c r="G64" s="67">
        <v>0</v>
      </c>
      <c r="H64" s="67">
        <v>0</v>
      </c>
      <c r="I64" s="66">
        <v>0</v>
      </c>
      <c r="J64" s="66">
        <v>-76.64</v>
      </c>
      <c r="K64" s="66">
        <v>0</v>
      </c>
      <c r="L64" s="66">
        <v>0</v>
      </c>
      <c r="M64" s="66">
        <v>0</v>
      </c>
      <c r="N64" s="66">
        <v>0</v>
      </c>
      <c r="P64" s="67">
        <f t="shared" si="5"/>
        <v>2198.7725000000005</v>
      </c>
      <c r="Q64" s="67">
        <f t="shared" si="6"/>
        <v>605.77</v>
      </c>
      <c r="R64" s="68">
        <f t="shared" si="7"/>
        <v>2804.5425000000005</v>
      </c>
    </row>
    <row r="65" spans="1:19" x14ac:dyDescent="0.3">
      <c r="A65" s="65">
        <v>46085</v>
      </c>
      <c r="B65" s="66">
        <f t="shared" si="2"/>
        <v>2804.5425000000005</v>
      </c>
      <c r="C65" s="66">
        <f t="shared" si="3"/>
        <v>2198.7725000000005</v>
      </c>
      <c r="D65" s="67">
        <f t="shared" si="4"/>
        <v>605.77</v>
      </c>
      <c r="E65" s="67">
        <v>0</v>
      </c>
      <c r="F65" s="67">
        <v>0</v>
      </c>
      <c r="G65" s="67">
        <v>0</v>
      </c>
      <c r="H65" s="67">
        <v>0</v>
      </c>
      <c r="I65" s="66">
        <v>0</v>
      </c>
      <c r="J65" s="66">
        <v>0</v>
      </c>
      <c r="K65" s="66">
        <v>0</v>
      </c>
      <c r="L65" s="66">
        <v>0</v>
      </c>
      <c r="M65" s="66">
        <v>0</v>
      </c>
      <c r="N65" s="66">
        <v>0</v>
      </c>
      <c r="P65" s="67">
        <f t="shared" si="5"/>
        <v>2198.7725000000005</v>
      </c>
      <c r="Q65" s="67">
        <f t="shared" si="6"/>
        <v>605.77</v>
      </c>
      <c r="R65" s="68">
        <f t="shared" si="7"/>
        <v>2804.5425000000005</v>
      </c>
    </row>
    <row r="66" spans="1:19" x14ac:dyDescent="0.3">
      <c r="A66" s="65">
        <v>46086</v>
      </c>
      <c r="B66" s="66">
        <f t="shared" si="2"/>
        <v>2804.5425000000005</v>
      </c>
      <c r="C66" s="66">
        <f t="shared" si="3"/>
        <v>2198.7725000000005</v>
      </c>
      <c r="D66" s="67">
        <f t="shared" si="4"/>
        <v>605.77</v>
      </c>
      <c r="E66" s="67">
        <v>0</v>
      </c>
      <c r="F66" s="67">
        <v>0</v>
      </c>
      <c r="G66" s="67">
        <v>0</v>
      </c>
      <c r="H66" s="67">
        <v>0</v>
      </c>
      <c r="I66" s="66">
        <v>0</v>
      </c>
      <c r="J66" s="66">
        <v>0</v>
      </c>
      <c r="K66" s="66">
        <v>0</v>
      </c>
      <c r="L66" s="66">
        <v>0</v>
      </c>
      <c r="M66" s="66">
        <v>0</v>
      </c>
      <c r="N66" s="66">
        <v>-36.5</v>
      </c>
      <c r="P66" s="67">
        <f t="shared" si="5"/>
        <v>2162.2725000000005</v>
      </c>
      <c r="Q66" s="67">
        <f t="shared" si="6"/>
        <v>605.77</v>
      </c>
      <c r="R66" s="68">
        <f t="shared" si="7"/>
        <v>2768.0425000000005</v>
      </c>
    </row>
    <row r="67" spans="1:19" x14ac:dyDescent="0.3">
      <c r="A67" s="65">
        <v>46087</v>
      </c>
      <c r="B67" s="66">
        <f t="shared" si="2"/>
        <v>2768.0425000000005</v>
      </c>
      <c r="C67" s="66">
        <f t="shared" si="3"/>
        <v>2162.2725000000005</v>
      </c>
      <c r="D67" s="67">
        <f t="shared" si="4"/>
        <v>605.77</v>
      </c>
      <c r="E67" s="67">
        <v>0</v>
      </c>
      <c r="F67" s="67">
        <v>0</v>
      </c>
      <c r="G67" s="67">
        <v>0</v>
      </c>
      <c r="H67" s="67">
        <v>0</v>
      </c>
      <c r="I67" s="66">
        <v>0</v>
      </c>
      <c r="J67" s="66">
        <v>0</v>
      </c>
      <c r="K67" s="66">
        <v>0</v>
      </c>
      <c r="L67" s="66">
        <v>0</v>
      </c>
      <c r="M67" s="66">
        <v>0</v>
      </c>
      <c r="N67" s="66">
        <v>0</v>
      </c>
      <c r="P67" s="67">
        <f t="shared" si="5"/>
        <v>2162.2725000000005</v>
      </c>
      <c r="Q67" s="67">
        <f t="shared" si="6"/>
        <v>605.77</v>
      </c>
      <c r="R67" s="68">
        <f t="shared" si="7"/>
        <v>2768.0425000000005</v>
      </c>
    </row>
    <row r="68" spans="1:19" x14ac:dyDescent="0.3">
      <c r="A68" s="65">
        <v>46088</v>
      </c>
      <c r="B68" s="66">
        <f t="shared" si="2"/>
        <v>2768.0425000000005</v>
      </c>
      <c r="C68" s="66">
        <f t="shared" si="3"/>
        <v>2162.2725000000005</v>
      </c>
      <c r="D68" s="67">
        <f t="shared" si="4"/>
        <v>605.77</v>
      </c>
      <c r="E68" s="67">
        <v>0</v>
      </c>
      <c r="F68" s="67">
        <v>0</v>
      </c>
      <c r="G68" s="67">
        <v>0</v>
      </c>
      <c r="H68" s="67">
        <v>0</v>
      </c>
      <c r="I68" s="66">
        <v>-2036.51</v>
      </c>
      <c r="J68" s="66">
        <v>0</v>
      </c>
      <c r="K68" s="66">
        <v>0</v>
      </c>
      <c r="L68" s="66">
        <v>0</v>
      </c>
      <c r="M68" s="66">
        <v>0</v>
      </c>
      <c r="N68" s="66">
        <v>0</v>
      </c>
      <c r="P68" s="67">
        <f t="shared" si="5"/>
        <v>125.7625000000005</v>
      </c>
      <c r="Q68" s="67">
        <f t="shared" si="6"/>
        <v>605.77</v>
      </c>
      <c r="R68" s="68">
        <f t="shared" si="7"/>
        <v>731.53250000000048</v>
      </c>
    </row>
    <row r="69" spans="1:19" x14ac:dyDescent="0.3">
      <c r="A69" s="65">
        <v>46089</v>
      </c>
      <c r="B69" s="66">
        <f t="shared" si="2"/>
        <v>731.53250000000048</v>
      </c>
      <c r="C69" s="66">
        <f t="shared" si="3"/>
        <v>125.7625000000005</v>
      </c>
      <c r="D69" s="67">
        <f t="shared" si="4"/>
        <v>605.77</v>
      </c>
      <c r="E69" s="67">
        <v>0</v>
      </c>
      <c r="F69" s="67">
        <v>0</v>
      </c>
      <c r="G69" s="67">
        <v>0</v>
      </c>
      <c r="H69" s="67">
        <v>0</v>
      </c>
      <c r="I69" s="66">
        <v>0</v>
      </c>
      <c r="J69" s="66">
        <v>0</v>
      </c>
      <c r="K69" s="66">
        <v>0</v>
      </c>
      <c r="L69" s="66">
        <v>0</v>
      </c>
      <c r="M69" s="66">
        <v>0</v>
      </c>
      <c r="N69" s="66">
        <v>0</v>
      </c>
      <c r="P69" s="67">
        <f t="shared" si="5"/>
        <v>125.7625000000005</v>
      </c>
      <c r="Q69" s="67">
        <f t="shared" si="6"/>
        <v>605.77</v>
      </c>
      <c r="R69" s="68">
        <f t="shared" si="7"/>
        <v>731.53250000000048</v>
      </c>
    </row>
    <row r="70" spans="1:19" x14ac:dyDescent="0.3">
      <c r="A70" s="65">
        <v>46090</v>
      </c>
      <c r="B70" s="66">
        <f t="shared" si="2"/>
        <v>731.53250000000048</v>
      </c>
      <c r="C70" s="66">
        <f t="shared" si="3"/>
        <v>125.7625000000005</v>
      </c>
      <c r="D70" s="67">
        <f t="shared" si="4"/>
        <v>605.77</v>
      </c>
      <c r="E70" s="67">
        <v>0</v>
      </c>
      <c r="F70" s="67">
        <v>0</v>
      </c>
      <c r="G70" s="67">
        <v>0</v>
      </c>
      <c r="H70" s="67">
        <v>0</v>
      </c>
      <c r="I70" s="66">
        <v>0</v>
      </c>
      <c r="J70" s="66">
        <v>0</v>
      </c>
      <c r="K70" s="66">
        <v>0</v>
      </c>
      <c r="L70" s="66">
        <v>0</v>
      </c>
      <c r="M70" s="66">
        <v>0</v>
      </c>
      <c r="N70" s="66">
        <v>0</v>
      </c>
      <c r="O70" s="66">
        <v>-237.05</v>
      </c>
      <c r="P70" s="67">
        <f t="shared" si="5"/>
        <v>125.7625000000005</v>
      </c>
      <c r="Q70" s="67">
        <f t="shared" si="6"/>
        <v>368.71999999999997</v>
      </c>
      <c r="R70" s="68">
        <f t="shared" si="7"/>
        <v>494.48250000000047</v>
      </c>
      <c r="S70" s="15" t="s">
        <v>59</v>
      </c>
    </row>
    <row r="71" spans="1:19" x14ac:dyDescent="0.3">
      <c r="A71" s="65">
        <v>46091</v>
      </c>
      <c r="B71" s="66">
        <f t="shared" si="2"/>
        <v>494.48250000000047</v>
      </c>
      <c r="C71" s="66">
        <f t="shared" si="3"/>
        <v>125.7625000000005</v>
      </c>
      <c r="D71" s="67">
        <f t="shared" si="4"/>
        <v>368.71999999999997</v>
      </c>
      <c r="E71" s="67">
        <v>0</v>
      </c>
      <c r="F71" s="67">
        <v>0</v>
      </c>
      <c r="G71" s="67">
        <v>0</v>
      </c>
      <c r="H71" s="67">
        <v>0</v>
      </c>
      <c r="I71" s="66">
        <v>0</v>
      </c>
      <c r="J71" s="66">
        <v>0</v>
      </c>
      <c r="K71" s="66">
        <v>0</v>
      </c>
      <c r="L71" s="66">
        <v>0</v>
      </c>
      <c r="M71" s="66">
        <v>0</v>
      </c>
      <c r="N71" s="66">
        <v>0</v>
      </c>
      <c r="O71" s="66">
        <v>-80</v>
      </c>
      <c r="P71" s="67">
        <f t="shared" si="5"/>
        <v>125.7625000000005</v>
      </c>
      <c r="Q71" s="67">
        <f t="shared" si="6"/>
        <v>288.71999999999997</v>
      </c>
      <c r="R71" s="68">
        <f t="shared" si="7"/>
        <v>414.48250000000047</v>
      </c>
      <c r="S71" s="15" t="s">
        <v>60</v>
      </c>
    </row>
    <row r="72" spans="1:19" x14ac:dyDescent="0.3">
      <c r="A72" s="65">
        <v>46092</v>
      </c>
      <c r="B72" s="66">
        <f t="shared" si="2"/>
        <v>414.48250000000047</v>
      </c>
      <c r="C72" s="66">
        <f t="shared" si="3"/>
        <v>125.7625000000005</v>
      </c>
      <c r="D72" s="67">
        <f t="shared" si="4"/>
        <v>288.71999999999997</v>
      </c>
      <c r="E72" s="67">
        <v>0</v>
      </c>
      <c r="F72" s="67">
        <v>0</v>
      </c>
      <c r="G72" s="67">
        <v>0</v>
      </c>
      <c r="H72" s="67">
        <v>0</v>
      </c>
      <c r="I72" s="66">
        <v>0</v>
      </c>
      <c r="J72" s="66">
        <v>0</v>
      </c>
      <c r="K72" s="66">
        <v>0</v>
      </c>
      <c r="L72" s="66">
        <v>0</v>
      </c>
      <c r="M72" s="66">
        <v>0</v>
      </c>
      <c r="N72" s="66">
        <v>0</v>
      </c>
      <c r="P72" s="67">
        <f t="shared" si="5"/>
        <v>125.7625000000005</v>
      </c>
      <c r="Q72" s="67">
        <f t="shared" si="6"/>
        <v>288.71999999999997</v>
      </c>
      <c r="R72" s="68">
        <f t="shared" si="7"/>
        <v>414.48250000000047</v>
      </c>
    </row>
    <row r="73" spans="1:19" x14ac:dyDescent="0.3">
      <c r="A73" s="65">
        <v>46093</v>
      </c>
      <c r="B73" s="66">
        <f t="shared" si="2"/>
        <v>414.48250000000047</v>
      </c>
      <c r="C73" s="66">
        <f t="shared" si="3"/>
        <v>125.7625000000005</v>
      </c>
      <c r="D73" s="67">
        <f t="shared" si="4"/>
        <v>288.71999999999997</v>
      </c>
      <c r="E73" s="67">
        <v>0</v>
      </c>
      <c r="F73" s="67">
        <v>0</v>
      </c>
      <c r="G73" s="67">
        <v>0</v>
      </c>
      <c r="H73" s="67">
        <v>0</v>
      </c>
      <c r="I73" s="66">
        <v>0</v>
      </c>
      <c r="J73" s="66">
        <v>0</v>
      </c>
      <c r="K73" s="66">
        <v>0</v>
      </c>
      <c r="L73" s="66">
        <v>0</v>
      </c>
      <c r="M73" s="66">
        <v>-51.2</v>
      </c>
      <c r="N73" s="66">
        <v>0</v>
      </c>
      <c r="P73" s="67">
        <f t="shared" si="5"/>
        <v>74.562500000000497</v>
      </c>
      <c r="Q73" s="67">
        <f t="shared" si="6"/>
        <v>288.71999999999997</v>
      </c>
      <c r="R73" s="68">
        <f t="shared" si="7"/>
        <v>363.28250000000048</v>
      </c>
    </row>
    <row r="74" spans="1:19" x14ac:dyDescent="0.3">
      <c r="A74" s="65">
        <v>46094</v>
      </c>
      <c r="B74" s="66">
        <f t="shared" si="2"/>
        <v>363.28250000000048</v>
      </c>
      <c r="C74" s="66">
        <f t="shared" si="3"/>
        <v>74.562500000000497</v>
      </c>
      <c r="D74" s="67">
        <f t="shared" si="4"/>
        <v>288.71999999999997</v>
      </c>
      <c r="E74" s="67">
        <v>0</v>
      </c>
      <c r="F74" s="67">
        <v>0</v>
      </c>
      <c r="G74" s="67">
        <v>0</v>
      </c>
      <c r="H74" s="67">
        <v>0</v>
      </c>
      <c r="I74" s="66">
        <v>0</v>
      </c>
      <c r="J74" s="66">
        <v>0</v>
      </c>
      <c r="K74" s="66">
        <v>0</v>
      </c>
      <c r="L74" s="66">
        <v>0</v>
      </c>
      <c r="M74" s="66">
        <v>0</v>
      </c>
      <c r="N74" s="66">
        <v>0</v>
      </c>
      <c r="O74" s="66">
        <v>0.01</v>
      </c>
      <c r="P74" s="67">
        <f t="shared" si="5"/>
        <v>74.562500000000497</v>
      </c>
      <c r="Q74" s="67">
        <f t="shared" si="6"/>
        <v>288.72999999999996</v>
      </c>
      <c r="R74" s="68">
        <f t="shared" si="7"/>
        <v>363.29250000000047</v>
      </c>
    </row>
    <row r="75" spans="1:19" x14ac:dyDescent="0.3">
      <c r="A75" s="65">
        <v>46095</v>
      </c>
      <c r="B75" s="66">
        <f t="shared" si="2"/>
        <v>363.29250000000047</v>
      </c>
      <c r="C75" s="66">
        <f t="shared" si="3"/>
        <v>74.562500000000497</v>
      </c>
      <c r="D75" s="67">
        <f t="shared" si="4"/>
        <v>288.72999999999996</v>
      </c>
      <c r="E75" s="67">
        <v>611.31500000000005</v>
      </c>
      <c r="F75" s="67">
        <v>0</v>
      </c>
      <c r="G75" s="67">
        <v>77.685000000000002</v>
      </c>
      <c r="H75" s="67">
        <v>0</v>
      </c>
      <c r="I75" s="66">
        <v>0</v>
      </c>
      <c r="J75" s="66">
        <v>0</v>
      </c>
      <c r="K75" s="66">
        <v>0</v>
      </c>
      <c r="L75" s="66">
        <v>0</v>
      </c>
      <c r="M75" s="66">
        <v>0</v>
      </c>
      <c r="N75" s="66">
        <v>0</v>
      </c>
      <c r="P75" s="67">
        <f t="shared" si="5"/>
        <v>685.87750000000051</v>
      </c>
      <c r="Q75" s="67">
        <f t="shared" si="6"/>
        <v>366.41499999999996</v>
      </c>
      <c r="R75" s="68">
        <f t="shared" si="7"/>
        <v>1052.2925000000005</v>
      </c>
    </row>
    <row r="76" spans="1:19" x14ac:dyDescent="0.3">
      <c r="A76" s="65">
        <v>46096</v>
      </c>
      <c r="B76" s="66">
        <f t="shared" si="1"/>
        <v>1052.2925000000005</v>
      </c>
      <c r="C76" s="66">
        <f t="shared" ref="C76:C99" si="8">P75</f>
        <v>685.87750000000051</v>
      </c>
      <c r="D76" s="67">
        <f t="shared" ref="D76:D99" si="9">Q75</f>
        <v>366.41499999999996</v>
      </c>
      <c r="E76" s="67">
        <v>0</v>
      </c>
      <c r="F76" s="67">
        <v>0</v>
      </c>
      <c r="G76" s="67">
        <v>0</v>
      </c>
      <c r="H76" s="67">
        <v>0</v>
      </c>
      <c r="I76" s="66">
        <v>0</v>
      </c>
      <c r="J76" s="66">
        <v>0</v>
      </c>
      <c r="K76" s="66">
        <v>0</v>
      </c>
      <c r="L76" s="66">
        <v>0</v>
      </c>
      <c r="M76" s="66">
        <v>0</v>
      </c>
      <c r="N76" s="66">
        <v>0</v>
      </c>
      <c r="P76" s="67">
        <f t="shared" si="5"/>
        <v>685.87750000000051</v>
      </c>
      <c r="Q76" s="67">
        <f t="shared" si="6"/>
        <v>366.41499999999996</v>
      </c>
      <c r="R76" s="68">
        <f t="shared" si="7"/>
        <v>1052.2925000000005</v>
      </c>
    </row>
    <row r="77" spans="1:19" x14ac:dyDescent="0.3">
      <c r="A77" s="65">
        <v>46097</v>
      </c>
      <c r="B77" s="66">
        <f t="shared" si="1"/>
        <v>1052.2925000000005</v>
      </c>
      <c r="C77" s="66">
        <f t="shared" si="8"/>
        <v>685.87750000000051</v>
      </c>
      <c r="D77" s="67">
        <f t="shared" si="9"/>
        <v>366.41499999999996</v>
      </c>
      <c r="E77" s="67">
        <v>0</v>
      </c>
      <c r="F77" s="67">
        <v>0</v>
      </c>
      <c r="G77" s="67">
        <v>0</v>
      </c>
      <c r="H77" s="67">
        <v>0</v>
      </c>
      <c r="I77" s="66">
        <v>0</v>
      </c>
      <c r="J77" s="66">
        <v>0</v>
      </c>
      <c r="K77" s="66">
        <v>0</v>
      </c>
      <c r="L77" s="66">
        <v>0</v>
      </c>
      <c r="M77" s="66">
        <v>0</v>
      </c>
      <c r="N77" s="66">
        <v>0</v>
      </c>
      <c r="P77" s="67">
        <f t="shared" si="5"/>
        <v>685.87750000000051</v>
      </c>
      <c r="Q77" s="67">
        <f t="shared" si="6"/>
        <v>366.41499999999996</v>
      </c>
      <c r="R77" s="68">
        <f t="shared" si="7"/>
        <v>1052.2925000000005</v>
      </c>
    </row>
    <row r="78" spans="1:19" x14ac:dyDescent="0.3">
      <c r="A78" s="65">
        <v>46098</v>
      </c>
      <c r="B78" s="66">
        <f t="shared" si="1"/>
        <v>1052.2925000000005</v>
      </c>
      <c r="C78" s="66">
        <f t="shared" si="8"/>
        <v>685.87750000000051</v>
      </c>
      <c r="D78" s="67">
        <f t="shared" si="9"/>
        <v>366.41499999999996</v>
      </c>
      <c r="E78" s="67">
        <v>0</v>
      </c>
      <c r="F78" s="67">
        <v>0</v>
      </c>
      <c r="G78" s="67">
        <v>0</v>
      </c>
      <c r="H78" s="67">
        <v>0</v>
      </c>
      <c r="I78" s="66">
        <v>0</v>
      </c>
      <c r="J78" s="66">
        <v>0</v>
      </c>
      <c r="K78" s="66">
        <v>0</v>
      </c>
      <c r="L78" s="66">
        <v>0</v>
      </c>
      <c r="M78" s="66">
        <v>0</v>
      </c>
      <c r="N78" s="66">
        <v>0</v>
      </c>
      <c r="P78" s="67">
        <f t="shared" si="5"/>
        <v>685.87750000000051</v>
      </c>
      <c r="Q78" s="67">
        <f t="shared" si="6"/>
        <v>366.41499999999996</v>
      </c>
      <c r="R78" s="68">
        <f t="shared" si="7"/>
        <v>1052.2925000000005</v>
      </c>
    </row>
    <row r="79" spans="1:19" x14ac:dyDescent="0.3">
      <c r="A79" s="65">
        <v>46099</v>
      </c>
      <c r="B79" s="66">
        <f t="shared" si="1"/>
        <v>1052.2925000000005</v>
      </c>
      <c r="C79" s="66">
        <f t="shared" si="8"/>
        <v>685.87750000000051</v>
      </c>
      <c r="D79" s="67">
        <f t="shared" si="9"/>
        <v>366.41499999999996</v>
      </c>
      <c r="E79" s="67">
        <v>0</v>
      </c>
      <c r="F79" s="67">
        <v>0</v>
      </c>
      <c r="G79" s="67">
        <v>0</v>
      </c>
      <c r="H79" s="67">
        <v>0</v>
      </c>
      <c r="I79" s="66">
        <v>0</v>
      </c>
      <c r="J79" s="66">
        <v>0</v>
      </c>
      <c r="K79" s="66">
        <v>0</v>
      </c>
      <c r="L79" s="66">
        <v>0</v>
      </c>
      <c r="M79" s="66">
        <v>0</v>
      </c>
      <c r="N79" s="66">
        <v>0</v>
      </c>
      <c r="P79" s="67">
        <f t="shared" si="5"/>
        <v>685.87750000000051</v>
      </c>
      <c r="Q79" s="67">
        <f t="shared" si="6"/>
        <v>366.41499999999996</v>
      </c>
      <c r="R79" s="68">
        <f t="shared" si="7"/>
        <v>1052.2925000000005</v>
      </c>
    </row>
    <row r="80" spans="1:19" x14ac:dyDescent="0.3">
      <c r="A80" s="65">
        <v>46100</v>
      </c>
      <c r="B80" s="66">
        <f t="shared" si="1"/>
        <v>1052.2925000000005</v>
      </c>
      <c r="C80" s="66">
        <f t="shared" si="8"/>
        <v>685.87750000000051</v>
      </c>
      <c r="D80" s="67">
        <f t="shared" si="9"/>
        <v>366.41499999999996</v>
      </c>
      <c r="E80" s="67">
        <v>0</v>
      </c>
      <c r="F80" s="67">
        <v>0</v>
      </c>
      <c r="G80" s="67">
        <v>0</v>
      </c>
      <c r="H80" s="67">
        <v>0</v>
      </c>
      <c r="I80" s="66">
        <v>0</v>
      </c>
      <c r="J80" s="66">
        <v>0</v>
      </c>
      <c r="K80" s="66">
        <v>0</v>
      </c>
      <c r="L80" s="66">
        <v>0</v>
      </c>
      <c r="M80" s="66">
        <v>0</v>
      </c>
      <c r="N80" s="66">
        <v>0</v>
      </c>
      <c r="P80" s="67">
        <f t="shared" si="5"/>
        <v>685.87750000000051</v>
      </c>
      <c r="Q80" s="67">
        <f t="shared" si="6"/>
        <v>366.41499999999996</v>
      </c>
      <c r="R80" s="68">
        <f t="shared" si="7"/>
        <v>1052.2925000000005</v>
      </c>
    </row>
    <row r="81" spans="1:18" x14ac:dyDescent="0.3">
      <c r="A81" s="65">
        <v>46101</v>
      </c>
      <c r="B81" s="66">
        <f t="shared" si="1"/>
        <v>1052.2925000000005</v>
      </c>
      <c r="C81" s="66">
        <f t="shared" si="8"/>
        <v>685.87750000000051</v>
      </c>
      <c r="D81" s="67">
        <f t="shared" si="9"/>
        <v>366.41499999999996</v>
      </c>
      <c r="E81" s="67">
        <v>0</v>
      </c>
      <c r="F81" s="67">
        <v>0</v>
      </c>
      <c r="G81" s="67">
        <v>0</v>
      </c>
      <c r="H81" s="67">
        <v>0</v>
      </c>
      <c r="I81" s="66">
        <v>0</v>
      </c>
      <c r="J81" s="66">
        <v>0</v>
      </c>
      <c r="K81" s="66">
        <v>0</v>
      </c>
      <c r="L81" s="66">
        <v>0</v>
      </c>
      <c r="M81" s="66">
        <v>0</v>
      </c>
      <c r="N81" s="66">
        <v>0</v>
      </c>
      <c r="P81" s="67">
        <f t="shared" si="5"/>
        <v>685.87750000000051</v>
      </c>
      <c r="Q81" s="67">
        <f t="shared" si="6"/>
        <v>366.41499999999996</v>
      </c>
      <c r="R81" s="68">
        <f t="shared" si="7"/>
        <v>1052.2925000000005</v>
      </c>
    </row>
    <row r="82" spans="1:18" x14ac:dyDescent="0.3">
      <c r="A82" s="65">
        <v>46102</v>
      </c>
      <c r="B82" s="66">
        <f t="shared" si="1"/>
        <v>1052.2925000000005</v>
      </c>
      <c r="C82" s="66">
        <f t="shared" si="8"/>
        <v>685.87750000000051</v>
      </c>
      <c r="D82" s="67">
        <f t="shared" si="9"/>
        <v>366.41499999999996</v>
      </c>
      <c r="E82" s="67">
        <v>0</v>
      </c>
      <c r="F82" s="67">
        <v>0</v>
      </c>
      <c r="G82" s="67">
        <v>0</v>
      </c>
      <c r="H82" s="67">
        <v>0</v>
      </c>
      <c r="I82" s="66">
        <v>0</v>
      </c>
      <c r="J82" s="66">
        <v>0</v>
      </c>
      <c r="K82" s="66">
        <v>0</v>
      </c>
      <c r="L82" s="66">
        <v>0</v>
      </c>
      <c r="M82" s="66">
        <v>0</v>
      </c>
      <c r="N82" s="66">
        <v>0</v>
      </c>
      <c r="P82" s="67">
        <f t="shared" si="5"/>
        <v>685.87750000000051</v>
      </c>
      <c r="Q82" s="67">
        <f t="shared" si="6"/>
        <v>366.41499999999996</v>
      </c>
      <c r="R82" s="68">
        <f t="shared" si="7"/>
        <v>1052.2925000000005</v>
      </c>
    </row>
    <row r="83" spans="1:18" x14ac:dyDescent="0.3">
      <c r="A83" s="65">
        <v>46103</v>
      </c>
      <c r="B83" s="66">
        <f t="shared" si="1"/>
        <v>1052.2925000000005</v>
      </c>
      <c r="C83" s="66">
        <f t="shared" si="8"/>
        <v>685.87750000000051</v>
      </c>
      <c r="D83" s="67">
        <f t="shared" si="9"/>
        <v>366.41499999999996</v>
      </c>
      <c r="E83" s="67">
        <v>0</v>
      </c>
      <c r="F83" s="67">
        <v>0</v>
      </c>
      <c r="G83" s="67">
        <v>0</v>
      </c>
      <c r="H83" s="67">
        <v>0</v>
      </c>
      <c r="I83" s="66">
        <v>0</v>
      </c>
      <c r="J83" s="66">
        <v>0</v>
      </c>
      <c r="K83" s="66">
        <v>0</v>
      </c>
      <c r="L83" s="66">
        <v>0</v>
      </c>
      <c r="M83" s="66">
        <v>0</v>
      </c>
      <c r="N83" s="66">
        <v>0</v>
      </c>
      <c r="P83" s="67">
        <f t="shared" si="5"/>
        <v>685.87750000000051</v>
      </c>
      <c r="Q83" s="67">
        <f t="shared" si="6"/>
        <v>366.41499999999996</v>
      </c>
      <c r="R83" s="68">
        <f t="shared" si="7"/>
        <v>1052.2925000000005</v>
      </c>
    </row>
    <row r="84" spans="1:18" x14ac:dyDescent="0.3">
      <c r="A84" s="65">
        <v>46104</v>
      </c>
      <c r="B84" s="66">
        <f t="shared" si="1"/>
        <v>1052.2925000000005</v>
      </c>
      <c r="C84" s="66">
        <f t="shared" si="8"/>
        <v>685.87750000000051</v>
      </c>
      <c r="D84" s="67">
        <f t="shared" si="9"/>
        <v>366.41499999999996</v>
      </c>
      <c r="E84" s="67">
        <v>0</v>
      </c>
      <c r="F84" s="67">
        <v>0</v>
      </c>
      <c r="G84" s="67">
        <v>0</v>
      </c>
      <c r="H84" s="67">
        <v>0</v>
      </c>
      <c r="I84" s="66">
        <v>0</v>
      </c>
      <c r="J84" s="66">
        <v>0</v>
      </c>
      <c r="K84" s="66">
        <v>0</v>
      </c>
      <c r="L84" s="66">
        <v>0</v>
      </c>
      <c r="M84" s="66">
        <v>0</v>
      </c>
      <c r="N84" s="66">
        <v>0</v>
      </c>
      <c r="P84" s="67">
        <f t="shared" si="5"/>
        <v>685.87750000000051</v>
      </c>
      <c r="Q84" s="67">
        <f t="shared" si="6"/>
        <v>366.41499999999996</v>
      </c>
      <c r="R84" s="68">
        <f t="shared" si="7"/>
        <v>1052.2925000000005</v>
      </c>
    </row>
    <row r="85" spans="1:18" x14ac:dyDescent="0.3">
      <c r="A85" s="65">
        <v>46105</v>
      </c>
      <c r="B85" s="66">
        <f t="shared" si="1"/>
        <v>1052.2925000000005</v>
      </c>
      <c r="C85" s="66">
        <f t="shared" si="8"/>
        <v>685.87750000000051</v>
      </c>
      <c r="D85" s="67">
        <f t="shared" si="9"/>
        <v>366.41499999999996</v>
      </c>
      <c r="E85" s="67">
        <v>0</v>
      </c>
      <c r="F85" s="67">
        <v>0</v>
      </c>
      <c r="G85" s="67">
        <v>0</v>
      </c>
      <c r="H85" s="67">
        <v>0</v>
      </c>
      <c r="I85" s="66">
        <v>0</v>
      </c>
      <c r="J85" s="66">
        <v>0</v>
      </c>
      <c r="K85" s="66">
        <v>0</v>
      </c>
      <c r="L85" s="66">
        <v>0</v>
      </c>
      <c r="M85" s="66">
        <v>0</v>
      </c>
      <c r="N85" s="66">
        <v>0</v>
      </c>
      <c r="P85" s="67">
        <f t="shared" si="5"/>
        <v>685.87750000000051</v>
      </c>
      <c r="Q85" s="67">
        <f t="shared" si="6"/>
        <v>366.41499999999996</v>
      </c>
      <c r="R85" s="68">
        <f t="shared" si="7"/>
        <v>1052.2925000000005</v>
      </c>
    </row>
    <row r="86" spans="1:18" x14ac:dyDescent="0.3">
      <c r="A86" s="65">
        <v>46106</v>
      </c>
      <c r="B86" s="66">
        <f t="shared" si="1"/>
        <v>1052.2925000000005</v>
      </c>
      <c r="C86" s="66">
        <f t="shared" si="8"/>
        <v>685.87750000000051</v>
      </c>
      <c r="D86" s="67">
        <f t="shared" si="9"/>
        <v>366.41499999999996</v>
      </c>
      <c r="E86" s="67">
        <v>0</v>
      </c>
      <c r="F86" s="67">
        <v>0</v>
      </c>
      <c r="G86" s="67">
        <v>0</v>
      </c>
      <c r="H86" s="67">
        <v>0</v>
      </c>
      <c r="I86" s="66">
        <v>0</v>
      </c>
      <c r="J86" s="66">
        <v>0</v>
      </c>
      <c r="K86" s="66">
        <v>0</v>
      </c>
      <c r="L86" s="66">
        <v>0</v>
      </c>
      <c r="M86" s="66">
        <v>0</v>
      </c>
      <c r="N86" s="66">
        <v>0</v>
      </c>
      <c r="P86" s="67">
        <f t="shared" si="5"/>
        <v>685.87750000000051</v>
      </c>
      <c r="Q86" s="67">
        <f t="shared" si="6"/>
        <v>366.41499999999996</v>
      </c>
      <c r="R86" s="68">
        <f t="shared" si="7"/>
        <v>1052.2925000000005</v>
      </c>
    </row>
    <row r="87" spans="1:18" x14ac:dyDescent="0.3">
      <c r="A87" s="65">
        <v>46107</v>
      </c>
      <c r="B87" s="66">
        <f t="shared" si="1"/>
        <v>1052.2925000000005</v>
      </c>
      <c r="C87" s="66">
        <f t="shared" si="8"/>
        <v>685.87750000000051</v>
      </c>
      <c r="D87" s="67">
        <f t="shared" si="9"/>
        <v>366.41499999999996</v>
      </c>
      <c r="E87" s="67">
        <v>0</v>
      </c>
      <c r="F87" s="67">
        <v>0</v>
      </c>
      <c r="G87" s="67">
        <v>0</v>
      </c>
      <c r="H87" s="67">
        <v>0</v>
      </c>
      <c r="I87" s="66">
        <v>0</v>
      </c>
      <c r="J87" s="66">
        <v>0</v>
      </c>
      <c r="K87" s="66">
        <v>0</v>
      </c>
      <c r="L87" s="66">
        <v>-129.03</v>
      </c>
      <c r="M87" s="66">
        <v>0</v>
      </c>
      <c r="N87" s="66">
        <v>0</v>
      </c>
      <c r="P87" s="67">
        <f t="shared" si="5"/>
        <v>556.84750000000054</v>
      </c>
      <c r="Q87" s="67">
        <f t="shared" si="6"/>
        <v>366.41499999999996</v>
      </c>
      <c r="R87" s="68">
        <f t="shared" si="7"/>
        <v>923.2625000000005</v>
      </c>
    </row>
    <row r="88" spans="1:18" x14ac:dyDescent="0.3">
      <c r="A88" s="65">
        <v>46108</v>
      </c>
      <c r="B88" s="66">
        <f t="shared" si="1"/>
        <v>923.2625000000005</v>
      </c>
      <c r="C88" s="66">
        <f t="shared" si="8"/>
        <v>556.84750000000054</v>
      </c>
      <c r="D88" s="67">
        <f t="shared" si="9"/>
        <v>366.41499999999996</v>
      </c>
      <c r="E88" s="67">
        <v>0</v>
      </c>
      <c r="F88" s="67">
        <v>1222.6300000000001</v>
      </c>
      <c r="G88" s="67">
        <v>0</v>
      </c>
      <c r="H88" s="67">
        <v>155.37</v>
      </c>
      <c r="I88" s="66">
        <v>0</v>
      </c>
      <c r="J88" s="66">
        <v>0</v>
      </c>
      <c r="K88" s="66">
        <v>0</v>
      </c>
      <c r="L88" s="66">
        <v>0</v>
      </c>
      <c r="M88" s="66">
        <v>0</v>
      </c>
      <c r="N88" s="66">
        <v>0</v>
      </c>
      <c r="P88" s="67">
        <f t="shared" si="5"/>
        <v>1779.4775000000006</v>
      </c>
      <c r="Q88" s="67">
        <f t="shared" si="6"/>
        <v>521.78499999999997</v>
      </c>
      <c r="R88" s="68">
        <f t="shared" si="7"/>
        <v>2301.2625000000007</v>
      </c>
    </row>
    <row r="89" spans="1:18" x14ac:dyDescent="0.3">
      <c r="A89" s="65">
        <v>46109</v>
      </c>
      <c r="B89" s="66">
        <f t="shared" si="1"/>
        <v>2301.2625000000007</v>
      </c>
      <c r="C89" s="66">
        <f t="shared" si="8"/>
        <v>1779.4775000000006</v>
      </c>
      <c r="D89" s="67">
        <f t="shared" si="9"/>
        <v>521.78499999999997</v>
      </c>
      <c r="E89" s="67">
        <v>0</v>
      </c>
      <c r="F89" s="67">
        <v>0</v>
      </c>
      <c r="G89" s="67">
        <v>0</v>
      </c>
      <c r="H89" s="67">
        <v>0</v>
      </c>
      <c r="I89" s="66">
        <v>0</v>
      </c>
      <c r="J89" s="66">
        <v>0</v>
      </c>
      <c r="K89" s="66">
        <v>0</v>
      </c>
      <c r="L89" s="66">
        <v>0</v>
      </c>
      <c r="M89" s="66">
        <v>0</v>
      </c>
      <c r="N89" s="66">
        <v>0</v>
      </c>
      <c r="P89" s="67">
        <f t="shared" si="5"/>
        <v>1779.4775000000006</v>
      </c>
      <c r="Q89" s="67">
        <f t="shared" si="6"/>
        <v>521.78499999999997</v>
      </c>
      <c r="R89" s="68">
        <f t="shared" si="7"/>
        <v>2301.2625000000007</v>
      </c>
    </row>
    <row r="90" spans="1:18" x14ac:dyDescent="0.3">
      <c r="A90" s="65">
        <v>46110</v>
      </c>
      <c r="B90" s="66">
        <f t="shared" si="1"/>
        <v>2301.2625000000007</v>
      </c>
      <c r="C90" s="66">
        <f t="shared" si="8"/>
        <v>1779.4775000000006</v>
      </c>
      <c r="D90" s="67">
        <f t="shared" si="9"/>
        <v>521.78499999999997</v>
      </c>
      <c r="E90" s="67">
        <v>0</v>
      </c>
      <c r="F90" s="67">
        <v>0</v>
      </c>
      <c r="G90" s="67">
        <v>0</v>
      </c>
      <c r="H90" s="67">
        <v>0</v>
      </c>
      <c r="I90" s="66">
        <v>0</v>
      </c>
      <c r="J90" s="66">
        <v>0</v>
      </c>
      <c r="K90" s="66">
        <v>0</v>
      </c>
      <c r="L90" s="66">
        <v>0</v>
      </c>
      <c r="M90" s="66">
        <v>0</v>
      </c>
      <c r="N90" s="66">
        <v>0</v>
      </c>
      <c r="P90" s="67">
        <f t="shared" si="5"/>
        <v>1779.4775000000006</v>
      </c>
      <c r="Q90" s="67">
        <f t="shared" si="6"/>
        <v>521.78499999999997</v>
      </c>
      <c r="R90" s="68">
        <f t="shared" si="7"/>
        <v>2301.2625000000007</v>
      </c>
    </row>
    <row r="91" spans="1:18" x14ac:dyDescent="0.3">
      <c r="A91" s="65">
        <v>46111</v>
      </c>
      <c r="B91" s="66">
        <f t="shared" si="1"/>
        <v>2301.2625000000007</v>
      </c>
      <c r="C91" s="66">
        <f t="shared" si="8"/>
        <v>1779.4775000000006</v>
      </c>
      <c r="D91" s="67">
        <f t="shared" si="9"/>
        <v>521.78499999999997</v>
      </c>
      <c r="E91" s="67">
        <v>611.31500000000005</v>
      </c>
      <c r="F91" s="67">
        <v>0</v>
      </c>
      <c r="G91" s="67">
        <v>77.685000000000002</v>
      </c>
      <c r="H91" s="67">
        <v>0</v>
      </c>
      <c r="I91" s="66">
        <v>0</v>
      </c>
      <c r="J91" s="66">
        <v>0</v>
      </c>
      <c r="K91" s="66">
        <v>0</v>
      </c>
      <c r="L91" s="66">
        <v>0</v>
      </c>
      <c r="M91" s="66">
        <v>0</v>
      </c>
      <c r="N91" s="66">
        <v>0</v>
      </c>
      <c r="P91" s="67">
        <f t="shared" si="5"/>
        <v>2390.7925000000005</v>
      </c>
      <c r="Q91" s="67">
        <f t="shared" si="6"/>
        <v>599.47</v>
      </c>
      <c r="R91" s="68">
        <f t="shared" si="7"/>
        <v>2990.2625000000007</v>
      </c>
    </row>
    <row r="92" spans="1:18" x14ac:dyDescent="0.3">
      <c r="A92" s="65">
        <v>46112</v>
      </c>
      <c r="B92" s="66">
        <f t="shared" si="1"/>
        <v>2990.2625000000007</v>
      </c>
      <c r="C92" s="66">
        <f t="shared" si="8"/>
        <v>2390.7925000000005</v>
      </c>
      <c r="D92" s="67">
        <f t="shared" si="9"/>
        <v>599.47</v>
      </c>
      <c r="E92" s="67">
        <v>0</v>
      </c>
      <c r="F92" s="67">
        <v>0</v>
      </c>
      <c r="G92" s="67">
        <v>0</v>
      </c>
      <c r="H92" s="67">
        <v>0</v>
      </c>
      <c r="I92" s="66">
        <v>0</v>
      </c>
      <c r="J92" s="66">
        <v>0</v>
      </c>
      <c r="K92" s="66">
        <v>0</v>
      </c>
      <c r="L92" s="66">
        <v>0</v>
      </c>
      <c r="M92" s="66">
        <v>0</v>
      </c>
      <c r="N92" s="66">
        <v>0</v>
      </c>
      <c r="P92" s="67">
        <f t="shared" si="5"/>
        <v>2390.7925000000005</v>
      </c>
      <c r="Q92" s="67">
        <f t="shared" si="6"/>
        <v>599.47</v>
      </c>
      <c r="R92" s="68">
        <f t="shared" si="7"/>
        <v>2990.2625000000007</v>
      </c>
    </row>
    <row r="93" spans="1:18" x14ac:dyDescent="0.3">
      <c r="A93" s="65">
        <v>46113</v>
      </c>
      <c r="B93" s="66">
        <f t="shared" si="1"/>
        <v>2990.2625000000007</v>
      </c>
      <c r="C93" s="66">
        <f t="shared" si="8"/>
        <v>2390.7925000000005</v>
      </c>
      <c r="D93" s="67">
        <f t="shared" si="9"/>
        <v>599.47</v>
      </c>
      <c r="E93" s="67">
        <v>0</v>
      </c>
      <c r="F93" s="67">
        <v>0</v>
      </c>
      <c r="G93" s="67">
        <v>0</v>
      </c>
      <c r="H93" s="67">
        <v>0</v>
      </c>
      <c r="I93" s="66">
        <v>0</v>
      </c>
      <c r="J93" s="66">
        <v>0</v>
      </c>
      <c r="K93" s="66">
        <v>-175</v>
      </c>
      <c r="L93" s="66">
        <v>0</v>
      </c>
      <c r="M93" s="66">
        <v>0</v>
      </c>
      <c r="N93" s="66">
        <v>0</v>
      </c>
      <c r="P93" s="67">
        <f t="shared" si="5"/>
        <v>2215.7925000000005</v>
      </c>
      <c r="Q93" s="67">
        <f t="shared" si="6"/>
        <v>599.47</v>
      </c>
      <c r="R93" s="68">
        <f t="shared" si="7"/>
        <v>2815.2625000000007</v>
      </c>
    </row>
    <row r="94" spans="1:18" x14ac:dyDescent="0.3">
      <c r="A94" s="65">
        <v>46114</v>
      </c>
      <c r="B94" s="66">
        <f t="shared" si="1"/>
        <v>2815.2625000000007</v>
      </c>
      <c r="C94" s="66">
        <f t="shared" si="8"/>
        <v>2215.7925000000005</v>
      </c>
      <c r="D94" s="67">
        <f t="shared" si="9"/>
        <v>599.47</v>
      </c>
      <c r="E94" s="67">
        <v>0</v>
      </c>
      <c r="F94" s="67">
        <v>0</v>
      </c>
      <c r="G94" s="67">
        <v>0</v>
      </c>
      <c r="H94" s="67">
        <v>0</v>
      </c>
      <c r="I94" s="66">
        <v>0</v>
      </c>
      <c r="J94" s="66">
        <v>0</v>
      </c>
      <c r="K94" s="66">
        <v>0</v>
      </c>
      <c r="L94" s="66">
        <v>0</v>
      </c>
      <c r="M94" s="66">
        <v>0</v>
      </c>
      <c r="N94" s="66">
        <v>0</v>
      </c>
      <c r="P94" s="67">
        <f t="shared" si="5"/>
        <v>2215.7925000000005</v>
      </c>
      <c r="Q94" s="67">
        <f t="shared" si="6"/>
        <v>599.47</v>
      </c>
      <c r="R94" s="68">
        <f t="shared" si="7"/>
        <v>2815.2625000000007</v>
      </c>
    </row>
    <row r="95" spans="1:18" x14ac:dyDescent="0.3">
      <c r="A95" s="65">
        <v>46115</v>
      </c>
      <c r="B95" s="66">
        <f t="shared" si="1"/>
        <v>2815.2625000000007</v>
      </c>
      <c r="C95" s="66">
        <f t="shared" si="8"/>
        <v>2215.7925000000005</v>
      </c>
      <c r="D95" s="67">
        <f t="shared" si="9"/>
        <v>599.47</v>
      </c>
      <c r="E95" s="67">
        <v>0</v>
      </c>
      <c r="F95" s="67">
        <v>0</v>
      </c>
      <c r="G95" s="67">
        <v>0</v>
      </c>
      <c r="H95" s="67">
        <v>0</v>
      </c>
      <c r="I95" s="66">
        <v>0</v>
      </c>
      <c r="J95" s="66">
        <v>-84.31</v>
      </c>
      <c r="K95" s="66">
        <v>0</v>
      </c>
      <c r="L95" s="66">
        <v>0</v>
      </c>
      <c r="M95" s="66">
        <v>0</v>
      </c>
      <c r="N95" s="66">
        <v>0</v>
      </c>
      <c r="P95" s="67">
        <f t="shared" si="5"/>
        <v>2131.4825000000005</v>
      </c>
      <c r="Q95" s="67">
        <f t="shared" si="6"/>
        <v>599.47</v>
      </c>
      <c r="R95" s="68">
        <f t="shared" si="7"/>
        <v>2730.9525000000003</v>
      </c>
    </row>
    <row r="96" spans="1:18" x14ac:dyDescent="0.3">
      <c r="A96" s="65">
        <v>46116</v>
      </c>
      <c r="B96" s="66">
        <f t="shared" si="1"/>
        <v>2730.9525000000003</v>
      </c>
      <c r="C96" s="66">
        <f t="shared" si="8"/>
        <v>2131.4825000000005</v>
      </c>
      <c r="D96" s="67">
        <f t="shared" si="9"/>
        <v>599.47</v>
      </c>
      <c r="E96" s="67">
        <v>0</v>
      </c>
      <c r="F96" s="67">
        <v>0</v>
      </c>
      <c r="G96" s="67">
        <v>0</v>
      </c>
      <c r="H96" s="67">
        <v>0</v>
      </c>
      <c r="I96" s="66">
        <v>0</v>
      </c>
      <c r="J96" s="66">
        <v>0</v>
      </c>
      <c r="K96" s="66">
        <v>0</v>
      </c>
      <c r="L96" s="66">
        <v>0</v>
      </c>
      <c r="M96" s="66">
        <v>0</v>
      </c>
      <c r="N96" s="66">
        <v>0</v>
      </c>
      <c r="P96" s="67">
        <f t="shared" si="5"/>
        <v>2131.4825000000005</v>
      </c>
      <c r="Q96" s="67">
        <f t="shared" si="6"/>
        <v>599.47</v>
      </c>
      <c r="R96" s="68">
        <f t="shared" si="7"/>
        <v>2730.9525000000003</v>
      </c>
    </row>
    <row r="97" spans="1:19" x14ac:dyDescent="0.3">
      <c r="A97" s="65">
        <v>46117</v>
      </c>
      <c r="B97" s="66">
        <f t="shared" si="1"/>
        <v>2730.9525000000003</v>
      </c>
      <c r="C97" s="66">
        <f t="shared" si="8"/>
        <v>2131.4825000000005</v>
      </c>
      <c r="D97" s="67">
        <f t="shared" si="9"/>
        <v>599.47</v>
      </c>
      <c r="E97" s="67">
        <v>0</v>
      </c>
      <c r="F97" s="67">
        <v>0</v>
      </c>
      <c r="G97" s="67">
        <v>0</v>
      </c>
      <c r="H97" s="67">
        <v>0</v>
      </c>
      <c r="I97" s="66">
        <v>0</v>
      </c>
      <c r="J97" s="66">
        <v>0</v>
      </c>
      <c r="K97" s="66">
        <v>0</v>
      </c>
      <c r="L97" s="66">
        <v>0</v>
      </c>
      <c r="M97" s="66">
        <v>0</v>
      </c>
      <c r="N97" s="66">
        <v>-36.5</v>
      </c>
      <c r="P97" s="67">
        <f t="shared" si="5"/>
        <v>2094.9825000000005</v>
      </c>
      <c r="Q97" s="67">
        <f t="shared" si="6"/>
        <v>599.47</v>
      </c>
      <c r="R97" s="68">
        <f t="shared" si="7"/>
        <v>2694.4525000000003</v>
      </c>
    </row>
    <row r="98" spans="1:19" x14ac:dyDescent="0.3">
      <c r="A98" s="65">
        <v>46118</v>
      </c>
      <c r="B98" s="66">
        <f t="shared" si="1"/>
        <v>2694.4525000000003</v>
      </c>
      <c r="C98" s="66">
        <f t="shared" si="8"/>
        <v>2094.9825000000005</v>
      </c>
      <c r="D98" s="67">
        <f t="shared" si="9"/>
        <v>599.47</v>
      </c>
      <c r="E98" s="67">
        <v>0</v>
      </c>
      <c r="F98" s="67">
        <v>0</v>
      </c>
      <c r="G98" s="67">
        <v>0</v>
      </c>
      <c r="H98" s="67">
        <v>0</v>
      </c>
      <c r="I98" s="66">
        <v>0</v>
      </c>
      <c r="J98" s="66">
        <v>0</v>
      </c>
      <c r="K98" s="66">
        <v>0</v>
      </c>
      <c r="L98" s="66">
        <v>0</v>
      </c>
      <c r="M98" s="66">
        <v>0</v>
      </c>
      <c r="N98" s="66">
        <v>0</v>
      </c>
      <c r="P98" s="67">
        <f t="shared" si="5"/>
        <v>2094.9825000000005</v>
      </c>
      <c r="Q98" s="67">
        <f t="shared" si="6"/>
        <v>599.47</v>
      </c>
      <c r="R98" s="68">
        <f t="shared" si="7"/>
        <v>2694.4525000000003</v>
      </c>
    </row>
    <row r="99" spans="1:19" x14ac:dyDescent="0.3">
      <c r="A99" s="65">
        <v>46119</v>
      </c>
      <c r="B99" s="66">
        <f t="shared" ref="B99:B162" si="10">R98</f>
        <v>2694.4525000000003</v>
      </c>
      <c r="C99" s="66">
        <f t="shared" si="8"/>
        <v>2094.9825000000005</v>
      </c>
      <c r="D99" s="67">
        <f t="shared" si="9"/>
        <v>599.47</v>
      </c>
      <c r="E99" s="67">
        <v>0</v>
      </c>
      <c r="F99" s="67">
        <v>0</v>
      </c>
      <c r="G99" s="67">
        <v>0</v>
      </c>
      <c r="H99" s="67">
        <v>0</v>
      </c>
      <c r="I99" s="66">
        <v>-2036.51</v>
      </c>
      <c r="J99" s="66">
        <v>0</v>
      </c>
      <c r="K99" s="66">
        <v>0</v>
      </c>
      <c r="L99" s="66">
        <v>0</v>
      </c>
      <c r="M99" s="66">
        <v>0</v>
      </c>
      <c r="N99" s="66">
        <v>0</v>
      </c>
      <c r="P99" s="67">
        <f t="shared" si="5"/>
        <v>58.472500000000537</v>
      </c>
      <c r="Q99" s="67">
        <f t="shared" si="6"/>
        <v>599.47</v>
      </c>
      <c r="R99" s="68">
        <f t="shared" si="7"/>
        <v>657.94250000000056</v>
      </c>
    </row>
    <row r="100" spans="1:19" x14ac:dyDescent="0.3">
      <c r="A100" s="65">
        <v>46120</v>
      </c>
      <c r="B100" s="66">
        <f t="shared" si="10"/>
        <v>657.94250000000056</v>
      </c>
      <c r="C100" s="66">
        <f t="shared" ref="C100:C163" si="11">P99</f>
        <v>58.472500000000537</v>
      </c>
      <c r="D100" s="67">
        <f t="shared" ref="D100:D163" si="12">Q99</f>
        <v>599.47</v>
      </c>
      <c r="E100" s="67">
        <v>0</v>
      </c>
      <c r="F100" s="67">
        <v>0</v>
      </c>
      <c r="G100" s="67">
        <v>0</v>
      </c>
      <c r="H100" s="67">
        <v>0</v>
      </c>
      <c r="I100" s="66">
        <v>0</v>
      </c>
      <c r="J100" s="66">
        <v>0</v>
      </c>
      <c r="K100" s="66">
        <v>0</v>
      </c>
      <c r="L100" s="66">
        <v>0</v>
      </c>
      <c r="M100" s="66">
        <v>0</v>
      </c>
      <c r="N100" s="66">
        <v>0</v>
      </c>
      <c r="P100" s="67">
        <f t="shared" ref="P100:P163" si="13">C100+(SUM(I100:N100)+(SUM(E100:F100)))</f>
        <v>58.472500000000537</v>
      </c>
      <c r="Q100" s="67">
        <f t="shared" ref="Q100:Q163" si="14">D100+G100+H100+O100</f>
        <v>599.47</v>
      </c>
      <c r="R100" s="68">
        <f t="shared" ref="R100:R163" si="15">P100+Q100</f>
        <v>657.94250000000056</v>
      </c>
    </row>
    <row r="101" spans="1:19" x14ac:dyDescent="0.3">
      <c r="A101" s="65">
        <v>46121</v>
      </c>
      <c r="B101" s="66">
        <f t="shared" si="10"/>
        <v>657.94250000000056</v>
      </c>
      <c r="C101" s="66">
        <f t="shared" si="11"/>
        <v>58.472500000000537</v>
      </c>
      <c r="D101" s="67">
        <f t="shared" si="12"/>
        <v>599.47</v>
      </c>
      <c r="E101" s="67">
        <v>0</v>
      </c>
      <c r="F101" s="67">
        <v>0</v>
      </c>
      <c r="G101" s="67">
        <v>0</v>
      </c>
      <c r="H101" s="67">
        <v>0</v>
      </c>
      <c r="I101" s="66">
        <v>0</v>
      </c>
      <c r="J101" s="66">
        <v>0</v>
      </c>
      <c r="K101" s="66">
        <v>0</v>
      </c>
      <c r="L101" s="66">
        <v>0</v>
      </c>
      <c r="M101" s="66">
        <v>0</v>
      </c>
      <c r="N101" s="66">
        <v>0</v>
      </c>
      <c r="P101" s="67">
        <f t="shared" si="13"/>
        <v>58.472500000000537</v>
      </c>
      <c r="Q101" s="67">
        <f t="shared" si="14"/>
        <v>599.47</v>
      </c>
      <c r="R101" s="68">
        <f t="shared" si="15"/>
        <v>657.94250000000056</v>
      </c>
    </row>
    <row r="102" spans="1:19" x14ac:dyDescent="0.3">
      <c r="A102" s="65">
        <v>46122</v>
      </c>
      <c r="B102" s="66">
        <f t="shared" si="10"/>
        <v>657.94250000000056</v>
      </c>
      <c r="C102" s="66">
        <f t="shared" si="11"/>
        <v>58.472500000000537</v>
      </c>
      <c r="D102" s="67">
        <f t="shared" si="12"/>
        <v>599.47</v>
      </c>
      <c r="E102" s="67">
        <v>0</v>
      </c>
      <c r="F102" s="67">
        <v>0</v>
      </c>
      <c r="G102" s="67">
        <v>0</v>
      </c>
      <c r="H102" s="67">
        <v>0</v>
      </c>
      <c r="I102" s="66">
        <v>0</v>
      </c>
      <c r="J102" s="66">
        <v>0</v>
      </c>
      <c r="K102" s="66">
        <v>0</v>
      </c>
      <c r="L102" s="66">
        <v>0</v>
      </c>
      <c r="M102" s="66">
        <v>0</v>
      </c>
      <c r="N102" s="66">
        <v>0</v>
      </c>
      <c r="P102" s="67">
        <f t="shared" si="13"/>
        <v>58.472500000000537</v>
      </c>
      <c r="Q102" s="67">
        <f t="shared" si="14"/>
        <v>599.47</v>
      </c>
      <c r="R102" s="68">
        <f t="shared" si="15"/>
        <v>657.94250000000056</v>
      </c>
    </row>
    <row r="103" spans="1:19" x14ac:dyDescent="0.3">
      <c r="A103" s="65">
        <v>46123</v>
      </c>
      <c r="B103" s="66">
        <f t="shared" si="10"/>
        <v>657.94250000000056</v>
      </c>
      <c r="C103" s="66">
        <f t="shared" si="11"/>
        <v>58.472500000000537</v>
      </c>
      <c r="D103" s="67">
        <f t="shared" si="12"/>
        <v>599.47</v>
      </c>
      <c r="E103" s="67">
        <v>0</v>
      </c>
      <c r="F103" s="67">
        <v>0</v>
      </c>
      <c r="G103" s="67">
        <v>0</v>
      </c>
      <c r="H103" s="67">
        <v>0</v>
      </c>
      <c r="I103" s="66">
        <v>0</v>
      </c>
      <c r="J103" s="66">
        <v>0</v>
      </c>
      <c r="K103" s="66">
        <v>0</v>
      </c>
      <c r="L103" s="66">
        <v>0</v>
      </c>
      <c r="M103" s="66">
        <v>0</v>
      </c>
      <c r="N103" s="66">
        <v>0</v>
      </c>
      <c r="O103" s="66">
        <v>-323.99</v>
      </c>
      <c r="P103" s="67">
        <f t="shared" si="13"/>
        <v>58.472500000000537</v>
      </c>
      <c r="Q103" s="67">
        <f t="shared" si="14"/>
        <v>275.48</v>
      </c>
      <c r="R103" s="68">
        <f t="shared" si="15"/>
        <v>333.95250000000055</v>
      </c>
      <c r="S103" s="15" t="s">
        <v>61</v>
      </c>
    </row>
    <row r="104" spans="1:19" x14ac:dyDescent="0.3">
      <c r="A104" s="65">
        <v>46124</v>
      </c>
      <c r="B104" s="66">
        <f t="shared" si="10"/>
        <v>333.95250000000055</v>
      </c>
      <c r="C104" s="66">
        <f t="shared" si="11"/>
        <v>58.472500000000537</v>
      </c>
      <c r="D104" s="67">
        <f t="shared" si="12"/>
        <v>275.48</v>
      </c>
      <c r="E104" s="67">
        <v>0</v>
      </c>
      <c r="F104" s="67">
        <v>0</v>
      </c>
      <c r="G104" s="67">
        <v>0</v>
      </c>
      <c r="H104" s="67">
        <v>0</v>
      </c>
      <c r="I104" s="66">
        <v>0</v>
      </c>
      <c r="J104" s="66">
        <v>0</v>
      </c>
      <c r="K104" s="66">
        <v>0</v>
      </c>
      <c r="L104" s="66">
        <v>0</v>
      </c>
      <c r="M104" s="66">
        <v>-51.2</v>
      </c>
      <c r="N104" s="66">
        <v>0</v>
      </c>
      <c r="P104" s="67">
        <f t="shared" si="13"/>
        <v>7.2725000000005338</v>
      </c>
      <c r="Q104" s="67">
        <f t="shared" si="14"/>
        <v>275.48</v>
      </c>
      <c r="R104" s="68">
        <f t="shared" si="15"/>
        <v>282.75250000000057</v>
      </c>
    </row>
    <row r="105" spans="1:19" x14ac:dyDescent="0.3">
      <c r="A105" s="65">
        <v>46125</v>
      </c>
      <c r="B105" s="66">
        <f t="shared" si="10"/>
        <v>282.75250000000057</v>
      </c>
      <c r="C105" s="66">
        <f t="shared" si="11"/>
        <v>7.2725000000005338</v>
      </c>
      <c r="D105" s="67">
        <f t="shared" si="12"/>
        <v>275.48</v>
      </c>
      <c r="E105" s="67">
        <v>0</v>
      </c>
      <c r="F105" s="67">
        <v>0</v>
      </c>
      <c r="G105" s="67">
        <v>0</v>
      </c>
      <c r="H105" s="67">
        <v>0</v>
      </c>
      <c r="I105" s="66">
        <v>0</v>
      </c>
      <c r="J105" s="66">
        <v>0</v>
      </c>
      <c r="K105" s="66">
        <v>0</v>
      </c>
      <c r="L105" s="66">
        <v>0</v>
      </c>
      <c r="M105" s="66">
        <v>0</v>
      </c>
      <c r="N105" s="66">
        <v>0</v>
      </c>
      <c r="P105" s="67">
        <f t="shared" si="13"/>
        <v>7.2725000000005338</v>
      </c>
      <c r="Q105" s="67">
        <f t="shared" si="14"/>
        <v>275.48</v>
      </c>
      <c r="R105" s="68">
        <f t="shared" si="15"/>
        <v>282.75250000000057</v>
      </c>
    </row>
    <row r="106" spans="1:19" x14ac:dyDescent="0.3">
      <c r="A106" s="65">
        <v>46126</v>
      </c>
      <c r="B106" s="66">
        <f t="shared" si="10"/>
        <v>282.75250000000057</v>
      </c>
      <c r="C106" s="66">
        <f t="shared" si="11"/>
        <v>7.2725000000005338</v>
      </c>
      <c r="D106" s="67">
        <f t="shared" si="12"/>
        <v>275.48</v>
      </c>
      <c r="E106" s="67">
        <v>611.31500000000005</v>
      </c>
      <c r="F106" s="67">
        <v>0</v>
      </c>
      <c r="G106" s="67">
        <v>77.685000000000002</v>
      </c>
      <c r="H106" s="67">
        <v>0</v>
      </c>
      <c r="I106" s="66">
        <v>0</v>
      </c>
      <c r="J106" s="66">
        <v>0</v>
      </c>
      <c r="K106" s="66">
        <v>0</v>
      </c>
      <c r="L106" s="66">
        <v>0</v>
      </c>
      <c r="M106" s="66">
        <v>0</v>
      </c>
      <c r="N106" s="66">
        <v>0</v>
      </c>
      <c r="P106" s="67">
        <f t="shared" si="13"/>
        <v>618.58750000000055</v>
      </c>
      <c r="Q106" s="67">
        <f t="shared" si="14"/>
        <v>353.16500000000002</v>
      </c>
      <c r="R106" s="68">
        <f t="shared" si="15"/>
        <v>971.75250000000051</v>
      </c>
    </row>
    <row r="107" spans="1:19" x14ac:dyDescent="0.3">
      <c r="A107" s="65">
        <v>46127</v>
      </c>
      <c r="B107" s="66">
        <f t="shared" si="10"/>
        <v>971.75250000000051</v>
      </c>
      <c r="C107" s="66">
        <f t="shared" si="11"/>
        <v>618.58750000000055</v>
      </c>
      <c r="D107" s="67">
        <f t="shared" si="12"/>
        <v>353.16500000000002</v>
      </c>
      <c r="E107" s="67">
        <v>0</v>
      </c>
      <c r="F107" s="67">
        <v>0</v>
      </c>
      <c r="G107" s="67">
        <v>0</v>
      </c>
      <c r="H107" s="67">
        <v>0</v>
      </c>
      <c r="I107" s="66">
        <v>0</v>
      </c>
      <c r="J107" s="66">
        <v>0</v>
      </c>
      <c r="K107" s="66">
        <v>0</v>
      </c>
      <c r="L107" s="66">
        <v>0</v>
      </c>
      <c r="M107" s="66">
        <v>0</v>
      </c>
      <c r="N107" s="66">
        <v>0</v>
      </c>
      <c r="P107" s="67">
        <f t="shared" si="13"/>
        <v>618.58750000000055</v>
      </c>
      <c r="Q107" s="67">
        <f t="shared" si="14"/>
        <v>353.16500000000002</v>
      </c>
      <c r="R107" s="68">
        <f t="shared" si="15"/>
        <v>971.75250000000051</v>
      </c>
    </row>
    <row r="108" spans="1:19" x14ac:dyDescent="0.3">
      <c r="A108" s="65">
        <v>46128</v>
      </c>
      <c r="B108" s="66">
        <f t="shared" si="10"/>
        <v>971.75250000000051</v>
      </c>
      <c r="C108" s="66">
        <f t="shared" si="11"/>
        <v>618.58750000000055</v>
      </c>
      <c r="D108" s="67">
        <f t="shared" si="12"/>
        <v>353.16500000000002</v>
      </c>
      <c r="E108" s="67">
        <v>0</v>
      </c>
      <c r="F108" s="67">
        <v>0</v>
      </c>
      <c r="G108" s="67">
        <v>0</v>
      </c>
      <c r="H108" s="67">
        <v>0</v>
      </c>
      <c r="I108" s="66">
        <v>0</v>
      </c>
      <c r="J108" s="66">
        <v>0</v>
      </c>
      <c r="K108" s="66">
        <v>0</v>
      </c>
      <c r="L108" s="66">
        <v>0</v>
      </c>
      <c r="M108" s="66">
        <v>0</v>
      </c>
      <c r="N108" s="66">
        <v>0</v>
      </c>
      <c r="O108" s="66">
        <v>0.01</v>
      </c>
      <c r="P108" s="67">
        <f t="shared" si="13"/>
        <v>618.58750000000055</v>
      </c>
      <c r="Q108" s="67">
        <f t="shared" si="14"/>
        <v>353.17500000000001</v>
      </c>
      <c r="R108" s="68">
        <f t="shared" si="15"/>
        <v>971.7625000000005</v>
      </c>
    </row>
    <row r="109" spans="1:19" x14ac:dyDescent="0.3">
      <c r="A109" s="65">
        <v>46129</v>
      </c>
      <c r="B109" s="66">
        <f t="shared" si="10"/>
        <v>971.7625000000005</v>
      </c>
      <c r="C109" s="66">
        <f t="shared" si="11"/>
        <v>618.58750000000055</v>
      </c>
      <c r="D109" s="67">
        <f t="shared" si="12"/>
        <v>353.17500000000001</v>
      </c>
      <c r="E109" s="67">
        <v>0</v>
      </c>
      <c r="F109" s="67">
        <v>0</v>
      </c>
      <c r="G109" s="67">
        <v>0</v>
      </c>
      <c r="H109" s="67">
        <v>0</v>
      </c>
      <c r="I109" s="66">
        <v>0</v>
      </c>
      <c r="J109" s="66">
        <v>0</v>
      </c>
      <c r="K109" s="66">
        <v>0</v>
      </c>
      <c r="L109" s="66">
        <v>0</v>
      </c>
      <c r="M109" s="66">
        <v>0</v>
      </c>
      <c r="N109" s="66">
        <v>0</v>
      </c>
      <c r="P109" s="67">
        <f t="shared" si="13"/>
        <v>618.58750000000055</v>
      </c>
      <c r="Q109" s="67">
        <f t="shared" si="14"/>
        <v>353.17500000000001</v>
      </c>
      <c r="R109" s="68">
        <f t="shared" si="15"/>
        <v>971.7625000000005</v>
      </c>
    </row>
    <row r="110" spans="1:19" x14ac:dyDescent="0.3">
      <c r="A110" s="65">
        <v>46130</v>
      </c>
      <c r="B110" s="66">
        <f t="shared" si="10"/>
        <v>971.7625000000005</v>
      </c>
      <c r="C110" s="66">
        <f t="shared" si="11"/>
        <v>618.58750000000055</v>
      </c>
      <c r="D110" s="67">
        <f t="shared" si="12"/>
        <v>353.17500000000001</v>
      </c>
      <c r="E110" s="67">
        <v>0</v>
      </c>
      <c r="F110" s="67">
        <v>0</v>
      </c>
      <c r="G110" s="67">
        <v>0</v>
      </c>
      <c r="H110" s="67">
        <v>0</v>
      </c>
      <c r="I110" s="66">
        <v>0</v>
      </c>
      <c r="J110" s="66">
        <v>0</v>
      </c>
      <c r="K110" s="66">
        <v>0</v>
      </c>
      <c r="L110" s="66">
        <v>0</v>
      </c>
      <c r="M110" s="66">
        <v>0</v>
      </c>
      <c r="N110" s="66">
        <v>0</v>
      </c>
      <c r="P110" s="67">
        <f t="shared" si="13"/>
        <v>618.58750000000055</v>
      </c>
      <c r="Q110" s="67">
        <f t="shared" si="14"/>
        <v>353.17500000000001</v>
      </c>
      <c r="R110" s="68">
        <f t="shared" si="15"/>
        <v>971.7625000000005</v>
      </c>
    </row>
    <row r="111" spans="1:19" x14ac:dyDescent="0.3">
      <c r="A111" s="65">
        <v>46131</v>
      </c>
      <c r="B111" s="66">
        <f t="shared" si="10"/>
        <v>971.7625000000005</v>
      </c>
      <c r="C111" s="66">
        <f t="shared" si="11"/>
        <v>618.58750000000055</v>
      </c>
      <c r="D111" s="67">
        <f t="shared" si="12"/>
        <v>353.17500000000001</v>
      </c>
      <c r="E111" s="67">
        <v>0</v>
      </c>
      <c r="F111" s="67">
        <v>0</v>
      </c>
      <c r="G111" s="67">
        <v>0</v>
      </c>
      <c r="H111" s="67">
        <v>0</v>
      </c>
      <c r="I111" s="66">
        <v>0</v>
      </c>
      <c r="J111" s="66">
        <v>0</v>
      </c>
      <c r="K111" s="66">
        <v>0</v>
      </c>
      <c r="L111" s="66">
        <v>0</v>
      </c>
      <c r="M111" s="66">
        <v>0</v>
      </c>
      <c r="N111" s="66">
        <v>0</v>
      </c>
      <c r="P111" s="67">
        <f t="shared" si="13"/>
        <v>618.58750000000055</v>
      </c>
      <c r="Q111" s="67">
        <f t="shared" si="14"/>
        <v>353.17500000000001</v>
      </c>
      <c r="R111" s="68">
        <f t="shared" si="15"/>
        <v>971.7625000000005</v>
      </c>
    </row>
    <row r="112" spans="1:19" x14ac:dyDescent="0.3">
      <c r="A112" s="65">
        <v>46132</v>
      </c>
      <c r="B112" s="66">
        <f t="shared" si="10"/>
        <v>971.7625000000005</v>
      </c>
      <c r="C112" s="66">
        <f t="shared" si="11"/>
        <v>618.58750000000055</v>
      </c>
      <c r="D112" s="67">
        <f t="shared" si="12"/>
        <v>353.17500000000001</v>
      </c>
      <c r="E112" s="67">
        <v>0</v>
      </c>
      <c r="F112" s="67">
        <v>0</v>
      </c>
      <c r="G112" s="67">
        <v>0</v>
      </c>
      <c r="H112" s="67">
        <v>0</v>
      </c>
      <c r="I112" s="66">
        <v>0</v>
      </c>
      <c r="J112" s="66">
        <v>0</v>
      </c>
      <c r="K112" s="66">
        <v>0</v>
      </c>
      <c r="L112" s="66">
        <v>0</v>
      </c>
      <c r="M112" s="66">
        <v>0</v>
      </c>
      <c r="N112" s="66">
        <v>0</v>
      </c>
      <c r="P112" s="67">
        <f t="shared" si="13"/>
        <v>618.58750000000055</v>
      </c>
      <c r="Q112" s="67">
        <f t="shared" si="14"/>
        <v>353.17500000000001</v>
      </c>
      <c r="R112" s="68">
        <f t="shared" si="15"/>
        <v>971.7625000000005</v>
      </c>
    </row>
    <row r="113" spans="1:18" x14ac:dyDescent="0.3">
      <c r="A113" s="65">
        <v>46133</v>
      </c>
      <c r="B113" s="66">
        <f t="shared" si="10"/>
        <v>971.7625000000005</v>
      </c>
      <c r="C113" s="66">
        <f t="shared" si="11"/>
        <v>618.58750000000055</v>
      </c>
      <c r="D113" s="67">
        <f t="shared" si="12"/>
        <v>353.17500000000001</v>
      </c>
      <c r="E113" s="67">
        <v>0</v>
      </c>
      <c r="F113" s="67">
        <v>0</v>
      </c>
      <c r="G113" s="67">
        <v>0</v>
      </c>
      <c r="H113" s="67">
        <v>0</v>
      </c>
      <c r="I113" s="66">
        <v>0</v>
      </c>
      <c r="J113" s="66">
        <v>0</v>
      </c>
      <c r="K113" s="66">
        <v>0</v>
      </c>
      <c r="L113" s="66">
        <v>0</v>
      </c>
      <c r="M113" s="66">
        <v>0</v>
      </c>
      <c r="N113" s="66">
        <v>0</v>
      </c>
      <c r="P113" s="67">
        <f t="shared" si="13"/>
        <v>618.58750000000055</v>
      </c>
      <c r="Q113" s="67">
        <f t="shared" si="14"/>
        <v>353.17500000000001</v>
      </c>
      <c r="R113" s="68">
        <f t="shared" si="15"/>
        <v>971.7625000000005</v>
      </c>
    </row>
    <row r="114" spans="1:18" x14ac:dyDescent="0.3">
      <c r="A114" s="65">
        <v>46134</v>
      </c>
      <c r="B114" s="66">
        <f t="shared" si="10"/>
        <v>971.7625000000005</v>
      </c>
      <c r="C114" s="66">
        <f t="shared" si="11"/>
        <v>618.58750000000055</v>
      </c>
      <c r="D114" s="67">
        <f t="shared" si="12"/>
        <v>353.17500000000001</v>
      </c>
      <c r="E114" s="67">
        <v>0</v>
      </c>
      <c r="F114" s="67">
        <v>0</v>
      </c>
      <c r="G114" s="67">
        <v>0</v>
      </c>
      <c r="H114" s="67">
        <v>0</v>
      </c>
      <c r="I114" s="66">
        <v>0</v>
      </c>
      <c r="J114" s="66">
        <v>0</v>
      </c>
      <c r="K114" s="66">
        <v>0</v>
      </c>
      <c r="L114" s="66">
        <v>0</v>
      </c>
      <c r="M114" s="66">
        <v>0</v>
      </c>
      <c r="N114" s="66">
        <v>0</v>
      </c>
      <c r="P114" s="67">
        <f t="shared" si="13"/>
        <v>618.58750000000055</v>
      </c>
      <c r="Q114" s="67">
        <f t="shared" si="14"/>
        <v>353.17500000000001</v>
      </c>
      <c r="R114" s="68">
        <f t="shared" si="15"/>
        <v>971.7625000000005</v>
      </c>
    </row>
    <row r="115" spans="1:18" x14ac:dyDescent="0.3">
      <c r="A115" s="65">
        <v>46135</v>
      </c>
      <c r="B115" s="66">
        <f t="shared" si="10"/>
        <v>971.7625000000005</v>
      </c>
      <c r="C115" s="66">
        <f t="shared" si="11"/>
        <v>618.58750000000055</v>
      </c>
      <c r="D115" s="67">
        <f t="shared" si="12"/>
        <v>353.17500000000001</v>
      </c>
      <c r="E115" s="67">
        <v>0</v>
      </c>
      <c r="F115" s="67">
        <v>0</v>
      </c>
      <c r="G115" s="67">
        <v>0</v>
      </c>
      <c r="H115" s="67">
        <v>0</v>
      </c>
      <c r="I115" s="66">
        <v>0</v>
      </c>
      <c r="J115" s="66">
        <v>0</v>
      </c>
      <c r="K115" s="66">
        <v>0</v>
      </c>
      <c r="L115" s="66">
        <v>0</v>
      </c>
      <c r="M115" s="66">
        <v>0</v>
      </c>
      <c r="N115" s="66">
        <v>0</v>
      </c>
      <c r="P115" s="67">
        <f t="shared" si="13"/>
        <v>618.58750000000055</v>
      </c>
      <c r="Q115" s="67">
        <f t="shared" si="14"/>
        <v>353.17500000000001</v>
      </c>
      <c r="R115" s="68">
        <f t="shared" si="15"/>
        <v>971.7625000000005</v>
      </c>
    </row>
    <row r="116" spans="1:18" x14ac:dyDescent="0.3">
      <c r="A116" s="65">
        <v>46136</v>
      </c>
      <c r="B116" s="66">
        <f t="shared" si="10"/>
        <v>971.7625000000005</v>
      </c>
      <c r="C116" s="66">
        <f t="shared" si="11"/>
        <v>618.58750000000055</v>
      </c>
      <c r="D116" s="67">
        <f t="shared" si="12"/>
        <v>353.17500000000001</v>
      </c>
      <c r="E116" s="67">
        <v>0</v>
      </c>
      <c r="F116" s="67">
        <v>0</v>
      </c>
      <c r="G116" s="67">
        <v>0</v>
      </c>
      <c r="H116" s="67">
        <v>0</v>
      </c>
      <c r="I116" s="66">
        <v>0</v>
      </c>
      <c r="J116" s="66">
        <v>0</v>
      </c>
      <c r="K116" s="66">
        <v>0</v>
      </c>
      <c r="L116" s="66">
        <v>0</v>
      </c>
      <c r="M116" s="66">
        <v>0</v>
      </c>
      <c r="N116" s="66">
        <v>0</v>
      </c>
      <c r="P116" s="67">
        <f t="shared" si="13"/>
        <v>618.58750000000055</v>
      </c>
      <c r="Q116" s="67">
        <f t="shared" si="14"/>
        <v>353.17500000000001</v>
      </c>
      <c r="R116" s="68">
        <f t="shared" si="15"/>
        <v>971.7625000000005</v>
      </c>
    </row>
    <row r="117" spans="1:18" x14ac:dyDescent="0.3">
      <c r="A117" s="65">
        <v>46137</v>
      </c>
      <c r="B117" s="66">
        <f t="shared" si="10"/>
        <v>971.7625000000005</v>
      </c>
      <c r="C117" s="66">
        <f t="shared" si="11"/>
        <v>618.58750000000055</v>
      </c>
      <c r="D117" s="67">
        <f t="shared" si="12"/>
        <v>353.17500000000001</v>
      </c>
      <c r="E117" s="67">
        <v>0</v>
      </c>
      <c r="F117" s="67">
        <v>0</v>
      </c>
      <c r="G117" s="67">
        <v>0</v>
      </c>
      <c r="H117" s="67">
        <v>0</v>
      </c>
      <c r="I117" s="66">
        <v>0</v>
      </c>
      <c r="J117" s="66">
        <v>0</v>
      </c>
      <c r="K117" s="66">
        <v>0</v>
      </c>
      <c r="L117" s="66">
        <v>0</v>
      </c>
      <c r="M117" s="66">
        <v>0</v>
      </c>
      <c r="N117" s="66">
        <v>0</v>
      </c>
      <c r="P117" s="67">
        <f t="shared" si="13"/>
        <v>618.58750000000055</v>
      </c>
      <c r="Q117" s="67">
        <f t="shared" si="14"/>
        <v>353.17500000000001</v>
      </c>
      <c r="R117" s="68">
        <f t="shared" si="15"/>
        <v>971.7625000000005</v>
      </c>
    </row>
    <row r="118" spans="1:18" x14ac:dyDescent="0.3">
      <c r="A118" s="65">
        <v>46138</v>
      </c>
      <c r="B118" s="66">
        <f t="shared" si="10"/>
        <v>971.7625000000005</v>
      </c>
      <c r="C118" s="66">
        <f t="shared" si="11"/>
        <v>618.58750000000055</v>
      </c>
      <c r="D118" s="67">
        <f t="shared" si="12"/>
        <v>353.17500000000001</v>
      </c>
      <c r="E118" s="67">
        <v>0</v>
      </c>
      <c r="F118" s="67">
        <v>0</v>
      </c>
      <c r="G118" s="67">
        <v>0</v>
      </c>
      <c r="H118" s="67">
        <v>0</v>
      </c>
      <c r="I118" s="66">
        <v>0</v>
      </c>
      <c r="J118" s="66">
        <v>0</v>
      </c>
      <c r="K118" s="66">
        <v>0</v>
      </c>
      <c r="L118" s="66">
        <v>-91.1</v>
      </c>
      <c r="M118" s="66">
        <v>0</v>
      </c>
      <c r="N118" s="66">
        <v>0</v>
      </c>
      <c r="P118" s="67">
        <f t="shared" si="13"/>
        <v>527.48750000000052</v>
      </c>
      <c r="Q118" s="67">
        <f t="shared" si="14"/>
        <v>353.17500000000001</v>
      </c>
      <c r="R118" s="68">
        <f t="shared" si="15"/>
        <v>880.66250000000059</v>
      </c>
    </row>
    <row r="119" spans="1:18" x14ac:dyDescent="0.3">
      <c r="A119" s="65">
        <v>46139</v>
      </c>
      <c r="B119" s="66">
        <f t="shared" si="10"/>
        <v>880.66250000000059</v>
      </c>
      <c r="C119" s="66">
        <f t="shared" si="11"/>
        <v>527.48750000000052</v>
      </c>
      <c r="D119" s="67">
        <f t="shared" si="12"/>
        <v>353.17500000000001</v>
      </c>
      <c r="E119" s="67">
        <v>0</v>
      </c>
      <c r="F119" s="67">
        <v>1222.6300000000001</v>
      </c>
      <c r="G119" s="67">
        <v>0</v>
      </c>
      <c r="H119" s="67">
        <v>155.37</v>
      </c>
      <c r="I119" s="66">
        <v>0</v>
      </c>
      <c r="J119" s="66">
        <v>0</v>
      </c>
      <c r="K119" s="66">
        <v>0</v>
      </c>
      <c r="L119" s="66">
        <v>0</v>
      </c>
      <c r="M119" s="66">
        <v>0</v>
      </c>
      <c r="N119" s="66">
        <v>0</v>
      </c>
      <c r="P119" s="67">
        <f t="shared" si="13"/>
        <v>1750.1175000000007</v>
      </c>
      <c r="Q119" s="67">
        <f t="shared" si="14"/>
        <v>508.54500000000002</v>
      </c>
      <c r="R119" s="68">
        <f t="shared" si="15"/>
        <v>2258.6625000000008</v>
      </c>
    </row>
    <row r="120" spans="1:18" x14ac:dyDescent="0.3">
      <c r="A120" s="65">
        <v>46140</v>
      </c>
      <c r="B120" s="66">
        <f t="shared" si="10"/>
        <v>2258.6625000000008</v>
      </c>
      <c r="C120" s="66">
        <f t="shared" si="11"/>
        <v>1750.1175000000007</v>
      </c>
      <c r="D120" s="67">
        <f t="shared" si="12"/>
        <v>508.54500000000002</v>
      </c>
      <c r="E120" s="67">
        <v>0</v>
      </c>
      <c r="F120" s="67">
        <v>0</v>
      </c>
      <c r="G120" s="67">
        <v>0</v>
      </c>
      <c r="H120" s="67">
        <v>0</v>
      </c>
      <c r="I120" s="66">
        <v>0</v>
      </c>
      <c r="J120" s="66">
        <v>0</v>
      </c>
      <c r="K120" s="66">
        <v>0</v>
      </c>
      <c r="L120" s="66">
        <v>0</v>
      </c>
      <c r="M120" s="66">
        <v>0</v>
      </c>
      <c r="N120" s="66">
        <v>0</v>
      </c>
      <c r="P120" s="67">
        <f t="shared" si="13"/>
        <v>1750.1175000000007</v>
      </c>
      <c r="Q120" s="67">
        <f t="shared" si="14"/>
        <v>508.54500000000002</v>
      </c>
      <c r="R120" s="68">
        <f t="shared" si="15"/>
        <v>2258.6625000000008</v>
      </c>
    </row>
    <row r="121" spans="1:18" x14ac:dyDescent="0.3">
      <c r="A121" s="65">
        <v>46141</v>
      </c>
      <c r="B121" s="66">
        <f t="shared" si="10"/>
        <v>2258.6625000000008</v>
      </c>
      <c r="C121" s="66">
        <f t="shared" si="11"/>
        <v>1750.1175000000007</v>
      </c>
      <c r="D121" s="67">
        <f t="shared" si="12"/>
        <v>508.54500000000002</v>
      </c>
      <c r="E121" s="67">
        <v>611.31500000000005</v>
      </c>
      <c r="F121" s="67">
        <v>0</v>
      </c>
      <c r="G121" s="67">
        <v>77.685000000000002</v>
      </c>
      <c r="H121" s="67">
        <v>0</v>
      </c>
      <c r="I121" s="66">
        <v>0</v>
      </c>
      <c r="J121" s="66">
        <v>0</v>
      </c>
      <c r="K121" s="66">
        <v>0</v>
      </c>
      <c r="L121" s="66">
        <v>0</v>
      </c>
      <c r="M121" s="66">
        <v>0</v>
      </c>
      <c r="N121" s="66">
        <v>0</v>
      </c>
      <c r="P121" s="67">
        <f t="shared" si="13"/>
        <v>2361.4325000000008</v>
      </c>
      <c r="Q121" s="67">
        <f t="shared" si="14"/>
        <v>586.23</v>
      </c>
      <c r="R121" s="68">
        <f t="shared" si="15"/>
        <v>2947.6625000000008</v>
      </c>
    </row>
    <row r="122" spans="1:18" x14ac:dyDescent="0.3">
      <c r="A122" s="65">
        <v>46142</v>
      </c>
      <c r="B122" s="66">
        <f t="shared" si="10"/>
        <v>2947.6625000000008</v>
      </c>
      <c r="C122" s="66">
        <f t="shared" si="11"/>
        <v>2361.4325000000008</v>
      </c>
      <c r="D122" s="67">
        <f t="shared" si="12"/>
        <v>586.23</v>
      </c>
      <c r="E122" s="67">
        <v>0</v>
      </c>
      <c r="F122" s="67">
        <v>0</v>
      </c>
      <c r="G122" s="67">
        <v>0</v>
      </c>
      <c r="H122" s="67">
        <v>0</v>
      </c>
      <c r="I122" s="66">
        <v>0</v>
      </c>
      <c r="J122" s="66">
        <v>0</v>
      </c>
      <c r="K122" s="66">
        <v>0</v>
      </c>
      <c r="L122" s="66">
        <v>0</v>
      </c>
      <c r="M122" s="66">
        <v>0</v>
      </c>
      <c r="N122" s="66">
        <v>0</v>
      </c>
      <c r="P122" s="67">
        <f t="shared" si="13"/>
        <v>2361.4325000000008</v>
      </c>
      <c r="Q122" s="67">
        <f t="shared" si="14"/>
        <v>586.23</v>
      </c>
      <c r="R122" s="68">
        <f t="shared" si="15"/>
        <v>2947.6625000000008</v>
      </c>
    </row>
    <row r="123" spans="1:18" x14ac:dyDescent="0.3">
      <c r="A123" s="65">
        <v>46143</v>
      </c>
      <c r="B123" s="66">
        <f t="shared" si="10"/>
        <v>2947.6625000000008</v>
      </c>
      <c r="C123" s="66">
        <f t="shared" si="11"/>
        <v>2361.4325000000008</v>
      </c>
      <c r="D123" s="67">
        <f t="shared" si="12"/>
        <v>586.23</v>
      </c>
      <c r="E123" s="67">
        <v>0</v>
      </c>
      <c r="F123" s="67">
        <v>0</v>
      </c>
      <c r="G123" s="67">
        <v>0</v>
      </c>
      <c r="H123" s="67">
        <v>0</v>
      </c>
      <c r="I123" s="66">
        <v>0</v>
      </c>
      <c r="J123" s="66">
        <v>0</v>
      </c>
      <c r="K123" s="66">
        <v>-175</v>
      </c>
      <c r="L123" s="66">
        <v>0</v>
      </c>
      <c r="M123" s="66">
        <v>0</v>
      </c>
      <c r="N123" s="66">
        <v>0</v>
      </c>
      <c r="P123" s="67">
        <f t="shared" si="13"/>
        <v>2186.4325000000008</v>
      </c>
      <c r="Q123" s="67">
        <f t="shared" si="14"/>
        <v>586.23</v>
      </c>
      <c r="R123" s="68">
        <f t="shared" si="15"/>
        <v>2772.6625000000008</v>
      </c>
    </row>
    <row r="124" spans="1:18" x14ac:dyDescent="0.3">
      <c r="A124" s="65">
        <v>46144</v>
      </c>
      <c r="B124" s="66">
        <f t="shared" si="10"/>
        <v>2772.6625000000008</v>
      </c>
      <c r="C124" s="66">
        <f t="shared" si="11"/>
        <v>2186.4325000000008</v>
      </c>
      <c r="D124" s="67">
        <f t="shared" si="12"/>
        <v>586.23</v>
      </c>
      <c r="E124" s="67">
        <v>0</v>
      </c>
      <c r="F124" s="67">
        <v>0</v>
      </c>
      <c r="G124" s="67">
        <v>0</v>
      </c>
      <c r="H124" s="67">
        <v>0</v>
      </c>
      <c r="I124" s="66">
        <v>0</v>
      </c>
      <c r="J124" s="66">
        <v>0</v>
      </c>
      <c r="K124" s="66">
        <v>0</v>
      </c>
      <c r="L124" s="66">
        <v>0</v>
      </c>
      <c r="M124" s="66">
        <v>0</v>
      </c>
      <c r="N124" s="66">
        <v>0</v>
      </c>
      <c r="P124" s="67">
        <f t="shared" si="13"/>
        <v>2186.4325000000008</v>
      </c>
      <c r="Q124" s="67">
        <f t="shared" si="14"/>
        <v>586.23</v>
      </c>
      <c r="R124" s="68">
        <f t="shared" si="15"/>
        <v>2772.6625000000008</v>
      </c>
    </row>
    <row r="125" spans="1:18" x14ac:dyDescent="0.3">
      <c r="A125" s="65">
        <v>46145</v>
      </c>
      <c r="B125" s="66">
        <f t="shared" si="10"/>
        <v>2772.6625000000008</v>
      </c>
      <c r="C125" s="66">
        <f t="shared" si="11"/>
        <v>2186.4325000000008</v>
      </c>
      <c r="D125" s="67">
        <f t="shared" si="12"/>
        <v>586.23</v>
      </c>
      <c r="E125" s="67">
        <v>0</v>
      </c>
      <c r="F125" s="67">
        <v>0</v>
      </c>
      <c r="G125" s="67">
        <v>0</v>
      </c>
      <c r="H125" s="67">
        <v>0</v>
      </c>
      <c r="I125" s="66">
        <v>0</v>
      </c>
      <c r="J125" s="66">
        <v>-73.83</v>
      </c>
      <c r="K125" s="66">
        <v>0</v>
      </c>
      <c r="L125" s="66">
        <v>0</v>
      </c>
      <c r="M125" s="66">
        <v>0</v>
      </c>
      <c r="N125" s="66">
        <v>0</v>
      </c>
      <c r="P125" s="67">
        <f t="shared" si="13"/>
        <v>2112.6025000000009</v>
      </c>
      <c r="Q125" s="67">
        <f t="shared" si="14"/>
        <v>586.23</v>
      </c>
      <c r="R125" s="68">
        <f t="shared" si="15"/>
        <v>2698.8325000000009</v>
      </c>
    </row>
    <row r="126" spans="1:18" x14ac:dyDescent="0.3">
      <c r="A126" s="65">
        <v>46146</v>
      </c>
      <c r="B126" s="66">
        <f t="shared" si="10"/>
        <v>2698.8325000000009</v>
      </c>
      <c r="C126" s="66">
        <f t="shared" si="11"/>
        <v>2112.6025000000009</v>
      </c>
      <c r="D126" s="67">
        <f t="shared" si="12"/>
        <v>586.23</v>
      </c>
      <c r="E126" s="67">
        <v>0</v>
      </c>
      <c r="F126" s="67">
        <v>0</v>
      </c>
      <c r="G126" s="67">
        <v>0</v>
      </c>
      <c r="H126" s="67">
        <v>0</v>
      </c>
      <c r="I126" s="66">
        <v>0</v>
      </c>
      <c r="J126" s="66">
        <v>0</v>
      </c>
      <c r="K126" s="66">
        <v>0</v>
      </c>
      <c r="L126" s="66">
        <v>0</v>
      </c>
      <c r="M126" s="66">
        <v>0</v>
      </c>
      <c r="N126" s="66">
        <v>0</v>
      </c>
      <c r="P126" s="67">
        <f t="shared" si="13"/>
        <v>2112.6025000000009</v>
      </c>
      <c r="Q126" s="67">
        <f t="shared" si="14"/>
        <v>586.23</v>
      </c>
      <c r="R126" s="68">
        <f t="shared" si="15"/>
        <v>2698.8325000000009</v>
      </c>
    </row>
    <row r="127" spans="1:18" x14ac:dyDescent="0.3">
      <c r="A127" s="65">
        <v>46147</v>
      </c>
      <c r="B127" s="66">
        <f t="shared" si="10"/>
        <v>2698.8325000000009</v>
      </c>
      <c r="C127" s="66">
        <f t="shared" si="11"/>
        <v>2112.6025000000009</v>
      </c>
      <c r="D127" s="67">
        <f t="shared" si="12"/>
        <v>586.23</v>
      </c>
      <c r="E127" s="67">
        <v>0</v>
      </c>
      <c r="F127" s="67">
        <v>0</v>
      </c>
      <c r="G127" s="67">
        <v>0</v>
      </c>
      <c r="H127" s="67">
        <v>0</v>
      </c>
      <c r="I127" s="66">
        <v>0</v>
      </c>
      <c r="J127" s="66">
        <v>0</v>
      </c>
      <c r="K127" s="66">
        <v>0</v>
      </c>
      <c r="L127" s="66">
        <v>0</v>
      </c>
      <c r="M127" s="66">
        <v>0</v>
      </c>
      <c r="N127" s="66">
        <v>0</v>
      </c>
      <c r="P127" s="67">
        <f t="shared" si="13"/>
        <v>2112.6025000000009</v>
      </c>
      <c r="Q127" s="67">
        <f t="shared" si="14"/>
        <v>586.23</v>
      </c>
      <c r="R127" s="68">
        <f t="shared" si="15"/>
        <v>2698.8325000000009</v>
      </c>
    </row>
    <row r="128" spans="1:18" x14ac:dyDescent="0.3">
      <c r="A128" s="65">
        <v>46148</v>
      </c>
      <c r="B128" s="66">
        <f t="shared" si="10"/>
        <v>2698.8325000000009</v>
      </c>
      <c r="C128" s="66">
        <f t="shared" si="11"/>
        <v>2112.6025000000009</v>
      </c>
      <c r="D128" s="67">
        <f t="shared" si="12"/>
        <v>586.23</v>
      </c>
      <c r="E128" s="67">
        <v>0</v>
      </c>
      <c r="F128" s="67">
        <v>0</v>
      </c>
      <c r="G128" s="67">
        <v>0</v>
      </c>
      <c r="H128" s="67">
        <v>0</v>
      </c>
      <c r="I128" s="66">
        <v>0</v>
      </c>
      <c r="J128" s="66">
        <v>0</v>
      </c>
      <c r="K128" s="66">
        <v>0</v>
      </c>
      <c r="L128" s="66">
        <v>0</v>
      </c>
      <c r="M128" s="66">
        <v>0</v>
      </c>
      <c r="N128" s="66">
        <v>0</v>
      </c>
      <c r="P128" s="67">
        <f t="shared" si="13"/>
        <v>2112.6025000000009</v>
      </c>
      <c r="Q128" s="67">
        <f t="shared" si="14"/>
        <v>586.23</v>
      </c>
      <c r="R128" s="68">
        <f t="shared" si="15"/>
        <v>2698.8325000000009</v>
      </c>
    </row>
    <row r="129" spans="1:18" x14ac:dyDescent="0.3">
      <c r="A129" s="65">
        <v>46149</v>
      </c>
      <c r="B129" s="66">
        <f t="shared" si="10"/>
        <v>2698.8325000000009</v>
      </c>
      <c r="C129" s="66">
        <f t="shared" si="11"/>
        <v>2112.6025000000009</v>
      </c>
      <c r="D129" s="67">
        <f t="shared" si="12"/>
        <v>586.23</v>
      </c>
      <c r="E129" s="67">
        <v>0</v>
      </c>
      <c r="F129" s="67">
        <v>0</v>
      </c>
      <c r="G129" s="67">
        <v>0</v>
      </c>
      <c r="H129" s="67">
        <v>0</v>
      </c>
      <c r="I129" s="66">
        <v>-2036.51</v>
      </c>
      <c r="J129" s="66">
        <v>0</v>
      </c>
      <c r="K129" s="66">
        <v>0</v>
      </c>
      <c r="L129" s="66">
        <v>0</v>
      </c>
      <c r="M129" s="66">
        <v>0</v>
      </c>
      <c r="N129" s="66">
        <v>0</v>
      </c>
      <c r="P129" s="67">
        <f t="shared" si="13"/>
        <v>76.092500000000882</v>
      </c>
      <c r="Q129" s="67">
        <f t="shared" si="14"/>
        <v>586.23</v>
      </c>
      <c r="R129" s="68">
        <f t="shared" si="15"/>
        <v>662.3225000000009</v>
      </c>
    </row>
    <row r="130" spans="1:18" x14ac:dyDescent="0.3">
      <c r="A130" s="65">
        <v>46150</v>
      </c>
      <c r="B130" s="66">
        <f t="shared" si="10"/>
        <v>662.3225000000009</v>
      </c>
      <c r="C130" s="66">
        <f t="shared" si="11"/>
        <v>76.092500000000882</v>
      </c>
      <c r="D130" s="67">
        <f t="shared" si="12"/>
        <v>586.23</v>
      </c>
      <c r="E130" s="67">
        <v>0</v>
      </c>
      <c r="F130" s="67">
        <v>0</v>
      </c>
      <c r="G130" s="67">
        <v>0</v>
      </c>
      <c r="H130" s="67">
        <v>0</v>
      </c>
      <c r="I130" s="66">
        <v>0</v>
      </c>
      <c r="J130" s="66">
        <v>0</v>
      </c>
      <c r="K130" s="66">
        <v>0</v>
      </c>
      <c r="L130" s="66">
        <v>0</v>
      </c>
      <c r="M130" s="66">
        <v>0</v>
      </c>
      <c r="N130" s="66">
        <v>0</v>
      </c>
      <c r="P130" s="67">
        <f t="shared" si="13"/>
        <v>76.092500000000882</v>
      </c>
      <c r="Q130" s="67">
        <f t="shared" si="14"/>
        <v>586.23</v>
      </c>
      <c r="R130" s="68">
        <f t="shared" si="15"/>
        <v>662.3225000000009</v>
      </c>
    </row>
    <row r="131" spans="1:18" x14ac:dyDescent="0.3">
      <c r="A131" s="65">
        <v>46151</v>
      </c>
      <c r="B131" s="66">
        <f t="shared" si="10"/>
        <v>662.3225000000009</v>
      </c>
      <c r="C131" s="66">
        <f t="shared" si="11"/>
        <v>76.092500000000882</v>
      </c>
      <c r="D131" s="67">
        <f t="shared" si="12"/>
        <v>586.23</v>
      </c>
      <c r="E131" s="67">
        <v>0</v>
      </c>
      <c r="F131" s="67">
        <v>0</v>
      </c>
      <c r="G131" s="67">
        <v>0</v>
      </c>
      <c r="H131" s="67">
        <v>0</v>
      </c>
      <c r="I131" s="66">
        <v>0</v>
      </c>
      <c r="J131" s="66">
        <v>0</v>
      </c>
      <c r="K131" s="66">
        <v>0</v>
      </c>
      <c r="L131" s="66">
        <v>0</v>
      </c>
      <c r="M131" s="66">
        <v>0</v>
      </c>
      <c r="N131" s="66">
        <v>0</v>
      </c>
      <c r="P131" s="67">
        <f t="shared" si="13"/>
        <v>76.092500000000882</v>
      </c>
      <c r="Q131" s="67">
        <f t="shared" si="14"/>
        <v>586.23</v>
      </c>
      <c r="R131" s="68">
        <f t="shared" si="15"/>
        <v>662.3225000000009</v>
      </c>
    </row>
    <row r="132" spans="1:18" x14ac:dyDescent="0.3">
      <c r="A132" s="65">
        <v>46152</v>
      </c>
      <c r="B132" s="66">
        <f t="shared" si="10"/>
        <v>662.3225000000009</v>
      </c>
      <c r="C132" s="66">
        <f t="shared" si="11"/>
        <v>76.092500000000882</v>
      </c>
      <c r="D132" s="67">
        <f t="shared" si="12"/>
        <v>586.23</v>
      </c>
      <c r="E132" s="67">
        <v>0</v>
      </c>
      <c r="F132" s="67">
        <v>0</v>
      </c>
      <c r="G132" s="67">
        <v>0</v>
      </c>
      <c r="H132" s="67">
        <v>0</v>
      </c>
      <c r="I132" s="66">
        <v>0</v>
      </c>
      <c r="J132" s="66">
        <v>0</v>
      </c>
      <c r="K132" s="66">
        <v>0</v>
      </c>
      <c r="L132" s="66">
        <v>0</v>
      </c>
      <c r="M132" s="66">
        <v>0</v>
      </c>
      <c r="N132" s="66">
        <v>0</v>
      </c>
      <c r="P132" s="67">
        <f t="shared" si="13"/>
        <v>76.092500000000882</v>
      </c>
      <c r="Q132" s="67">
        <f t="shared" si="14"/>
        <v>586.23</v>
      </c>
      <c r="R132" s="68">
        <f t="shared" si="15"/>
        <v>662.3225000000009</v>
      </c>
    </row>
    <row r="133" spans="1:18" x14ac:dyDescent="0.3">
      <c r="A133" s="65">
        <v>46153</v>
      </c>
      <c r="B133" s="66">
        <f t="shared" si="10"/>
        <v>662.3225000000009</v>
      </c>
      <c r="C133" s="66">
        <f t="shared" si="11"/>
        <v>76.092500000000882</v>
      </c>
      <c r="D133" s="67">
        <f t="shared" si="12"/>
        <v>586.23</v>
      </c>
      <c r="E133" s="67">
        <v>0</v>
      </c>
      <c r="F133" s="67">
        <v>0</v>
      </c>
      <c r="G133" s="67">
        <v>0</v>
      </c>
      <c r="H133" s="67">
        <v>0</v>
      </c>
      <c r="I133" s="66">
        <v>0</v>
      </c>
      <c r="J133" s="66">
        <v>0</v>
      </c>
      <c r="K133" s="66">
        <v>0</v>
      </c>
      <c r="L133" s="66">
        <v>0</v>
      </c>
      <c r="M133" s="66">
        <v>0</v>
      </c>
      <c r="N133" s="66">
        <v>0</v>
      </c>
      <c r="P133" s="67">
        <f t="shared" si="13"/>
        <v>76.092500000000882</v>
      </c>
      <c r="Q133" s="67">
        <f t="shared" si="14"/>
        <v>586.23</v>
      </c>
      <c r="R133" s="68">
        <f t="shared" si="15"/>
        <v>662.3225000000009</v>
      </c>
    </row>
    <row r="134" spans="1:18" x14ac:dyDescent="0.3">
      <c r="A134" s="65">
        <v>46154</v>
      </c>
      <c r="B134" s="66">
        <f t="shared" si="10"/>
        <v>662.3225000000009</v>
      </c>
      <c r="C134" s="66">
        <f t="shared" si="11"/>
        <v>76.092500000000882</v>
      </c>
      <c r="D134" s="67">
        <f t="shared" si="12"/>
        <v>586.23</v>
      </c>
      <c r="E134" s="67">
        <v>0</v>
      </c>
      <c r="F134" s="67">
        <v>0</v>
      </c>
      <c r="G134" s="67">
        <v>0</v>
      </c>
      <c r="H134" s="67">
        <v>0</v>
      </c>
      <c r="I134" s="66">
        <v>0</v>
      </c>
      <c r="J134" s="66">
        <v>0</v>
      </c>
      <c r="K134" s="66">
        <v>0</v>
      </c>
      <c r="L134" s="66">
        <v>0</v>
      </c>
      <c r="M134" s="66">
        <v>-51.2</v>
      </c>
      <c r="N134" s="66">
        <v>0</v>
      </c>
      <c r="O134" s="66">
        <v>0.01</v>
      </c>
      <c r="P134" s="67">
        <f t="shared" si="13"/>
        <v>24.892500000000879</v>
      </c>
      <c r="Q134" s="67">
        <f t="shared" si="14"/>
        <v>586.24</v>
      </c>
      <c r="R134" s="68">
        <f t="shared" si="15"/>
        <v>611.13250000000085</v>
      </c>
    </row>
    <row r="135" spans="1:18" x14ac:dyDescent="0.3">
      <c r="A135" s="65">
        <v>46155</v>
      </c>
      <c r="B135" s="66">
        <f t="shared" si="10"/>
        <v>611.13250000000085</v>
      </c>
      <c r="C135" s="66">
        <f t="shared" si="11"/>
        <v>24.892500000000879</v>
      </c>
      <c r="D135" s="67">
        <f t="shared" si="12"/>
        <v>586.24</v>
      </c>
      <c r="E135" s="67">
        <v>611.16</v>
      </c>
      <c r="F135" s="67">
        <v>1221.82</v>
      </c>
      <c r="G135" s="67">
        <v>77.835000000000008</v>
      </c>
      <c r="H135" s="67">
        <v>156.18</v>
      </c>
      <c r="I135" s="66">
        <v>0</v>
      </c>
      <c r="J135" s="66">
        <v>0</v>
      </c>
      <c r="K135" s="66">
        <v>0</v>
      </c>
      <c r="L135" s="66">
        <v>0</v>
      </c>
      <c r="M135" s="66">
        <v>0</v>
      </c>
      <c r="N135" s="66">
        <v>0</v>
      </c>
      <c r="P135" s="67">
        <f t="shared" si="13"/>
        <v>1857.8725000000009</v>
      </c>
      <c r="Q135" s="67">
        <f t="shared" si="14"/>
        <v>820.25500000000011</v>
      </c>
      <c r="R135" s="68">
        <f t="shared" si="15"/>
        <v>2678.127500000001</v>
      </c>
    </row>
    <row r="136" spans="1:18" x14ac:dyDescent="0.3">
      <c r="A136" s="65">
        <v>46156</v>
      </c>
      <c r="B136" s="66">
        <f t="shared" si="10"/>
        <v>2678.127500000001</v>
      </c>
      <c r="C136" s="66">
        <f t="shared" si="11"/>
        <v>1857.8725000000009</v>
      </c>
      <c r="D136" s="67">
        <f t="shared" si="12"/>
        <v>820.25500000000011</v>
      </c>
      <c r="E136" s="67">
        <v>0</v>
      </c>
      <c r="F136" s="67">
        <v>0</v>
      </c>
      <c r="G136" s="67">
        <v>0</v>
      </c>
      <c r="H136" s="67">
        <v>0</v>
      </c>
      <c r="I136" s="66">
        <v>0</v>
      </c>
      <c r="J136" s="66">
        <v>0</v>
      </c>
      <c r="K136" s="66">
        <v>0</v>
      </c>
      <c r="L136" s="66">
        <v>0</v>
      </c>
      <c r="M136" s="66">
        <v>0</v>
      </c>
      <c r="N136" s="66">
        <v>0</v>
      </c>
      <c r="P136" s="67">
        <f t="shared" si="13"/>
        <v>1857.8725000000009</v>
      </c>
      <c r="Q136" s="67">
        <f t="shared" si="14"/>
        <v>820.25500000000011</v>
      </c>
      <c r="R136" s="68">
        <f t="shared" si="15"/>
        <v>2678.127500000001</v>
      </c>
    </row>
    <row r="137" spans="1:18" x14ac:dyDescent="0.3">
      <c r="A137" s="65">
        <v>46157</v>
      </c>
      <c r="B137" s="66">
        <f t="shared" si="10"/>
        <v>2678.127500000001</v>
      </c>
      <c r="C137" s="66">
        <f t="shared" si="11"/>
        <v>1857.8725000000009</v>
      </c>
      <c r="D137" s="67">
        <f t="shared" si="12"/>
        <v>820.25500000000011</v>
      </c>
      <c r="E137" s="67">
        <v>0</v>
      </c>
      <c r="F137" s="67">
        <v>0</v>
      </c>
      <c r="G137" s="67">
        <v>0</v>
      </c>
      <c r="H137" s="67">
        <v>0</v>
      </c>
      <c r="I137" s="66">
        <v>0</v>
      </c>
      <c r="J137" s="66">
        <v>0</v>
      </c>
      <c r="K137" s="66">
        <v>0</v>
      </c>
      <c r="L137" s="66">
        <v>0</v>
      </c>
      <c r="M137" s="66">
        <v>0</v>
      </c>
      <c r="N137" s="66">
        <v>0</v>
      </c>
      <c r="P137" s="67">
        <f t="shared" si="13"/>
        <v>1857.8725000000009</v>
      </c>
      <c r="Q137" s="67">
        <f t="shared" si="14"/>
        <v>820.25500000000011</v>
      </c>
      <c r="R137" s="68">
        <f t="shared" si="15"/>
        <v>2678.127500000001</v>
      </c>
    </row>
    <row r="138" spans="1:18" x14ac:dyDescent="0.3">
      <c r="A138" s="65">
        <v>46158</v>
      </c>
      <c r="B138" s="66">
        <f t="shared" si="10"/>
        <v>2678.127500000001</v>
      </c>
      <c r="C138" s="66">
        <f t="shared" si="11"/>
        <v>1857.8725000000009</v>
      </c>
      <c r="D138" s="67">
        <f t="shared" si="12"/>
        <v>820.25500000000011</v>
      </c>
      <c r="E138" s="67">
        <v>0</v>
      </c>
      <c r="F138" s="67">
        <v>0</v>
      </c>
      <c r="G138" s="67">
        <v>0</v>
      </c>
      <c r="H138" s="67">
        <v>0</v>
      </c>
      <c r="I138" s="66">
        <v>0</v>
      </c>
      <c r="J138" s="66">
        <v>0</v>
      </c>
      <c r="K138" s="66">
        <v>0</v>
      </c>
      <c r="L138" s="66">
        <v>0</v>
      </c>
      <c r="M138" s="66">
        <v>0</v>
      </c>
      <c r="N138" s="66">
        <v>0</v>
      </c>
      <c r="P138" s="67">
        <f t="shared" si="13"/>
        <v>1857.8725000000009</v>
      </c>
      <c r="Q138" s="67">
        <f t="shared" si="14"/>
        <v>820.25500000000011</v>
      </c>
      <c r="R138" s="68">
        <f t="shared" si="15"/>
        <v>2678.127500000001</v>
      </c>
    </row>
    <row r="139" spans="1:18" x14ac:dyDescent="0.3">
      <c r="A139" s="65">
        <v>46159</v>
      </c>
      <c r="B139" s="66">
        <f t="shared" si="10"/>
        <v>2678.127500000001</v>
      </c>
      <c r="C139" s="66">
        <f t="shared" si="11"/>
        <v>1857.8725000000009</v>
      </c>
      <c r="D139" s="67">
        <f t="shared" si="12"/>
        <v>820.25500000000011</v>
      </c>
      <c r="E139" s="67">
        <v>0</v>
      </c>
      <c r="F139" s="67">
        <v>0</v>
      </c>
      <c r="G139" s="67">
        <v>0</v>
      </c>
      <c r="H139" s="67">
        <v>0</v>
      </c>
      <c r="I139" s="66">
        <v>0</v>
      </c>
      <c r="J139" s="66">
        <v>0</v>
      </c>
      <c r="K139" s="66">
        <v>0</v>
      </c>
      <c r="L139" s="66">
        <v>0</v>
      </c>
      <c r="M139" s="66">
        <v>0</v>
      </c>
      <c r="N139" s="66">
        <v>0</v>
      </c>
      <c r="P139" s="67">
        <f t="shared" si="13"/>
        <v>1857.8725000000009</v>
      </c>
      <c r="Q139" s="67">
        <f t="shared" si="14"/>
        <v>820.25500000000011</v>
      </c>
      <c r="R139" s="68">
        <f t="shared" si="15"/>
        <v>2678.127500000001</v>
      </c>
    </row>
    <row r="140" spans="1:18" x14ac:dyDescent="0.3">
      <c r="A140" s="65">
        <v>46160</v>
      </c>
      <c r="B140" s="66">
        <f t="shared" si="10"/>
        <v>2678.127500000001</v>
      </c>
      <c r="C140" s="66">
        <f t="shared" si="11"/>
        <v>1857.8725000000009</v>
      </c>
      <c r="D140" s="67">
        <f t="shared" si="12"/>
        <v>820.25500000000011</v>
      </c>
      <c r="E140" s="67">
        <v>0</v>
      </c>
      <c r="F140" s="67">
        <v>0</v>
      </c>
      <c r="G140" s="67">
        <v>0</v>
      </c>
      <c r="H140" s="67">
        <v>0</v>
      </c>
      <c r="I140" s="66">
        <v>0</v>
      </c>
      <c r="J140" s="66">
        <v>0</v>
      </c>
      <c r="K140" s="66">
        <v>0</v>
      </c>
      <c r="L140" s="66">
        <v>0</v>
      </c>
      <c r="M140" s="66">
        <v>0</v>
      </c>
      <c r="P140" s="67">
        <f t="shared" si="13"/>
        <v>1857.8725000000009</v>
      </c>
      <c r="Q140" s="67">
        <f t="shared" si="14"/>
        <v>820.25500000000011</v>
      </c>
      <c r="R140" s="68">
        <f t="shared" si="15"/>
        <v>2678.127500000001</v>
      </c>
    </row>
    <row r="141" spans="1:18" x14ac:dyDescent="0.3">
      <c r="A141" s="65">
        <v>46161</v>
      </c>
      <c r="B141" s="66">
        <f t="shared" si="10"/>
        <v>2678.127500000001</v>
      </c>
      <c r="C141" s="66">
        <f t="shared" si="11"/>
        <v>1857.8725000000009</v>
      </c>
      <c r="D141" s="67">
        <f t="shared" si="12"/>
        <v>820.25500000000011</v>
      </c>
      <c r="E141" s="67">
        <v>0</v>
      </c>
      <c r="F141" s="67">
        <v>0</v>
      </c>
      <c r="G141" s="67">
        <v>0</v>
      </c>
      <c r="H141" s="67">
        <v>0</v>
      </c>
      <c r="I141" s="66">
        <v>0</v>
      </c>
      <c r="J141" s="66">
        <v>0</v>
      </c>
      <c r="K141" s="66">
        <v>0</v>
      </c>
      <c r="L141" s="66">
        <v>0</v>
      </c>
      <c r="M141" s="66">
        <v>0</v>
      </c>
      <c r="N141" s="66">
        <v>-36.5</v>
      </c>
      <c r="P141" s="67">
        <f t="shared" si="13"/>
        <v>1821.3725000000009</v>
      </c>
      <c r="Q141" s="67">
        <f t="shared" si="14"/>
        <v>820.25500000000011</v>
      </c>
      <c r="R141" s="68">
        <f t="shared" si="15"/>
        <v>2641.627500000001</v>
      </c>
    </row>
    <row r="142" spans="1:18" x14ac:dyDescent="0.3">
      <c r="A142" s="65">
        <v>46162</v>
      </c>
      <c r="B142" s="66">
        <f t="shared" si="10"/>
        <v>2641.627500000001</v>
      </c>
      <c r="C142" s="66">
        <f t="shared" si="11"/>
        <v>1821.3725000000009</v>
      </c>
      <c r="D142" s="67">
        <f t="shared" si="12"/>
        <v>820.25500000000011</v>
      </c>
      <c r="E142" s="67">
        <v>0</v>
      </c>
      <c r="F142" s="67">
        <v>0</v>
      </c>
      <c r="G142" s="67">
        <v>0</v>
      </c>
      <c r="H142" s="67">
        <v>0</v>
      </c>
      <c r="I142" s="66">
        <v>0</v>
      </c>
      <c r="J142" s="66">
        <v>0</v>
      </c>
      <c r="K142" s="66">
        <v>0</v>
      </c>
      <c r="L142" s="66">
        <v>0</v>
      </c>
      <c r="M142" s="66">
        <v>0</v>
      </c>
      <c r="N142" s="66">
        <v>0</v>
      </c>
      <c r="P142" s="67">
        <f t="shared" si="13"/>
        <v>1821.3725000000009</v>
      </c>
      <c r="Q142" s="67">
        <f t="shared" si="14"/>
        <v>820.25500000000011</v>
      </c>
      <c r="R142" s="68">
        <f t="shared" si="15"/>
        <v>2641.627500000001</v>
      </c>
    </row>
    <row r="143" spans="1:18" x14ac:dyDescent="0.3">
      <c r="A143" s="65">
        <v>46163</v>
      </c>
      <c r="B143" s="66">
        <f t="shared" si="10"/>
        <v>2641.627500000001</v>
      </c>
      <c r="C143" s="66">
        <f t="shared" si="11"/>
        <v>1821.3725000000009</v>
      </c>
      <c r="D143" s="67">
        <f t="shared" si="12"/>
        <v>820.25500000000011</v>
      </c>
      <c r="E143" s="67">
        <v>0</v>
      </c>
      <c r="F143" s="67">
        <v>0</v>
      </c>
      <c r="G143" s="67">
        <v>0</v>
      </c>
      <c r="H143" s="67">
        <v>0</v>
      </c>
      <c r="I143" s="66">
        <v>0</v>
      </c>
      <c r="J143" s="66">
        <v>0</v>
      </c>
      <c r="K143" s="66">
        <v>0</v>
      </c>
      <c r="L143" s="66">
        <v>0</v>
      </c>
      <c r="M143" s="66">
        <v>0</v>
      </c>
      <c r="N143" s="66">
        <v>0</v>
      </c>
      <c r="P143" s="67">
        <f t="shared" si="13"/>
        <v>1821.3725000000009</v>
      </c>
      <c r="Q143" s="67">
        <f t="shared" si="14"/>
        <v>820.25500000000011</v>
      </c>
      <c r="R143" s="68">
        <f t="shared" si="15"/>
        <v>2641.627500000001</v>
      </c>
    </row>
    <row r="144" spans="1:18" x14ac:dyDescent="0.3">
      <c r="A144" s="65">
        <v>46164</v>
      </c>
      <c r="B144" s="66">
        <f t="shared" si="10"/>
        <v>2641.627500000001</v>
      </c>
      <c r="C144" s="66">
        <f t="shared" si="11"/>
        <v>1821.3725000000009</v>
      </c>
      <c r="D144" s="67">
        <f t="shared" si="12"/>
        <v>820.25500000000011</v>
      </c>
      <c r="E144" s="67">
        <v>0</v>
      </c>
      <c r="F144" s="67">
        <v>0</v>
      </c>
      <c r="G144" s="67">
        <v>0</v>
      </c>
      <c r="H144" s="67">
        <v>0</v>
      </c>
      <c r="I144" s="66">
        <v>0</v>
      </c>
      <c r="J144" s="66">
        <v>0</v>
      </c>
      <c r="K144" s="66">
        <v>0</v>
      </c>
      <c r="L144" s="66">
        <v>0</v>
      </c>
      <c r="M144" s="66">
        <v>0</v>
      </c>
      <c r="N144" s="66">
        <v>0</v>
      </c>
      <c r="P144" s="67">
        <f t="shared" si="13"/>
        <v>1821.3725000000009</v>
      </c>
      <c r="Q144" s="67">
        <f t="shared" si="14"/>
        <v>820.25500000000011</v>
      </c>
      <c r="R144" s="68">
        <f t="shared" si="15"/>
        <v>2641.627500000001</v>
      </c>
    </row>
    <row r="145" spans="1:19" x14ac:dyDescent="0.3">
      <c r="A145" s="65">
        <v>46165</v>
      </c>
      <c r="B145" s="66">
        <f t="shared" si="10"/>
        <v>2641.627500000001</v>
      </c>
      <c r="C145" s="66">
        <f t="shared" si="11"/>
        <v>1821.3725000000009</v>
      </c>
      <c r="D145" s="67">
        <f t="shared" si="12"/>
        <v>820.25500000000011</v>
      </c>
      <c r="E145" s="67">
        <v>0</v>
      </c>
      <c r="F145" s="67">
        <v>0</v>
      </c>
      <c r="G145" s="67">
        <v>0</v>
      </c>
      <c r="H145" s="67">
        <v>0</v>
      </c>
      <c r="I145" s="66">
        <v>0</v>
      </c>
      <c r="J145" s="66">
        <v>0</v>
      </c>
      <c r="K145" s="66">
        <v>0</v>
      </c>
      <c r="L145" s="66">
        <v>0</v>
      </c>
      <c r="M145" s="66">
        <v>0</v>
      </c>
      <c r="N145" s="66">
        <v>0</v>
      </c>
      <c r="P145" s="67">
        <f t="shared" si="13"/>
        <v>1821.3725000000009</v>
      </c>
      <c r="Q145" s="67">
        <f t="shared" si="14"/>
        <v>820.25500000000011</v>
      </c>
      <c r="R145" s="68">
        <f t="shared" si="15"/>
        <v>2641.627500000001</v>
      </c>
    </row>
    <row r="146" spans="1:19" x14ac:dyDescent="0.3">
      <c r="A146" s="65">
        <v>46166</v>
      </c>
      <c r="B146" s="66">
        <f t="shared" si="10"/>
        <v>2641.627500000001</v>
      </c>
      <c r="C146" s="66">
        <f t="shared" si="11"/>
        <v>1821.3725000000009</v>
      </c>
      <c r="D146" s="67">
        <f t="shared" si="12"/>
        <v>820.25500000000011</v>
      </c>
      <c r="E146" s="67">
        <v>0</v>
      </c>
      <c r="F146" s="67">
        <v>0</v>
      </c>
      <c r="G146" s="67">
        <v>0</v>
      </c>
      <c r="H146" s="67">
        <v>0</v>
      </c>
      <c r="I146" s="66">
        <v>0</v>
      </c>
      <c r="J146" s="66">
        <v>0</v>
      </c>
      <c r="K146" s="66">
        <v>0</v>
      </c>
      <c r="L146" s="66">
        <v>0</v>
      </c>
      <c r="M146" s="66">
        <v>0</v>
      </c>
      <c r="N146" s="66">
        <v>0</v>
      </c>
      <c r="P146" s="67">
        <f t="shared" si="13"/>
        <v>1821.3725000000009</v>
      </c>
      <c r="Q146" s="67">
        <f t="shared" si="14"/>
        <v>820.25500000000011</v>
      </c>
      <c r="R146" s="68">
        <f t="shared" si="15"/>
        <v>2641.627500000001</v>
      </c>
    </row>
    <row r="147" spans="1:19" x14ac:dyDescent="0.3">
      <c r="A147" s="65">
        <v>46167</v>
      </c>
      <c r="B147" s="66">
        <f t="shared" si="10"/>
        <v>2641.627500000001</v>
      </c>
      <c r="C147" s="66">
        <f t="shared" si="11"/>
        <v>1821.3725000000009</v>
      </c>
      <c r="D147" s="67">
        <f t="shared" si="12"/>
        <v>820.25500000000011</v>
      </c>
      <c r="E147" s="67">
        <v>0</v>
      </c>
      <c r="F147" s="67">
        <v>0</v>
      </c>
      <c r="G147" s="67">
        <v>0</v>
      </c>
      <c r="H147" s="67">
        <v>0</v>
      </c>
      <c r="I147" s="66">
        <v>0</v>
      </c>
      <c r="J147" s="66">
        <v>0</v>
      </c>
      <c r="K147" s="66">
        <v>0</v>
      </c>
      <c r="L147" s="66">
        <v>0</v>
      </c>
      <c r="M147" s="66">
        <v>0</v>
      </c>
      <c r="N147" s="66">
        <v>0</v>
      </c>
      <c r="P147" s="67">
        <f t="shared" si="13"/>
        <v>1821.3725000000009</v>
      </c>
      <c r="Q147" s="67">
        <f t="shared" si="14"/>
        <v>820.25500000000011</v>
      </c>
      <c r="R147" s="68">
        <f t="shared" si="15"/>
        <v>2641.627500000001</v>
      </c>
    </row>
    <row r="148" spans="1:19" x14ac:dyDescent="0.3">
      <c r="A148" s="65">
        <v>46168</v>
      </c>
      <c r="B148" s="66">
        <f t="shared" si="10"/>
        <v>2641.627500000001</v>
      </c>
      <c r="C148" s="66">
        <f t="shared" si="11"/>
        <v>1821.3725000000009</v>
      </c>
      <c r="D148" s="67">
        <f t="shared" si="12"/>
        <v>820.25500000000011</v>
      </c>
      <c r="E148" s="67">
        <v>0</v>
      </c>
      <c r="F148" s="67">
        <v>0</v>
      </c>
      <c r="G148" s="67">
        <v>0</v>
      </c>
      <c r="H148" s="67">
        <v>0</v>
      </c>
      <c r="I148" s="66">
        <v>0</v>
      </c>
      <c r="J148" s="66">
        <v>0</v>
      </c>
      <c r="K148" s="66">
        <v>0</v>
      </c>
      <c r="L148" s="66">
        <v>-67.239999999999995</v>
      </c>
      <c r="M148" s="66">
        <v>0</v>
      </c>
      <c r="N148" s="66">
        <v>0</v>
      </c>
      <c r="P148" s="67">
        <f t="shared" si="13"/>
        <v>1754.1325000000008</v>
      </c>
      <c r="Q148" s="67">
        <f t="shared" si="14"/>
        <v>820.25500000000011</v>
      </c>
      <c r="R148" s="68">
        <f t="shared" si="15"/>
        <v>2574.3875000000007</v>
      </c>
    </row>
    <row r="149" spans="1:19" x14ac:dyDescent="0.3">
      <c r="A149" s="65">
        <v>46169</v>
      </c>
      <c r="B149" s="66">
        <f t="shared" si="10"/>
        <v>2574.3875000000007</v>
      </c>
      <c r="C149" s="66">
        <f t="shared" si="11"/>
        <v>1754.1325000000008</v>
      </c>
      <c r="D149" s="67">
        <f t="shared" si="12"/>
        <v>820.25500000000011</v>
      </c>
      <c r="E149" s="67">
        <v>0</v>
      </c>
      <c r="F149" s="67">
        <v>0</v>
      </c>
      <c r="G149" s="67">
        <v>0</v>
      </c>
      <c r="H149" s="67">
        <v>0</v>
      </c>
      <c r="I149" s="66">
        <v>0</v>
      </c>
      <c r="J149" s="66">
        <v>0</v>
      </c>
      <c r="K149" s="66">
        <v>0</v>
      </c>
      <c r="L149" s="66">
        <v>0</v>
      </c>
      <c r="M149" s="66">
        <v>0</v>
      </c>
      <c r="N149" s="66">
        <v>0</v>
      </c>
      <c r="P149" s="67">
        <f t="shared" si="13"/>
        <v>1754.1325000000008</v>
      </c>
      <c r="Q149" s="67">
        <f t="shared" si="14"/>
        <v>820.25500000000011</v>
      </c>
      <c r="R149" s="68">
        <f t="shared" si="15"/>
        <v>2574.3875000000007</v>
      </c>
    </row>
    <row r="150" spans="1:19" x14ac:dyDescent="0.3">
      <c r="A150" s="65">
        <v>46170</v>
      </c>
      <c r="B150" s="66">
        <f t="shared" si="10"/>
        <v>2574.3875000000007</v>
      </c>
      <c r="C150" s="66">
        <f t="shared" si="11"/>
        <v>1754.1325000000008</v>
      </c>
      <c r="D150" s="67">
        <f t="shared" si="12"/>
        <v>820.25500000000011</v>
      </c>
      <c r="E150" s="67">
        <v>0</v>
      </c>
      <c r="F150" s="67">
        <v>0</v>
      </c>
      <c r="G150" s="67">
        <v>0</v>
      </c>
      <c r="H150" s="67">
        <v>0</v>
      </c>
      <c r="I150" s="66">
        <v>0</v>
      </c>
      <c r="J150" s="66">
        <v>0</v>
      </c>
      <c r="K150" s="66">
        <v>0</v>
      </c>
      <c r="L150" s="66">
        <v>0</v>
      </c>
      <c r="M150" s="66">
        <v>0</v>
      </c>
      <c r="N150" s="66">
        <v>0</v>
      </c>
      <c r="P150" s="67">
        <f t="shared" si="13"/>
        <v>1754.1325000000008</v>
      </c>
      <c r="Q150" s="67">
        <f t="shared" si="14"/>
        <v>820.25500000000011</v>
      </c>
      <c r="R150" s="68">
        <f t="shared" si="15"/>
        <v>2574.3875000000007</v>
      </c>
    </row>
    <row r="151" spans="1:19" x14ac:dyDescent="0.3">
      <c r="A151" s="65">
        <v>46171</v>
      </c>
      <c r="B151" s="66">
        <f t="shared" si="10"/>
        <v>2574.3875000000007</v>
      </c>
      <c r="C151" s="66">
        <f t="shared" si="11"/>
        <v>1754.1325000000008</v>
      </c>
      <c r="D151" s="67">
        <f t="shared" si="12"/>
        <v>820.25500000000011</v>
      </c>
      <c r="E151" s="67">
        <v>0</v>
      </c>
      <c r="F151" s="67">
        <v>0</v>
      </c>
      <c r="G151" s="67">
        <v>0</v>
      </c>
      <c r="H151" s="67">
        <v>0</v>
      </c>
      <c r="I151" s="66">
        <v>0</v>
      </c>
      <c r="J151" s="66">
        <v>0</v>
      </c>
      <c r="K151" s="66">
        <v>0</v>
      </c>
      <c r="L151" s="66">
        <v>0</v>
      </c>
      <c r="M151" s="66">
        <v>0</v>
      </c>
      <c r="N151" s="66">
        <v>0</v>
      </c>
      <c r="P151" s="67">
        <f t="shared" si="13"/>
        <v>1754.1325000000008</v>
      </c>
      <c r="Q151" s="67">
        <f t="shared" si="14"/>
        <v>820.25500000000011</v>
      </c>
      <c r="R151" s="68">
        <f t="shared" si="15"/>
        <v>2574.3875000000007</v>
      </c>
    </row>
    <row r="152" spans="1:19" x14ac:dyDescent="0.3">
      <c r="A152" s="65">
        <v>46172</v>
      </c>
      <c r="B152" s="66">
        <f t="shared" si="10"/>
        <v>2574.3875000000007</v>
      </c>
      <c r="C152" s="66">
        <f t="shared" si="11"/>
        <v>1754.1325000000008</v>
      </c>
      <c r="D152" s="67">
        <f t="shared" si="12"/>
        <v>820.25500000000011</v>
      </c>
      <c r="E152" s="67">
        <v>611.16</v>
      </c>
      <c r="F152" s="67">
        <v>0</v>
      </c>
      <c r="G152" s="67">
        <v>77.835000000000008</v>
      </c>
      <c r="H152" s="67">
        <v>0</v>
      </c>
      <c r="I152" s="66">
        <v>0</v>
      </c>
      <c r="J152" s="66">
        <v>0</v>
      </c>
      <c r="K152" s="66">
        <v>0</v>
      </c>
      <c r="L152" s="66">
        <v>0</v>
      </c>
      <c r="M152" s="66">
        <v>0</v>
      </c>
      <c r="N152" s="66">
        <v>0</v>
      </c>
      <c r="O152" s="66">
        <v>0.01</v>
      </c>
      <c r="P152" s="67">
        <f t="shared" si="13"/>
        <v>2365.2925000000009</v>
      </c>
      <c r="Q152" s="67">
        <f t="shared" si="14"/>
        <v>898.10000000000014</v>
      </c>
      <c r="R152" s="68">
        <f t="shared" si="15"/>
        <v>3263.3925000000008</v>
      </c>
    </row>
    <row r="153" spans="1:19" x14ac:dyDescent="0.3">
      <c r="A153" s="65">
        <v>46173</v>
      </c>
      <c r="B153" s="66">
        <f t="shared" si="10"/>
        <v>3263.3925000000008</v>
      </c>
      <c r="C153" s="66">
        <f t="shared" si="11"/>
        <v>2365.2925000000009</v>
      </c>
      <c r="D153" s="67">
        <f t="shared" si="12"/>
        <v>898.10000000000014</v>
      </c>
      <c r="E153" s="67">
        <v>0</v>
      </c>
      <c r="F153" s="67">
        <v>0</v>
      </c>
      <c r="G153" s="67">
        <v>0</v>
      </c>
      <c r="H153" s="67">
        <v>0</v>
      </c>
      <c r="I153" s="66">
        <v>0</v>
      </c>
      <c r="J153" s="66">
        <v>0</v>
      </c>
      <c r="K153" s="66">
        <v>0</v>
      </c>
      <c r="L153" s="66">
        <v>0</v>
      </c>
      <c r="M153" s="66">
        <v>0</v>
      </c>
      <c r="N153" s="66">
        <v>0</v>
      </c>
      <c r="P153" s="67">
        <f t="shared" si="13"/>
        <v>2365.2925000000009</v>
      </c>
      <c r="Q153" s="67">
        <f t="shared" si="14"/>
        <v>898.10000000000014</v>
      </c>
      <c r="R153" s="68">
        <f t="shared" si="15"/>
        <v>3263.3925000000008</v>
      </c>
    </row>
    <row r="154" spans="1:19" x14ac:dyDescent="0.3">
      <c r="A154" s="65">
        <v>46174</v>
      </c>
      <c r="B154" s="66">
        <f t="shared" si="10"/>
        <v>3263.3925000000008</v>
      </c>
      <c r="C154" s="66">
        <f t="shared" si="11"/>
        <v>2365.2925000000009</v>
      </c>
      <c r="D154" s="67">
        <f t="shared" si="12"/>
        <v>898.10000000000014</v>
      </c>
      <c r="E154" s="67">
        <v>0</v>
      </c>
      <c r="F154" s="67">
        <v>0</v>
      </c>
      <c r="G154" s="67">
        <v>0</v>
      </c>
      <c r="H154" s="67">
        <v>0</v>
      </c>
      <c r="I154" s="66">
        <v>0</v>
      </c>
      <c r="J154" s="66">
        <v>0</v>
      </c>
      <c r="K154" s="66">
        <v>-175</v>
      </c>
      <c r="L154" s="66">
        <v>0</v>
      </c>
      <c r="M154" s="66">
        <v>0</v>
      </c>
      <c r="N154" s="66">
        <v>0</v>
      </c>
      <c r="P154" s="67">
        <f t="shared" si="13"/>
        <v>2190.2925000000009</v>
      </c>
      <c r="Q154" s="67">
        <f t="shared" si="14"/>
        <v>898.10000000000014</v>
      </c>
      <c r="R154" s="68">
        <f t="shared" si="15"/>
        <v>3088.3925000000008</v>
      </c>
    </row>
    <row r="155" spans="1:19" x14ac:dyDescent="0.3">
      <c r="A155" s="65">
        <v>46175</v>
      </c>
      <c r="B155" s="66">
        <f t="shared" si="10"/>
        <v>3088.3925000000008</v>
      </c>
      <c r="C155" s="66">
        <f t="shared" si="11"/>
        <v>2190.2925000000009</v>
      </c>
      <c r="D155" s="67">
        <f t="shared" si="12"/>
        <v>898.10000000000014</v>
      </c>
      <c r="E155" s="67">
        <v>0</v>
      </c>
      <c r="F155" s="67">
        <v>0</v>
      </c>
      <c r="G155" s="67">
        <v>0</v>
      </c>
      <c r="H155" s="67">
        <v>0</v>
      </c>
      <c r="I155" s="66">
        <v>0</v>
      </c>
      <c r="J155" s="66">
        <v>0</v>
      </c>
      <c r="K155" s="66">
        <v>0</v>
      </c>
      <c r="L155" s="66">
        <v>0</v>
      </c>
      <c r="M155" s="66">
        <v>0</v>
      </c>
      <c r="N155" s="66">
        <v>0</v>
      </c>
      <c r="P155" s="67">
        <f t="shared" si="13"/>
        <v>2190.2925000000009</v>
      </c>
      <c r="Q155" s="67">
        <f t="shared" si="14"/>
        <v>898.10000000000014</v>
      </c>
      <c r="R155" s="68">
        <f t="shared" si="15"/>
        <v>3088.3925000000008</v>
      </c>
    </row>
    <row r="156" spans="1:19" x14ac:dyDescent="0.3">
      <c r="A156" s="65">
        <v>46176</v>
      </c>
      <c r="B156" s="66">
        <f t="shared" si="10"/>
        <v>3088.3925000000008</v>
      </c>
      <c r="C156" s="66">
        <f t="shared" si="11"/>
        <v>2190.2925000000009</v>
      </c>
      <c r="D156" s="67">
        <f t="shared" si="12"/>
        <v>898.10000000000014</v>
      </c>
      <c r="E156" s="67">
        <v>0</v>
      </c>
      <c r="F156" s="67">
        <v>0</v>
      </c>
      <c r="G156" s="67">
        <v>0</v>
      </c>
      <c r="H156" s="67">
        <v>0</v>
      </c>
      <c r="I156" s="66">
        <v>0</v>
      </c>
      <c r="J156" s="66">
        <v>-41.66</v>
      </c>
      <c r="K156" s="66">
        <v>0</v>
      </c>
      <c r="L156" s="66">
        <v>0</v>
      </c>
      <c r="M156" s="66">
        <v>0</v>
      </c>
      <c r="N156" s="66">
        <v>0</v>
      </c>
      <c r="O156" s="66">
        <v>-500</v>
      </c>
      <c r="P156" s="67">
        <f t="shared" si="13"/>
        <v>2148.6325000000011</v>
      </c>
      <c r="Q156" s="67">
        <f t="shared" si="14"/>
        <v>398.10000000000014</v>
      </c>
      <c r="R156" s="68">
        <f t="shared" si="15"/>
        <v>2546.732500000001</v>
      </c>
      <c r="S156" s="15" t="s">
        <v>62</v>
      </c>
    </row>
    <row r="157" spans="1:19" x14ac:dyDescent="0.3">
      <c r="A157" s="65">
        <v>46177</v>
      </c>
      <c r="B157" s="66">
        <f t="shared" si="10"/>
        <v>2546.732500000001</v>
      </c>
      <c r="C157" s="66">
        <f t="shared" si="11"/>
        <v>2148.6325000000011</v>
      </c>
      <c r="D157" s="67">
        <f t="shared" si="12"/>
        <v>398.10000000000014</v>
      </c>
      <c r="E157" s="67">
        <v>0</v>
      </c>
      <c r="F157" s="67">
        <v>0</v>
      </c>
      <c r="G157" s="67">
        <v>0</v>
      </c>
      <c r="H157" s="67">
        <v>0</v>
      </c>
      <c r="I157" s="66">
        <v>0</v>
      </c>
      <c r="J157" s="66">
        <v>0</v>
      </c>
      <c r="K157" s="66">
        <v>0</v>
      </c>
      <c r="L157" s="66">
        <v>0</v>
      </c>
      <c r="M157" s="66">
        <v>0</v>
      </c>
      <c r="N157" s="66">
        <v>0</v>
      </c>
      <c r="P157" s="67">
        <f t="shared" si="13"/>
        <v>2148.6325000000011</v>
      </c>
      <c r="Q157" s="67">
        <f t="shared" si="14"/>
        <v>398.10000000000014</v>
      </c>
      <c r="R157" s="68">
        <f t="shared" si="15"/>
        <v>2546.732500000001</v>
      </c>
    </row>
    <row r="158" spans="1:19" x14ac:dyDescent="0.3">
      <c r="A158" s="65">
        <v>46178</v>
      </c>
      <c r="B158" s="66">
        <f t="shared" si="10"/>
        <v>2546.732500000001</v>
      </c>
      <c r="C158" s="66">
        <f t="shared" si="11"/>
        <v>2148.6325000000011</v>
      </c>
      <c r="D158" s="67">
        <f t="shared" si="12"/>
        <v>398.10000000000014</v>
      </c>
      <c r="E158" s="67">
        <v>0</v>
      </c>
      <c r="F158" s="67">
        <v>0</v>
      </c>
      <c r="G158" s="67">
        <v>0</v>
      </c>
      <c r="H158" s="67">
        <v>0</v>
      </c>
      <c r="I158" s="66">
        <v>0</v>
      </c>
      <c r="J158" s="66">
        <v>0</v>
      </c>
      <c r="K158" s="66">
        <v>0</v>
      </c>
      <c r="L158" s="66">
        <v>0</v>
      </c>
      <c r="M158" s="66">
        <v>0</v>
      </c>
      <c r="N158" s="66">
        <v>0</v>
      </c>
      <c r="P158" s="67">
        <f t="shared" si="13"/>
        <v>2148.6325000000011</v>
      </c>
      <c r="Q158" s="67">
        <f t="shared" si="14"/>
        <v>398.10000000000014</v>
      </c>
      <c r="R158" s="68">
        <f t="shared" si="15"/>
        <v>2546.732500000001</v>
      </c>
    </row>
    <row r="159" spans="1:19" x14ac:dyDescent="0.3">
      <c r="A159" s="65">
        <v>46179</v>
      </c>
      <c r="B159" s="66">
        <f t="shared" si="10"/>
        <v>2546.732500000001</v>
      </c>
      <c r="C159" s="66">
        <f t="shared" si="11"/>
        <v>2148.6325000000011</v>
      </c>
      <c r="D159" s="67">
        <f t="shared" si="12"/>
        <v>398.10000000000014</v>
      </c>
      <c r="E159" s="67">
        <v>0</v>
      </c>
      <c r="F159" s="67">
        <v>0</v>
      </c>
      <c r="G159" s="67">
        <v>0</v>
      </c>
      <c r="H159" s="67">
        <v>0</v>
      </c>
      <c r="I159" s="66">
        <v>0</v>
      </c>
      <c r="J159" s="66">
        <v>0</v>
      </c>
      <c r="K159" s="66">
        <v>0</v>
      </c>
      <c r="L159" s="66">
        <v>0</v>
      </c>
      <c r="M159" s="66">
        <v>0</v>
      </c>
      <c r="N159" s="66">
        <v>0</v>
      </c>
      <c r="P159" s="67">
        <f t="shared" si="13"/>
        <v>2148.6325000000011</v>
      </c>
      <c r="Q159" s="67">
        <f t="shared" si="14"/>
        <v>398.10000000000014</v>
      </c>
      <c r="R159" s="68">
        <f t="shared" si="15"/>
        <v>2546.732500000001</v>
      </c>
    </row>
    <row r="160" spans="1:19" x14ac:dyDescent="0.3">
      <c r="A160" s="65">
        <v>46180</v>
      </c>
      <c r="B160" s="66">
        <f t="shared" si="10"/>
        <v>2546.732500000001</v>
      </c>
      <c r="C160" s="66">
        <f t="shared" si="11"/>
        <v>2148.6325000000011</v>
      </c>
      <c r="D160" s="67">
        <f t="shared" si="12"/>
        <v>398.10000000000014</v>
      </c>
      <c r="E160" s="67">
        <v>0</v>
      </c>
      <c r="F160" s="67">
        <v>0</v>
      </c>
      <c r="G160" s="67">
        <v>0</v>
      </c>
      <c r="H160" s="67">
        <v>0</v>
      </c>
      <c r="I160" s="66">
        <v>-2036.51</v>
      </c>
      <c r="J160" s="66">
        <v>0</v>
      </c>
      <c r="K160" s="66">
        <v>0</v>
      </c>
      <c r="L160" s="66">
        <v>0</v>
      </c>
      <c r="M160" s="66">
        <v>0</v>
      </c>
      <c r="N160" s="66">
        <v>0</v>
      </c>
      <c r="P160" s="67">
        <f t="shared" si="13"/>
        <v>112.12250000000108</v>
      </c>
      <c r="Q160" s="67">
        <f t="shared" si="14"/>
        <v>398.10000000000014</v>
      </c>
      <c r="R160" s="68">
        <f t="shared" si="15"/>
        <v>510.22250000000122</v>
      </c>
    </row>
    <row r="161" spans="1:18" x14ac:dyDescent="0.3">
      <c r="A161" s="65">
        <v>46181</v>
      </c>
      <c r="B161" s="66">
        <f t="shared" si="10"/>
        <v>510.22250000000122</v>
      </c>
      <c r="C161" s="66">
        <f t="shared" si="11"/>
        <v>112.12250000000108</v>
      </c>
      <c r="D161" s="67">
        <f t="shared" si="12"/>
        <v>398.10000000000014</v>
      </c>
      <c r="E161" s="67">
        <v>0</v>
      </c>
      <c r="F161" s="67">
        <v>0</v>
      </c>
      <c r="G161" s="67">
        <v>0</v>
      </c>
      <c r="H161" s="67">
        <v>0</v>
      </c>
      <c r="I161" s="66">
        <v>0</v>
      </c>
      <c r="J161" s="66">
        <v>0</v>
      </c>
      <c r="K161" s="66">
        <v>0</v>
      </c>
      <c r="L161" s="66">
        <v>0</v>
      </c>
      <c r="M161" s="66">
        <v>0</v>
      </c>
      <c r="N161" s="66">
        <v>0</v>
      </c>
      <c r="P161" s="67">
        <f t="shared" si="13"/>
        <v>112.12250000000108</v>
      </c>
      <c r="Q161" s="67">
        <f t="shared" si="14"/>
        <v>398.10000000000014</v>
      </c>
      <c r="R161" s="68">
        <f t="shared" si="15"/>
        <v>510.22250000000122</v>
      </c>
    </row>
    <row r="162" spans="1:18" x14ac:dyDescent="0.3">
      <c r="A162" s="65">
        <v>46182</v>
      </c>
      <c r="B162" s="66">
        <f t="shared" si="10"/>
        <v>510.22250000000122</v>
      </c>
      <c r="C162" s="66">
        <f t="shared" si="11"/>
        <v>112.12250000000108</v>
      </c>
      <c r="D162" s="67">
        <f t="shared" si="12"/>
        <v>398.10000000000014</v>
      </c>
      <c r="E162" s="67">
        <v>0</v>
      </c>
      <c r="F162" s="67">
        <v>0</v>
      </c>
      <c r="G162" s="67">
        <v>0</v>
      </c>
      <c r="H162" s="67">
        <v>0</v>
      </c>
      <c r="I162" s="66">
        <v>0</v>
      </c>
      <c r="J162" s="66">
        <v>0</v>
      </c>
      <c r="K162" s="66">
        <v>0</v>
      </c>
      <c r="L162" s="66">
        <v>0</v>
      </c>
      <c r="M162" s="66">
        <v>0</v>
      </c>
      <c r="N162" s="66">
        <v>0</v>
      </c>
      <c r="P162" s="67">
        <f t="shared" si="13"/>
        <v>112.12250000000108</v>
      </c>
      <c r="Q162" s="67">
        <f t="shared" si="14"/>
        <v>398.10000000000014</v>
      </c>
      <c r="R162" s="68">
        <f t="shared" si="15"/>
        <v>510.22250000000122</v>
      </c>
    </row>
    <row r="163" spans="1:18" x14ac:dyDescent="0.3">
      <c r="A163" s="65">
        <v>46183</v>
      </c>
      <c r="B163" s="66">
        <f t="shared" ref="B163:B182" si="16">R162</f>
        <v>510.22250000000122</v>
      </c>
      <c r="C163" s="66">
        <f t="shared" si="11"/>
        <v>112.12250000000108</v>
      </c>
      <c r="D163" s="67">
        <f t="shared" si="12"/>
        <v>398.10000000000014</v>
      </c>
      <c r="E163" s="67">
        <v>0</v>
      </c>
      <c r="F163" s="67">
        <v>0</v>
      </c>
      <c r="G163" s="67">
        <v>0</v>
      </c>
      <c r="H163" s="67">
        <v>0</v>
      </c>
      <c r="I163" s="66">
        <v>0</v>
      </c>
      <c r="J163" s="66">
        <v>0</v>
      </c>
      <c r="K163" s="66">
        <v>0</v>
      </c>
      <c r="L163" s="66">
        <v>0</v>
      </c>
      <c r="M163" s="66">
        <v>0</v>
      </c>
      <c r="N163" s="66">
        <v>0</v>
      </c>
      <c r="P163" s="67">
        <f t="shared" si="13"/>
        <v>112.12250000000108</v>
      </c>
      <c r="Q163" s="67">
        <f t="shared" si="14"/>
        <v>398.10000000000014</v>
      </c>
      <c r="R163" s="68">
        <f t="shared" si="15"/>
        <v>510.22250000000122</v>
      </c>
    </row>
    <row r="164" spans="1:18" x14ac:dyDescent="0.3">
      <c r="A164" s="65">
        <v>46184</v>
      </c>
      <c r="B164" s="66">
        <f t="shared" si="16"/>
        <v>510.22250000000122</v>
      </c>
      <c r="C164" s="66">
        <f t="shared" ref="C164:C182" si="17">P163</f>
        <v>112.12250000000108</v>
      </c>
      <c r="D164" s="67">
        <f t="shared" ref="D164:D182" si="18">Q163</f>
        <v>398.10000000000014</v>
      </c>
      <c r="E164" s="67">
        <v>0</v>
      </c>
      <c r="F164" s="67">
        <v>0</v>
      </c>
      <c r="G164" s="67">
        <v>0</v>
      </c>
      <c r="H164" s="67">
        <v>0</v>
      </c>
      <c r="I164" s="66">
        <v>0</v>
      </c>
      <c r="J164" s="66">
        <v>0</v>
      </c>
      <c r="K164" s="66">
        <v>0</v>
      </c>
      <c r="L164" s="66">
        <v>0</v>
      </c>
      <c r="M164" s="66">
        <v>0</v>
      </c>
      <c r="N164" s="66">
        <v>0</v>
      </c>
      <c r="P164" s="67">
        <f t="shared" ref="P164:P215" si="19">C164+(SUM(I164:N164)+(SUM(E164:F164)))</f>
        <v>112.12250000000108</v>
      </c>
      <c r="Q164" s="67">
        <f t="shared" ref="Q164:Q215" si="20">D164+G164+H164+O164</f>
        <v>398.10000000000014</v>
      </c>
      <c r="R164" s="68">
        <f t="shared" ref="R164:R215" si="21">P164+Q164</f>
        <v>510.22250000000122</v>
      </c>
    </row>
    <row r="165" spans="1:18" x14ac:dyDescent="0.3">
      <c r="A165" s="65">
        <v>46185</v>
      </c>
      <c r="B165" s="66">
        <f t="shared" si="16"/>
        <v>510.22250000000122</v>
      </c>
      <c r="C165" s="66">
        <f t="shared" si="17"/>
        <v>112.12250000000108</v>
      </c>
      <c r="D165" s="67">
        <f t="shared" si="18"/>
        <v>398.10000000000014</v>
      </c>
      <c r="E165" s="67">
        <v>0</v>
      </c>
      <c r="F165" s="67">
        <v>0</v>
      </c>
      <c r="G165" s="67">
        <v>0</v>
      </c>
      <c r="H165" s="67">
        <v>0</v>
      </c>
      <c r="I165" s="66">
        <v>0</v>
      </c>
      <c r="J165" s="66">
        <v>0</v>
      </c>
      <c r="K165" s="66">
        <v>0</v>
      </c>
      <c r="L165" s="66">
        <v>0</v>
      </c>
      <c r="M165" s="66">
        <v>-51.2</v>
      </c>
      <c r="N165" s="66">
        <v>0</v>
      </c>
      <c r="P165" s="67">
        <f t="shared" si="19"/>
        <v>60.922500000001079</v>
      </c>
      <c r="Q165" s="67">
        <f t="shared" si="20"/>
        <v>398.10000000000014</v>
      </c>
      <c r="R165" s="68">
        <f t="shared" si="21"/>
        <v>459.02250000000123</v>
      </c>
    </row>
    <row r="166" spans="1:18" x14ac:dyDescent="0.3">
      <c r="A166" s="65">
        <v>46186</v>
      </c>
      <c r="B166" s="66">
        <f t="shared" si="16"/>
        <v>459.02250000000123</v>
      </c>
      <c r="C166" s="66">
        <f t="shared" si="17"/>
        <v>60.922500000001079</v>
      </c>
      <c r="D166" s="67">
        <f t="shared" si="18"/>
        <v>398.10000000000014</v>
      </c>
      <c r="E166" s="67">
        <v>611.16</v>
      </c>
      <c r="F166" s="67">
        <v>0</v>
      </c>
      <c r="G166" s="67">
        <v>77.835000000000008</v>
      </c>
      <c r="H166" s="67">
        <v>0</v>
      </c>
      <c r="I166" s="66">
        <v>0</v>
      </c>
      <c r="J166" s="66">
        <v>0</v>
      </c>
      <c r="K166" s="66">
        <v>0</v>
      </c>
      <c r="L166" s="66">
        <v>0</v>
      </c>
      <c r="M166" s="66">
        <v>0</v>
      </c>
      <c r="N166" s="66">
        <v>0</v>
      </c>
      <c r="P166" s="67">
        <f t="shared" si="19"/>
        <v>672.082500000001</v>
      </c>
      <c r="Q166" s="67">
        <f t="shared" si="20"/>
        <v>475.93500000000017</v>
      </c>
      <c r="R166" s="68">
        <f t="shared" si="21"/>
        <v>1148.0175000000013</v>
      </c>
    </row>
    <row r="167" spans="1:18" x14ac:dyDescent="0.3">
      <c r="A167" s="65">
        <v>46187</v>
      </c>
      <c r="B167" s="66">
        <f t="shared" si="16"/>
        <v>1148.0175000000013</v>
      </c>
      <c r="C167" s="66">
        <f t="shared" si="17"/>
        <v>672.082500000001</v>
      </c>
      <c r="D167" s="67">
        <f t="shared" si="18"/>
        <v>475.93500000000017</v>
      </c>
      <c r="E167" s="67">
        <v>0</v>
      </c>
      <c r="F167" s="67">
        <v>0</v>
      </c>
      <c r="G167" s="67">
        <v>0</v>
      </c>
      <c r="H167" s="67">
        <v>0</v>
      </c>
      <c r="I167" s="66">
        <v>0</v>
      </c>
      <c r="J167" s="66">
        <v>0</v>
      </c>
      <c r="K167" s="66">
        <v>0</v>
      </c>
      <c r="L167" s="66">
        <v>0</v>
      </c>
      <c r="M167" s="66">
        <v>0</v>
      </c>
      <c r="N167" s="66">
        <v>0</v>
      </c>
      <c r="P167" s="67">
        <f t="shared" si="19"/>
        <v>672.082500000001</v>
      </c>
      <c r="Q167" s="67">
        <f t="shared" si="20"/>
        <v>475.93500000000017</v>
      </c>
      <c r="R167" s="68">
        <f t="shared" si="21"/>
        <v>1148.0175000000013</v>
      </c>
    </row>
    <row r="168" spans="1:18" x14ac:dyDescent="0.3">
      <c r="A168" s="65">
        <v>46188</v>
      </c>
      <c r="B168" s="66">
        <f t="shared" si="16"/>
        <v>1148.0175000000013</v>
      </c>
      <c r="C168" s="66">
        <f t="shared" si="17"/>
        <v>672.082500000001</v>
      </c>
      <c r="D168" s="67">
        <f t="shared" si="18"/>
        <v>475.93500000000017</v>
      </c>
      <c r="E168" s="67">
        <v>0</v>
      </c>
      <c r="F168" s="67">
        <v>0</v>
      </c>
      <c r="G168" s="67">
        <v>0</v>
      </c>
      <c r="H168" s="67">
        <v>0</v>
      </c>
      <c r="I168" s="66">
        <v>0</v>
      </c>
      <c r="J168" s="66">
        <v>0</v>
      </c>
      <c r="K168" s="66">
        <v>0</v>
      </c>
      <c r="L168" s="66">
        <v>0</v>
      </c>
      <c r="M168" s="66">
        <v>0</v>
      </c>
      <c r="N168" s="66">
        <v>-36.5</v>
      </c>
      <c r="P168" s="67">
        <f t="shared" si="19"/>
        <v>635.582500000001</v>
      </c>
      <c r="Q168" s="67">
        <f t="shared" si="20"/>
        <v>475.93500000000017</v>
      </c>
      <c r="R168" s="68">
        <f t="shared" si="21"/>
        <v>1111.5175000000013</v>
      </c>
    </row>
    <row r="169" spans="1:18" x14ac:dyDescent="0.3">
      <c r="A169" s="65">
        <v>46189</v>
      </c>
      <c r="B169" s="66">
        <f t="shared" si="16"/>
        <v>1111.5175000000013</v>
      </c>
      <c r="C169" s="66">
        <f t="shared" si="17"/>
        <v>635.582500000001</v>
      </c>
      <c r="D169" s="67">
        <f t="shared" si="18"/>
        <v>475.93500000000017</v>
      </c>
      <c r="E169" s="67">
        <v>0</v>
      </c>
      <c r="F169" s="67">
        <v>0</v>
      </c>
      <c r="G169" s="67">
        <v>0</v>
      </c>
      <c r="H169" s="67">
        <v>0</v>
      </c>
      <c r="I169" s="66">
        <v>0</v>
      </c>
      <c r="J169" s="66">
        <v>0</v>
      </c>
      <c r="K169" s="66">
        <v>0</v>
      </c>
      <c r="L169" s="66">
        <v>0</v>
      </c>
      <c r="M169" s="66">
        <v>0</v>
      </c>
      <c r="N169" s="66">
        <v>0</v>
      </c>
      <c r="P169" s="67">
        <f t="shared" si="19"/>
        <v>635.582500000001</v>
      </c>
      <c r="Q169" s="67">
        <f t="shared" si="20"/>
        <v>475.93500000000017</v>
      </c>
      <c r="R169" s="68">
        <f t="shared" si="21"/>
        <v>1111.5175000000013</v>
      </c>
    </row>
    <row r="170" spans="1:18" x14ac:dyDescent="0.3">
      <c r="A170" s="65">
        <v>46190</v>
      </c>
      <c r="B170" s="66">
        <f t="shared" si="16"/>
        <v>1111.5175000000013</v>
      </c>
      <c r="C170" s="66">
        <f t="shared" si="17"/>
        <v>635.582500000001</v>
      </c>
      <c r="D170" s="67">
        <f t="shared" si="18"/>
        <v>475.93500000000017</v>
      </c>
      <c r="E170" s="67">
        <v>0</v>
      </c>
      <c r="F170" s="67">
        <v>0</v>
      </c>
      <c r="G170" s="67">
        <v>0</v>
      </c>
      <c r="H170" s="67">
        <v>0</v>
      </c>
      <c r="I170" s="66">
        <v>0</v>
      </c>
      <c r="J170" s="66">
        <v>0</v>
      </c>
      <c r="K170" s="66">
        <v>0</v>
      </c>
      <c r="L170" s="66">
        <v>0</v>
      </c>
      <c r="M170" s="66">
        <v>0</v>
      </c>
      <c r="N170" s="66">
        <v>0</v>
      </c>
      <c r="P170" s="67">
        <f t="shared" si="19"/>
        <v>635.582500000001</v>
      </c>
      <c r="Q170" s="67">
        <f t="shared" si="20"/>
        <v>475.93500000000017</v>
      </c>
      <c r="R170" s="68">
        <f t="shared" si="21"/>
        <v>1111.5175000000013</v>
      </c>
    </row>
    <row r="171" spans="1:18" x14ac:dyDescent="0.3">
      <c r="A171" s="65">
        <v>46191</v>
      </c>
      <c r="B171" s="66">
        <f t="shared" si="16"/>
        <v>1111.5175000000013</v>
      </c>
      <c r="C171" s="66">
        <f t="shared" si="17"/>
        <v>635.582500000001</v>
      </c>
      <c r="D171" s="67">
        <f t="shared" si="18"/>
        <v>475.93500000000017</v>
      </c>
      <c r="E171" s="67">
        <v>0</v>
      </c>
      <c r="F171" s="67">
        <v>0</v>
      </c>
      <c r="G171" s="67">
        <v>0</v>
      </c>
      <c r="H171" s="67">
        <v>0</v>
      </c>
      <c r="I171" s="66">
        <v>0</v>
      </c>
      <c r="J171" s="66">
        <v>0</v>
      </c>
      <c r="K171" s="66">
        <v>0</v>
      </c>
      <c r="L171" s="66">
        <v>0</v>
      </c>
      <c r="M171" s="66">
        <v>0</v>
      </c>
      <c r="N171" s="66">
        <v>0</v>
      </c>
      <c r="O171" s="66">
        <v>0.02</v>
      </c>
      <c r="P171" s="67">
        <f t="shared" si="19"/>
        <v>635.582500000001</v>
      </c>
      <c r="Q171" s="67">
        <f t="shared" si="20"/>
        <v>475.95500000000015</v>
      </c>
      <c r="R171" s="68">
        <f t="shared" si="21"/>
        <v>1111.5375000000013</v>
      </c>
    </row>
    <row r="172" spans="1:18" x14ac:dyDescent="0.3">
      <c r="A172" s="65">
        <v>46192</v>
      </c>
      <c r="B172" s="66">
        <f t="shared" si="16"/>
        <v>1111.5375000000013</v>
      </c>
      <c r="C172" s="66">
        <f t="shared" si="17"/>
        <v>635.582500000001</v>
      </c>
      <c r="D172" s="67">
        <f t="shared" si="18"/>
        <v>475.95500000000015</v>
      </c>
      <c r="E172" s="67">
        <v>0</v>
      </c>
      <c r="F172" s="67">
        <v>0</v>
      </c>
      <c r="G172" s="67">
        <v>0</v>
      </c>
      <c r="H172" s="67">
        <v>0</v>
      </c>
      <c r="I172" s="66">
        <v>0</v>
      </c>
      <c r="J172" s="66">
        <v>0</v>
      </c>
      <c r="K172" s="66">
        <v>0</v>
      </c>
      <c r="L172" s="66">
        <v>0</v>
      </c>
      <c r="M172" s="66">
        <v>0</v>
      </c>
      <c r="N172" s="66">
        <v>0</v>
      </c>
      <c r="P172" s="67">
        <f t="shared" si="19"/>
        <v>635.582500000001</v>
      </c>
      <c r="Q172" s="67">
        <f t="shared" si="20"/>
        <v>475.95500000000015</v>
      </c>
      <c r="R172" s="68">
        <f t="shared" si="21"/>
        <v>1111.5375000000013</v>
      </c>
    </row>
    <row r="173" spans="1:18" x14ac:dyDescent="0.3">
      <c r="A173" s="65">
        <v>46193</v>
      </c>
      <c r="B173" s="66">
        <f t="shared" si="16"/>
        <v>1111.5375000000013</v>
      </c>
      <c r="C173" s="66">
        <f t="shared" si="17"/>
        <v>635.582500000001</v>
      </c>
      <c r="D173" s="67">
        <f t="shared" si="18"/>
        <v>475.95500000000015</v>
      </c>
      <c r="E173" s="67">
        <v>0</v>
      </c>
      <c r="F173" s="67">
        <v>1221.82</v>
      </c>
      <c r="G173" s="67">
        <v>0</v>
      </c>
      <c r="H173" s="67">
        <v>156.18</v>
      </c>
      <c r="I173" s="66">
        <v>0</v>
      </c>
      <c r="J173" s="66">
        <v>0</v>
      </c>
      <c r="K173" s="66">
        <v>0</v>
      </c>
      <c r="L173" s="66">
        <v>0</v>
      </c>
      <c r="M173" s="66">
        <v>0</v>
      </c>
      <c r="N173" s="66">
        <v>0</v>
      </c>
      <c r="P173" s="67">
        <f t="shared" si="19"/>
        <v>1857.4025000000011</v>
      </c>
      <c r="Q173" s="67">
        <f t="shared" si="20"/>
        <v>632.13500000000022</v>
      </c>
      <c r="R173" s="68">
        <f t="shared" si="21"/>
        <v>2489.5375000000013</v>
      </c>
    </row>
    <row r="174" spans="1:18" x14ac:dyDescent="0.3">
      <c r="A174" s="65">
        <v>46194</v>
      </c>
      <c r="B174" s="66">
        <f t="shared" si="16"/>
        <v>2489.5375000000013</v>
      </c>
      <c r="C174" s="66">
        <f t="shared" si="17"/>
        <v>1857.4025000000011</v>
      </c>
      <c r="D174" s="67">
        <f t="shared" si="18"/>
        <v>632.13500000000022</v>
      </c>
      <c r="E174" s="67">
        <v>0</v>
      </c>
      <c r="F174" s="67">
        <v>0</v>
      </c>
      <c r="G174" s="67">
        <v>0</v>
      </c>
      <c r="H174" s="67">
        <v>0</v>
      </c>
      <c r="I174" s="66">
        <v>0</v>
      </c>
      <c r="J174" s="66">
        <v>0</v>
      </c>
      <c r="K174" s="66">
        <v>0</v>
      </c>
      <c r="L174" s="66">
        <v>0</v>
      </c>
      <c r="M174" s="66">
        <v>0</v>
      </c>
      <c r="N174" s="66">
        <v>0</v>
      </c>
      <c r="P174" s="67">
        <f t="shared" si="19"/>
        <v>1857.4025000000011</v>
      </c>
      <c r="Q174" s="67">
        <f t="shared" si="20"/>
        <v>632.13500000000022</v>
      </c>
      <c r="R174" s="68">
        <f t="shared" si="21"/>
        <v>2489.5375000000013</v>
      </c>
    </row>
    <row r="175" spans="1:18" x14ac:dyDescent="0.3">
      <c r="A175" s="65">
        <v>46195</v>
      </c>
      <c r="B175" s="66">
        <f t="shared" si="16"/>
        <v>2489.5375000000013</v>
      </c>
      <c r="C175" s="66">
        <f t="shared" si="17"/>
        <v>1857.4025000000011</v>
      </c>
      <c r="D175" s="67">
        <f t="shared" si="18"/>
        <v>632.13500000000022</v>
      </c>
      <c r="E175" s="67">
        <v>0</v>
      </c>
      <c r="F175" s="67">
        <v>0</v>
      </c>
      <c r="G175" s="67">
        <v>0</v>
      </c>
      <c r="H175" s="67">
        <v>0</v>
      </c>
      <c r="I175" s="66">
        <v>0</v>
      </c>
      <c r="J175" s="66">
        <v>0</v>
      </c>
      <c r="K175" s="66">
        <v>0</v>
      </c>
      <c r="L175" s="66">
        <v>0</v>
      </c>
      <c r="M175" s="66">
        <v>0</v>
      </c>
      <c r="N175" s="66">
        <v>0</v>
      </c>
      <c r="P175" s="67">
        <f t="shared" si="19"/>
        <v>1857.4025000000011</v>
      </c>
      <c r="Q175" s="67">
        <f t="shared" si="20"/>
        <v>632.13500000000022</v>
      </c>
      <c r="R175" s="68">
        <f t="shared" si="21"/>
        <v>2489.5375000000013</v>
      </c>
    </row>
    <row r="176" spans="1:18" x14ac:dyDescent="0.3">
      <c r="A176" s="65">
        <v>46196</v>
      </c>
      <c r="B176" s="66">
        <f t="shared" si="16"/>
        <v>2489.5375000000013</v>
      </c>
      <c r="C176" s="66">
        <f t="shared" si="17"/>
        <v>1857.4025000000011</v>
      </c>
      <c r="D176" s="67">
        <f t="shared" si="18"/>
        <v>632.13500000000022</v>
      </c>
      <c r="E176" s="67">
        <v>0</v>
      </c>
      <c r="F176" s="67">
        <v>0</v>
      </c>
      <c r="G176" s="67">
        <v>0</v>
      </c>
      <c r="H176" s="67">
        <v>0</v>
      </c>
      <c r="I176" s="66">
        <v>0</v>
      </c>
      <c r="J176" s="66">
        <v>0</v>
      </c>
      <c r="K176" s="66">
        <v>0</v>
      </c>
      <c r="L176" s="66">
        <v>0</v>
      </c>
      <c r="M176" s="66">
        <v>0</v>
      </c>
      <c r="N176" s="66">
        <v>0</v>
      </c>
      <c r="P176" s="67">
        <f t="shared" si="19"/>
        <v>1857.4025000000011</v>
      </c>
      <c r="Q176" s="67">
        <f t="shared" si="20"/>
        <v>632.13500000000022</v>
      </c>
      <c r="R176" s="68">
        <f t="shared" si="21"/>
        <v>2489.5375000000013</v>
      </c>
    </row>
    <row r="177" spans="1:19" x14ac:dyDescent="0.3">
      <c r="A177" s="65">
        <v>46197</v>
      </c>
      <c r="B177" s="66">
        <f t="shared" si="16"/>
        <v>2489.5375000000013</v>
      </c>
      <c r="C177" s="66">
        <f t="shared" si="17"/>
        <v>1857.4025000000011</v>
      </c>
      <c r="D177" s="67">
        <f t="shared" si="18"/>
        <v>632.13500000000022</v>
      </c>
      <c r="E177" s="67">
        <v>0</v>
      </c>
      <c r="F177" s="67">
        <v>0</v>
      </c>
      <c r="G177" s="67">
        <v>0</v>
      </c>
      <c r="H177" s="67">
        <v>0</v>
      </c>
      <c r="I177" s="66">
        <v>0</v>
      </c>
      <c r="J177" s="66">
        <v>0</v>
      </c>
      <c r="K177" s="66">
        <v>0</v>
      </c>
      <c r="L177" s="66">
        <v>0</v>
      </c>
      <c r="M177" s="66">
        <v>0</v>
      </c>
      <c r="N177" s="66">
        <v>0</v>
      </c>
      <c r="P177" s="67">
        <f t="shared" si="19"/>
        <v>1857.4025000000011</v>
      </c>
      <c r="Q177" s="67">
        <f t="shared" si="20"/>
        <v>632.13500000000022</v>
      </c>
      <c r="R177" s="68">
        <f t="shared" si="21"/>
        <v>2489.5375000000013</v>
      </c>
    </row>
    <row r="178" spans="1:19" x14ac:dyDescent="0.3">
      <c r="A178" s="65">
        <v>46198</v>
      </c>
      <c r="B178" s="66">
        <f t="shared" si="16"/>
        <v>2489.5375000000013</v>
      </c>
      <c r="C178" s="66">
        <f t="shared" si="17"/>
        <v>1857.4025000000011</v>
      </c>
      <c r="D178" s="67">
        <f t="shared" si="18"/>
        <v>632.13500000000022</v>
      </c>
      <c r="E178" s="67">
        <v>0</v>
      </c>
      <c r="F178" s="67">
        <v>0</v>
      </c>
      <c r="G178" s="67">
        <v>0</v>
      </c>
      <c r="H178" s="67">
        <v>0</v>
      </c>
      <c r="I178" s="66">
        <v>0</v>
      </c>
      <c r="J178" s="66">
        <v>0</v>
      </c>
      <c r="K178" s="66">
        <v>0</v>
      </c>
      <c r="L178" s="66">
        <v>0</v>
      </c>
      <c r="M178" s="66">
        <v>0</v>
      </c>
      <c r="N178" s="66">
        <v>0</v>
      </c>
      <c r="P178" s="67">
        <f t="shared" si="19"/>
        <v>1857.4025000000011</v>
      </c>
      <c r="Q178" s="67">
        <f t="shared" si="20"/>
        <v>632.13500000000022</v>
      </c>
      <c r="R178" s="68">
        <f t="shared" si="21"/>
        <v>2489.5375000000013</v>
      </c>
    </row>
    <row r="179" spans="1:19" x14ac:dyDescent="0.3">
      <c r="A179" s="65">
        <v>46199</v>
      </c>
      <c r="B179" s="66">
        <f t="shared" si="16"/>
        <v>2489.5375000000013</v>
      </c>
      <c r="C179" s="66">
        <f t="shared" si="17"/>
        <v>1857.4025000000011</v>
      </c>
      <c r="D179" s="67">
        <f t="shared" si="18"/>
        <v>632.13500000000022</v>
      </c>
      <c r="E179" s="67">
        <v>0</v>
      </c>
      <c r="F179" s="67">
        <v>0</v>
      </c>
      <c r="G179" s="67">
        <v>0</v>
      </c>
      <c r="H179" s="67">
        <v>0</v>
      </c>
      <c r="I179" s="66">
        <v>0</v>
      </c>
      <c r="J179" s="66">
        <v>0</v>
      </c>
      <c r="K179" s="66">
        <v>0</v>
      </c>
      <c r="L179" s="66">
        <v>-98.61</v>
      </c>
      <c r="M179" s="66">
        <v>0</v>
      </c>
      <c r="N179" s="66">
        <v>0</v>
      </c>
      <c r="P179" s="67">
        <f t="shared" si="19"/>
        <v>1758.7925000000012</v>
      </c>
      <c r="Q179" s="67">
        <f t="shared" si="20"/>
        <v>632.13500000000022</v>
      </c>
      <c r="R179" s="68">
        <f t="shared" si="21"/>
        <v>2390.9275000000016</v>
      </c>
    </row>
    <row r="180" spans="1:19" x14ac:dyDescent="0.3">
      <c r="A180" s="65">
        <v>46200</v>
      </c>
      <c r="B180" s="66">
        <f t="shared" si="16"/>
        <v>2390.9275000000016</v>
      </c>
      <c r="C180" s="66">
        <f t="shared" si="17"/>
        <v>1758.7925000000012</v>
      </c>
      <c r="D180" s="67">
        <f t="shared" si="18"/>
        <v>632.13500000000022</v>
      </c>
      <c r="E180" s="67">
        <v>0</v>
      </c>
      <c r="F180" s="67">
        <v>0</v>
      </c>
      <c r="G180" s="67">
        <v>0</v>
      </c>
      <c r="H180" s="67">
        <v>0</v>
      </c>
      <c r="I180" s="66">
        <v>0</v>
      </c>
      <c r="J180" s="66">
        <v>0</v>
      </c>
      <c r="K180" s="66">
        <v>0</v>
      </c>
      <c r="L180" s="66">
        <v>0</v>
      </c>
      <c r="M180" s="66">
        <v>0</v>
      </c>
      <c r="N180" s="66">
        <v>0</v>
      </c>
      <c r="P180" s="67">
        <f t="shared" si="19"/>
        <v>1758.7925000000012</v>
      </c>
      <c r="Q180" s="67">
        <f t="shared" si="20"/>
        <v>632.13500000000022</v>
      </c>
      <c r="R180" s="68">
        <f t="shared" si="21"/>
        <v>2390.9275000000016</v>
      </c>
    </row>
    <row r="181" spans="1:19" x14ac:dyDescent="0.3">
      <c r="A181" s="65">
        <v>46201</v>
      </c>
      <c r="B181" s="66">
        <f t="shared" si="16"/>
        <v>2390.9275000000016</v>
      </c>
      <c r="C181" s="66">
        <f t="shared" si="17"/>
        <v>1758.7925000000012</v>
      </c>
      <c r="D181" s="67">
        <f t="shared" si="18"/>
        <v>632.13500000000022</v>
      </c>
      <c r="E181" s="67">
        <v>0</v>
      </c>
      <c r="F181" s="67">
        <v>0</v>
      </c>
      <c r="G181" s="67">
        <v>0</v>
      </c>
      <c r="H181" s="67">
        <v>0</v>
      </c>
      <c r="I181" s="66">
        <v>0</v>
      </c>
      <c r="J181" s="66">
        <v>0</v>
      </c>
      <c r="K181" s="66">
        <v>0</v>
      </c>
      <c r="L181" s="66">
        <v>0</v>
      </c>
      <c r="M181" s="66">
        <v>0</v>
      </c>
      <c r="N181" s="66">
        <v>0</v>
      </c>
      <c r="P181" s="67">
        <f t="shared" si="19"/>
        <v>1758.7925000000012</v>
      </c>
      <c r="Q181" s="67">
        <f t="shared" si="20"/>
        <v>632.13500000000022</v>
      </c>
      <c r="R181" s="68">
        <f t="shared" si="21"/>
        <v>2390.9275000000016</v>
      </c>
    </row>
    <row r="182" spans="1:19" x14ac:dyDescent="0.3">
      <c r="A182" s="65">
        <v>46202</v>
      </c>
      <c r="B182" s="66">
        <f t="shared" si="16"/>
        <v>2390.9275000000016</v>
      </c>
      <c r="C182" s="66">
        <f t="shared" si="17"/>
        <v>1758.7925000000012</v>
      </c>
      <c r="D182" s="67">
        <f t="shared" si="18"/>
        <v>632.13500000000022</v>
      </c>
      <c r="E182" s="67">
        <v>611.16</v>
      </c>
      <c r="F182" s="67">
        <v>0</v>
      </c>
      <c r="G182" s="67">
        <v>77.835000000000008</v>
      </c>
      <c r="H182" s="67">
        <v>0</v>
      </c>
      <c r="I182" s="66">
        <v>0</v>
      </c>
      <c r="J182" s="66">
        <v>0</v>
      </c>
      <c r="K182" s="66">
        <v>0</v>
      </c>
      <c r="L182" s="66">
        <v>0</v>
      </c>
      <c r="M182" s="66">
        <v>0</v>
      </c>
      <c r="N182" s="66">
        <v>0</v>
      </c>
      <c r="P182" s="67">
        <f t="shared" si="19"/>
        <v>2369.9525000000012</v>
      </c>
      <c r="Q182" s="67">
        <f t="shared" si="20"/>
        <v>709.97000000000025</v>
      </c>
      <c r="R182" s="68">
        <f t="shared" si="21"/>
        <v>3079.9225000000015</v>
      </c>
    </row>
    <row r="183" spans="1:19" x14ac:dyDescent="0.3">
      <c r="A183" s="65">
        <v>46203</v>
      </c>
      <c r="B183" s="66">
        <f t="shared" ref="B183:B193" si="22">R182</f>
        <v>3079.9225000000015</v>
      </c>
      <c r="C183" s="66">
        <f t="shared" ref="C183:C212" si="23">P182</f>
        <v>2369.9525000000012</v>
      </c>
      <c r="D183" s="67">
        <f t="shared" ref="D183:D212" si="24">Q182</f>
        <v>709.97000000000025</v>
      </c>
      <c r="E183" s="67">
        <v>0</v>
      </c>
      <c r="F183" s="67">
        <v>0</v>
      </c>
      <c r="G183" s="67">
        <v>0</v>
      </c>
      <c r="H183" s="67">
        <v>0</v>
      </c>
      <c r="I183" s="66">
        <v>0</v>
      </c>
      <c r="J183" s="66">
        <v>0</v>
      </c>
      <c r="K183" s="66">
        <v>0</v>
      </c>
      <c r="L183" s="66">
        <v>0</v>
      </c>
      <c r="M183" s="66">
        <v>0</v>
      </c>
      <c r="N183" s="66">
        <v>0</v>
      </c>
      <c r="P183" s="67">
        <f t="shared" si="19"/>
        <v>2369.9525000000012</v>
      </c>
      <c r="Q183" s="67">
        <f t="shared" si="20"/>
        <v>709.97000000000025</v>
      </c>
      <c r="R183" s="68">
        <f t="shared" si="21"/>
        <v>3079.9225000000015</v>
      </c>
    </row>
    <row r="184" spans="1:19" x14ac:dyDescent="0.3">
      <c r="A184" s="65">
        <v>46204</v>
      </c>
      <c r="B184" s="66">
        <f t="shared" si="22"/>
        <v>3079.9225000000015</v>
      </c>
      <c r="C184" s="66">
        <f t="shared" si="23"/>
        <v>2369.9525000000012</v>
      </c>
      <c r="D184" s="67">
        <f t="shared" si="24"/>
        <v>709.97000000000025</v>
      </c>
      <c r="E184" s="67">
        <v>0</v>
      </c>
      <c r="F184" s="67">
        <v>0</v>
      </c>
      <c r="G184" s="67">
        <v>0</v>
      </c>
      <c r="H184" s="67">
        <v>0</v>
      </c>
      <c r="I184" s="66">
        <v>0</v>
      </c>
      <c r="J184" s="66">
        <v>0</v>
      </c>
      <c r="K184" s="66">
        <v>-175</v>
      </c>
      <c r="L184" s="66">
        <v>0</v>
      </c>
      <c r="M184" s="66">
        <v>0</v>
      </c>
      <c r="N184" s="66">
        <v>0</v>
      </c>
      <c r="O184" s="66">
        <v>0.01</v>
      </c>
      <c r="P184" s="67">
        <f t="shared" si="19"/>
        <v>2194.9525000000012</v>
      </c>
      <c r="Q184" s="67">
        <f t="shared" si="20"/>
        <v>709.98000000000025</v>
      </c>
      <c r="R184" s="68">
        <f t="shared" si="21"/>
        <v>2904.9325000000017</v>
      </c>
    </row>
    <row r="185" spans="1:19" x14ac:dyDescent="0.3">
      <c r="A185" s="65">
        <v>46205</v>
      </c>
      <c r="B185" s="66">
        <f t="shared" si="22"/>
        <v>2904.9325000000017</v>
      </c>
      <c r="C185" s="66">
        <f t="shared" si="23"/>
        <v>2194.9525000000012</v>
      </c>
      <c r="D185" s="67">
        <f t="shared" si="24"/>
        <v>709.98000000000025</v>
      </c>
      <c r="E185" s="67">
        <v>0</v>
      </c>
      <c r="F185" s="67">
        <v>0</v>
      </c>
      <c r="G185" s="67">
        <v>0</v>
      </c>
      <c r="H185" s="67">
        <v>0</v>
      </c>
      <c r="I185" s="66">
        <v>0</v>
      </c>
      <c r="J185" s="66">
        <v>0</v>
      </c>
      <c r="K185" s="66">
        <v>0</v>
      </c>
      <c r="L185" s="66">
        <v>0</v>
      </c>
      <c r="M185" s="66">
        <v>0</v>
      </c>
      <c r="N185" s="66">
        <v>0</v>
      </c>
      <c r="O185" s="66">
        <v>-214.92</v>
      </c>
      <c r="P185" s="67">
        <f t="shared" si="19"/>
        <v>2194.9525000000012</v>
      </c>
      <c r="Q185" s="67">
        <f t="shared" si="20"/>
        <v>495.06000000000029</v>
      </c>
      <c r="R185" s="68">
        <f t="shared" si="21"/>
        <v>2690.0125000000016</v>
      </c>
      <c r="S185" s="15" t="s">
        <v>63</v>
      </c>
    </row>
    <row r="186" spans="1:19" x14ac:dyDescent="0.3">
      <c r="A186" s="65">
        <v>46206</v>
      </c>
      <c r="B186" s="66">
        <f t="shared" si="22"/>
        <v>2690.0125000000016</v>
      </c>
      <c r="C186" s="66">
        <f t="shared" si="23"/>
        <v>2194.9525000000012</v>
      </c>
      <c r="D186" s="67">
        <f t="shared" si="24"/>
        <v>495.06000000000029</v>
      </c>
      <c r="E186" s="67">
        <v>0</v>
      </c>
      <c r="F186" s="67">
        <v>0</v>
      </c>
      <c r="G186" s="67">
        <v>0</v>
      </c>
      <c r="H186" s="67">
        <v>0</v>
      </c>
      <c r="I186" s="66">
        <v>0</v>
      </c>
      <c r="J186" s="66">
        <v>-41.75</v>
      </c>
      <c r="K186" s="66">
        <v>0</v>
      </c>
      <c r="L186" s="66">
        <v>0</v>
      </c>
      <c r="M186" s="66">
        <v>0</v>
      </c>
      <c r="N186" s="66">
        <v>0</v>
      </c>
      <c r="P186" s="67">
        <f t="shared" si="19"/>
        <v>2153.2025000000012</v>
      </c>
      <c r="Q186" s="67">
        <f t="shared" si="20"/>
        <v>495.06000000000029</v>
      </c>
      <c r="R186" s="68">
        <f t="shared" si="21"/>
        <v>2648.2625000000016</v>
      </c>
    </row>
    <row r="187" spans="1:19" x14ac:dyDescent="0.3">
      <c r="A187" s="65">
        <v>46207</v>
      </c>
      <c r="B187" s="66">
        <f t="shared" si="22"/>
        <v>2648.2625000000016</v>
      </c>
      <c r="C187" s="66">
        <f t="shared" si="23"/>
        <v>2153.2025000000012</v>
      </c>
      <c r="D187" s="67">
        <f t="shared" si="24"/>
        <v>495.06000000000029</v>
      </c>
      <c r="E187" s="67">
        <v>0</v>
      </c>
      <c r="F187" s="67">
        <v>0</v>
      </c>
      <c r="G187" s="67">
        <v>0</v>
      </c>
      <c r="H187" s="67">
        <v>0</v>
      </c>
      <c r="I187" s="66">
        <v>0</v>
      </c>
      <c r="J187" s="66">
        <v>0</v>
      </c>
      <c r="K187" s="66">
        <v>0</v>
      </c>
      <c r="L187" s="66">
        <v>0</v>
      </c>
      <c r="M187" s="66">
        <v>0</v>
      </c>
      <c r="N187" s="66">
        <v>0</v>
      </c>
      <c r="P187" s="67">
        <f t="shared" si="19"/>
        <v>2153.2025000000012</v>
      </c>
      <c r="Q187" s="67">
        <f t="shared" si="20"/>
        <v>495.06000000000029</v>
      </c>
      <c r="R187" s="68">
        <f t="shared" si="21"/>
        <v>2648.2625000000016</v>
      </c>
    </row>
    <row r="188" spans="1:19" x14ac:dyDescent="0.3">
      <c r="A188" s="65">
        <v>46208</v>
      </c>
      <c r="B188" s="66">
        <f t="shared" si="22"/>
        <v>2648.2625000000016</v>
      </c>
      <c r="C188" s="66">
        <f t="shared" si="23"/>
        <v>2153.2025000000012</v>
      </c>
      <c r="D188" s="67">
        <f t="shared" si="24"/>
        <v>495.06000000000029</v>
      </c>
      <c r="E188" s="67">
        <v>0</v>
      </c>
      <c r="F188" s="67">
        <v>0</v>
      </c>
      <c r="G188" s="67">
        <v>0</v>
      </c>
      <c r="H188" s="67">
        <v>0</v>
      </c>
      <c r="I188" s="66">
        <v>0</v>
      </c>
      <c r="J188" s="66">
        <v>0</v>
      </c>
      <c r="K188" s="66">
        <v>0</v>
      </c>
      <c r="L188" s="66">
        <v>0</v>
      </c>
      <c r="M188" s="66">
        <v>0</v>
      </c>
      <c r="N188" s="66">
        <v>0</v>
      </c>
      <c r="P188" s="67">
        <f t="shared" si="19"/>
        <v>2153.2025000000012</v>
      </c>
      <c r="Q188" s="67">
        <f t="shared" si="20"/>
        <v>495.06000000000029</v>
      </c>
      <c r="R188" s="68">
        <f t="shared" si="21"/>
        <v>2648.2625000000016</v>
      </c>
    </row>
    <row r="189" spans="1:19" x14ac:dyDescent="0.3">
      <c r="A189" s="65">
        <v>46209</v>
      </c>
      <c r="B189" s="66">
        <f t="shared" si="22"/>
        <v>2648.2625000000016</v>
      </c>
      <c r="C189" s="66">
        <f t="shared" si="23"/>
        <v>2153.2025000000012</v>
      </c>
      <c r="D189" s="67">
        <f t="shared" si="24"/>
        <v>495.06000000000029</v>
      </c>
      <c r="E189" s="67">
        <v>0</v>
      </c>
      <c r="F189" s="67">
        <v>0</v>
      </c>
      <c r="G189" s="67">
        <v>0</v>
      </c>
      <c r="H189" s="67">
        <v>0</v>
      </c>
      <c r="I189" s="66">
        <v>0</v>
      </c>
      <c r="J189" s="66">
        <v>0</v>
      </c>
      <c r="K189" s="66">
        <v>0</v>
      </c>
      <c r="L189" s="66">
        <v>0</v>
      </c>
      <c r="M189" s="66">
        <v>0</v>
      </c>
      <c r="N189" s="66">
        <v>0</v>
      </c>
      <c r="P189" s="67">
        <f t="shared" si="19"/>
        <v>2153.2025000000012</v>
      </c>
      <c r="Q189" s="67">
        <f t="shared" si="20"/>
        <v>495.06000000000029</v>
      </c>
      <c r="R189" s="68">
        <f t="shared" si="21"/>
        <v>2648.2625000000016</v>
      </c>
    </row>
    <row r="190" spans="1:19" x14ac:dyDescent="0.3">
      <c r="A190" s="65">
        <v>46210</v>
      </c>
      <c r="B190" s="66">
        <f t="shared" si="22"/>
        <v>2648.2625000000016</v>
      </c>
      <c r="C190" s="66">
        <f t="shared" si="23"/>
        <v>2153.2025000000012</v>
      </c>
      <c r="D190" s="67">
        <f t="shared" si="24"/>
        <v>495.06000000000029</v>
      </c>
      <c r="E190" s="67">
        <v>0</v>
      </c>
      <c r="F190" s="67">
        <v>0</v>
      </c>
      <c r="G190" s="67">
        <v>0</v>
      </c>
      <c r="H190" s="67">
        <v>0</v>
      </c>
      <c r="I190" s="66">
        <v>-2036.51</v>
      </c>
      <c r="J190" s="66">
        <v>0</v>
      </c>
      <c r="K190" s="66">
        <v>0</v>
      </c>
      <c r="L190" s="66">
        <v>0</v>
      </c>
      <c r="M190" s="66">
        <v>0</v>
      </c>
      <c r="N190" s="66">
        <v>0</v>
      </c>
      <c r="P190" s="67">
        <f t="shared" si="19"/>
        <v>116.69250000000125</v>
      </c>
      <c r="Q190" s="67">
        <f t="shared" si="20"/>
        <v>495.06000000000029</v>
      </c>
      <c r="R190" s="68">
        <f t="shared" si="21"/>
        <v>611.75250000000153</v>
      </c>
    </row>
    <row r="191" spans="1:19" x14ac:dyDescent="0.3">
      <c r="A191" s="65">
        <v>46211</v>
      </c>
      <c r="B191" s="66">
        <f t="shared" si="22"/>
        <v>611.75250000000153</v>
      </c>
      <c r="C191" s="66">
        <f t="shared" si="23"/>
        <v>116.69250000000125</v>
      </c>
      <c r="D191" s="67">
        <f t="shared" si="24"/>
        <v>495.06000000000029</v>
      </c>
      <c r="E191" s="67">
        <v>0</v>
      </c>
      <c r="F191" s="67">
        <v>0</v>
      </c>
      <c r="G191" s="67">
        <v>0</v>
      </c>
      <c r="H191" s="67">
        <v>0</v>
      </c>
      <c r="I191" s="66">
        <v>0</v>
      </c>
      <c r="J191" s="66">
        <v>0</v>
      </c>
      <c r="K191" s="66">
        <v>0</v>
      </c>
      <c r="L191" s="66">
        <v>0</v>
      </c>
      <c r="M191" s="66">
        <v>0</v>
      </c>
      <c r="N191" s="66">
        <v>0</v>
      </c>
      <c r="P191" s="67">
        <f t="shared" si="19"/>
        <v>116.69250000000125</v>
      </c>
      <c r="Q191" s="67">
        <f t="shared" si="20"/>
        <v>495.06000000000029</v>
      </c>
      <c r="R191" s="68">
        <f t="shared" si="21"/>
        <v>611.75250000000153</v>
      </c>
    </row>
    <row r="192" spans="1:19" x14ac:dyDescent="0.3">
      <c r="A192" s="65">
        <v>46212</v>
      </c>
      <c r="B192" s="66">
        <f t="shared" si="22"/>
        <v>611.75250000000153</v>
      </c>
      <c r="C192" s="66">
        <f t="shared" si="23"/>
        <v>116.69250000000125</v>
      </c>
      <c r="D192" s="67">
        <f t="shared" si="24"/>
        <v>495.06000000000029</v>
      </c>
      <c r="E192" s="67">
        <v>0</v>
      </c>
      <c r="F192" s="67">
        <v>0</v>
      </c>
      <c r="G192" s="67">
        <v>0</v>
      </c>
      <c r="H192" s="67">
        <v>0</v>
      </c>
      <c r="I192" s="66">
        <v>0</v>
      </c>
      <c r="J192" s="66">
        <v>0</v>
      </c>
      <c r="K192" s="66">
        <v>0</v>
      </c>
      <c r="L192" s="66">
        <v>0</v>
      </c>
      <c r="M192" s="66">
        <v>0</v>
      </c>
      <c r="N192" s="66">
        <v>-36.5</v>
      </c>
      <c r="P192" s="67">
        <f t="shared" si="19"/>
        <v>80.192500000001246</v>
      </c>
      <c r="Q192" s="67">
        <f t="shared" si="20"/>
        <v>495.06000000000029</v>
      </c>
      <c r="R192" s="68">
        <f t="shared" si="21"/>
        <v>575.25250000000153</v>
      </c>
    </row>
    <row r="193" spans="1:18" x14ac:dyDescent="0.3">
      <c r="A193" s="65">
        <v>46213</v>
      </c>
      <c r="B193" s="66">
        <f t="shared" si="22"/>
        <v>575.25250000000153</v>
      </c>
      <c r="C193" s="66">
        <f t="shared" si="23"/>
        <v>80.192500000001246</v>
      </c>
      <c r="D193" s="67">
        <f t="shared" si="24"/>
        <v>495.06000000000029</v>
      </c>
      <c r="E193" s="67">
        <v>0</v>
      </c>
      <c r="F193" s="67">
        <v>0</v>
      </c>
      <c r="G193" s="67">
        <v>0</v>
      </c>
      <c r="H193" s="67">
        <v>0</v>
      </c>
      <c r="I193" s="66">
        <v>0</v>
      </c>
      <c r="J193" s="66">
        <v>0</v>
      </c>
      <c r="K193" s="66">
        <v>0</v>
      </c>
      <c r="L193" s="66">
        <v>0</v>
      </c>
      <c r="M193" s="66">
        <v>0</v>
      </c>
      <c r="N193" s="66">
        <v>0</v>
      </c>
      <c r="P193" s="67">
        <f t="shared" si="19"/>
        <v>80.192500000001246</v>
      </c>
      <c r="Q193" s="67">
        <f t="shared" si="20"/>
        <v>495.06000000000029</v>
      </c>
      <c r="R193" s="68">
        <f t="shared" si="21"/>
        <v>575.25250000000153</v>
      </c>
    </row>
    <row r="194" spans="1:18" x14ac:dyDescent="0.3">
      <c r="A194" s="65">
        <v>46214</v>
      </c>
      <c r="B194" s="66">
        <f t="shared" ref="B194:B212" si="25">R193</f>
        <v>575.25250000000153</v>
      </c>
      <c r="C194" s="66">
        <f t="shared" si="23"/>
        <v>80.192500000001246</v>
      </c>
      <c r="D194" s="67">
        <f t="shared" si="24"/>
        <v>495.06000000000029</v>
      </c>
      <c r="E194" s="67">
        <v>0</v>
      </c>
      <c r="F194" s="67">
        <v>0</v>
      </c>
      <c r="G194" s="67">
        <v>0</v>
      </c>
      <c r="H194" s="67">
        <v>0</v>
      </c>
      <c r="I194" s="66">
        <v>0</v>
      </c>
      <c r="J194" s="66">
        <v>0</v>
      </c>
      <c r="K194" s="66">
        <v>0</v>
      </c>
      <c r="L194" s="66">
        <v>0</v>
      </c>
      <c r="M194" s="66">
        <v>0</v>
      </c>
      <c r="N194" s="66">
        <v>0</v>
      </c>
      <c r="P194" s="67">
        <f t="shared" si="19"/>
        <v>80.192500000001246</v>
      </c>
      <c r="Q194" s="67">
        <f t="shared" si="20"/>
        <v>495.06000000000029</v>
      </c>
      <c r="R194" s="68">
        <f t="shared" si="21"/>
        <v>575.25250000000153</v>
      </c>
    </row>
    <row r="195" spans="1:18" x14ac:dyDescent="0.3">
      <c r="A195" s="65">
        <v>46215</v>
      </c>
      <c r="B195" s="66">
        <f t="shared" si="25"/>
        <v>575.25250000000153</v>
      </c>
      <c r="C195" s="66">
        <f t="shared" si="23"/>
        <v>80.192500000001246</v>
      </c>
      <c r="D195" s="67">
        <f t="shared" si="24"/>
        <v>495.06000000000029</v>
      </c>
      <c r="E195" s="67">
        <v>0</v>
      </c>
      <c r="F195" s="67">
        <v>0</v>
      </c>
      <c r="G195" s="67">
        <v>0</v>
      </c>
      <c r="H195" s="67">
        <v>0</v>
      </c>
      <c r="I195" s="66">
        <v>0</v>
      </c>
      <c r="J195" s="66">
        <v>0</v>
      </c>
      <c r="K195" s="66">
        <v>0</v>
      </c>
      <c r="L195" s="66">
        <v>0</v>
      </c>
      <c r="M195" s="66">
        <v>-51.2</v>
      </c>
      <c r="N195" s="66">
        <v>0</v>
      </c>
      <c r="P195" s="67">
        <f t="shared" si="19"/>
        <v>28.992500000001243</v>
      </c>
      <c r="Q195" s="67">
        <f t="shared" si="20"/>
        <v>495.06000000000029</v>
      </c>
      <c r="R195" s="68">
        <f t="shared" si="21"/>
        <v>524.05250000000149</v>
      </c>
    </row>
    <row r="196" spans="1:18" x14ac:dyDescent="0.3">
      <c r="A196" s="65">
        <v>46216</v>
      </c>
      <c r="B196" s="66">
        <f t="shared" si="25"/>
        <v>524.05250000000149</v>
      </c>
      <c r="C196" s="66">
        <f t="shared" si="23"/>
        <v>28.992500000001243</v>
      </c>
      <c r="D196" s="67">
        <f t="shared" si="24"/>
        <v>495.06000000000029</v>
      </c>
      <c r="E196" s="67">
        <v>611.16</v>
      </c>
      <c r="F196" s="67">
        <v>0</v>
      </c>
      <c r="G196" s="67">
        <v>77.835000000000008</v>
      </c>
      <c r="H196" s="67">
        <v>0</v>
      </c>
      <c r="I196" s="66">
        <v>0</v>
      </c>
      <c r="J196" s="66">
        <v>0</v>
      </c>
      <c r="K196" s="66">
        <v>0</v>
      </c>
      <c r="L196" s="66">
        <v>0</v>
      </c>
      <c r="M196" s="66">
        <v>0</v>
      </c>
      <c r="N196" s="66">
        <v>0</v>
      </c>
      <c r="P196" s="67">
        <f t="shared" si="19"/>
        <v>640.15250000000117</v>
      </c>
      <c r="Q196" s="67">
        <f t="shared" si="20"/>
        <v>572.89500000000032</v>
      </c>
      <c r="R196" s="68">
        <f t="shared" si="21"/>
        <v>1213.0475000000015</v>
      </c>
    </row>
    <row r="197" spans="1:18" x14ac:dyDescent="0.3">
      <c r="A197" s="65">
        <v>46217</v>
      </c>
      <c r="B197" s="66">
        <f t="shared" si="25"/>
        <v>1213.0475000000015</v>
      </c>
      <c r="C197" s="66">
        <f t="shared" si="23"/>
        <v>640.15250000000117</v>
      </c>
      <c r="D197" s="67">
        <f t="shared" si="24"/>
        <v>572.89500000000032</v>
      </c>
      <c r="E197" s="67">
        <v>0</v>
      </c>
      <c r="F197" s="67">
        <v>0</v>
      </c>
      <c r="G197" s="67">
        <v>0</v>
      </c>
      <c r="H197" s="67">
        <v>0</v>
      </c>
      <c r="I197" s="66">
        <v>0</v>
      </c>
      <c r="J197" s="66">
        <v>0</v>
      </c>
      <c r="K197" s="66">
        <v>0</v>
      </c>
      <c r="L197" s="66">
        <v>0</v>
      </c>
      <c r="M197" s="66">
        <v>0</v>
      </c>
      <c r="N197" s="66">
        <v>0</v>
      </c>
      <c r="P197" s="67">
        <f t="shared" si="19"/>
        <v>640.15250000000117</v>
      </c>
      <c r="Q197" s="67">
        <f t="shared" si="20"/>
        <v>572.89500000000032</v>
      </c>
      <c r="R197" s="68">
        <f t="shared" si="21"/>
        <v>1213.0475000000015</v>
      </c>
    </row>
    <row r="198" spans="1:18" x14ac:dyDescent="0.3">
      <c r="A198" s="65">
        <v>46218</v>
      </c>
      <c r="B198" s="66">
        <f t="shared" si="25"/>
        <v>1213.0475000000015</v>
      </c>
      <c r="C198" s="66">
        <f t="shared" si="23"/>
        <v>640.15250000000117</v>
      </c>
      <c r="D198" s="67">
        <f t="shared" si="24"/>
        <v>572.89500000000032</v>
      </c>
      <c r="E198" s="67">
        <v>0</v>
      </c>
      <c r="F198" s="67">
        <v>0</v>
      </c>
      <c r="G198" s="67">
        <v>0</v>
      </c>
      <c r="H198" s="67">
        <v>0</v>
      </c>
      <c r="I198" s="66">
        <v>0</v>
      </c>
      <c r="J198" s="66">
        <v>0</v>
      </c>
      <c r="K198" s="66">
        <v>0</v>
      </c>
      <c r="L198" s="66">
        <v>0</v>
      </c>
      <c r="M198" s="66">
        <v>0</v>
      </c>
      <c r="N198" s="66">
        <v>0</v>
      </c>
      <c r="O198" s="66">
        <v>0.01</v>
      </c>
      <c r="P198" s="67">
        <f t="shared" si="19"/>
        <v>640.15250000000117</v>
      </c>
      <c r="Q198" s="67">
        <f t="shared" si="20"/>
        <v>572.90500000000031</v>
      </c>
      <c r="R198" s="68">
        <f t="shared" si="21"/>
        <v>1213.0575000000015</v>
      </c>
    </row>
    <row r="199" spans="1:18" x14ac:dyDescent="0.3">
      <c r="A199" s="65">
        <v>46219</v>
      </c>
      <c r="B199" s="66">
        <f t="shared" si="25"/>
        <v>1213.0575000000015</v>
      </c>
      <c r="C199" s="66">
        <f t="shared" si="23"/>
        <v>640.15250000000117</v>
      </c>
      <c r="D199" s="67">
        <f t="shared" si="24"/>
        <v>572.90500000000031</v>
      </c>
      <c r="E199" s="67">
        <v>0</v>
      </c>
      <c r="F199" s="67">
        <v>0</v>
      </c>
      <c r="G199" s="67">
        <v>0</v>
      </c>
      <c r="H199" s="67">
        <v>0</v>
      </c>
      <c r="I199" s="66">
        <v>0</v>
      </c>
      <c r="J199" s="66">
        <v>0</v>
      </c>
      <c r="K199" s="66">
        <v>0</v>
      </c>
      <c r="L199" s="66">
        <v>0</v>
      </c>
      <c r="M199" s="66">
        <v>0</v>
      </c>
      <c r="N199" s="66">
        <v>0</v>
      </c>
      <c r="P199" s="67">
        <f t="shared" si="19"/>
        <v>640.15250000000117</v>
      </c>
      <c r="Q199" s="67">
        <f t="shared" si="20"/>
        <v>572.90500000000031</v>
      </c>
      <c r="R199" s="68">
        <f t="shared" si="21"/>
        <v>1213.0575000000015</v>
      </c>
    </row>
    <row r="200" spans="1:18" x14ac:dyDescent="0.3">
      <c r="A200" s="65">
        <v>46220</v>
      </c>
      <c r="B200" s="66">
        <f t="shared" si="25"/>
        <v>1213.0575000000015</v>
      </c>
      <c r="C200" s="66">
        <f t="shared" si="23"/>
        <v>640.15250000000117</v>
      </c>
      <c r="D200" s="67">
        <f t="shared" si="24"/>
        <v>572.90500000000031</v>
      </c>
      <c r="E200" s="67">
        <v>0</v>
      </c>
      <c r="F200" s="67">
        <v>0</v>
      </c>
      <c r="G200" s="67">
        <v>0</v>
      </c>
      <c r="H200" s="67">
        <v>0</v>
      </c>
      <c r="I200" s="66">
        <v>0</v>
      </c>
      <c r="J200" s="66">
        <v>0</v>
      </c>
      <c r="K200" s="66">
        <v>0</v>
      </c>
      <c r="L200" s="66">
        <v>0</v>
      </c>
      <c r="M200" s="66">
        <v>0</v>
      </c>
      <c r="N200" s="66">
        <v>0</v>
      </c>
      <c r="P200" s="67">
        <f t="shared" si="19"/>
        <v>640.15250000000117</v>
      </c>
      <c r="Q200" s="67">
        <f t="shared" si="20"/>
        <v>572.90500000000031</v>
      </c>
      <c r="R200" s="68">
        <f t="shared" si="21"/>
        <v>1213.0575000000015</v>
      </c>
    </row>
    <row r="201" spans="1:18" x14ac:dyDescent="0.3">
      <c r="A201" s="65">
        <v>46221</v>
      </c>
      <c r="B201" s="66">
        <f t="shared" si="25"/>
        <v>1213.0575000000015</v>
      </c>
      <c r="C201" s="66">
        <f t="shared" si="23"/>
        <v>640.15250000000117</v>
      </c>
      <c r="D201" s="67">
        <f t="shared" si="24"/>
        <v>572.90500000000031</v>
      </c>
      <c r="E201" s="67">
        <v>0</v>
      </c>
      <c r="F201" s="67">
        <v>0</v>
      </c>
      <c r="G201" s="67">
        <v>0</v>
      </c>
      <c r="H201" s="67">
        <v>0</v>
      </c>
      <c r="I201" s="66">
        <v>0</v>
      </c>
      <c r="J201" s="66">
        <v>0</v>
      </c>
      <c r="K201" s="66">
        <v>0</v>
      </c>
      <c r="L201" s="66">
        <v>0</v>
      </c>
      <c r="M201" s="66">
        <v>0</v>
      </c>
      <c r="N201" s="66">
        <v>0</v>
      </c>
      <c r="P201" s="67">
        <f t="shared" si="19"/>
        <v>640.15250000000117</v>
      </c>
      <c r="Q201" s="67">
        <f t="shared" si="20"/>
        <v>572.90500000000031</v>
      </c>
      <c r="R201" s="68">
        <f t="shared" si="21"/>
        <v>1213.0575000000015</v>
      </c>
    </row>
    <row r="202" spans="1:18" x14ac:dyDescent="0.3">
      <c r="A202" s="65">
        <v>46222</v>
      </c>
      <c r="B202" s="66">
        <f t="shared" si="25"/>
        <v>1213.0575000000015</v>
      </c>
      <c r="C202" s="66">
        <f t="shared" si="23"/>
        <v>640.15250000000117</v>
      </c>
      <c r="D202" s="67">
        <f t="shared" si="24"/>
        <v>572.90500000000031</v>
      </c>
      <c r="E202" s="67">
        <v>0</v>
      </c>
      <c r="F202" s="67">
        <v>0</v>
      </c>
      <c r="G202" s="67">
        <v>0</v>
      </c>
      <c r="H202" s="67">
        <v>0</v>
      </c>
      <c r="I202" s="66">
        <v>0</v>
      </c>
      <c r="J202" s="66">
        <v>0</v>
      </c>
      <c r="K202" s="66">
        <v>0</v>
      </c>
      <c r="L202" s="66">
        <v>0</v>
      </c>
      <c r="M202" s="66">
        <v>0</v>
      </c>
      <c r="N202" s="66">
        <v>0</v>
      </c>
      <c r="P202" s="67">
        <f t="shared" si="19"/>
        <v>640.15250000000117</v>
      </c>
      <c r="Q202" s="67">
        <f t="shared" si="20"/>
        <v>572.90500000000031</v>
      </c>
      <c r="R202" s="68">
        <f t="shared" si="21"/>
        <v>1213.0575000000015</v>
      </c>
    </row>
    <row r="203" spans="1:18" x14ac:dyDescent="0.3">
      <c r="A203" s="65">
        <v>46223</v>
      </c>
      <c r="B203" s="66">
        <f t="shared" si="25"/>
        <v>1213.0575000000015</v>
      </c>
      <c r="C203" s="66">
        <f t="shared" si="23"/>
        <v>640.15250000000117</v>
      </c>
      <c r="D203" s="67">
        <f t="shared" si="24"/>
        <v>572.90500000000031</v>
      </c>
      <c r="E203" s="67">
        <v>0</v>
      </c>
      <c r="F203" s="67">
        <v>1221.82</v>
      </c>
      <c r="G203" s="67">
        <v>0</v>
      </c>
      <c r="H203" s="67">
        <v>156.18</v>
      </c>
      <c r="I203" s="66">
        <v>0</v>
      </c>
      <c r="J203" s="66">
        <v>0</v>
      </c>
      <c r="K203" s="66">
        <v>0</v>
      </c>
      <c r="L203" s="66">
        <v>0</v>
      </c>
      <c r="M203" s="66">
        <v>0</v>
      </c>
      <c r="N203" s="66">
        <v>0</v>
      </c>
      <c r="P203" s="67">
        <f t="shared" si="19"/>
        <v>1861.9725000000012</v>
      </c>
      <c r="Q203" s="67">
        <f t="shared" si="20"/>
        <v>729.08500000000026</v>
      </c>
      <c r="R203" s="68">
        <f t="shared" si="21"/>
        <v>2591.0575000000017</v>
      </c>
    </row>
    <row r="204" spans="1:18" x14ac:dyDescent="0.3">
      <c r="A204" s="65">
        <v>46224</v>
      </c>
      <c r="B204" s="66">
        <f t="shared" si="25"/>
        <v>2591.0575000000017</v>
      </c>
      <c r="C204" s="66">
        <f t="shared" si="23"/>
        <v>1861.9725000000012</v>
      </c>
      <c r="D204" s="67">
        <f t="shared" si="24"/>
        <v>729.08500000000026</v>
      </c>
      <c r="E204" s="67">
        <v>0</v>
      </c>
      <c r="F204" s="67">
        <v>0</v>
      </c>
      <c r="G204" s="67">
        <v>0</v>
      </c>
      <c r="H204" s="67">
        <v>0</v>
      </c>
      <c r="I204" s="66">
        <v>0</v>
      </c>
      <c r="J204" s="66">
        <v>0</v>
      </c>
      <c r="K204" s="66">
        <v>0</v>
      </c>
      <c r="L204" s="66">
        <v>0</v>
      </c>
      <c r="M204" s="66">
        <v>0</v>
      </c>
      <c r="N204" s="66">
        <v>0</v>
      </c>
      <c r="P204" s="67">
        <f t="shared" si="19"/>
        <v>1861.9725000000012</v>
      </c>
      <c r="Q204" s="67">
        <f t="shared" si="20"/>
        <v>729.08500000000026</v>
      </c>
      <c r="R204" s="68">
        <f t="shared" si="21"/>
        <v>2591.0575000000017</v>
      </c>
    </row>
    <row r="205" spans="1:18" x14ac:dyDescent="0.3">
      <c r="A205" s="65">
        <v>46225</v>
      </c>
      <c r="B205" s="66">
        <f t="shared" si="25"/>
        <v>2591.0575000000017</v>
      </c>
      <c r="C205" s="66">
        <f t="shared" si="23"/>
        <v>1861.9725000000012</v>
      </c>
      <c r="D205" s="67">
        <f t="shared" si="24"/>
        <v>729.08500000000026</v>
      </c>
      <c r="E205" s="67">
        <v>0</v>
      </c>
      <c r="F205" s="67">
        <v>0</v>
      </c>
      <c r="G205" s="67">
        <v>0</v>
      </c>
      <c r="H205" s="67">
        <v>0</v>
      </c>
      <c r="I205" s="66">
        <v>0</v>
      </c>
      <c r="J205" s="66">
        <v>0</v>
      </c>
      <c r="K205" s="66">
        <v>0</v>
      </c>
      <c r="L205" s="66">
        <v>0</v>
      </c>
      <c r="M205" s="66">
        <v>0</v>
      </c>
      <c r="N205" s="66">
        <v>0</v>
      </c>
      <c r="P205" s="67">
        <f t="shared" si="19"/>
        <v>1861.9725000000012</v>
      </c>
      <c r="Q205" s="67">
        <f t="shared" si="20"/>
        <v>729.08500000000026</v>
      </c>
      <c r="R205" s="68">
        <f t="shared" si="21"/>
        <v>2591.0575000000017</v>
      </c>
    </row>
    <row r="206" spans="1:18" x14ac:dyDescent="0.3">
      <c r="A206" s="65">
        <v>46226</v>
      </c>
      <c r="B206" s="66">
        <f t="shared" si="25"/>
        <v>2591.0575000000017</v>
      </c>
      <c r="C206" s="66">
        <f t="shared" si="23"/>
        <v>1861.9725000000012</v>
      </c>
      <c r="D206" s="67">
        <f t="shared" si="24"/>
        <v>729.08500000000026</v>
      </c>
      <c r="E206" s="67">
        <v>0</v>
      </c>
      <c r="F206" s="67">
        <v>0</v>
      </c>
      <c r="G206" s="67">
        <v>0</v>
      </c>
      <c r="H206" s="67">
        <v>0</v>
      </c>
      <c r="I206" s="66">
        <v>0</v>
      </c>
      <c r="J206" s="66">
        <v>0</v>
      </c>
      <c r="K206" s="66">
        <v>0</v>
      </c>
      <c r="L206" s="66">
        <v>0</v>
      </c>
      <c r="M206" s="66">
        <v>0</v>
      </c>
      <c r="N206" s="66">
        <v>0</v>
      </c>
      <c r="P206" s="67">
        <f t="shared" si="19"/>
        <v>1861.9725000000012</v>
      </c>
      <c r="Q206" s="67">
        <f t="shared" si="20"/>
        <v>729.08500000000026</v>
      </c>
      <c r="R206" s="68">
        <f t="shared" si="21"/>
        <v>2591.0575000000017</v>
      </c>
    </row>
    <row r="207" spans="1:18" x14ac:dyDescent="0.3">
      <c r="A207" s="65">
        <v>46227</v>
      </c>
      <c r="B207" s="66">
        <f t="shared" si="25"/>
        <v>2591.0575000000017</v>
      </c>
      <c r="C207" s="66">
        <f t="shared" si="23"/>
        <v>1861.9725000000012</v>
      </c>
      <c r="D207" s="67">
        <f t="shared" si="24"/>
        <v>729.08500000000026</v>
      </c>
      <c r="E207" s="67">
        <v>0</v>
      </c>
      <c r="F207" s="67">
        <v>0</v>
      </c>
      <c r="G207" s="67">
        <v>0</v>
      </c>
      <c r="H207" s="67">
        <v>0</v>
      </c>
      <c r="I207" s="66">
        <v>0</v>
      </c>
      <c r="J207" s="66">
        <v>0</v>
      </c>
      <c r="K207" s="66">
        <v>0</v>
      </c>
      <c r="L207" s="66">
        <v>0</v>
      </c>
      <c r="M207" s="66">
        <v>0</v>
      </c>
      <c r="N207" s="66">
        <v>0</v>
      </c>
      <c r="P207" s="67">
        <f t="shared" si="19"/>
        <v>1861.9725000000012</v>
      </c>
      <c r="Q207" s="67">
        <f t="shared" si="20"/>
        <v>729.08500000000026</v>
      </c>
      <c r="R207" s="68">
        <f t="shared" si="21"/>
        <v>2591.0575000000017</v>
      </c>
    </row>
    <row r="208" spans="1:18" x14ac:dyDescent="0.3">
      <c r="A208" s="65">
        <v>46228</v>
      </c>
      <c r="B208" s="66">
        <f t="shared" si="25"/>
        <v>2591.0575000000017</v>
      </c>
      <c r="C208" s="66">
        <f t="shared" si="23"/>
        <v>1861.9725000000012</v>
      </c>
      <c r="D208" s="67">
        <f t="shared" si="24"/>
        <v>729.08500000000026</v>
      </c>
      <c r="E208" s="67">
        <v>0</v>
      </c>
      <c r="F208" s="67">
        <v>0</v>
      </c>
      <c r="G208" s="67">
        <v>0</v>
      </c>
      <c r="H208" s="67">
        <v>0</v>
      </c>
      <c r="I208" s="66">
        <v>0</v>
      </c>
      <c r="J208" s="66">
        <v>0</v>
      </c>
      <c r="K208" s="66">
        <v>0</v>
      </c>
      <c r="L208" s="66">
        <v>0</v>
      </c>
      <c r="M208" s="66">
        <v>0</v>
      </c>
      <c r="N208" s="66">
        <v>0</v>
      </c>
      <c r="P208" s="67">
        <f t="shared" si="19"/>
        <v>1861.9725000000012</v>
      </c>
      <c r="Q208" s="67">
        <f t="shared" si="20"/>
        <v>729.08500000000026</v>
      </c>
      <c r="R208" s="68">
        <f t="shared" si="21"/>
        <v>2591.0575000000017</v>
      </c>
    </row>
    <row r="209" spans="1:18" x14ac:dyDescent="0.3">
      <c r="A209" s="65">
        <v>46229</v>
      </c>
      <c r="B209" s="66">
        <f t="shared" si="25"/>
        <v>2591.0575000000017</v>
      </c>
      <c r="C209" s="66">
        <f t="shared" si="23"/>
        <v>1861.9725000000012</v>
      </c>
      <c r="D209" s="67">
        <f t="shared" si="24"/>
        <v>729.08500000000026</v>
      </c>
      <c r="E209" s="67">
        <v>0</v>
      </c>
      <c r="F209" s="67">
        <v>0</v>
      </c>
      <c r="G209" s="67">
        <v>0</v>
      </c>
      <c r="H209" s="67">
        <v>0</v>
      </c>
      <c r="I209" s="66">
        <v>0</v>
      </c>
      <c r="J209" s="66">
        <v>0</v>
      </c>
      <c r="K209" s="66">
        <v>0</v>
      </c>
      <c r="L209" s="66">
        <v>-15.22</v>
      </c>
      <c r="M209" s="66">
        <v>0</v>
      </c>
      <c r="N209" s="66">
        <v>0</v>
      </c>
      <c r="P209" s="67">
        <f t="shared" si="19"/>
        <v>1846.7525000000012</v>
      </c>
      <c r="Q209" s="67">
        <f t="shared" si="20"/>
        <v>729.08500000000026</v>
      </c>
      <c r="R209" s="68">
        <f t="shared" si="21"/>
        <v>2575.8375000000015</v>
      </c>
    </row>
    <row r="210" spans="1:18" x14ac:dyDescent="0.3">
      <c r="A210" s="65">
        <v>46230</v>
      </c>
      <c r="B210" s="66">
        <f t="shared" si="25"/>
        <v>2575.8375000000015</v>
      </c>
      <c r="C210" s="66">
        <f t="shared" si="23"/>
        <v>1846.7525000000012</v>
      </c>
      <c r="D210" s="67">
        <f t="shared" si="24"/>
        <v>729.08500000000026</v>
      </c>
      <c r="E210" s="67">
        <v>0</v>
      </c>
      <c r="F210" s="67">
        <v>0</v>
      </c>
      <c r="G210" s="67">
        <v>0</v>
      </c>
      <c r="H210" s="67">
        <v>0</v>
      </c>
      <c r="I210" s="66">
        <v>0</v>
      </c>
      <c r="J210" s="66">
        <v>0</v>
      </c>
      <c r="K210" s="66">
        <v>0</v>
      </c>
      <c r="L210" s="66">
        <v>0</v>
      </c>
      <c r="M210" s="66">
        <v>0</v>
      </c>
      <c r="N210" s="66">
        <v>0</v>
      </c>
      <c r="P210" s="67">
        <f t="shared" si="19"/>
        <v>1846.7525000000012</v>
      </c>
      <c r="Q210" s="67">
        <f t="shared" si="20"/>
        <v>729.08500000000026</v>
      </c>
      <c r="R210" s="68">
        <f t="shared" si="21"/>
        <v>2575.8375000000015</v>
      </c>
    </row>
    <row r="211" spans="1:18" x14ac:dyDescent="0.3">
      <c r="A211" s="65">
        <v>46231</v>
      </c>
      <c r="B211" s="66">
        <f t="shared" si="25"/>
        <v>2575.8375000000015</v>
      </c>
      <c r="C211" s="66">
        <f t="shared" si="23"/>
        <v>1846.7525000000012</v>
      </c>
      <c r="D211" s="67">
        <f t="shared" si="24"/>
        <v>729.08500000000026</v>
      </c>
      <c r="E211" s="67">
        <v>0</v>
      </c>
      <c r="F211" s="67">
        <v>0</v>
      </c>
      <c r="G211" s="67">
        <v>0</v>
      </c>
      <c r="H211" s="67">
        <v>0</v>
      </c>
      <c r="I211" s="66">
        <v>0</v>
      </c>
      <c r="J211" s="66">
        <v>0</v>
      </c>
      <c r="K211" s="66">
        <v>0</v>
      </c>
      <c r="L211" s="66">
        <v>0</v>
      </c>
      <c r="M211" s="66">
        <v>0</v>
      </c>
      <c r="N211" s="66">
        <v>0</v>
      </c>
      <c r="P211" s="67">
        <f t="shared" si="19"/>
        <v>1846.7525000000012</v>
      </c>
      <c r="Q211" s="67">
        <f t="shared" si="20"/>
        <v>729.08500000000026</v>
      </c>
      <c r="R211" s="68">
        <f t="shared" si="21"/>
        <v>2575.8375000000015</v>
      </c>
    </row>
    <row r="212" spans="1:18" x14ac:dyDescent="0.3">
      <c r="A212" s="65">
        <v>46232</v>
      </c>
      <c r="B212" s="66">
        <f t="shared" si="25"/>
        <v>2575.8375000000015</v>
      </c>
      <c r="C212" s="66">
        <f t="shared" si="23"/>
        <v>1846.7525000000012</v>
      </c>
      <c r="D212" s="67">
        <f t="shared" si="24"/>
        <v>729.08500000000026</v>
      </c>
      <c r="E212" s="67">
        <v>0</v>
      </c>
      <c r="F212" s="67">
        <v>0</v>
      </c>
      <c r="G212" s="67">
        <v>0</v>
      </c>
      <c r="H212" s="67">
        <v>0</v>
      </c>
      <c r="I212" s="66">
        <v>0</v>
      </c>
      <c r="J212" s="66">
        <v>0</v>
      </c>
      <c r="K212" s="66">
        <v>0</v>
      </c>
      <c r="L212" s="66">
        <v>0</v>
      </c>
      <c r="M212" s="66">
        <v>0</v>
      </c>
      <c r="N212" s="66">
        <v>0</v>
      </c>
      <c r="P212" s="67">
        <f t="shared" si="19"/>
        <v>1846.7525000000012</v>
      </c>
      <c r="Q212" s="67">
        <f t="shared" si="20"/>
        <v>729.08500000000026</v>
      </c>
      <c r="R212" s="68">
        <f t="shared" si="21"/>
        <v>2575.8375000000015</v>
      </c>
    </row>
    <row r="213" spans="1:18" x14ac:dyDescent="0.3">
      <c r="A213" s="65">
        <v>46233</v>
      </c>
      <c r="B213" s="66">
        <f t="shared" ref="B213:B216" si="26">R212</f>
        <v>2575.8375000000015</v>
      </c>
      <c r="C213" s="66">
        <f t="shared" ref="C213:C216" si="27">P212</f>
        <v>1846.7525000000012</v>
      </c>
      <c r="D213" s="67">
        <f t="shared" ref="D213:D216" si="28">Q212</f>
        <v>729.08500000000026</v>
      </c>
      <c r="E213" s="67">
        <v>610.28750000000002</v>
      </c>
      <c r="F213" s="67">
        <v>0</v>
      </c>
      <c r="G213" s="67">
        <v>78.709999999999994</v>
      </c>
      <c r="H213" s="67">
        <v>0</v>
      </c>
      <c r="I213" s="66">
        <v>0</v>
      </c>
      <c r="J213" s="66">
        <v>0</v>
      </c>
      <c r="K213" s="66">
        <v>0</v>
      </c>
      <c r="L213" s="66">
        <v>0</v>
      </c>
      <c r="M213" s="66">
        <v>0</v>
      </c>
      <c r="N213" s="66">
        <v>0</v>
      </c>
      <c r="P213" s="67">
        <f t="shared" si="19"/>
        <v>2457.0400000000013</v>
      </c>
      <c r="Q213" s="67">
        <f t="shared" si="20"/>
        <v>807.7950000000003</v>
      </c>
      <c r="R213" s="68">
        <f t="shared" si="21"/>
        <v>3264.8350000000019</v>
      </c>
    </row>
    <row r="214" spans="1:18" x14ac:dyDescent="0.3">
      <c r="A214" s="65">
        <v>46234</v>
      </c>
      <c r="B214" s="66">
        <f t="shared" si="26"/>
        <v>3264.8350000000019</v>
      </c>
      <c r="C214" s="66">
        <f t="shared" si="27"/>
        <v>2457.0400000000013</v>
      </c>
      <c r="D214" s="67">
        <f t="shared" si="28"/>
        <v>807.7950000000003</v>
      </c>
      <c r="E214" s="67">
        <v>0</v>
      </c>
      <c r="F214" s="67">
        <v>0</v>
      </c>
      <c r="G214" s="67">
        <v>0</v>
      </c>
      <c r="H214" s="67">
        <v>0</v>
      </c>
      <c r="I214" s="66">
        <v>0</v>
      </c>
      <c r="J214" s="66">
        <v>0</v>
      </c>
      <c r="K214" s="66">
        <v>-175</v>
      </c>
      <c r="L214" s="66">
        <v>0</v>
      </c>
      <c r="M214" s="66">
        <v>0</v>
      </c>
      <c r="N214" s="66">
        <v>0</v>
      </c>
      <c r="P214" s="67">
        <f t="shared" si="19"/>
        <v>2282.0400000000013</v>
      </c>
      <c r="Q214" s="67">
        <f t="shared" si="20"/>
        <v>807.7950000000003</v>
      </c>
      <c r="R214" s="68">
        <f t="shared" si="21"/>
        <v>3089.8350000000019</v>
      </c>
    </row>
    <row r="215" spans="1:18" x14ac:dyDescent="0.3">
      <c r="A215" s="65">
        <v>46235</v>
      </c>
      <c r="B215" s="66">
        <f t="shared" si="26"/>
        <v>3089.8350000000019</v>
      </c>
      <c r="C215" s="66">
        <f t="shared" si="27"/>
        <v>2282.0400000000013</v>
      </c>
      <c r="D215" s="67">
        <f t="shared" si="28"/>
        <v>807.7950000000003</v>
      </c>
      <c r="E215" s="67">
        <v>0</v>
      </c>
      <c r="F215" s="67">
        <v>0</v>
      </c>
      <c r="G215" s="67">
        <v>0</v>
      </c>
      <c r="H215" s="67">
        <v>0</v>
      </c>
      <c r="I215" s="66">
        <v>0</v>
      </c>
      <c r="J215" s="66">
        <v>0</v>
      </c>
      <c r="K215" s="66">
        <v>0</v>
      </c>
      <c r="L215" s="66">
        <v>0</v>
      </c>
      <c r="M215" s="66">
        <v>0</v>
      </c>
      <c r="N215" s="66">
        <v>0</v>
      </c>
      <c r="P215" s="67">
        <f t="shared" si="19"/>
        <v>2282.0400000000013</v>
      </c>
      <c r="Q215" s="67">
        <f t="shared" si="20"/>
        <v>807.7950000000003</v>
      </c>
      <c r="R215" s="68">
        <f t="shared" si="21"/>
        <v>3089.8350000000019</v>
      </c>
    </row>
    <row r="216" spans="1:18" x14ac:dyDescent="0.3">
      <c r="A216" s="65">
        <v>46236</v>
      </c>
      <c r="B216" s="66">
        <f t="shared" si="26"/>
        <v>3089.8350000000019</v>
      </c>
      <c r="C216" s="66">
        <f t="shared" si="27"/>
        <v>2282.0400000000013</v>
      </c>
      <c r="D216" s="67">
        <f t="shared" si="28"/>
        <v>807.7950000000003</v>
      </c>
      <c r="E216" s="67">
        <v>0</v>
      </c>
      <c r="F216" s="67">
        <v>0</v>
      </c>
      <c r="G216" s="67">
        <v>0</v>
      </c>
      <c r="H216" s="67">
        <v>0</v>
      </c>
      <c r="I216" s="66">
        <v>0</v>
      </c>
      <c r="J216" s="66">
        <v>0</v>
      </c>
      <c r="K216" s="66">
        <v>0</v>
      </c>
      <c r="L216" s="66">
        <v>0</v>
      </c>
      <c r="M216" s="66">
        <v>0</v>
      </c>
      <c r="N216" s="66">
        <v>0</v>
      </c>
      <c r="P216" s="67">
        <f t="shared" ref="P216" si="29">C216+(SUM(I216:N216)+(SUM(E216:F216)))</f>
        <v>2282.0400000000013</v>
      </c>
      <c r="Q216" s="67">
        <f t="shared" ref="Q216" si="30">D216+G216+H216+O216</f>
        <v>807.7950000000003</v>
      </c>
      <c r="R216" s="68">
        <f t="shared" ref="R216" si="31">P216+Q216</f>
        <v>3089.8350000000019</v>
      </c>
    </row>
    <row r="217" spans="1:18" x14ac:dyDescent="0.3">
      <c r="A217" s="65">
        <v>46237</v>
      </c>
      <c r="B217" s="66">
        <f t="shared" ref="B217" si="32">R216</f>
        <v>3089.8350000000019</v>
      </c>
      <c r="C217" s="66">
        <f t="shared" ref="C217" si="33">P216</f>
        <v>2282.0400000000013</v>
      </c>
      <c r="D217" s="67">
        <f t="shared" ref="D217" si="34">Q216</f>
        <v>807.7950000000003</v>
      </c>
      <c r="E217" s="67">
        <f>IF(OR(DAY(A217+2)=1,DAY(A217+2)=15),-SUM('Main Budget'!$I$17:$I$22),0)</f>
        <v>0</v>
      </c>
      <c r="F217" s="67">
        <f>IF(DAY(A217+2)=22,-SUM('Main Budget'!$F$17:$F$22),0)</f>
        <v>0</v>
      </c>
      <c r="G217" s="67">
        <f>IF(E217&gt;0,-'Main Budget'!$I$16,0)</f>
        <v>0</v>
      </c>
      <c r="H217" s="67">
        <f>IF(F217&gt;0,-'Main Budget'!$F$16+0.81,0)</f>
        <v>0</v>
      </c>
      <c r="I217" s="66">
        <f>IF(DAY(A217)='Main Budget'!$K$17,'Main Budget'!$E$17,0)</f>
        <v>0</v>
      </c>
      <c r="J217" s="66">
        <v>-41.66</v>
      </c>
      <c r="K217" s="66">
        <f>IF(DAY(A217)='Main Budget'!$K$20,'Main Budget'!$E$20,0)</f>
        <v>0</v>
      </c>
      <c r="L217" s="66">
        <f>IF(DAY(A217)='Main Budget'!$K$21,'Main Budget'!$E$21,0)</f>
        <v>0</v>
      </c>
      <c r="M217" s="66">
        <f>IF(DAY(A217)='Main Budget'!$K$22,'Main Budget'!$E$22,0)</f>
        <v>0</v>
      </c>
      <c r="N217" s="66">
        <f>IF(DAY(A217)='Main Budget'!$K$18,'Main Budget'!$E$18,0)</f>
        <v>0</v>
      </c>
      <c r="P217" s="67">
        <f t="shared" ref="P217" si="35">C217+(SUM(I217:N217)+(SUM(E217:F217)))</f>
        <v>2240.3800000000015</v>
      </c>
      <c r="Q217" s="67">
        <f t="shared" ref="Q217" si="36">D217+G217+H217+O217</f>
        <v>807.7950000000003</v>
      </c>
      <c r="R217" s="68">
        <f t="shared" ref="R217" si="37">P217+Q217</f>
        <v>3048.175000000002</v>
      </c>
    </row>
    <row r="218" spans="1:18" x14ac:dyDescent="0.3">
      <c r="A218" s="65">
        <v>46238</v>
      </c>
      <c r="B218" s="66">
        <f t="shared" ref="B218:B219" si="38">R217</f>
        <v>3048.175000000002</v>
      </c>
      <c r="C218" s="66">
        <f t="shared" ref="C218:C219" si="39">P217</f>
        <v>2240.3800000000015</v>
      </c>
      <c r="D218" s="67">
        <f t="shared" ref="D218:D219" si="40">Q217</f>
        <v>807.7950000000003</v>
      </c>
      <c r="E218" s="67">
        <f>IF(OR(DAY(A218+2)=1,DAY(A218+2)=15),-SUM('Main Budget'!$I$17:$I$22),0)</f>
        <v>0</v>
      </c>
      <c r="F218" s="67">
        <f>IF(DAY(A218+2)=22,-SUM('Main Budget'!$F$17:$F$22),0)</f>
        <v>0</v>
      </c>
      <c r="G218" s="67">
        <f>IF(E218&gt;0,-'Main Budget'!$I$16,0)</f>
        <v>0</v>
      </c>
      <c r="H218" s="67">
        <f>IF(F218&gt;0,-'Main Budget'!$F$16+0.81,0)</f>
        <v>0</v>
      </c>
      <c r="I218" s="66">
        <f>IF(DAY(A218)='Main Budget'!$K$17,'Main Budget'!$E$17,0)</f>
        <v>0</v>
      </c>
      <c r="J218" s="66">
        <f>IF(DAY(A218)='Main Budget'!$K$19,'Main Budget'!$E$19,0)</f>
        <v>0</v>
      </c>
      <c r="K218" s="66">
        <f>IF(DAY(A218)='Main Budget'!$K$20,'Main Budget'!$E$20,0)</f>
        <v>0</v>
      </c>
      <c r="L218" s="66">
        <f>IF(DAY(A218)='Main Budget'!$K$21,'Main Budget'!$E$21,0)</f>
        <v>0</v>
      </c>
      <c r="M218" s="66">
        <f>IF(DAY(A218)='Main Budget'!$K$22,'Main Budget'!$E$22,0)</f>
        <v>0</v>
      </c>
      <c r="N218" s="66">
        <f>IF(DAY(A218)='Main Budget'!$K$18,'Main Budget'!$E$18,0)</f>
        <v>0</v>
      </c>
      <c r="P218" s="67">
        <f t="shared" ref="P218:P219" si="41">C218+(SUM(I218:N218)+(SUM(E218:F218)))</f>
        <v>2240.3800000000015</v>
      </c>
      <c r="Q218" s="67">
        <f t="shared" ref="Q218:Q219" si="42">D218+G218+H218+O218</f>
        <v>807.7950000000003</v>
      </c>
      <c r="R218" s="68">
        <f t="shared" ref="R218:R219" si="43">P218+Q218</f>
        <v>3048.175000000002</v>
      </c>
    </row>
    <row r="219" spans="1:18" x14ac:dyDescent="0.3">
      <c r="A219" s="65">
        <v>46239</v>
      </c>
      <c r="B219" s="66">
        <f t="shared" si="38"/>
        <v>3048.175000000002</v>
      </c>
      <c r="C219" s="66">
        <f t="shared" si="39"/>
        <v>2240.3800000000015</v>
      </c>
      <c r="D219" s="67">
        <f t="shared" si="40"/>
        <v>807.7950000000003</v>
      </c>
      <c r="E219" s="67">
        <f>IF(OR(DAY(A219+2)=1,DAY(A219+2)=15),-SUM('Main Budget'!$I$17:$I$22),0)</f>
        <v>0</v>
      </c>
      <c r="F219" s="67">
        <f>IF(DAY(A219+2)=22,-SUM('Main Budget'!$F$17:$F$22),0)</f>
        <v>0</v>
      </c>
      <c r="G219" s="67">
        <f>IF(E219&gt;0,-'Main Budget'!$I$16,0)</f>
        <v>0</v>
      </c>
      <c r="H219" s="67">
        <f>IF(F219&gt;0,-'Main Budget'!$F$16+0.81,0)</f>
        <v>0</v>
      </c>
      <c r="I219" s="66">
        <f>IF(DAY(A219)='Main Budget'!$K$17,'Main Budget'!$E$17,0)</f>
        <v>0</v>
      </c>
      <c r="J219" s="66">
        <f>IF(DAY(A219)='Main Budget'!$K$19,'Main Budget'!$E$19,0)</f>
        <v>0</v>
      </c>
      <c r="K219" s="66">
        <f>IF(DAY(A219)='Main Budget'!$K$20,'Main Budget'!$E$20,0)</f>
        <v>0</v>
      </c>
      <c r="L219" s="66">
        <f>IF(DAY(A219)='Main Budget'!$K$21,'Main Budget'!$E$21,0)</f>
        <v>0</v>
      </c>
      <c r="M219" s="66">
        <f>IF(DAY(A219)='Main Budget'!$K$22,'Main Budget'!$E$22,0)</f>
        <v>0</v>
      </c>
      <c r="N219" s="66">
        <f>IF(DAY(A219)='Main Budget'!$K$18,'Main Budget'!$E$18,0)</f>
        <v>0</v>
      </c>
      <c r="P219" s="67">
        <f t="shared" si="41"/>
        <v>2240.3800000000015</v>
      </c>
      <c r="Q219" s="67">
        <f t="shared" si="42"/>
        <v>807.7950000000003</v>
      </c>
      <c r="R219" s="68">
        <f t="shared" si="43"/>
        <v>3048.175000000002</v>
      </c>
    </row>
    <row r="220" spans="1:18" x14ac:dyDescent="0.3">
      <c r="A220" s="65">
        <v>46240</v>
      </c>
      <c r="B220" s="66">
        <f t="shared" ref="B220:B227" si="44">R219</f>
        <v>3048.175000000002</v>
      </c>
      <c r="C220" s="66">
        <f t="shared" ref="C220:C227" si="45">P219</f>
        <v>2240.3800000000015</v>
      </c>
      <c r="D220" s="67">
        <f t="shared" ref="D220:D227" si="46">Q219</f>
        <v>807.7950000000003</v>
      </c>
      <c r="E220" s="67">
        <f>IF(OR(DAY(A220+2)=1,DAY(A220+2)=15),-SUM('Main Budget'!$I$17:$I$22),0)</f>
        <v>0</v>
      </c>
      <c r="F220" s="67">
        <f>IF(DAY(A220+2)=22,-SUM('Main Budget'!$F$17:$F$22),0)</f>
        <v>0</v>
      </c>
      <c r="G220" s="67">
        <f>IF(E220&gt;0,-'Main Budget'!$I$16,0)</f>
        <v>0</v>
      </c>
      <c r="H220" s="67">
        <f>IF(F220&gt;0,-'Main Budget'!$F$16+0.81,0)</f>
        <v>0</v>
      </c>
      <c r="I220" s="66">
        <f>IF(DAY(A220)='Main Budget'!$K$17,'Main Budget'!$E$17,0)</f>
        <v>0</v>
      </c>
      <c r="J220" s="66">
        <f>IF(DAY(A220)='Main Budget'!$K$19,'Main Budget'!$E$19,0)</f>
        <v>0</v>
      </c>
      <c r="K220" s="66">
        <f>IF(DAY(A220)='Main Budget'!$K$20,'Main Budget'!$E$20,0)</f>
        <v>0</v>
      </c>
      <c r="L220" s="66">
        <f>IF(DAY(A220)='Main Budget'!$K$21,'Main Budget'!$E$21,0)</f>
        <v>0</v>
      </c>
      <c r="M220" s="66">
        <f>IF(DAY(A220)='Main Budget'!$K$22,'Main Budget'!$E$22,0)</f>
        <v>0</v>
      </c>
      <c r="N220" s="66">
        <f>IF(DAY(A220)='Main Budget'!$K$18,'Main Budget'!$E$18,0)</f>
        <v>0</v>
      </c>
      <c r="P220" s="67">
        <f t="shared" ref="P220:P227" si="47">C220+(SUM(I220:N220)+(SUM(E220:F220)))</f>
        <v>2240.3800000000015</v>
      </c>
      <c r="Q220" s="67">
        <f t="shared" ref="Q220:Q227" si="48">D220+G220+H220+O220</f>
        <v>807.7950000000003</v>
      </c>
      <c r="R220" s="68">
        <f t="shared" ref="R220:R227" si="49">P220+Q220</f>
        <v>3048.175000000002</v>
      </c>
    </row>
    <row r="221" spans="1:18" x14ac:dyDescent="0.3">
      <c r="A221" s="65">
        <v>46241</v>
      </c>
      <c r="B221" s="66">
        <f t="shared" si="44"/>
        <v>3048.175000000002</v>
      </c>
      <c r="C221" s="66">
        <f t="shared" si="45"/>
        <v>2240.3800000000015</v>
      </c>
      <c r="D221" s="67">
        <f t="shared" si="46"/>
        <v>807.7950000000003</v>
      </c>
      <c r="E221" s="67">
        <f>IF(OR(DAY(A221+2)=1,DAY(A221+2)=15),-SUM('Main Budget'!$I$17:$I$22),0)</f>
        <v>0</v>
      </c>
      <c r="F221" s="67">
        <f>IF(DAY(A221+2)=22,-SUM('Main Budget'!$F$17:$F$22),0)</f>
        <v>0</v>
      </c>
      <c r="G221" s="67">
        <f>IF(E221&gt;0,-'Main Budget'!$I$16,0)</f>
        <v>0</v>
      </c>
      <c r="H221" s="67">
        <f>IF(F221&gt;0,-'Main Budget'!$F$16+0.81,0)</f>
        <v>0</v>
      </c>
      <c r="I221" s="66">
        <f>IF(DAY(A221)='Main Budget'!$K$17,'Main Budget'!$E$17,0)</f>
        <v>-2036.51</v>
      </c>
      <c r="J221" s="66">
        <f>IF(DAY(A221)='Main Budget'!$K$19,'Main Budget'!$E$19,0)</f>
        <v>0</v>
      </c>
      <c r="K221" s="66">
        <f>IF(DAY(A221)='Main Budget'!$K$20,'Main Budget'!$E$20,0)</f>
        <v>0</v>
      </c>
      <c r="L221" s="66">
        <f>IF(DAY(A221)='Main Budget'!$K$21,'Main Budget'!$E$21,0)</f>
        <v>0</v>
      </c>
      <c r="M221" s="66">
        <f>IF(DAY(A221)='Main Budget'!$K$22,'Main Budget'!$E$22,0)</f>
        <v>0</v>
      </c>
      <c r="N221" s="66">
        <f>IF(DAY(A221)='Main Budget'!$K$18,'Main Budget'!$E$18,0)</f>
        <v>0</v>
      </c>
      <c r="P221" s="67">
        <f t="shared" si="47"/>
        <v>203.87000000000148</v>
      </c>
      <c r="Q221" s="67">
        <f t="shared" si="48"/>
        <v>807.7950000000003</v>
      </c>
      <c r="R221" s="68">
        <f t="shared" si="49"/>
        <v>1011.6650000000018</v>
      </c>
    </row>
    <row r="222" spans="1:18" x14ac:dyDescent="0.3">
      <c r="A222" s="65">
        <v>46242</v>
      </c>
      <c r="B222" s="66">
        <f t="shared" si="44"/>
        <v>1011.6650000000018</v>
      </c>
      <c r="C222" s="66">
        <f t="shared" si="45"/>
        <v>203.87000000000148</v>
      </c>
      <c r="D222" s="67">
        <f t="shared" si="46"/>
        <v>807.7950000000003</v>
      </c>
      <c r="E222" s="67">
        <f>IF(OR(DAY(A222+2)=1,DAY(A222+2)=15),-SUM('Main Budget'!$I$17:$I$22),0)</f>
        <v>0</v>
      </c>
      <c r="F222" s="67">
        <f>IF(DAY(A222+2)=22,-SUM('Main Budget'!$F$17:$F$22),0)</f>
        <v>0</v>
      </c>
      <c r="G222" s="67">
        <f>IF(E222&gt;0,-'Main Budget'!$I$16,0)</f>
        <v>0</v>
      </c>
      <c r="H222" s="67">
        <f>IF(F222&gt;0,-'Main Budget'!$F$16+0.81,0)</f>
        <v>0</v>
      </c>
      <c r="I222" s="66">
        <f>IF(DAY(A222)='Main Budget'!$K$17,'Main Budget'!$E$17,0)</f>
        <v>0</v>
      </c>
      <c r="J222" s="66">
        <f>IF(DAY(A222)='Main Budget'!$K$19,'Main Budget'!$E$19,0)</f>
        <v>0</v>
      </c>
      <c r="K222" s="66">
        <f>IF(DAY(A222)='Main Budget'!$K$20,'Main Budget'!$E$20,0)</f>
        <v>0</v>
      </c>
      <c r="L222" s="66">
        <f>IF(DAY(A222)='Main Budget'!$K$21,'Main Budget'!$E$21,0)</f>
        <v>0</v>
      </c>
      <c r="M222" s="66">
        <f>IF(DAY(A222)='Main Budget'!$K$22,'Main Budget'!$E$22,0)</f>
        <v>0</v>
      </c>
      <c r="N222" s="66">
        <f>IF(DAY(A222)='Main Budget'!$K$18,'Main Budget'!$E$18,0)</f>
        <v>0</v>
      </c>
      <c r="P222" s="67">
        <f t="shared" si="47"/>
        <v>203.87000000000148</v>
      </c>
      <c r="Q222" s="67">
        <f t="shared" si="48"/>
        <v>807.7950000000003</v>
      </c>
      <c r="R222" s="68">
        <f t="shared" si="49"/>
        <v>1011.6650000000018</v>
      </c>
    </row>
    <row r="223" spans="1:18" x14ac:dyDescent="0.3">
      <c r="A223" s="65">
        <v>46243</v>
      </c>
      <c r="B223" s="66">
        <f t="shared" si="44"/>
        <v>1011.6650000000018</v>
      </c>
      <c r="C223" s="66">
        <f t="shared" si="45"/>
        <v>203.87000000000148</v>
      </c>
      <c r="D223" s="67">
        <f t="shared" si="46"/>
        <v>807.7950000000003</v>
      </c>
      <c r="E223" s="67">
        <f>IF(OR(DAY(A223+2)=1,DAY(A223+2)=15),-SUM('Main Budget'!$I$17:$I$22),0)</f>
        <v>0</v>
      </c>
      <c r="F223" s="67">
        <f>IF(DAY(A223+2)=22,-SUM('Main Budget'!$F$17:$F$22),0)</f>
        <v>0</v>
      </c>
      <c r="G223" s="67">
        <f>IF(E223&gt;0,-'Main Budget'!$I$16,0)</f>
        <v>0</v>
      </c>
      <c r="H223" s="67">
        <f>IF(F223&gt;0,-'Main Budget'!$F$16+0.81,0)</f>
        <v>0</v>
      </c>
      <c r="I223" s="66">
        <f>IF(DAY(A223)='Main Budget'!$K$17,'Main Budget'!$E$17,0)</f>
        <v>0</v>
      </c>
      <c r="J223" s="66">
        <f>IF(DAY(A223)='Main Budget'!$K$19,'Main Budget'!$E$19,0)</f>
        <v>0</v>
      </c>
      <c r="K223" s="66">
        <f>IF(DAY(A223)='Main Budget'!$K$20,'Main Budget'!$E$20,0)</f>
        <v>0</v>
      </c>
      <c r="L223" s="66">
        <f>IF(DAY(A223)='Main Budget'!$K$21,'Main Budget'!$E$21,0)</f>
        <v>0</v>
      </c>
      <c r="M223" s="66">
        <f>IF(DAY(A223)='Main Budget'!$K$22,'Main Budget'!$E$22,0)</f>
        <v>0</v>
      </c>
      <c r="N223" s="66">
        <f>IF(DAY(A223)='Main Budget'!$K$18,'Main Budget'!$E$18,0)</f>
        <v>-36.5</v>
      </c>
      <c r="P223" s="67">
        <f t="shared" si="47"/>
        <v>167.37000000000148</v>
      </c>
      <c r="Q223" s="67">
        <f t="shared" si="48"/>
        <v>807.7950000000003</v>
      </c>
      <c r="R223" s="68">
        <f t="shared" si="49"/>
        <v>975.16500000000178</v>
      </c>
    </row>
    <row r="224" spans="1:18" x14ac:dyDescent="0.3">
      <c r="A224" s="65">
        <v>46244</v>
      </c>
      <c r="B224" s="66">
        <f t="shared" si="44"/>
        <v>975.16500000000178</v>
      </c>
      <c r="C224" s="66">
        <f t="shared" si="45"/>
        <v>167.37000000000148</v>
      </c>
      <c r="D224" s="67">
        <f t="shared" si="46"/>
        <v>807.7950000000003</v>
      </c>
      <c r="E224" s="67">
        <f>IF(OR(DAY(A224+2)=1,DAY(A224+2)=15),-SUM('Main Budget'!$I$17:$I$22),0)</f>
        <v>0</v>
      </c>
      <c r="F224" s="67">
        <f>IF(DAY(A224+2)=22,-SUM('Main Budget'!$F$17:$F$22),0)</f>
        <v>0</v>
      </c>
      <c r="G224" s="67">
        <f>IF(E224&gt;0,-'Main Budget'!$I$16,0)</f>
        <v>0</v>
      </c>
      <c r="H224" s="67">
        <f>IF(F224&gt;0,-'Main Budget'!$F$16+0.81,0)</f>
        <v>0</v>
      </c>
      <c r="I224" s="66">
        <f>IF(DAY(A224)='Main Budget'!$K$17,'Main Budget'!$E$17,0)</f>
        <v>0</v>
      </c>
      <c r="J224" s="66">
        <f>IF(DAY(A224)='Main Budget'!$K$19,'Main Budget'!$E$19,0)</f>
        <v>0</v>
      </c>
      <c r="K224" s="66">
        <f>IF(DAY(A224)='Main Budget'!$K$20,'Main Budget'!$E$20,0)</f>
        <v>0</v>
      </c>
      <c r="L224" s="66">
        <f>IF(DAY(A224)='Main Budget'!$K$21,'Main Budget'!$E$21,0)</f>
        <v>0</v>
      </c>
      <c r="M224" s="66">
        <f>IF(DAY(A224)='Main Budget'!$K$22,'Main Budget'!$E$22,0)</f>
        <v>0</v>
      </c>
      <c r="N224" s="66">
        <f>IF(DAY(A224)='Main Budget'!$K$18,'Main Budget'!$E$18,0)</f>
        <v>0</v>
      </c>
      <c r="P224" s="67">
        <f t="shared" si="47"/>
        <v>167.37000000000148</v>
      </c>
      <c r="Q224" s="67">
        <f t="shared" si="48"/>
        <v>807.7950000000003</v>
      </c>
      <c r="R224" s="68">
        <f t="shared" si="49"/>
        <v>975.16500000000178</v>
      </c>
    </row>
    <row r="225" spans="1:18" x14ac:dyDescent="0.3">
      <c r="A225" s="65">
        <v>46245</v>
      </c>
      <c r="B225" s="66">
        <f t="shared" si="44"/>
        <v>975.16500000000178</v>
      </c>
      <c r="C225" s="66">
        <f t="shared" si="45"/>
        <v>167.37000000000148</v>
      </c>
      <c r="D225" s="67">
        <f t="shared" si="46"/>
        <v>807.7950000000003</v>
      </c>
      <c r="E225" s="67">
        <f>IF(OR(DAY(A225+2)=1,DAY(A225+2)=15),-SUM('Main Budget'!$I$17:$I$22),0)</f>
        <v>0</v>
      </c>
      <c r="F225" s="67">
        <f>IF(DAY(A225+2)=22,-SUM('Main Budget'!$F$17:$F$22),0)</f>
        <v>0</v>
      </c>
      <c r="G225" s="67">
        <f>IF(E225&gt;0,-'Main Budget'!$I$16,0)</f>
        <v>0</v>
      </c>
      <c r="H225" s="67">
        <f>IF(F225&gt;0,-'Main Budget'!$F$16+0.81,0)</f>
        <v>0</v>
      </c>
      <c r="I225" s="66">
        <f>IF(DAY(A225)='Main Budget'!$K$17,'Main Budget'!$E$17,0)</f>
        <v>0</v>
      </c>
      <c r="J225" s="66">
        <f>IF(DAY(A225)='Main Budget'!$K$19,'Main Budget'!$E$19,0)</f>
        <v>0</v>
      </c>
      <c r="K225" s="66">
        <f>IF(DAY(A225)='Main Budget'!$K$20,'Main Budget'!$E$20,0)</f>
        <v>0</v>
      </c>
      <c r="L225" s="66">
        <f>IF(DAY(A225)='Main Budget'!$K$21,'Main Budget'!$E$21,0)</f>
        <v>0</v>
      </c>
      <c r="M225" s="66">
        <f>IF(DAY(A225)='Main Budget'!$K$22,'Main Budget'!$E$22,0)</f>
        <v>0</v>
      </c>
      <c r="N225" s="66">
        <f>IF(DAY(A225)='Main Budget'!$K$18,'Main Budget'!$E$18,0)</f>
        <v>0</v>
      </c>
      <c r="P225" s="67">
        <f t="shared" si="47"/>
        <v>167.37000000000148</v>
      </c>
      <c r="Q225" s="67">
        <f t="shared" si="48"/>
        <v>807.7950000000003</v>
      </c>
      <c r="R225" s="68">
        <f t="shared" si="49"/>
        <v>975.16500000000178</v>
      </c>
    </row>
    <row r="226" spans="1:18" x14ac:dyDescent="0.3">
      <c r="A226" s="65">
        <v>46246</v>
      </c>
      <c r="B226" s="66">
        <f t="shared" si="44"/>
        <v>975.16500000000178</v>
      </c>
      <c r="C226" s="66">
        <f t="shared" si="45"/>
        <v>167.37000000000148</v>
      </c>
      <c r="D226" s="67">
        <f t="shared" si="46"/>
        <v>807.7950000000003</v>
      </c>
      <c r="E226" s="67">
        <f>IF(OR(DAY(A226+2)=1,DAY(A226+2)=15),-SUM('Main Budget'!$I$17:$I$22),0)</f>
        <v>0</v>
      </c>
      <c r="F226" s="67">
        <f>IF(DAY(A226+2)=22,-SUM('Main Budget'!$F$17:$F$22),0)</f>
        <v>0</v>
      </c>
      <c r="G226" s="67">
        <f>IF(E226&gt;0,-'Main Budget'!$I$16,0)</f>
        <v>0</v>
      </c>
      <c r="H226" s="67">
        <f>IF(F226&gt;0,-'Main Budget'!$F$16+0.81,0)</f>
        <v>0</v>
      </c>
      <c r="I226" s="66">
        <f>IF(DAY(A226)='Main Budget'!$K$17,'Main Budget'!$E$17,0)</f>
        <v>0</v>
      </c>
      <c r="J226" s="66">
        <f>IF(DAY(A226)='Main Budget'!$K$19,'Main Budget'!$E$19,0)</f>
        <v>0</v>
      </c>
      <c r="K226" s="66">
        <f>IF(DAY(A226)='Main Budget'!$K$20,'Main Budget'!$E$20,0)</f>
        <v>0</v>
      </c>
      <c r="L226" s="66">
        <f>IF(DAY(A226)='Main Budget'!$K$21,'Main Budget'!$E$21,0)</f>
        <v>0</v>
      </c>
      <c r="M226" s="66">
        <f>IF(DAY(A226)='Main Budget'!$K$22,'Main Budget'!$E$22,0)</f>
        <v>-51.2</v>
      </c>
      <c r="N226" s="66">
        <f>IF(DAY(A226)='Main Budget'!$K$18,'Main Budget'!$E$18,0)</f>
        <v>0</v>
      </c>
      <c r="P226" s="67">
        <f t="shared" si="47"/>
        <v>116.17000000000148</v>
      </c>
      <c r="Q226" s="67">
        <f t="shared" si="48"/>
        <v>807.7950000000003</v>
      </c>
      <c r="R226" s="68">
        <f t="shared" si="49"/>
        <v>923.96500000000174</v>
      </c>
    </row>
    <row r="227" spans="1:18" x14ac:dyDescent="0.3">
      <c r="A227" s="65">
        <v>46247</v>
      </c>
      <c r="B227" s="66">
        <f t="shared" si="44"/>
        <v>923.96500000000174</v>
      </c>
      <c r="C227" s="66">
        <f t="shared" si="45"/>
        <v>116.17000000000148</v>
      </c>
      <c r="D227" s="67">
        <f t="shared" si="46"/>
        <v>807.7950000000003</v>
      </c>
      <c r="E227" s="67">
        <f>IF(OR(DAY(A227+2)=1,DAY(A227+2)=15),-SUM('Main Budget'!$I$17:$I$22),0)</f>
        <v>611.30250000000001</v>
      </c>
      <c r="F227" s="67">
        <f>IF(DAY(A227+2)=22,-SUM('Main Budget'!$F$17:$F$22),0)</f>
        <v>0</v>
      </c>
      <c r="G227" s="67">
        <f>IF(E227&gt;0,-'Main Budget'!$I$16,0)</f>
        <v>78.116250000000036</v>
      </c>
      <c r="H227" s="67">
        <f>IF(F227&gt;0,-'Main Budget'!$F$16+0.81,0)</f>
        <v>0</v>
      </c>
      <c r="I227" s="66">
        <f>IF(DAY(A227)='Main Budget'!$K$17,'Main Budget'!$E$17,0)</f>
        <v>0</v>
      </c>
      <c r="J227" s="66">
        <f>IF(DAY(A227)='Main Budget'!$K$19,'Main Budget'!$E$19,0)</f>
        <v>0</v>
      </c>
      <c r="K227" s="66">
        <f>IF(DAY(A227)='Main Budget'!$K$20,'Main Budget'!$E$20,0)</f>
        <v>0</v>
      </c>
      <c r="L227" s="66">
        <f>IF(DAY(A227)='Main Budget'!$K$21,'Main Budget'!$E$21,0)</f>
        <v>0</v>
      </c>
      <c r="M227" s="66">
        <f>IF(DAY(A227)='Main Budget'!$K$22,'Main Budget'!$E$22,0)</f>
        <v>0</v>
      </c>
      <c r="N227" s="66">
        <f>IF(DAY(A227)='Main Budget'!$K$18,'Main Budget'!$E$18,0)</f>
        <v>0</v>
      </c>
      <c r="P227" s="67">
        <f t="shared" si="47"/>
        <v>727.47250000000145</v>
      </c>
      <c r="Q227" s="67">
        <f t="shared" si="48"/>
        <v>885.91125000000034</v>
      </c>
      <c r="R227" s="68">
        <f t="shared" si="49"/>
        <v>1613.3837500000018</v>
      </c>
    </row>
  </sheetData>
  <conditionalFormatting sqref="A1045717:R1048576">
    <cfRule type="expression" dxfId="16" priority="14">
      <formula>#REF!=TODAY()+1</formula>
    </cfRule>
  </conditionalFormatting>
  <conditionalFormatting sqref="A1:R1">
    <cfRule type="expression" dxfId="15" priority="7">
      <formula>#REF!=TODAY()+1</formula>
    </cfRule>
  </conditionalFormatting>
  <conditionalFormatting sqref="A228:R1045314">
    <cfRule type="expression" dxfId="14" priority="9">
      <formula>$A229=TODAY()+1</formula>
    </cfRule>
  </conditionalFormatting>
  <conditionalFormatting sqref="A1045315:R1045716">
    <cfRule type="expression" dxfId="13" priority="15">
      <formula>$A1=TODAY()+1</formula>
    </cfRule>
  </conditionalFormatting>
  <conditionalFormatting sqref="A219 E219:F219 H219:O219">
    <cfRule type="expression" dxfId="12" priority="6">
      <formula>#REF!=TODAY()+1</formula>
    </cfRule>
  </conditionalFormatting>
  <conditionalFormatting sqref="A219:S219">
    <cfRule type="expression" dxfId="11" priority="5">
      <formula>$A220=TODAY()+1</formula>
    </cfRule>
  </conditionalFormatting>
  <conditionalFormatting sqref="A2:A218 E2:F218 H2:O218">
    <cfRule type="expression" dxfId="10" priority="4">
      <formula>#REF!=TODAY()+1</formula>
    </cfRule>
  </conditionalFormatting>
  <conditionalFormatting sqref="A2:S218">
    <cfRule type="expression" dxfId="9" priority="3">
      <formula>$A3=TODAY()+1</formula>
    </cfRule>
  </conditionalFormatting>
  <conditionalFormatting sqref="A220:A227 E220:F227 H220:O227">
    <cfRule type="expression" dxfId="8" priority="2">
      <formula>#REF!=TODAY()+1</formula>
    </cfRule>
  </conditionalFormatting>
  <conditionalFormatting sqref="A220:S227">
    <cfRule type="expression" dxfId="7" priority="1">
      <formula>$A221=TODAY()+1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59999389629810485"/>
  </sheetPr>
  <dimension ref="A1:O233"/>
  <sheetViews>
    <sheetView workbookViewId="0">
      <pane ySplit="2" topLeftCell="A210" activePane="bottomLeft" state="frozen"/>
      <selection activeCell="G21" sqref="G21"/>
      <selection pane="bottomLeft" activeCell="N220" sqref="N220"/>
    </sheetView>
  </sheetViews>
  <sheetFormatPr defaultRowHeight="13" x14ac:dyDescent="0.3"/>
  <cols>
    <col min="1" max="1" width="11.90625" bestFit="1" customWidth="1"/>
    <col min="2" max="4" width="11" style="71" customWidth="1"/>
    <col min="5" max="5" width="8.6328125" style="71" customWidth="1"/>
    <col min="6" max="8" width="8.36328125" style="71" customWidth="1"/>
    <col min="9" max="9" width="9.6328125" style="72" bestFit="1" customWidth="1"/>
    <col min="10" max="10" width="9.6328125" style="72" customWidth="1"/>
    <col min="11" max="11" width="11" style="71" customWidth="1"/>
    <col min="12" max="12" width="14.81640625" style="71" bestFit="1" customWidth="1"/>
    <col min="13" max="13" width="10.1796875" style="71" customWidth="1"/>
    <col min="14" max="14" width="14.81640625" style="73" customWidth="1"/>
    <col min="15" max="15" width="22.54296875" bestFit="1" customWidth="1"/>
  </cols>
  <sheetData>
    <row r="1" spans="1:15" ht="28.5" customHeight="1" thickBot="1" x14ac:dyDescent="0.35">
      <c r="E1" s="113" t="s">
        <v>84</v>
      </c>
      <c r="F1" s="114"/>
      <c r="G1" s="114"/>
      <c r="H1" s="114"/>
      <c r="I1" s="115" t="s">
        <v>83</v>
      </c>
      <c r="J1" s="116"/>
      <c r="K1" s="73"/>
      <c r="L1" s="73"/>
      <c r="M1" s="73"/>
    </row>
    <row r="2" spans="1:15" s="64" customFormat="1" ht="39" x14ac:dyDescent="0.3">
      <c r="A2" s="82" t="s">
        <v>42</v>
      </c>
      <c r="B2" s="90" t="s">
        <v>65</v>
      </c>
      <c r="C2" s="90" t="s">
        <v>64</v>
      </c>
      <c r="D2" s="90" t="s">
        <v>43</v>
      </c>
      <c r="E2" s="91" t="s">
        <v>44</v>
      </c>
      <c r="F2" s="91" t="s">
        <v>45</v>
      </c>
      <c r="G2" s="91" t="s">
        <v>46</v>
      </c>
      <c r="H2" s="91" t="s">
        <v>47</v>
      </c>
      <c r="I2" s="92" t="s">
        <v>66</v>
      </c>
      <c r="J2" s="92"/>
      <c r="K2" s="122" t="s">
        <v>88</v>
      </c>
      <c r="L2" s="90" t="s">
        <v>54</v>
      </c>
      <c r="M2" s="90" t="s">
        <v>55</v>
      </c>
      <c r="N2" s="90" t="s">
        <v>87</v>
      </c>
      <c r="O2" s="82" t="s">
        <v>67</v>
      </c>
    </row>
    <row r="3" spans="1:15" x14ac:dyDescent="0.3">
      <c r="A3" s="70">
        <v>46022</v>
      </c>
      <c r="B3" s="71">
        <v>2791.0331666666661</v>
      </c>
      <c r="C3" s="71">
        <v>2177.21</v>
      </c>
      <c r="D3" s="71">
        <v>613.82316666666622</v>
      </c>
      <c r="E3" s="87">
        <v>0</v>
      </c>
      <c r="F3" s="87">
        <v>0</v>
      </c>
      <c r="G3" s="87">
        <v>0</v>
      </c>
      <c r="H3" s="87">
        <v>0</v>
      </c>
      <c r="K3" s="72"/>
      <c r="L3" s="71">
        <v>2177.21</v>
      </c>
      <c r="M3" s="71">
        <v>613.82316666666622</v>
      </c>
      <c r="N3" s="73">
        <v>2791.0331666666661</v>
      </c>
    </row>
    <row r="4" spans="1:15" x14ac:dyDescent="0.3">
      <c r="A4" s="70">
        <v>46023</v>
      </c>
      <c r="B4" s="71">
        <v>2791.0331666666661</v>
      </c>
      <c r="C4" s="71">
        <v>2177.21</v>
      </c>
      <c r="D4" s="71">
        <v>613.82316666666622</v>
      </c>
      <c r="E4" s="87">
        <v>0</v>
      </c>
      <c r="F4" s="87">
        <v>197</v>
      </c>
      <c r="G4" s="87">
        <v>0</v>
      </c>
      <c r="H4" s="87">
        <v>25</v>
      </c>
      <c r="K4" s="72"/>
      <c r="L4" s="71">
        <v>2374.21</v>
      </c>
      <c r="M4" s="71">
        <v>638.82316666666622</v>
      </c>
      <c r="N4" s="73">
        <v>3013.0331666666661</v>
      </c>
    </row>
    <row r="5" spans="1:15" x14ac:dyDescent="0.3">
      <c r="A5" s="70">
        <v>46024</v>
      </c>
      <c r="B5" s="71">
        <v>3013.0331666666661</v>
      </c>
      <c r="C5" s="71">
        <v>2374.21</v>
      </c>
      <c r="D5" s="71">
        <v>638.82316666666622</v>
      </c>
      <c r="E5" s="87">
        <v>0</v>
      </c>
      <c r="F5" s="87">
        <v>0</v>
      </c>
      <c r="G5" s="87">
        <v>0</v>
      </c>
      <c r="H5" s="87">
        <v>0</v>
      </c>
      <c r="K5" s="72"/>
      <c r="L5" s="71">
        <v>2374.21</v>
      </c>
      <c r="M5" s="71">
        <v>638.82316666666622</v>
      </c>
      <c r="N5" s="73">
        <v>3013.0331666666661</v>
      </c>
    </row>
    <row r="6" spans="1:15" x14ac:dyDescent="0.3">
      <c r="A6" s="70">
        <v>46025</v>
      </c>
      <c r="B6" s="71">
        <v>3013.0331666666661</v>
      </c>
      <c r="C6" s="71">
        <v>2374.21</v>
      </c>
      <c r="D6" s="71">
        <v>638.82316666666622</v>
      </c>
      <c r="E6" s="87">
        <v>0</v>
      </c>
      <c r="F6" s="87">
        <v>0</v>
      </c>
      <c r="G6" s="87">
        <v>0</v>
      </c>
      <c r="H6" s="87">
        <v>0</v>
      </c>
      <c r="K6" s="72">
        <v>0.02</v>
      </c>
      <c r="L6" s="71">
        <v>2374.23</v>
      </c>
      <c r="M6" s="71">
        <v>638.82316666666622</v>
      </c>
      <c r="N6" s="73">
        <v>3013.0531666666661</v>
      </c>
    </row>
    <row r="7" spans="1:15" x14ac:dyDescent="0.3">
      <c r="A7" s="70">
        <v>46026</v>
      </c>
      <c r="B7" s="71">
        <v>3013.0531666666661</v>
      </c>
      <c r="C7" s="71">
        <v>2374.23</v>
      </c>
      <c r="D7" s="71">
        <v>638.82316666666622</v>
      </c>
      <c r="E7" s="87">
        <v>0</v>
      </c>
      <c r="F7" s="87">
        <v>0</v>
      </c>
      <c r="G7" s="87">
        <v>0</v>
      </c>
      <c r="H7" s="87">
        <v>0</v>
      </c>
      <c r="K7" s="72"/>
      <c r="L7" s="71">
        <v>2374.23</v>
      </c>
      <c r="M7" s="71">
        <v>638.82316666666622</v>
      </c>
      <c r="N7" s="73">
        <v>3013.0531666666661</v>
      </c>
    </row>
    <row r="8" spans="1:15" x14ac:dyDescent="0.3">
      <c r="A8" s="70">
        <v>46027</v>
      </c>
      <c r="B8" s="71">
        <v>3013.0531666666661</v>
      </c>
      <c r="C8" s="71">
        <v>2374.23</v>
      </c>
      <c r="D8" s="71">
        <v>638.82316666666622</v>
      </c>
      <c r="E8" s="87">
        <v>0</v>
      </c>
      <c r="F8" s="87">
        <v>0</v>
      </c>
      <c r="G8" s="87">
        <v>0</v>
      </c>
      <c r="H8" s="87">
        <v>0</v>
      </c>
      <c r="K8" s="72"/>
      <c r="L8" s="71">
        <v>2374.23</v>
      </c>
      <c r="M8" s="71">
        <v>638.82316666666622</v>
      </c>
      <c r="N8" s="73">
        <v>3013.0531666666661</v>
      </c>
    </row>
    <row r="9" spans="1:15" x14ac:dyDescent="0.3">
      <c r="A9" s="70">
        <v>46028</v>
      </c>
      <c r="B9" s="71">
        <v>3013.0531666666661</v>
      </c>
      <c r="C9" s="71">
        <v>2374.23</v>
      </c>
      <c r="D9" s="71">
        <v>638.82316666666622</v>
      </c>
      <c r="E9" s="87">
        <v>0</v>
      </c>
      <c r="F9" s="87">
        <v>0</v>
      </c>
      <c r="G9" s="87">
        <v>0</v>
      </c>
      <c r="H9" s="87">
        <v>0</v>
      </c>
      <c r="K9" s="72"/>
      <c r="L9" s="71">
        <v>2374.23</v>
      </c>
      <c r="M9" s="71">
        <v>638.82316666666622</v>
      </c>
      <c r="N9" s="73">
        <v>3013.0531666666661</v>
      </c>
    </row>
    <row r="10" spans="1:15" x14ac:dyDescent="0.3">
      <c r="A10" s="70">
        <v>46029</v>
      </c>
      <c r="B10" s="71">
        <v>3013.0531666666661</v>
      </c>
      <c r="C10" s="71">
        <v>2374.23</v>
      </c>
      <c r="D10" s="71">
        <v>638.82316666666622</v>
      </c>
      <c r="E10" s="87">
        <v>0</v>
      </c>
      <c r="F10" s="87">
        <v>0</v>
      </c>
      <c r="G10" s="87">
        <v>0</v>
      </c>
      <c r="H10" s="87">
        <v>0</v>
      </c>
      <c r="I10" s="72">
        <v>-2353.9499999999998</v>
      </c>
      <c r="K10" s="72"/>
      <c r="L10" s="71">
        <v>20.2800000000002</v>
      </c>
      <c r="M10" s="71">
        <v>638.82316666666622</v>
      </c>
      <c r="N10" s="73">
        <v>659.10316666666643</v>
      </c>
    </row>
    <row r="11" spans="1:15" x14ac:dyDescent="0.3">
      <c r="A11" s="70">
        <v>46030</v>
      </c>
      <c r="B11" s="71">
        <v>659.10316666666643</v>
      </c>
      <c r="C11" s="71">
        <v>20.2800000000002</v>
      </c>
      <c r="D11" s="71">
        <v>638.82316666666622</v>
      </c>
      <c r="E11" s="87">
        <v>0</v>
      </c>
      <c r="F11" s="87">
        <v>0</v>
      </c>
      <c r="G11" s="87">
        <v>0</v>
      </c>
      <c r="H11" s="87">
        <v>0</v>
      </c>
      <c r="K11" s="72"/>
      <c r="L11" s="71">
        <v>20.2800000000002</v>
      </c>
      <c r="M11" s="71">
        <v>638.82316666666622</v>
      </c>
      <c r="N11" s="73">
        <v>659.10316666666643</v>
      </c>
    </row>
    <row r="12" spans="1:15" x14ac:dyDescent="0.3">
      <c r="A12" s="70">
        <v>46031</v>
      </c>
      <c r="B12" s="71">
        <v>659.10316666666643</v>
      </c>
      <c r="C12" s="71">
        <v>20.2800000000002</v>
      </c>
      <c r="D12" s="71">
        <v>638.82316666666622</v>
      </c>
      <c r="E12" s="87">
        <v>0</v>
      </c>
      <c r="F12" s="87">
        <v>0</v>
      </c>
      <c r="G12" s="87">
        <v>0</v>
      </c>
      <c r="H12" s="87">
        <v>0</v>
      </c>
      <c r="K12" s="72"/>
      <c r="L12" s="71">
        <v>20.2800000000002</v>
      </c>
      <c r="M12" s="71">
        <v>638.82316666666622</v>
      </c>
      <c r="N12" s="73">
        <v>659.10316666666643</v>
      </c>
    </row>
    <row r="13" spans="1:15" x14ac:dyDescent="0.3">
      <c r="A13" s="70">
        <v>46032</v>
      </c>
      <c r="B13" s="71">
        <v>659.10316666666643</v>
      </c>
      <c r="C13" s="71">
        <v>20.2800000000002</v>
      </c>
      <c r="D13" s="71">
        <v>638.82316666666622</v>
      </c>
      <c r="E13" s="87">
        <v>0</v>
      </c>
      <c r="F13" s="87">
        <v>0</v>
      </c>
      <c r="G13" s="87">
        <v>0</v>
      </c>
      <c r="H13" s="87">
        <v>0</v>
      </c>
      <c r="K13" s="72"/>
      <c r="L13" s="71">
        <v>20.2800000000002</v>
      </c>
      <c r="M13" s="71">
        <v>638.82316666666622</v>
      </c>
      <c r="N13" s="73">
        <v>659.10316666666643</v>
      </c>
    </row>
    <row r="14" spans="1:15" x14ac:dyDescent="0.3">
      <c r="A14" s="70">
        <v>46033</v>
      </c>
      <c r="B14" s="71">
        <v>659.10316666666643</v>
      </c>
      <c r="C14" s="71">
        <v>20.2800000000002</v>
      </c>
      <c r="D14" s="71">
        <v>638.82316666666622</v>
      </c>
      <c r="E14" s="87">
        <v>0</v>
      </c>
      <c r="F14" s="87">
        <v>0</v>
      </c>
      <c r="G14" s="87">
        <v>0</v>
      </c>
      <c r="H14" s="87">
        <v>0</v>
      </c>
      <c r="K14" s="72"/>
      <c r="L14" s="71">
        <v>20.2800000000002</v>
      </c>
      <c r="M14" s="71">
        <v>638.82316666666622</v>
      </c>
      <c r="N14" s="73">
        <v>659.10316666666643</v>
      </c>
    </row>
    <row r="15" spans="1:15" x14ac:dyDescent="0.3">
      <c r="A15" s="70">
        <v>46034</v>
      </c>
      <c r="B15" s="71">
        <v>659.10316666666643</v>
      </c>
      <c r="C15" s="71">
        <v>20.2800000000002</v>
      </c>
      <c r="D15" s="71">
        <v>638.82316666666622</v>
      </c>
      <c r="E15" s="87">
        <v>0</v>
      </c>
      <c r="F15" s="87">
        <v>0</v>
      </c>
      <c r="G15" s="87">
        <v>0</v>
      </c>
      <c r="H15" s="87">
        <v>0</v>
      </c>
      <c r="K15" s="72"/>
      <c r="L15" s="71">
        <v>20.2800000000002</v>
      </c>
      <c r="M15" s="71">
        <v>638.82316666666622</v>
      </c>
      <c r="N15" s="73">
        <v>659.10316666666643</v>
      </c>
    </row>
    <row r="16" spans="1:15" x14ac:dyDescent="0.3">
      <c r="A16" s="70">
        <v>46035</v>
      </c>
      <c r="B16" s="71">
        <v>659.10316666666643</v>
      </c>
      <c r="C16" s="71">
        <v>20.2800000000002</v>
      </c>
      <c r="D16" s="71">
        <v>638.82316666666622</v>
      </c>
      <c r="E16" s="87">
        <v>0</v>
      </c>
      <c r="F16" s="87">
        <v>0</v>
      </c>
      <c r="G16" s="87">
        <v>0</v>
      </c>
      <c r="H16" s="87">
        <v>0</v>
      </c>
      <c r="K16" s="72"/>
      <c r="L16" s="71">
        <v>20.2800000000002</v>
      </c>
      <c r="M16" s="71">
        <v>638.82316666666622</v>
      </c>
      <c r="N16" s="73">
        <v>659.10316666666643</v>
      </c>
    </row>
    <row r="17" spans="1:14" x14ac:dyDescent="0.3">
      <c r="A17" s="70">
        <v>46036</v>
      </c>
      <c r="B17" s="71">
        <v>659.10316666666643</v>
      </c>
      <c r="C17" s="71">
        <v>20.2800000000002</v>
      </c>
      <c r="D17" s="71">
        <v>638.82316666666622</v>
      </c>
      <c r="E17" s="87">
        <v>98.5</v>
      </c>
      <c r="F17" s="87">
        <v>0</v>
      </c>
      <c r="G17" s="87">
        <v>12.5</v>
      </c>
      <c r="H17" s="87">
        <v>0</v>
      </c>
      <c r="K17" s="72"/>
      <c r="L17" s="71">
        <v>118.7800000000002</v>
      </c>
      <c r="M17" s="71">
        <v>651.32316666666622</v>
      </c>
      <c r="N17" s="73">
        <v>770.10316666666643</v>
      </c>
    </row>
    <row r="18" spans="1:14" x14ac:dyDescent="0.3">
      <c r="A18" s="70">
        <v>46037</v>
      </c>
      <c r="B18" s="71">
        <v>770.10316666666643</v>
      </c>
      <c r="C18" s="71">
        <v>118.7800000000002</v>
      </c>
      <c r="D18" s="71">
        <v>651.32316666666622</v>
      </c>
      <c r="E18" s="87">
        <v>0</v>
      </c>
      <c r="F18" s="87">
        <v>0</v>
      </c>
      <c r="G18" s="87">
        <v>0</v>
      </c>
      <c r="H18" s="87">
        <v>0</v>
      </c>
      <c r="K18" s="72"/>
      <c r="L18" s="71">
        <v>118.7800000000002</v>
      </c>
      <c r="M18" s="71">
        <v>651.32316666666622</v>
      </c>
      <c r="N18" s="73">
        <v>770.10316666666643</v>
      </c>
    </row>
    <row r="19" spans="1:14" x14ac:dyDescent="0.3">
      <c r="A19" s="70">
        <v>46038</v>
      </c>
      <c r="B19" s="71">
        <v>770.10316666666643</v>
      </c>
      <c r="C19" s="71">
        <v>118.7800000000002</v>
      </c>
      <c r="D19" s="71">
        <v>651.32316666666622</v>
      </c>
      <c r="E19" s="87">
        <v>0</v>
      </c>
      <c r="F19" s="87">
        <v>0</v>
      </c>
      <c r="G19" s="87">
        <v>0</v>
      </c>
      <c r="H19" s="87">
        <v>0</v>
      </c>
      <c r="K19" s="72"/>
      <c r="L19" s="71">
        <v>118.7800000000002</v>
      </c>
      <c r="M19" s="71">
        <v>651.32316666666622</v>
      </c>
      <c r="N19" s="73">
        <v>770.10316666666643</v>
      </c>
    </row>
    <row r="20" spans="1:14" x14ac:dyDescent="0.3">
      <c r="A20" s="70">
        <v>46039</v>
      </c>
      <c r="B20" s="71">
        <v>770.10316666666643</v>
      </c>
      <c r="C20" s="71">
        <v>118.7800000000002</v>
      </c>
      <c r="D20" s="71">
        <v>651.32316666666622</v>
      </c>
      <c r="E20" s="87">
        <v>0</v>
      </c>
      <c r="F20" s="87">
        <v>0</v>
      </c>
      <c r="G20" s="87">
        <v>0</v>
      </c>
      <c r="H20" s="87">
        <v>0</v>
      </c>
      <c r="K20" s="72"/>
      <c r="L20" s="71">
        <v>118.7800000000002</v>
      </c>
      <c r="M20" s="71">
        <v>651.32316666666622</v>
      </c>
      <c r="N20" s="73">
        <v>770.10316666666643</v>
      </c>
    </row>
    <row r="21" spans="1:14" x14ac:dyDescent="0.3">
      <c r="A21" s="70">
        <v>46040</v>
      </c>
      <c r="B21" s="71">
        <v>770.10316666666643</v>
      </c>
      <c r="C21" s="71">
        <v>118.7800000000002</v>
      </c>
      <c r="D21" s="71">
        <v>651.32316666666622</v>
      </c>
      <c r="E21" s="87">
        <v>0</v>
      </c>
      <c r="F21" s="87">
        <v>0</v>
      </c>
      <c r="G21" s="87">
        <v>0</v>
      </c>
      <c r="H21" s="87">
        <v>0</v>
      </c>
      <c r="K21" s="72"/>
      <c r="L21" s="71">
        <v>118.7800000000002</v>
      </c>
      <c r="M21" s="71">
        <v>651.32316666666622</v>
      </c>
      <c r="N21" s="73">
        <v>770.10316666666643</v>
      </c>
    </row>
    <row r="22" spans="1:14" x14ac:dyDescent="0.3">
      <c r="A22" s="70">
        <v>46041</v>
      </c>
      <c r="B22" s="71">
        <v>770.10316666666643</v>
      </c>
      <c r="C22" s="71">
        <v>118.7800000000002</v>
      </c>
      <c r="D22" s="71">
        <v>651.32316666666622</v>
      </c>
      <c r="E22" s="87">
        <v>0</v>
      </c>
      <c r="F22" s="87">
        <v>0</v>
      </c>
      <c r="G22" s="87">
        <v>0</v>
      </c>
      <c r="H22" s="87">
        <v>0</v>
      </c>
      <c r="K22" s="72"/>
      <c r="L22" s="71">
        <v>118.7800000000002</v>
      </c>
      <c r="M22" s="71">
        <v>651.32316666666622</v>
      </c>
      <c r="N22" s="73">
        <v>770.10316666666643</v>
      </c>
    </row>
    <row r="23" spans="1:14" x14ac:dyDescent="0.3">
      <c r="A23" s="70">
        <v>46042</v>
      </c>
      <c r="B23" s="71">
        <v>770.10316666666643</v>
      </c>
      <c r="C23" s="71">
        <v>118.7800000000002</v>
      </c>
      <c r="D23" s="71">
        <v>651.32316666666622</v>
      </c>
      <c r="E23" s="87">
        <v>0</v>
      </c>
      <c r="F23" s="87">
        <v>0</v>
      </c>
      <c r="G23" s="87">
        <v>0</v>
      </c>
      <c r="H23" s="87">
        <v>0</v>
      </c>
      <c r="K23" s="72"/>
      <c r="L23" s="71">
        <v>118.7800000000002</v>
      </c>
      <c r="M23" s="71">
        <v>651.32316666666622</v>
      </c>
      <c r="N23" s="73">
        <v>770.10316666666643</v>
      </c>
    </row>
    <row r="24" spans="1:14" x14ac:dyDescent="0.3">
      <c r="A24" s="70">
        <v>46043</v>
      </c>
      <c r="B24" s="71">
        <v>770.10316666666643</v>
      </c>
      <c r="C24" s="71">
        <v>118.7800000000002</v>
      </c>
      <c r="D24" s="71">
        <v>651.32316666666622</v>
      </c>
      <c r="E24" s="87">
        <v>0</v>
      </c>
      <c r="F24" s="87">
        <v>0</v>
      </c>
      <c r="G24" s="87">
        <v>0</v>
      </c>
      <c r="H24" s="87">
        <v>0</v>
      </c>
      <c r="K24" s="72"/>
      <c r="L24" s="71">
        <v>118.7800000000002</v>
      </c>
      <c r="M24" s="71">
        <v>651.32316666666622</v>
      </c>
      <c r="N24" s="73">
        <v>770.10316666666643</v>
      </c>
    </row>
    <row r="25" spans="1:14" x14ac:dyDescent="0.3">
      <c r="A25" s="70">
        <v>46044</v>
      </c>
      <c r="B25" s="71">
        <v>770.10316666666643</v>
      </c>
      <c r="C25" s="71">
        <v>118.7800000000002</v>
      </c>
      <c r="D25" s="71">
        <v>651.32316666666622</v>
      </c>
      <c r="E25" s="87">
        <v>0</v>
      </c>
      <c r="F25" s="87">
        <v>0</v>
      </c>
      <c r="G25" s="87">
        <v>0</v>
      </c>
      <c r="H25" s="87">
        <v>0</v>
      </c>
      <c r="K25" s="72"/>
      <c r="L25" s="71">
        <v>118.7800000000002</v>
      </c>
      <c r="M25" s="71">
        <v>651.32316666666622</v>
      </c>
      <c r="N25" s="73">
        <v>770.10316666666643</v>
      </c>
    </row>
    <row r="26" spans="1:14" x14ac:dyDescent="0.3">
      <c r="A26" s="70">
        <v>46045</v>
      </c>
      <c r="B26" s="71">
        <v>770.10316666666643</v>
      </c>
      <c r="C26" s="71">
        <v>118.7800000000002</v>
      </c>
      <c r="D26" s="71">
        <v>651.32316666666622</v>
      </c>
      <c r="E26" s="87">
        <v>0</v>
      </c>
      <c r="F26" s="87">
        <v>0</v>
      </c>
      <c r="G26" s="87">
        <v>0</v>
      </c>
      <c r="H26" s="87">
        <v>0</v>
      </c>
      <c r="K26" s="72"/>
      <c r="L26" s="71">
        <v>118.7800000000002</v>
      </c>
      <c r="M26" s="71">
        <v>651.32316666666622</v>
      </c>
      <c r="N26" s="73">
        <v>770.10316666666643</v>
      </c>
    </row>
    <row r="27" spans="1:14" x14ac:dyDescent="0.3">
      <c r="A27" s="70">
        <v>46046</v>
      </c>
      <c r="B27" s="71">
        <v>770.10316666666643</v>
      </c>
      <c r="C27" s="71">
        <v>118.7800000000002</v>
      </c>
      <c r="D27" s="71">
        <v>651.32316666666622</v>
      </c>
      <c r="E27" s="87">
        <v>0</v>
      </c>
      <c r="F27" s="87">
        <v>0</v>
      </c>
      <c r="G27" s="87">
        <v>0</v>
      </c>
      <c r="H27" s="87">
        <v>0</v>
      </c>
      <c r="K27" s="72"/>
      <c r="L27" s="71">
        <v>118.7800000000002</v>
      </c>
      <c r="M27" s="71">
        <v>651.32316666666622</v>
      </c>
      <c r="N27" s="73">
        <v>770.10316666666643</v>
      </c>
    </row>
    <row r="28" spans="1:14" x14ac:dyDescent="0.3">
      <c r="A28" s="70">
        <v>46047</v>
      </c>
      <c r="B28" s="71">
        <v>770.10316666666643</v>
      </c>
      <c r="C28" s="71">
        <v>118.7800000000002</v>
      </c>
      <c r="D28" s="71">
        <v>651.32316666666622</v>
      </c>
      <c r="E28" s="87">
        <v>0</v>
      </c>
      <c r="F28" s="87">
        <v>0</v>
      </c>
      <c r="G28" s="87">
        <v>0</v>
      </c>
      <c r="H28" s="87">
        <v>0</v>
      </c>
      <c r="K28" s="72"/>
      <c r="L28" s="71">
        <v>118.7800000000002</v>
      </c>
      <c r="M28" s="71">
        <v>651.32316666666622</v>
      </c>
      <c r="N28" s="73">
        <v>770.10316666666643</v>
      </c>
    </row>
    <row r="29" spans="1:14" x14ac:dyDescent="0.3">
      <c r="A29" s="70">
        <v>46048</v>
      </c>
      <c r="B29" s="71">
        <v>770.10316666666643</v>
      </c>
      <c r="C29" s="71">
        <v>118.7800000000002</v>
      </c>
      <c r="D29" s="71">
        <v>651.32316666666622</v>
      </c>
      <c r="E29" s="87">
        <v>0</v>
      </c>
      <c r="F29" s="87">
        <v>0</v>
      </c>
      <c r="G29" s="87">
        <v>0</v>
      </c>
      <c r="H29" s="87">
        <v>0</v>
      </c>
      <c r="K29" s="72"/>
      <c r="L29" s="71">
        <v>118.7800000000002</v>
      </c>
      <c r="M29" s="71">
        <v>651.32316666666622</v>
      </c>
      <c r="N29" s="73">
        <v>770.10316666666643</v>
      </c>
    </row>
    <row r="30" spans="1:14" x14ac:dyDescent="0.3">
      <c r="A30" s="70">
        <v>46049</v>
      </c>
      <c r="B30" s="71">
        <v>770.10316666666643</v>
      </c>
      <c r="C30" s="71">
        <v>118.7800000000002</v>
      </c>
      <c r="D30" s="71">
        <v>651.32316666666622</v>
      </c>
      <c r="E30" s="87">
        <v>0</v>
      </c>
      <c r="F30" s="87">
        <v>0</v>
      </c>
      <c r="G30" s="87">
        <v>0</v>
      </c>
      <c r="H30" s="87">
        <v>0</v>
      </c>
      <c r="K30" s="72"/>
      <c r="L30" s="71">
        <v>118.7800000000002</v>
      </c>
      <c r="M30" s="71">
        <v>651.32316666666622</v>
      </c>
      <c r="N30" s="73">
        <v>770.10316666666643</v>
      </c>
    </row>
    <row r="31" spans="1:14" x14ac:dyDescent="0.3">
      <c r="A31" s="70">
        <v>46050</v>
      </c>
      <c r="B31" s="71">
        <v>770.10316666666643</v>
      </c>
      <c r="C31" s="71">
        <v>118.7800000000002</v>
      </c>
      <c r="D31" s="71">
        <v>651.32316666666622</v>
      </c>
      <c r="E31" s="87">
        <v>0</v>
      </c>
      <c r="F31" s="87">
        <v>0</v>
      </c>
      <c r="G31" s="87">
        <v>0</v>
      </c>
      <c r="H31" s="87">
        <v>0</v>
      </c>
      <c r="K31" s="72"/>
      <c r="L31" s="71">
        <v>118.7800000000002</v>
      </c>
      <c r="M31" s="71">
        <v>651.32316666666622</v>
      </c>
      <c r="N31" s="73">
        <v>770.10316666666643</v>
      </c>
    </row>
    <row r="32" spans="1:14" x14ac:dyDescent="0.3">
      <c r="A32" s="70">
        <v>46051</v>
      </c>
      <c r="B32" s="71">
        <v>770.10316666666643</v>
      </c>
      <c r="C32" s="71">
        <v>118.7800000000002</v>
      </c>
      <c r="D32" s="71">
        <v>651.32316666666622</v>
      </c>
      <c r="E32" s="87">
        <v>0</v>
      </c>
      <c r="F32" s="87">
        <v>0</v>
      </c>
      <c r="G32" s="87">
        <v>0</v>
      </c>
      <c r="H32" s="87">
        <v>0</v>
      </c>
      <c r="K32" s="72"/>
      <c r="L32" s="71">
        <v>118.7800000000002</v>
      </c>
      <c r="M32" s="71">
        <v>651.32316666666622</v>
      </c>
      <c r="N32" s="73">
        <v>770.10316666666643</v>
      </c>
    </row>
    <row r="33" spans="1:14" x14ac:dyDescent="0.3">
      <c r="A33" s="70">
        <v>46052</v>
      </c>
      <c r="B33" s="71">
        <v>770.10316666666643</v>
      </c>
      <c r="C33" s="71">
        <v>118.7800000000002</v>
      </c>
      <c r="D33" s="71">
        <v>651.32316666666622</v>
      </c>
      <c r="E33" s="87">
        <v>98.5</v>
      </c>
      <c r="F33" s="87">
        <v>0</v>
      </c>
      <c r="G33" s="87">
        <v>12.5</v>
      </c>
      <c r="H33" s="87">
        <v>0</v>
      </c>
      <c r="K33" s="72">
        <v>0.01</v>
      </c>
      <c r="L33" s="71">
        <v>217.29000000000019</v>
      </c>
      <c r="M33" s="71">
        <v>663.82316666666622</v>
      </c>
      <c r="N33" s="73">
        <v>881.11316666666642</v>
      </c>
    </row>
    <row r="34" spans="1:14" x14ac:dyDescent="0.3">
      <c r="A34" s="70">
        <v>46053</v>
      </c>
      <c r="B34" s="71">
        <v>881.11316666666642</v>
      </c>
      <c r="C34" s="71">
        <v>217.29000000000019</v>
      </c>
      <c r="D34" s="71">
        <v>663.82316666666622</v>
      </c>
      <c r="E34" s="87">
        <v>0</v>
      </c>
      <c r="F34" s="87">
        <v>0</v>
      </c>
      <c r="G34" s="87">
        <v>0</v>
      </c>
      <c r="H34" s="87">
        <v>0</v>
      </c>
      <c r="K34" s="72"/>
      <c r="L34" s="71">
        <v>217.29000000000019</v>
      </c>
      <c r="M34" s="71">
        <v>663.82316666666622</v>
      </c>
      <c r="N34" s="73">
        <v>881.11316666666642</v>
      </c>
    </row>
    <row r="35" spans="1:14" x14ac:dyDescent="0.3">
      <c r="A35" s="70">
        <v>46054</v>
      </c>
      <c r="B35" s="71">
        <v>881.11316666666642</v>
      </c>
      <c r="C35" s="71">
        <v>217.29000000000019</v>
      </c>
      <c r="D35" s="71">
        <v>663.82316666666622</v>
      </c>
      <c r="E35" s="87">
        <v>0</v>
      </c>
      <c r="F35" s="87">
        <v>197</v>
      </c>
      <c r="G35" s="87">
        <v>0</v>
      </c>
      <c r="H35" s="87">
        <v>25</v>
      </c>
      <c r="K35" s="72"/>
      <c r="L35" s="71">
        <v>414.29000000000019</v>
      </c>
      <c r="M35" s="71">
        <v>688.82316666666622</v>
      </c>
      <c r="N35" s="73">
        <v>1103.1131666666665</v>
      </c>
    </row>
    <row r="36" spans="1:14" x14ac:dyDescent="0.3">
      <c r="A36" s="70">
        <v>46055</v>
      </c>
      <c r="B36" s="71">
        <v>1103.1131666666665</v>
      </c>
      <c r="C36" s="71">
        <v>414.29000000000019</v>
      </c>
      <c r="D36" s="71">
        <v>688.82316666666622</v>
      </c>
      <c r="E36" s="87">
        <v>0</v>
      </c>
      <c r="F36" s="87">
        <v>0</v>
      </c>
      <c r="G36" s="87">
        <v>0</v>
      </c>
      <c r="H36" s="87">
        <v>0</v>
      </c>
      <c r="K36" s="72"/>
      <c r="L36" s="71">
        <v>414.29000000000019</v>
      </c>
      <c r="M36" s="71">
        <v>688.82316666666622</v>
      </c>
      <c r="N36" s="73">
        <v>1103.1131666666665</v>
      </c>
    </row>
    <row r="37" spans="1:14" x14ac:dyDescent="0.3">
      <c r="A37" s="70">
        <v>46056</v>
      </c>
      <c r="B37" s="71">
        <v>1103.1131666666665</v>
      </c>
      <c r="C37" s="71">
        <v>414.29000000000019</v>
      </c>
      <c r="D37" s="71">
        <v>688.82316666666622</v>
      </c>
      <c r="E37" s="87">
        <v>0</v>
      </c>
      <c r="F37" s="87">
        <v>0</v>
      </c>
      <c r="G37" s="87">
        <v>0</v>
      </c>
      <c r="H37" s="87">
        <v>0</v>
      </c>
      <c r="K37" s="72"/>
      <c r="L37" s="71">
        <v>414.29000000000019</v>
      </c>
      <c r="M37" s="71">
        <v>688.82316666666622</v>
      </c>
      <c r="N37" s="73">
        <v>1103.1131666666665</v>
      </c>
    </row>
    <row r="38" spans="1:14" x14ac:dyDescent="0.3">
      <c r="A38" s="70">
        <v>46057</v>
      </c>
      <c r="B38" s="71">
        <v>1103.1131666666665</v>
      </c>
      <c r="C38" s="71">
        <v>414.29000000000019</v>
      </c>
      <c r="D38" s="71">
        <v>688.82316666666622</v>
      </c>
      <c r="E38" s="87">
        <v>0</v>
      </c>
      <c r="F38" s="87">
        <v>0</v>
      </c>
      <c r="G38" s="87">
        <v>0</v>
      </c>
      <c r="H38" s="87">
        <v>0</v>
      </c>
      <c r="K38" s="72"/>
      <c r="L38" s="71">
        <v>414.29000000000019</v>
      </c>
      <c r="M38" s="71">
        <v>688.82316666666622</v>
      </c>
      <c r="N38" s="73">
        <v>1103.1131666666665</v>
      </c>
    </row>
    <row r="39" spans="1:14" x14ac:dyDescent="0.3">
      <c r="A39" s="70">
        <v>46058</v>
      </c>
      <c r="B39" s="71">
        <v>1103.1131666666665</v>
      </c>
      <c r="C39" s="71">
        <v>414.29000000000019</v>
      </c>
      <c r="D39" s="71">
        <v>688.82316666666622</v>
      </c>
      <c r="E39" s="87">
        <v>0</v>
      </c>
      <c r="F39" s="87">
        <v>0</v>
      </c>
      <c r="G39" s="87">
        <v>0</v>
      </c>
      <c r="H39" s="87">
        <v>0</v>
      </c>
      <c r="K39" s="72"/>
      <c r="L39" s="71">
        <v>414.29000000000019</v>
      </c>
      <c r="M39" s="71">
        <v>688.82316666666622</v>
      </c>
      <c r="N39" s="73">
        <v>1103.1131666666665</v>
      </c>
    </row>
    <row r="40" spans="1:14" x14ac:dyDescent="0.3">
      <c r="A40" s="70">
        <v>46059</v>
      </c>
      <c r="B40" s="71">
        <v>1103.1131666666665</v>
      </c>
      <c r="C40" s="71">
        <v>414.29000000000019</v>
      </c>
      <c r="D40" s="71">
        <v>688.82316666666622</v>
      </c>
      <c r="E40" s="87">
        <v>0</v>
      </c>
      <c r="F40" s="87">
        <v>0</v>
      </c>
      <c r="G40" s="87">
        <v>0</v>
      </c>
      <c r="H40" s="87">
        <v>0</v>
      </c>
      <c r="K40" s="72"/>
      <c r="L40" s="71">
        <v>414.29000000000019</v>
      </c>
      <c r="M40" s="71">
        <v>688.82316666666622</v>
      </c>
      <c r="N40" s="73">
        <v>1103.1131666666665</v>
      </c>
    </row>
    <row r="41" spans="1:14" x14ac:dyDescent="0.3">
      <c r="A41" s="70">
        <v>46060</v>
      </c>
      <c r="B41" s="71">
        <v>1103.1131666666665</v>
      </c>
      <c r="C41" s="71">
        <v>414.29000000000019</v>
      </c>
      <c r="D41" s="71">
        <v>688.82316666666622</v>
      </c>
      <c r="E41" s="87">
        <v>0</v>
      </c>
      <c r="F41" s="87">
        <v>0</v>
      </c>
      <c r="G41" s="87">
        <v>0</v>
      </c>
      <c r="H41" s="87">
        <v>0</v>
      </c>
      <c r="K41" s="72"/>
      <c r="L41" s="71">
        <v>414.29000000000019</v>
      </c>
      <c r="M41" s="71">
        <v>688.82316666666622</v>
      </c>
      <c r="N41" s="73">
        <v>1103.1131666666665</v>
      </c>
    </row>
    <row r="42" spans="1:14" x14ac:dyDescent="0.3">
      <c r="A42" s="70">
        <v>46061</v>
      </c>
      <c r="B42" s="71">
        <v>1103.1131666666665</v>
      </c>
      <c r="C42" s="71">
        <v>414.29000000000019</v>
      </c>
      <c r="D42" s="71">
        <v>688.82316666666622</v>
      </c>
      <c r="E42" s="87">
        <v>0</v>
      </c>
      <c r="F42" s="87">
        <v>0</v>
      </c>
      <c r="G42" s="87">
        <v>0</v>
      </c>
      <c r="H42" s="87">
        <v>0</v>
      </c>
      <c r="K42" s="72"/>
      <c r="L42" s="71">
        <v>414.29000000000019</v>
      </c>
      <c r="M42" s="71">
        <v>688.82316666666622</v>
      </c>
      <c r="N42" s="73">
        <v>1103.1131666666665</v>
      </c>
    </row>
    <row r="43" spans="1:14" x14ac:dyDescent="0.3">
      <c r="A43" s="70">
        <v>46062</v>
      </c>
      <c r="B43" s="71">
        <v>1103.1131666666665</v>
      </c>
      <c r="C43" s="71">
        <v>414.29000000000019</v>
      </c>
      <c r="D43" s="71">
        <v>688.82316666666622</v>
      </c>
      <c r="E43" s="87">
        <v>0</v>
      </c>
      <c r="F43" s="87">
        <v>0</v>
      </c>
      <c r="G43" s="87">
        <v>0</v>
      </c>
      <c r="H43" s="87">
        <v>0</v>
      </c>
      <c r="K43" s="72"/>
      <c r="L43" s="71">
        <v>414.29000000000019</v>
      </c>
      <c r="M43" s="71">
        <v>688.82316666666622</v>
      </c>
      <c r="N43" s="73">
        <v>1103.1131666666665</v>
      </c>
    </row>
    <row r="44" spans="1:14" x14ac:dyDescent="0.3">
      <c r="A44" s="70">
        <v>46063</v>
      </c>
      <c r="B44" s="71">
        <v>1103.1131666666665</v>
      </c>
      <c r="C44" s="71">
        <v>414.29000000000019</v>
      </c>
      <c r="D44" s="71">
        <v>688.82316666666622</v>
      </c>
      <c r="E44" s="87">
        <v>0</v>
      </c>
      <c r="F44" s="87">
        <v>0</v>
      </c>
      <c r="G44" s="87">
        <v>0</v>
      </c>
      <c r="H44" s="87">
        <v>0</v>
      </c>
      <c r="K44" s="72"/>
      <c r="L44" s="71">
        <v>414.29000000000019</v>
      </c>
      <c r="M44" s="71">
        <v>688.82316666666622</v>
      </c>
      <c r="N44" s="73">
        <v>1103.1131666666665</v>
      </c>
    </row>
    <row r="45" spans="1:14" x14ac:dyDescent="0.3">
      <c r="A45" s="70">
        <v>46064</v>
      </c>
      <c r="B45" s="71">
        <v>1103.1131666666665</v>
      </c>
      <c r="C45" s="71">
        <v>414.29000000000019</v>
      </c>
      <c r="D45" s="71">
        <v>688.82316666666622</v>
      </c>
      <c r="E45" s="87">
        <v>0</v>
      </c>
      <c r="F45" s="87">
        <v>0</v>
      </c>
      <c r="G45" s="87">
        <v>0</v>
      </c>
      <c r="H45" s="87">
        <v>0</v>
      </c>
      <c r="K45" s="72"/>
      <c r="L45" s="71">
        <v>414.29000000000019</v>
      </c>
      <c r="M45" s="71">
        <v>688.82316666666622</v>
      </c>
      <c r="N45" s="73">
        <v>1103.1131666666665</v>
      </c>
    </row>
    <row r="46" spans="1:14" x14ac:dyDescent="0.3">
      <c r="A46" s="70">
        <v>46065</v>
      </c>
      <c r="B46" s="71">
        <v>1103.1131666666665</v>
      </c>
      <c r="C46" s="71">
        <v>414.29000000000019</v>
      </c>
      <c r="D46" s="71">
        <v>688.82316666666622</v>
      </c>
      <c r="E46" s="87">
        <v>0</v>
      </c>
      <c r="F46" s="87">
        <v>0</v>
      </c>
      <c r="G46" s="87">
        <v>0</v>
      </c>
      <c r="H46" s="87">
        <v>0</v>
      </c>
      <c r="K46" s="72"/>
      <c r="L46" s="71">
        <v>414.29000000000019</v>
      </c>
      <c r="M46" s="71">
        <v>688.82316666666622</v>
      </c>
      <c r="N46" s="73">
        <v>1103.1131666666665</v>
      </c>
    </row>
    <row r="47" spans="1:14" x14ac:dyDescent="0.3">
      <c r="A47" s="70">
        <v>46066</v>
      </c>
      <c r="B47" s="71">
        <v>1103.1131666666665</v>
      </c>
      <c r="C47" s="71">
        <v>414.29000000000019</v>
      </c>
      <c r="D47" s="71">
        <v>688.82316666666622</v>
      </c>
      <c r="E47" s="87">
        <v>0</v>
      </c>
      <c r="F47" s="87">
        <v>0</v>
      </c>
      <c r="G47" s="87">
        <v>0</v>
      </c>
      <c r="H47" s="87">
        <v>0</v>
      </c>
      <c r="K47" s="72"/>
      <c r="L47" s="71">
        <v>414.29000000000019</v>
      </c>
      <c r="M47" s="71">
        <v>688.82316666666622</v>
      </c>
      <c r="N47" s="73">
        <v>1103.1131666666665</v>
      </c>
    </row>
    <row r="48" spans="1:14" x14ac:dyDescent="0.3">
      <c r="A48" s="70">
        <v>46067</v>
      </c>
      <c r="B48" s="71">
        <v>1103.1131666666665</v>
      </c>
      <c r="C48" s="71">
        <v>414.29000000000019</v>
      </c>
      <c r="D48" s="71">
        <v>688.82316666666622</v>
      </c>
      <c r="E48" s="87">
        <v>98.5</v>
      </c>
      <c r="F48" s="87">
        <v>0</v>
      </c>
      <c r="G48" s="87">
        <v>12.5</v>
      </c>
      <c r="H48" s="87">
        <v>0</v>
      </c>
      <c r="K48" s="72"/>
      <c r="L48" s="71">
        <v>512.79000000000019</v>
      </c>
      <c r="M48" s="71">
        <v>701.32316666666622</v>
      </c>
      <c r="N48" s="73">
        <v>1214.1131666666665</v>
      </c>
    </row>
    <row r="49" spans="1:14" x14ac:dyDescent="0.3">
      <c r="A49" s="70">
        <v>46068</v>
      </c>
      <c r="B49" s="71">
        <v>1214.1131666666665</v>
      </c>
      <c r="C49" s="71">
        <v>512.79000000000019</v>
      </c>
      <c r="D49" s="71">
        <v>701.32316666666622</v>
      </c>
      <c r="E49" s="87">
        <v>0</v>
      </c>
      <c r="F49" s="87">
        <v>0</v>
      </c>
      <c r="G49" s="87">
        <v>0</v>
      </c>
      <c r="H49" s="87">
        <v>0</v>
      </c>
      <c r="K49" s="72"/>
      <c r="L49" s="71">
        <v>512.79000000000019</v>
      </c>
      <c r="M49" s="71">
        <v>701.32316666666622</v>
      </c>
      <c r="N49" s="73">
        <v>1214.1131666666665</v>
      </c>
    </row>
    <row r="50" spans="1:14" x14ac:dyDescent="0.3">
      <c r="A50" s="70">
        <v>46069</v>
      </c>
      <c r="B50" s="71">
        <v>1214.1131666666665</v>
      </c>
      <c r="C50" s="71">
        <v>512.79000000000019</v>
      </c>
      <c r="D50" s="71">
        <v>701.32316666666622</v>
      </c>
      <c r="E50" s="87">
        <v>0</v>
      </c>
      <c r="F50" s="87">
        <v>0</v>
      </c>
      <c r="G50" s="87">
        <v>0</v>
      </c>
      <c r="H50" s="87">
        <v>0</v>
      </c>
      <c r="K50" s="72"/>
      <c r="L50" s="71">
        <v>512.79000000000019</v>
      </c>
      <c r="M50" s="71">
        <v>701.32316666666622</v>
      </c>
      <c r="N50" s="73">
        <v>1214.1131666666665</v>
      </c>
    </row>
    <row r="51" spans="1:14" x14ac:dyDescent="0.3">
      <c r="A51" s="70">
        <v>46070</v>
      </c>
      <c r="B51" s="71">
        <v>1214.1131666666665</v>
      </c>
      <c r="C51" s="71">
        <v>512.79000000000019</v>
      </c>
      <c r="D51" s="71">
        <v>701.32316666666622</v>
      </c>
      <c r="E51" s="87">
        <v>0</v>
      </c>
      <c r="F51" s="87">
        <v>0</v>
      </c>
      <c r="G51" s="87">
        <v>0</v>
      </c>
      <c r="H51" s="87">
        <v>0</v>
      </c>
      <c r="K51" s="72"/>
      <c r="L51" s="71">
        <v>512.79000000000019</v>
      </c>
      <c r="M51" s="71">
        <v>701.32316666666622</v>
      </c>
      <c r="N51" s="73">
        <v>1214.1131666666665</v>
      </c>
    </row>
    <row r="52" spans="1:14" x14ac:dyDescent="0.3">
      <c r="A52" s="70">
        <v>46071</v>
      </c>
      <c r="B52" s="71">
        <v>1214.1131666666665</v>
      </c>
      <c r="C52" s="71">
        <v>512.79000000000019</v>
      </c>
      <c r="D52" s="71">
        <v>701.32316666666622</v>
      </c>
      <c r="E52" s="87">
        <v>0</v>
      </c>
      <c r="F52" s="87">
        <v>0</v>
      </c>
      <c r="G52" s="87">
        <v>0</v>
      </c>
      <c r="H52" s="87">
        <v>0</v>
      </c>
      <c r="K52" s="72"/>
      <c r="L52" s="71">
        <v>512.79000000000019</v>
      </c>
      <c r="M52" s="71">
        <v>701.32316666666622</v>
      </c>
      <c r="N52" s="73">
        <v>1214.1131666666665</v>
      </c>
    </row>
    <row r="53" spans="1:14" x14ac:dyDescent="0.3">
      <c r="A53" s="70">
        <v>46072</v>
      </c>
      <c r="B53" s="71">
        <v>1214.1131666666665</v>
      </c>
      <c r="C53" s="71">
        <v>512.79000000000019</v>
      </c>
      <c r="D53" s="71">
        <v>701.32316666666622</v>
      </c>
      <c r="E53" s="87">
        <v>0</v>
      </c>
      <c r="F53" s="87">
        <v>0</v>
      </c>
      <c r="G53" s="87">
        <v>0</v>
      </c>
      <c r="H53" s="87">
        <v>0</v>
      </c>
      <c r="K53" s="72"/>
      <c r="L53" s="71">
        <v>512.79000000000019</v>
      </c>
      <c r="M53" s="71">
        <v>701.32316666666622</v>
      </c>
      <c r="N53" s="73">
        <v>1214.1131666666665</v>
      </c>
    </row>
    <row r="54" spans="1:14" x14ac:dyDescent="0.3">
      <c r="A54" s="70">
        <v>46073</v>
      </c>
      <c r="B54" s="71">
        <v>1214.1131666666665</v>
      </c>
      <c r="C54" s="71">
        <v>512.79000000000019</v>
      </c>
      <c r="D54" s="71">
        <v>701.32316666666622</v>
      </c>
      <c r="E54" s="87">
        <v>0</v>
      </c>
      <c r="F54" s="87">
        <v>0</v>
      </c>
      <c r="G54" s="87">
        <v>0</v>
      </c>
      <c r="H54" s="87">
        <v>0</v>
      </c>
      <c r="K54" s="72"/>
      <c r="L54" s="71">
        <v>512.79000000000019</v>
      </c>
      <c r="M54" s="71">
        <v>701.32316666666622</v>
      </c>
      <c r="N54" s="73">
        <v>1214.1131666666665</v>
      </c>
    </row>
    <row r="55" spans="1:14" x14ac:dyDescent="0.3">
      <c r="A55" s="70">
        <v>46074</v>
      </c>
      <c r="B55" s="71">
        <v>1214.1131666666665</v>
      </c>
      <c r="C55" s="71">
        <v>512.79000000000019</v>
      </c>
      <c r="D55" s="71">
        <v>701.32316666666622</v>
      </c>
      <c r="E55" s="87">
        <v>0</v>
      </c>
      <c r="F55" s="87">
        <v>0</v>
      </c>
      <c r="G55" s="87">
        <v>0</v>
      </c>
      <c r="H55" s="87">
        <v>0</v>
      </c>
      <c r="K55" s="72"/>
      <c r="L55" s="71">
        <v>512.79000000000019</v>
      </c>
      <c r="M55" s="71">
        <v>701.32316666666622</v>
      </c>
      <c r="N55" s="73">
        <v>1214.1131666666665</v>
      </c>
    </row>
    <row r="56" spans="1:14" x14ac:dyDescent="0.3">
      <c r="A56" s="70">
        <v>46075</v>
      </c>
      <c r="B56" s="71">
        <v>1214.1131666666665</v>
      </c>
      <c r="C56" s="71">
        <v>512.79000000000019</v>
      </c>
      <c r="D56" s="71">
        <v>701.32316666666622</v>
      </c>
      <c r="E56" s="87">
        <v>0</v>
      </c>
      <c r="F56" s="87">
        <v>0</v>
      </c>
      <c r="G56" s="87">
        <v>0</v>
      </c>
      <c r="H56" s="87">
        <v>0</v>
      </c>
      <c r="K56" s="72"/>
      <c r="L56" s="71">
        <v>512.79000000000019</v>
      </c>
      <c r="M56" s="71">
        <v>701.32316666666622</v>
      </c>
      <c r="N56" s="73">
        <v>1214.1131666666665</v>
      </c>
    </row>
    <row r="57" spans="1:14" x14ac:dyDescent="0.3">
      <c r="A57" s="70">
        <v>46076</v>
      </c>
      <c r="B57" s="71">
        <v>1214.1131666666665</v>
      </c>
      <c r="C57" s="71">
        <v>512.79000000000019</v>
      </c>
      <c r="D57" s="71">
        <v>701.32316666666622</v>
      </c>
      <c r="E57" s="87">
        <v>0</v>
      </c>
      <c r="F57" s="87">
        <v>0</v>
      </c>
      <c r="G57" s="87">
        <v>0</v>
      </c>
      <c r="H57" s="87">
        <v>0</v>
      </c>
      <c r="K57" s="72"/>
      <c r="L57" s="71">
        <v>512.79000000000019</v>
      </c>
      <c r="M57" s="71">
        <v>701.32316666666622</v>
      </c>
      <c r="N57" s="73">
        <v>1214.1131666666665</v>
      </c>
    </row>
    <row r="58" spans="1:14" x14ac:dyDescent="0.3">
      <c r="A58" s="70">
        <v>46077</v>
      </c>
      <c r="B58" s="71">
        <v>1214.1131666666665</v>
      </c>
      <c r="C58" s="71">
        <v>512.79000000000019</v>
      </c>
      <c r="D58" s="71">
        <v>701.32316666666622</v>
      </c>
      <c r="E58" s="87">
        <v>0</v>
      </c>
      <c r="F58" s="87">
        <v>0</v>
      </c>
      <c r="G58" s="87">
        <v>0</v>
      </c>
      <c r="H58" s="87">
        <v>0</v>
      </c>
      <c r="K58" s="72"/>
      <c r="L58" s="71">
        <v>512.79000000000019</v>
      </c>
      <c r="M58" s="71">
        <v>701.32316666666622</v>
      </c>
      <c r="N58" s="73">
        <v>1214.1131666666665</v>
      </c>
    </row>
    <row r="59" spans="1:14" x14ac:dyDescent="0.3">
      <c r="A59" s="70">
        <v>46078</v>
      </c>
      <c r="B59" s="71">
        <v>1214.1131666666665</v>
      </c>
      <c r="C59" s="71">
        <v>512.79000000000019</v>
      </c>
      <c r="D59" s="71">
        <v>701.32316666666622</v>
      </c>
      <c r="E59" s="87">
        <v>0</v>
      </c>
      <c r="F59" s="87">
        <v>0</v>
      </c>
      <c r="G59" s="87">
        <v>0</v>
      </c>
      <c r="H59" s="87">
        <v>0</v>
      </c>
      <c r="K59" s="72"/>
      <c r="L59" s="71">
        <v>512.79000000000019</v>
      </c>
      <c r="M59" s="71">
        <v>701.32316666666622</v>
      </c>
      <c r="N59" s="73">
        <v>1214.1131666666665</v>
      </c>
    </row>
    <row r="60" spans="1:14" x14ac:dyDescent="0.3">
      <c r="A60" s="70">
        <v>46079</v>
      </c>
      <c r="B60" s="71">
        <v>1214.1131666666665</v>
      </c>
      <c r="C60" s="71">
        <v>512.79000000000019</v>
      </c>
      <c r="D60" s="71">
        <v>701.32316666666622</v>
      </c>
      <c r="E60" s="87">
        <v>0</v>
      </c>
      <c r="F60" s="87">
        <v>0</v>
      </c>
      <c r="G60" s="87">
        <v>0</v>
      </c>
      <c r="H60" s="87">
        <v>0</v>
      </c>
      <c r="K60" s="72"/>
      <c r="L60" s="71">
        <v>512.79000000000019</v>
      </c>
      <c r="M60" s="71">
        <v>701.32316666666622</v>
      </c>
      <c r="N60" s="73">
        <v>1214.1131666666665</v>
      </c>
    </row>
    <row r="61" spans="1:14" x14ac:dyDescent="0.3">
      <c r="A61" s="70">
        <v>46080</v>
      </c>
      <c r="B61" s="71">
        <v>1214.1131666666665</v>
      </c>
      <c r="C61" s="71">
        <v>512.79000000000019</v>
      </c>
      <c r="D61" s="71">
        <v>701.32316666666622</v>
      </c>
      <c r="E61" s="87">
        <v>98.5</v>
      </c>
      <c r="F61" s="87">
        <v>197</v>
      </c>
      <c r="G61" s="87">
        <v>12.5</v>
      </c>
      <c r="H61" s="87">
        <v>25</v>
      </c>
      <c r="K61" s="72"/>
      <c r="L61" s="71">
        <v>808.29000000000019</v>
      </c>
      <c r="M61" s="71">
        <v>738.82316666666622</v>
      </c>
      <c r="N61" s="73">
        <v>1547.1131666666665</v>
      </c>
    </row>
    <row r="62" spans="1:14" x14ac:dyDescent="0.3">
      <c r="A62" s="70">
        <v>46081</v>
      </c>
      <c r="B62" s="71">
        <v>1547.1131666666665</v>
      </c>
      <c r="C62" s="71">
        <v>808.29000000000019</v>
      </c>
      <c r="D62" s="71">
        <v>738.82316666666622</v>
      </c>
      <c r="E62" s="87">
        <v>0</v>
      </c>
      <c r="F62" s="87">
        <v>0</v>
      </c>
      <c r="G62" s="87">
        <v>0</v>
      </c>
      <c r="H62" s="87">
        <v>0</v>
      </c>
      <c r="K62" s="72"/>
      <c r="L62" s="71">
        <v>808.29000000000019</v>
      </c>
      <c r="M62" s="71">
        <v>738.82316666666622</v>
      </c>
      <c r="N62" s="73">
        <v>1547.1131666666665</v>
      </c>
    </row>
    <row r="63" spans="1:14" x14ac:dyDescent="0.3">
      <c r="A63" s="70">
        <v>46082</v>
      </c>
      <c r="B63" s="71">
        <v>1547.1131666666665</v>
      </c>
      <c r="C63" s="71">
        <v>808.29000000000019</v>
      </c>
      <c r="D63" s="71">
        <v>738.82316666666622</v>
      </c>
      <c r="E63" s="87">
        <v>0</v>
      </c>
      <c r="F63" s="87">
        <v>0</v>
      </c>
      <c r="G63" s="87">
        <v>0</v>
      </c>
      <c r="H63" s="87">
        <v>0</v>
      </c>
      <c r="K63" s="72"/>
      <c r="L63" s="71">
        <v>808.29000000000019</v>
      </c>
      <c r="M63" s="71">
        <v>738.82316666666622</v>
      </c>
      <c r="N63" s="73">
        <v>1547.1131666666665</v>
      </c>
    </row>
    <row r="64" spans="1:14" x14ac:dyDescent="0.3">
      <c r="A64" s="70">
        <v>46083</v>
      </c>
      <c r="B64" s="71">
        <v>1547.1131666666665</v>
      </c>
      <c r="C64" s="71">
        <v>808.29000000000019</v>
      </c>
      <c r="D64" s="71">
        <v>738.82316666666622</v>
      </c>
      <c r="E64" s="87">
        <v>0</v>
      </c>
      <c r="F64" s="87">
        <v>0</v>
      </c>
      <c r="G64" s="87">
        <v>0</v>
      </c>
      <c r="H64" s="87">
        <v>0</v>
      </c>
      <c r="K64" s="72"/>
      <c r="L64" s="71">
        <v>808.29000000000019</v>
      </c>
      <c r="M64" s="71">
        <v>738.82316666666622</v>
      </c>
      <c r="N64" s="73">
        <v>1547.1131666666665</v>
      </c>
    </row>
    <row r="65" spans="1:14" x14ac:dyDescent="0.3">
      <c r="A65" s="70">
        <v>46084</v>
      </c>
      <c r="B65" s="71">
        <v>1547.1131666666665</v>
      </c>
      <c r="C65" s="71">
        <v>808.29000000000019</v>
      </c>
      <c r="D65" s="71">
        <v>738.82316666666622</v>
      </c>
      <c r="E65" s="87">
        <v>0</v>
      </c>
      <c r="F65" s="87">
        <v>0</v>
      </c>
      <c r="G65" s="87">
        <v>0</v>
      </c>
      <c r="H65" s="87">
        <v>0</v>
      </c>
      <c r="K65" s="72"/>
      <c r="L65" s="71">
        <v>808.29000000000019</v>
      </c>
      <c r="M65" s="71">
        <v>738.82316666666622</v>
      </c>
      <c r="N65" s="73">
        <v>1547.1131666666665</v>
      </c>
    </row>
    <row r="66" spans="1:14" x14ac:dyDescent="0.3">
      <c r="A66" s="70">
        <v>46085</v>
      </c>
      <c r="B66" s="71">
        <v>1547.1131666666665</v>
      </c>
      <c r="C66" s="71">
        <v>808.29000000000019</v>
      </c>
      <c r="D66" s="71">
        <v>738.82316666666622</v>
      </c>
      <c r="E66" s="87">
        <v>0</v>
      </c>
      <c r="F66" s="87">
        <v>0</v>
      </c>
      <c r="G66" s="87">
        <v>0</v>
      </c>
      <c r="H66" s="87">
        <v>0</v>
      </c>
      <c r="K66" s="72"/>
      <c r="L66" s="71">
        <v>808.29000000000019</v>
      </c>
      <c r="M66" s="71">
        <v>738.82316666666622</v>
      </c>
      <c r="N66" s="73">
        <v>1547.1131666666665</v>
      </c>
    </row>
    <row r="67" spans="1:14" x14ac:dyDescent="0.3">
      <c r="A67" s="70">
        <v>46086</v>
      </c>
      <c r="B67" s="71">
        <v>1547.1131666666665</v>
      </c>
      <c r="C67" s="71">
        <v>808.29000000000019</v>
      </c>
      <c r="D67" s="71">
        <v>738.82316666666622</v>
      </c>
      <c r="E67" s="87">
        <v>0</v>
      </c>
      <c r="F67" s="87">
        <v>0</v>
      </c>
      <c r="G67" s="87">
        <v>0</v>
      </c>
      <c r="H67" s="87">
        <v>0</v>
      </c>
      <c r="K67" s="72"/>
      <c r="L67" s="71">
        <v>808.29000000000019</v>
      </c>
      <c r="M67" s="71">
        <v>738.82316666666622</v>
      </c>
      <c r="N67" s="73">
        <v>1547.1131666666665</v>
      </c>
    </row>
    <row r="68" spans="1:14" x14ac:dyDescent="0.3">
      <c r="A68" s="70">
        <v>46087</v>
      </c>
      <c r="B68" s="71">
        <v>1547.1131666666665</v>
      </c>
      <c r="C68" s="71">
        <v>808.29000000000019</v>
      </c>
      <c r="D68" s="71">
        <v>738.82316666666622</v>
      </c>
      <c r="E68" s="87">
        <v>0</v>
      </c>
      <c r="F68" s="87">
        <v>0</v>
      </c>
      <c r="G68" s="87">
        <v>0</v>
      </c>
      <c r="H68" s="87">
        <v>0</v>
      </c>
      <c r="K68" s="72"/>
      <c r="L68" s="71">
        <v>808.29000000000019</v>
      </c>
      <c r="M68" s="71">
        <v>738.82316666666622</v>
      </c>
      <c r="N68" s="73">
        <v>1547.1131666666665</v>
      </c>
    </row>
    <row r="69" spans="1:14" x14ac:dyDescent="0.3">
      <c r="A69" s="70">
        <v>46088</v>
      </c>
      <c r="B69" s="71">
        <v>1547.1131666666665</v>
      </c>
      <c r="C69" s="71">
        <v>808.29000000000019</v>
      </c>
      <c r="D69" s="71">
        <v>738.82316666666622</v>
      </c>
      <c r="E69" s="87">
        <v>0</v>
      </c>
      <c r="F69" s="87">
        <v>0</v>
      </c>
      <c r="G69" s="87">
        <v>0</v>
      </c>
      <c r="H69" s="87">
        <v>0</v>
      </c>
      <c r="K69" s="72"/>
      <c r="L69" s="71">
        <v>808.29000000000019</v>
      </c>
      <c r="M69" s="71">
        <v>738.82316666666622</v>
      </c>
      <c r="N69" s="73">
        <v>1547.1131666666665</v>
      </c>
    </row>
    <row r="70" spans="1:14" x14ac:dyDescent="0.3">
      <c r="A70" s="70">
        <v>46089</v>
      </c>
      <c r="B70" s="71">
        <v>1547.1131666666665</v>
      </c>
      <c r="C70" s="71">
        <v>808.29000000000019</v>
      </c>
      <c r="D70" s="71">
        <v>738.82316666666622</v>
      </c>
      <c r="E70" s="87">
        <v>0</v>
      </c>
      <c r="F70" s="87">
        <v>0</v>
      </c>
      <c r="G70" s="87">
        <v>0</v>
      </c>
      <c r="H70" s="87">
        <v>0</v>
      </c>
      <c r="K70" s="72"/>
      <c r="L70" s="71">
        <v>808.29000000000019</v>
      </c>
      <c r="M70" s="71">
        <v>738.82316666666622</v>
      </c>
      <c r="N70" s="73">
        <v>1547.1131666666665</v>
      </c>
    </row>
    <row r="71" spans="1:14" x14ac:dyDescent="0.3">
      <c r="A71" s="70">
        <v>46090</v>
      </c>
      <c r="B71" s="71">
        <v>1547.1131666666665</v>
      </c>
      <c r="C71" s="71">
        <v>808.29000000000019</v>
      </c>
      <c r="D71" s="71">
        <v>738.82316666666622</v>
      </c>
      <c r="E71" s="87">
        <v>0</v>
      </c>
      <c r="F71" s="87">
        <v>0</v>
      </c>
      <c r="G71" s="87">
        <v>0</v>
      </c>
      <c r="H71" s="87">
        <v>0</v>
      </c>
      <c r="K71" s="72"/>
      <c r="L71" s="71">
        <v>808.29000000000019</v>
      </c>
      <c r="M71" s="71">
        <v>738.82316666666622</v>
      </c>
      <c r="N71" s="73">
        <v>1547.1131666666665</v>
      </c>
    </row>
    <row r="72" spans="1:14" x14ac:dyDescent="0.3">
      <c r="A72" s="70">
        <v>46091</v>
      </c>
      <c r="B72" s="71">
        <v>1547.1131666666665</v>
      </c>
      <c r="C72" s="71">
        <v>808.29000000000019</v>
      </c>
      <c r="D72" s="71">
        <v>738.82316666666622</v>
      </c>
      <c r="E72" s="87">
        <v>0</v>
      </c>
      <c r="F72" s="87">
        <v>0</v>
      </c>
      <c r="G72" s="87">
        <v>0</v>
      </c>
      <c r="H72" s="87">
        <v>0</v>
      </c>
      <c r="K72" s="72"/>
      <c r="L72" s="71">
        <v>808.29000000000019</v>
      </c>
      <c r="M72" s="71">
        <v>738.82316666666622</v>
      </c>
      <c r="N72" s="73">
        <v>1547.1131666666665</v>
      </c>
    </row>
    <row r="73" spans="1:14" x14ac:dyDescent="0.3">
      <c r="A73" s="70">
        <v>46092</v>
      </c>
      <c r="B73" s="71">
        <v>1547.1131666666665</v>
      </c>
      <c r="C73" s="71">
        <v>808.29000000000019</v>
      </c>
      <c r="D73" s="71">
        <v>738.82316666666622</v>
      </c>
      <c r="E73" s="87">
        <v>0</v>
      </c>
      <c r="F73" s="87">
        <v>0</v>
      </c>
      <c r="G73" s="87">
        <v>0</v>
      </c>
      <c r="H73" s="87">
        <v>0</v>
      </c>
      <c r="K73" s="72"/>
      <c r="L73" s="71">
        <v>808.29000000000019</v>
      </c>
      <c r="M73" s="71">
        <v>738.82316666666622</v>
      </c>
      <c r="N73" s="73">
        <v>1547.1131666666665</v>
      </c>
    </row>
    <row r="74" spans="1:14" x14ac:dyDescent="0.3">
      <c r="A74" s="70">
        <v>46093</v>
      </c>
      <c r="B74" s="71">
        <v>1547.1131666666665</v>
      </c>
      <c r="C74" s="71">
        <v>808.29000000000019</v>
      </c>
      <c r="D74" s="71">
        <v>738.82316666666622</v>
      </c>
      <c r="E74" s="87">
        <v>0</v>
      </c>
      <c r="F74" s="87">
        <v>0</v>
      </c>
      <c r="G74" s="87">
        <v>0</v>
      </c>
      <c r="H74" s="87">
        <v>0</v>
      </c>
      <c r="K74" s="72"/>
      <c r="L74" s="71">
        <v>808.29000000000019</v>
      </c>
      <c r="M74" s="71">
        <v>738.82316666666622</v>
      </c>
      <c r="N74" s="73">
        <v>1547.1131666666665</v>
      </c>
    </row>
    <row r="75" spans="1:14" x14ac:dyDescent="0.3">
      <c r="A75" s="70">
        <v>46094</v>
      </c>
      <c r="B75" s="71">
        <v>1547.1131666666665</v>
      </c>
      <c r="C75" s="71">
        <v>808.29000000000019</v>
      </c>
      <c r="D75" s="71">
        <v>738.82316666666622</v>
      </c>
      <c r="E75" s="87">
        <v>0</v>
      </c>
      <c r="F75" s="87">
        <v>0</v>
      </c>
      <c r="G75" s="87">
        <v>0</v>
      </c>
      <c r="H75" s="87">
        <v>0</v>
      </c>
      <c r="K75" s="72"/>
      <c r="L75" s="71">
        <v>808.29000000000019</v>
      </c>
      <c r="M75" s="71">
        <v>738.82316666666622</v>
      </c>
      <c r="N75" s="73">
        <v>1547.1131666666665</v>
      </c>
    </row>
    <row r="76" spans="1:14" x14ac:dyDescent="0.3">
      <c r="A76" s="70">
        <v>46095</v>
      </c>
      <c r="B76" s="71">
        <v>1547.1131666666665</v>
      </c>
      <c r="C76" s="71">
        <v>808.29000000000019</v>
      </c>
      <c r="D76" s="71">
        <v>738.82316666666622</v>
      </c>
      <c r="E76" s="87">
        <v>98.5</v>
      </c>
      <c r="F76" s="87">
        <v>0</v>
      </c>
      <c r="G76" s="87">
        <v>12.5</v>
      </c>
      <c r="H76" s="87">
        <v>0</v>
      </c>
      <c r="K76" s="72"/>
      <c r="L76" s="71">
        <v>906.79000000000019</v>
      </c>
      <c r="M76" s="71">
        <v>751.32316666666622</v>
      </c>
      <c r="N76" s="73">
        <v>1658.1131666666665</v>
      </c>
    </row>
    <row r="77" spans="1:14" x14ac:dyDescent="0.3">
      <c r="A77" s="70">
        <v>46096</v>
      </c>
      <c r="B77" s="71">
        <v>1658.1131666666665</v>
      </c>
      <c r="C77" s="71">
        <v>906.79000000000019</v>
      </c>
      <c r="D77" s="71">
        <v>751.32316666666622</v>
      </c>
      <c r="E77" s="87">
        <v>0</v>
      </c>
      <c r="F77" s="87">
        <v>0</v>
      </c>
      <c r="G77" s="87">
        <v>0</v>
      </c>
      <c r="H77" s="87">
        <v>0</v>
      </c>
      <c r="K77" s="72"/>
      <c r="L77" s="71">
        <v>906.79000000000019</v>
      </c>
      <c r="M77" s="71">
        <v>751.32316666666622</v>
      </c>
      <c r="N77" s="73">
        <v>1658.1131666666665</v>
      </c>
    </row>
    <row r="78" spans="1:14" x14ac:dyDescent="0.3">
      <c r="A78" s="70">
        <v>46097</v>
      </c>
      <c r="B78" s="71">
        <v>1658.1131666666665</v>
      </c>
      <c r="C78" s="71">
        <v>906.79000000000019</v>
      </c>
      <c r="D78" s="71">
        <v>751.32316666666622</v>
      </c>
      <c r="E78" s="87">
        <v>0</v>
      </c>
      <c r="F78" s="87">
        <v>0</v>
      </c>
      <c r="G78" s="87">
        <v>0</v>
      </c>
      <c r="H78" s="87">
        <v>0</v>
      </c>
      <c r="K78" s="72"/>
      <c r="L78" s="71">
        <v>906.79000000000019</v>
      </c>
      <c r="M78" s="71">
        <v>751.32316666666622</v>
      </c>
      <c r="N78" s="73">
        <v>1658.1131666666665</v>
      </c>
    </row>
    <row r="79" spans="1:14" x14ac:dyDescent="0.3">
      <c r="A79" s="70">
        <v>46098</v>
      </c>
      <c r="B79" s="71">
        <v>1658.1131666666665</v>
      </c>
      <c r="C79" s="71">
        <v>906.79000000000019</v>
      </c>
      <c r="D79" s="71">
        <v>751.32316666666622</v>
      </c>
      <c r="E79" s="87">
        <v>0</v>
      </c>
      <c r="F79" s="87">
        <v>0</v>
      </c>
      <c r="G79" s="87">
        <v>0</v>
      </c>
      <c r="H79" s="87">
        <v>0</v>
      </c>
      <c r="K79" s="72"/>
      <c r="L79" s="71">
        <v>906.79000000000019</v>
      </c>
      <c r="M79" s="71">
        <v>751.32316666666622</v>
      </c>
      <c r="N79" s="73">
        <v>1658.1131666666665</v>
      </c>
    </row>
    <row r="80" spans="1:14" x14ac:dyDescent="0.3">
      <c r="A80" s="70">
        <v>46099</v>
      </c>
      <c r="B80" s="71">
        <v>1658.1131666666665</v>
      </c>
      <c r="C80" s="71">
        <v>906.79000000000019</v>
      </c>
      <c r="D80" s="71">
        <v>751.32316666666622</v>
      </c>
      <c r="E80" s="87">
        <v>0</v>
      </c>
      <c r="F80" s="87">
        <v>0</v>
      </c>
      <c r="G80" s="87">
        <v>0</v>
      </c>
      <c r="H80" s="87">
        <v>0</v>
      </c>
      <c r="K80" s="72"/>
      <c r="L80" s="71">
        <v>906.79000000000019</v>
      </c>
      <c r="M80" s="71">
        <v>751.32316666666622</v>
      </c>
      <c r="N80" s="73">
        <v>1658.1131666666665</v>
      </c>
    </row>
    <row r="81" spans="1:14" x14ac:dyDescent="0.3">
      <c r="A81" s="70">
        <v>46100</v>
      </c>
      <c r="B81" s="71">
        <v>1658.1131666666665</v>
      </c>
      <c r="C81" s="71">
        <v>906.79000000000019</v>
      </c>
      <c r="D81" s="71">
        <v>751.32316666666622</v>
      </c>
      <c r="E81" s="87">
        <v>0</v>
      </c>
      <c r="F81" s="87">
        <v>0</v>
      </c>
      <c r="G81" s="87">
        <v>0</v>
      </c>
      <c r="H81" s="87">
        <v>0</v>
      </c>
      <c r="K81" s="72"/>
      <c r="L81" s="71">
        <v>906.79000000000019</v>
      </c>
      <c r="M81" s="71">
        <v>751.32316666666622</v>
      </c>
      <c r="N81" s="73">
        <v>1658.1131666666665</v>
      </c>
    </row>
    <row r="82" spans="1:14" x14ac:dyDescent="0.3">
      <c r="A82" s="70">
        <v>46101</v>
      </c>
      <c r="B82" s="71">
        <v>1658.1131666666665</v>
      </c>
      <c r="C82" s="71">
        <v>906.79000000000019</v>
      </c>
      <c r="D82" s="71">
        <v>751.32316666666622</v>
      </c>
      <c r="E82" s="87">
        <v>0</v>
      </c>
      <c r="F82" s="87">
        <v>0</v>
      </c>
      <c r="G82" s="87">
        <v>0</v>
      </c>
      <c r="H82" s="87">
        <v>0</v>
      </c>
      <c r="K82" s="72"/>
      <c r="L82" s="71">
        <v>906.79000000000019</v>
      </c>
      <c r="M82" s="71">
        <v>751.32316666666622</v>
      </c>
      <c r="N82" s="73">
        <v>1658.1131666666665</v>
      </c>
    </row>
    <row r="83" spans="1:14" x14ac:dyDescent="0.3">
      <c r="A83" s="70">
        <v>46102</v>
      </c>
      <c r="B83" s="71">
        <v>1658.1131666666665</v>
      </c>
      <c r="C83" s="71">
        <v>906.79000000000019</v>
      </c>
      <c r="D83" s="71">
        <v>751.32316666666622</v>
      </c>
      <c r="E83" s="87">
        <v>0</v>
      </c>
      <c r="F83" s="87">
        <v>0</v>
      </c>
      <c r="G83" s="87">
        <v>0</v>
      </c>
      <c r="H83" s="87">
        <v>0</v>
      </c>
      <c r="K83" s="72"/>
      <c r="L83" s="71">
        <v>906.79000000000019</v>
      </c>
      <c r="M83" s="71">
        <v>751.32316666666622</v>
      </c>
      <c r="N83" s="73">
        <v>1658.1131666666665</v>
      </c>
    </row>
    <row r="84" spans="1:14" x14ac:dyDescent="0.3">
      <c r="A84" s="70">
        <v>46103</v>
      </c>
      <c r="B84" s="71">
        <v>1658.1131666666665</v>
      </c>
      <c r="C84" s="71">
        <v>906.79000000000019</v>
      </c>
      <c r="D84" s="71">
        <v>751.32316666666622</v>
      </c>
      <c r="E84" s="87">
        <v>0</v>
      </c>
      <c r="F84" s="87">
        <v>0</v>
      </c>
      <c r="G84" s="87">
        <v>0</v>
      </c>
      <c r="H84" s="87">
        <v>0</v>
      </c>
      <c r="K84" s="72"/>
      <c r="L84" s="71">
        <v>906.79000000000019</v>
      </c>
      <c r="M84" s="71">
        <v>751.32316666666622</v>
      </c>
      <c r="N84" s="73">
        <v>1658.1131666666665</v>
      </c>
    </row>
    <row r="85" spans="1:14" x14ac:dyDescent="0.3">
      <c r="A85" s="70">
        <v>46104</v>
      </c>
      <c r="B85" s="71">
        <v>1658.1131666666665</v>
      </c>
      <c r="C85" s="71">
        <v>906.79000000000019</v>
      </c>
      <c r="D85" s="71">
        <v>751.32316666666622</v>
      </c>
      <c r="E85" s="87">
        <v>0</v>
      </c>
      <c r="F85" s="87">
        <v>0</v>
      </c>
      <c r="G85" s="87">
        <v>0</v>
      </c>
      <c r="H85" s="87">
        <v>0</v>
      </c>
      <c r="K85" s="72"/>
      <c r="L85" s="71">
        <v>906.79000000000019</v>
      </c>
      <c r="M85" s="71">
        <v>751.32316666666622</v>
      </c>
      <c r="N85" s="73">
        <v>1658.1131666666665</v>
      </c>
    </row>
    <row r="86" spans="1:14" x14ac:dyDescent="0.3">
      <c r="A86" s="70">
        <v>46105</v>
      </c>
      <c r="B86" s="71">
        <v>1658.1131666666665</v>
      </c>
      <c r="C86" s="71">
        <v>906.79000000000019</v>
      </c>
      <c r="D86" s="71">
        <v>751.32316666666622</v>
      </c>
      <c r="E86" s="87">
        <v>0</v>
      </c>
      <c r="F86" s="87">
        <v>0</v>
      </c>
      <c r="G86" s="87">
        <v>0</v>
      </c>
      <c r="H86" s="87">
        <v>0</v>
      </c>
      <c r="K86" s="72"/>
      <c r="L86" s="71">
        <v>906.79000000000019</v>
      </c>
      <c r="M86" s="71">
        <v>751.32316666666622</v>
      </c>
      <c r="N86" s="73">
        <v>1658.1131666666665</v>
      </c>
    </row>
    <row r="87" spans="1:14" x14ac:dyDescent="0.3">
      <c r="A87" s="70">
        <v>46106</v>
      </c>
      <c r="B87" s="71">
        <v>1658.1131666666665</v>
      </c>
      <c r="C87" s="71">
        <v>906.79000000000019</v>
      </c>
      <c r="D87" s="71">
        <v>751.32316666666622</v>
      </c>
      <c r="E87" s="87">
        <v>0</v>
      </c>
      <c r="F87" s="87">
        <v>0</v>
      </c>
      <c r="G87" s="87">
        <v>0</v>
      </c>
      <c r="H87" s="87">
        <v>0</v>
      </c>
      <c r="K87" s="72"/>
      <c r="L87" s="71">
        <v>906.79000000000019</v>
      </c>
      <c r="M87" s="71">
        <v>751.32316666666622</v>
      </c>
      <c r="N87" s="73">
        <v>1658.1131666666665</v>
      </c>
    </row>
    <row r="88" spans="1:14" x14ac:dyDescent="0.3">
      <c r="A88" s="70">
        <v>46107</v>
      </c>
      <c r="B88" s="71">
        <v>1658.1131666666665</v>
      </c>
      <c r="C88" s="71">
        <v>906.79000000000019</v>
      </c>
      <c r="D88" s="71">
        <v>751.32316666666622</v>
      </c>
      <c r="E88" s="87">
        <v>0</v>
      </c>
      <c r="F88" s="87">
        <v>0</v>
      </c>
      <c r="G88" s="87">
        <v>0</v>
      </c>
      <c r="H88" s="87">
        <v>0</v>
      </c>
      <c r="K88" s="72"/>
      <c r="L88" s="71">
        <v>906.79000000000019</v>
      </c>
      <c r="M88" s="71">
        <v>751.32316666666622</v>
      </c>
      <c r="N88" s="73">
        <v>1658.1131666666665</v>
      </c>
    </row>
    <row r="89" spans="1:14" x14ac:dyDescent="0.3">
      <c r="A89" s="70">
        <v>46108</v>
      </c>
      <c r="B89" s="71">
        <v>1658.1131666666665</v>
      </c>
      <c r="C89" s="71">
        <v>906.79000000000019</v>
      </c>
      <c r="D89" s="71">
        <v>751.32316666666622</v>
      </c>
      <c r="E89" s="87">
        <v>0</v>
      </c>
      <c r="F89" s="87">
        <v>197</v>
      </c>
      <c r="G89" s="87">
        <v>0</v>
      </c>
      <c r="H89" s="87">
        <v>25</v>
      </c>
      <c r="K89" s="72"/>
      <c r="L89" s="71">
        <v>1103.7900000000002</v>
      </c>
      <c r="M89" s="71">
        <v>776.32316666666622</v>
      </c>
      <c r="N89" s="73">
        <v>1880.1131666666665</v>
      </c>
    </row>
    <row r="90" spans="1:14" x14ac:dyDescent="0.3">
      <c r="A90" s="70">
        <v>46109</v>
      </c>
      <c r="B90" s="71">
        <v>1880.1131666666665</v>
      </c>
      <c r="C90" s="71">
        <v>1103.7900000000002</v>
      </c>
      <c r="D90" s="71">
        <v>776.32316666666622</v>
      </c>
      <c r="E90" s="87">
        <v>0</v>
      </c>
      <c r="F90" s="87">
        <v>0</v>
      </c>
      <c r="G90" s="87">
        <v>0</v>
      </c>
      <c r="H90" s="87">
        <v>0</v>
      </c>
      <c r="K90" s="72"/>
      <c r="L90" s="71">
        <v>1103.7900000000002</v>
      </c>
      <c r="M90" s="71">
        <v>776.32316666666622</v>
      </c>
      <c r="N90" s="73">
        <v>1880.1131666666665</v>
      </c>
    </row>
    <row r="91" spans="1:14" x14ac:dyDescent="0.3">
      <c r="A91" s="70">
        <v>46110</v>
      </c>
      <c r="B91" s="71">
        <v>1880.1131666666665</v>
      </c>
      <c r="C91" s="71">
        <v>1103.7900000000002</v>
      </c>
      <c r="D91" s="71">
        <v>776.32316666666622</v>
      </c>
      <c r="E91" s="87">
        <v>0</v>
      </c>
      <c r="F91" s="87">
        <v>0</v>
      </c>
      <c r="G91" s="87">
        <v>0</v>
      </c>
      <c r="H91" s="87">
        <v>0</v>
      </c>
      <c r="K91" s="72"/>
      <c r="L91" s="71">
        <v>1103.7900000000002</v>
      </c>
      <c r="M91" s="71">
        <v>776.32316666666622</v>
      </c>
      <c r="N91" s="73">
        <v>1880.1131666666665</v>
      </c>
    </row>
    <row r="92" spans="1:14" x14ac:dyDescent="0.3">
      <c r="A92" s="70">
        <v>46111</v>
      </c>
      <c r="B92" s="71">
        <v>1880.1131666666665</v>
      </c>
      <c r="C92" s="71">
        <v>1103.7900000000002</v>
      </c>
      <c r="D92" s="71">
        <v>776.32316666666622</v>
      </c>
      <c r="E92" s="87">
        <v>98.5</v>
      </c>
      <c r="F92" s="87">
        <v>0</v>
      </c>
      <c r="G92" s="87">
        <v>12.5</v>
      </c>
      <c r="H92" s="87">
        <v>0</v>
      </c>
      <c r="K92" s="72"/>
      <c r="L92" s="71">
        <v>1202.2900000000002</v>
      </c>
      <c r="M92" s="71">
        <v>788.82316666666622</v>
      </c>
      <c r="N92" s="73">
        <v>1991.1131666666665</v>
      </c>
    </row>
    <row r="93" spans="1:14" x14ac:dyDescent="0.3">
      <c r="A93" s="70">
        <v>46112</v>
      </c>
      <c r="B93" s="71">
        <v>1991.1131666666665</v>
      </c>
      <c r="C93" s="71">
        <v>1202.2900000000002</v>
      </c>
      <c r="D93" s="71">
        <v>788.82316666666622</v>
      </c>
      <c r="E93" s="87">
        <v>0</v>
      </c>
      <c r="F93" s="87">
        <v>0</v>
      </c>
      <c r="G93" s="87">
        <v>0</v>
      </c>
      <c r="H93" s="87">
        <v>0</v>
      </c>
      <c r="K93" s="72"/>
      <c r="L93" s="71">
        <v>1202.2900000000002</v>
      </c>
      <c r="M93" s="71">
        <v>788.82316666666622</v>
      </c>
      <c r="N93" s="73">
        <v>1991.1131666666665</v>
      </c>
    </row>
    <row r="94" spans="1:14" x14ac:dyDescent="0.3">
      <c r="A94" s="70">
        <v>46113</v>
      </c>
      <c r="B94" s="71">
        <v>1991.1131666666665</v>
      </c>
      <c r="C94" s="71">
        <v>1202.2900000000002</v>
      </c>
      <c r="D94" s="71">
        <v>788.82316666666622</v>
      </c>
      <c r="E94" s="87">
        <v>0</v>
      </c>
      <c r="F94" s="87">
        <v>0</v>
      </c>
      <c r="G94" s="87">
        <v>0</v>
      </c>
      <c r="H94" s="87">
        <v>0</v>
      </c>
      <c r="K94" s="72"/>
      <c r="L94" s="71">
        <v>1202.2900000000002</v>
      </c>
      <c r="M94" s="71">
        <v>788.82316666666622</v>
      </c>
      <c r="N94" s="73">
        <v>1991.1131666666665</v>
      </c>
    </row>
    <row r="95" spans="1:14" x14ac:dyDescent="0.3">
      <c r="A95" s="70">
        <v>46114</v>
      </c>
      <c r="B95" s="71">
        <v>1991.1131666666665</v>
      </c>
      <c r="C95" s="71">
        <v>1202.2900000000002</v>
      </c>
      <c r="D95" s="71">
        <v>788.82316666666622</v>
      </c>
      <c r="E95" s="87">
        <v>0</v>
      </c>
      <c r="F95" s="87">
        <v>0</v>
      </c>
      <c r="G95" s="87">
        <v>0</v>
      </c>
      <c r="H95" s="87">
        <v>0</v>
      </c>
      <c r="K95" s="72"/>
      <c r="L95" s="71">
        <v>1202.2900000000002</v>
      </c>
      <c r="M95" s="71">
        <v>788.82316666666622</v>
      </c>
      <c r="N95" s="73">
        <v>1991.1131666666665</v>
      </c>
    </row>
    <row r="96" spans="1:14" x14ac:dyDescent="0.3">
      <c r="A96" s="70">
        <v>46115</v>
      </c>
      <c r="B96" s="71">
        <v>1991.1131666666665</v>
      </c>
      <c r="C96" s="71">
        <v>1202.2900000000002</v>
      </c>
      <c r="D96" s="71">
        <v>788.82316666666622</v>
      </c>
      <c r="E96" s="87">
        <v>0</v>
      </c>
      <c r="F96" s="87">
        <v>0</v>
      </c>
      <c r="G96" s="87">
        <v>0</v>
      </c>
      <c r="H96" s="87">
        <v>0</v>
      </c>
      <c r="K96" s="72"/>
      <c r="L96" s="71">
        <v>1202.2900000000002</v>
      </c>
      <c r="M96" s="71">
        <v>788.82316666666622</v>
      </c>
      <c r="N96" s="73">
        <v>1991.1131666666665</v>
      </c>
    </row>
    <row r="97" spans="1:15" x14ac:dyDescent="0.3">
      <c r="A97" s="70">
        <v>46116</v>
      </c>
      <c r="B97" s="71">
        <v>1991.1131666666665</v>
      </c>
      <c r="C97" s="71">
        <v>1202.2900000000002</v>
      </c>
      <c r="D97" s="71">
        <v>788.82316666666622</v>
      </c>
      <c r="E97" s="87">
        <v>0</v>
      </c>
      <c r="F97" s="87">
        <v>0</v>
      </c>
      <c r="G97" s="87">
        <v>0</v>
      </c>
      <c r="H97" s="87">
        <v>0</v>
      </c>
      <c r="K97" s="72"/>
      <c r="L97" s="71">
        <v>1202.2900000000002</v>
      </c>
      <c r="M97" s="71">
        <v>788.82316666666622</v>
      </c>
      <c r="N97" s="73">
        <v>1991.1131666666665</v>
      </c>
    </row>
    <row r="98" spans="1:15" x14ac:dyDescent="0.3">
      <c r="A98" s="70">
        <v>46117</v>
      </c>
      <c r="B98" s="71">
        <v>1991.1131666666665</v>
      </c>
      <c r="C98" s="71">
        <v>1202.2900000000002</v>
      </c>
      <c r="D98" s="71">
        <v>788.82316666666622</v>
      </c>
      <c r="E98" s="87">
        <v>0</v>
      </c>
      <c r="F98" s="87">
        <v>0</v>
      </c>
      <c r="G98" s="87">
        <v>0</v>
      </c>
      <c r="H98" s="87">
        <v>0</v>
      </c>
      <c r="K98" s="72"/>
      <c r="L98" s="71">
        <v>1202.2900000000002</v>
      </c>
      <c r="M98" s="71">
        <v>788.82316666666622</v>
      </c>
      <c r="N98" s="73">
        <v>1991.1131666666665</v>
      </c>
    </row>
    <row r="99" spans="1:15" x14ac:dyDescent="0.3">
      <c r="A99" s="70">
        <v>46118</v>
      </c>
      <c r="B99" s="71">
        <v>1991.1131666666665</v>
      </c>
      <c r="C99" s="71">
        <v>1202.2900000000002</v>
      </c>
      <c r="D99" s="71">
        <v>788.82316666666622</v>
      </c>
      <c r="E99" s="87">
        <v>0</v>
      </c>
      <c r="F99" s="87">
        <v>0</v>
      </c>
      <c r="G99" s="87">
        <v>0</v>
      </c>
      <c r="H99" s="87">
        <v>0</v>
      </c>
      <c r="K99" s="72"/>
      <c r="L99" s="71">
        <v>1202.2900000000002</v>
      </c>
      <c r="M99" s="71">
        <v>788.82316666666622</v>
      </c>
      <c r="N99" s="73">
        <v>1991.1131666666665</v>
      </c>
    </row>
    <row r="100" spans="1:15" x14ac:dyDescent="0.3">
      <c r="A100" s="70">
        <v>46119</v>
      </c>
      <c r="B100" s="71">
        <v>1991.1131666666665</v>
      </c>
      <c r="C100" s="71">
        <v>1202.2900000000002</v>
      </c>
      <c r="D100" s="71">
        <v>788.82316666666622</v>
      </c>
      <c r="E100" s="87">
        <v>0</v>
      </c>
      <c r="F100" s="87">
        <v>0</v>
      </c>
      <c r="G100" s="87">
        <v>0</v>
      </c>
      <c r="H100" s="87">
        <v>0</v>
      </c>
      <c r="K100" s="72"/>
      <c r="L100" s="71">
        <v>1202.2900000000002</v>
      </c>
      <c r="M100" s="71">
        <v>788.82316666666622</v>
      </c>
      <c r="N100" s="73">
        <v>1991.1131666666665</v>
      </c>
    </row>
    <row r="101" spans="1:15" x14ac:dyDescent="0.3">
      <c r="A101" s="70">
        <v>46120</v>
      </c>
      <c r="B101" s="71">
        <v>1991.1131666666665</v>
      </c>
      <c r="C101" s="71">
        <v>1202.2900000000002</v>
      </c>
      <c r="D101" s="71">
        <v>788.82316666666622</v>
      </c>
      <c r="E101" s="87">
        <v>0</v>
      </c>
      <c r="F101" s="87">
        <v>0</v>
      </c>
      <c r="G101" s="87">
        <v>0</v>
      </c>
      <c r="H101" s="87">
        <v>0</v>
      </c>
      <c r="K101" s="72">
        <v>0.02</v>
      </c>
      <c r="L101" s="71">
        <v>1202.3100000000002</v>
      </c>
      <c r="M101" s="71">
        <v>788.82316666666622</v>
      </c>
      <c r="N101" s="73">
        <v>1991.1331666666665</v>
      </c>
    </row>
    <row r="102" spans="1:15" x14ac:dyDescent="0.3">
      <c r="A102" s="70">
        <v>46121</v>
      </c>
      <c r="B102" s="71">
        <v>1991.1331666666665</v>
      </c>
      <c r="C102" s="71">
        <v>1202.3100000000002</v>
      </c>
      <c r="D102" s="71">
        <v>788.82316666666622</v>
      </c>
      <c r="E102" s="87">
        <v>0</v>
      </c>
      <c r="F102" s="87">
        <v>0</v>
      </c>
      <c r="G102" s="87">
        <v>0</v>
      </c>
      <c r="H102" s="87">
        <v>0</v>
      </c>
      <c r="K102" s="72"/>
      <c r="L102" s="71">
        <v>1202.3100000000002</v>
      </c>
      <c r="M102" s="71">
        <v>788.82316666666622</v>
      </c>
      <c r="N102" s="73">
        <v>1991.1331666666665</v>
      </c>
    </row>
    <row r="103" spans="1:15" x14ac:dyDescent="0.3">
      <c r="A103" s="70">
        <v>46122</v>
      </c>
      <c r="B103" s="71">
        <v>1991.1331666666665</v>
      </c>
      <c r="C103" s="71">
        <v>1202.3100000000002</v>
      </c>
      <c r="D103" s="71">
        <v>788.82316666666622</v>
      </c>
      <c r="E103" s="87">
        <v>0</v>
      </c>
      <c r="F103" s="87">
        <v>0</v>
      </c>
      <c r="G103" s="87">
        <v>0</v>
      </c>
      <c r="H103" s="87">
        <v>0</v>
      </c>
      <c r="K103" s="72"/>
      <c r="L103" s="71">
        <v>1202.3100000000002</v>
      </c>
      <c r="M103" s="71">
        <v>788.82316666666622</v>
      </c>
      <c r="N103" s="73">
        <v>1991.1331666666665</v>
      </c>
    </row>
    <row r="104" spans="1:15" x14ac:dyDescent="0.3">
      <c r="A104" s="70">
        <v>46123</v>
      </c>
      <c r="B104" s="71">
        <v>1991.1331666666665</v>
      </c>
      <c r="C104" s="71">
        <v>1202.3100000000002</v>
      </c>
      <c r="D104" s="71">
        <v>788.82316666666622</v>
      </c>
      <c r="E104" s="87">
        <v>0</v>
      </c>
      <c r="F104" s="87">
        <v>0</v>
      </c>
      <c r="G104" s="87">
        <v>0</v>
      </c>
      <c r="H104" s="87">
        <v>0</v>
      </c>
      <c r="K104" s="72"/>
      <c r="L104" s="71">
        <v>1202.3100000000002</v>
      </c>
      <c r="M104" s="71">
        <v>788.82316666666622</v>
      </c>
      <c r="N104" s="73">
        <v>1991.1331666666665</v>
      </c>
      <c r="O104" t="s">
        <v>68</v>
      </c>
    </row>
    <row r="105" spans="1:15" x14ac:dyDescent="0.3">
      <c r="A105" s="70">
        <v>46124</v>
      </c>
      <c r="B105" s="71">
        <v>1430.1331666666665</v>
      </c>
      <c r="C105" s="71">
        <v>1202.3100000000002</v>
      </c>
      <c r="D105" s="71">
        <v>227.82316666666622</v>
      </c>
      <c r="E105" s="87">
        <v>0</v>
      </c>
      <c r="F105" s="87">
        <v>0</v>
      </c>
      <c r="G105" s="87">
        <v>0</v>
      </c>
      <c r="H105" s="87">
        <v>0</v>
      </c>
      <c r="K105" s="72"/>
      <c r="L105" s="71">
        <v>1202.3100000000002</v>
      </c>
      <c r="M105" s="71">
        <v>227.82316666666622</v>
      </c>
      <c r="N105" s="73">
        <v>1430.1331666666665</v>
      </c>
    </row>
    <row r="106" spans="1:15" x14ac:dyDescent="0.3">
      <c r="A106" s="70">
        <v>46125</v>
      </c>
      <c r="B106" s="71">
        <v>1430.1331666666665</v>
      </c>
      <c r="C106" s="71">
        <v>1202.3100000000002</v>
      </c>
      <c r="D106" s="71">
        <v>227.82316666666622</v>
      </c>
      <c r="E106" s="87">
        <v>0</v>
      </c>
      <c r="F106" s="87">
        <v>0</v>
      </c>
      <c r="G106" s="87">
        <v>0</v>
      </c>
      <c r="H106" s="87">
        <v>0</v>
      </c>
      <c r="K106" s="72"/>
      <c r="L106" s="71">
        <v>1202.3100000000002</v>
      </c>
      <c r="M106" s="71">
        <v>227.82316666666622</v>
      </c>
      <c r="N106" s="73">
        <v>1430.1331666666665</v>
      </c>
    </row>
    <row r="107" spans="1:15" x14ac:dyDescent="0.3">
      <c r="A107" s="70">
        <v>46126</v>
      </c>
      <c r="B107" s="71">
        <v>1430.1331666666665</v>
      </c>
      <c r="C107" s="71">
        <v>1202.3100000000002</v>
      </c>
      <c r="D107" s="71">
        <v>227.82316666666622</v>
      </c>
      <c r="E107" s="87">
        <v>98.5</v>
      </c>
      <c r="F107" s="87">
        <v>0</v>
      </c>
      <c r="G107" s="87">
        <v>12.5</v>
      </c>
      <c r="H107" s="87">
        <v>0</v>
      </c>
      <c r="K107" s="72"/>
      <c r="L107" s="71">
        <v>1300.8100000000002</v>
      </c>
      <c r="M107" s="71">
        <v>240.32316666666622</v>
      </c>
      <c r="N107" s="73">
        <v>1541.1331666666665</v>
      </c>
    </row>
    <row r="108" spans="1:15" x14ac:dyDescent="0.3">
      <c r="A108" s="70">
        <v>46127</v>
      </c>
      <c r="B108" s="71">
        <v>1541.1331666666665</v>
      </c>
      <c r="C108" s="71">
        <v>1300.8100000000002</v>
      </c>
      <c r="D108" s="71">
        <v>240.32316666666622</v>
      </c>
      <c r="E108" s="87">
        <v>0</v>
      </c>
      <c r="F108" s="87">
        <v>0</v>
      </c>
      <c r="G108" s="87">
        <v>0</v>
      </c>
      <c r="H108" s="87">
        <v>0</v>
      </c>
      <c r="K108" s="72"/>
      <c r="L108" s="71">
        <v>1300.8100000000002</v>
      </c>
      <c r="M108" s="71">
        <v>240.32316666666622</v>
      </c>
      <c r="N108" s="73">
        <v>1541.1331666666665</v>
      </c>
    </row>
    <row r="109" spans="1:15" x14ac:dyDescent="0.3">
      <c r="A109" s="70">
        <v>46128</v>
      </c>
      <c r="B109" s="71">
        <v>1541.1331666666665</v>
      </c>
      <c r="C109" s="71">
        <v>1300.8100000000002</v>
      </c>
      <c r="D109" s="71">
        <v>240.32316666666622</v>
      </c>
      <c r="E109" s="87">
        <v>0</v>
      </c>
      <c r="F109" s="87">
        <v>0</v>
      </c>
      <c r="G109" s="87">
        <v>0</v>
      </c>
      <c r="H109" s="87">
        <v>0</v>
      </c>
      <c r="K109" s="72"/>
      <c r="L109" s="71">
        <v>1300.8100000000002</v>
      </c>
      <c r="M109" s="71">
        <v>240.32316666666622</v>
      </c>
      <c r="N109" s="73">
        <v>1541.1331666666665</v>
      </c>
    </row>
    <row r="110" spans="1:15" x14ac:dyDescent="0.3">
      <c r="A110" s="70">
        <v>46129</v>
      </c>
      <c r="B110" s="71">
        <v>1541.1331666666665</v>
      </c>
      <c r="C110" s="71">
        <v>1300.8100000000002</v>
      </c>
      <c r="D110" s="71">
        <v>240.32316666666622</v>
      </c>
      <c r="E110" s="87">
        <v>0</v>
      </c>
      <c r="F110" s="87">
        <v>0</v>
      </c>
      <c r="G110" s="87">
        <v>0</v>
      </c>
      <c r="H110" s="87">
        <v>0</v>
      </c>
      <c r="K110" s="72"/>
      <c r="L110" s="71">
        <v>1300.8100000000002</v>
      </c>
      <c r="M110" s="71">
        <v>240.32316666666622</v>
      </c>
      <c r="N110" s="73">
        <v>1541.1331666666665</v>
      </c>
    </row>
    <row r="111" spans="1:15" x14ac:dyDescent="0.3">
      <c r="A111" s="70">
        <v>46130</v>
      </c>
      <c r="B111" s="71">
        <v>1541.1331666666665</v>
      </c>
      <c r="C111" s="71">
        <v>1300.8100000000002</v>
      </c>
      <c r="D111" s="71">
        <v>240.32316666666622</v>
      </c>
      <c r="E111" s="87">
        <v>0</v>
      </c>
      <c r="F111" s="87">
        <v>0</v>
      </c>
      <c r="G111" s="87">
        <v>0</v>
      </c>
      <c r="H111" s="87">
        <v>0</v>
      </c>
      <c r="K111" s="72"/>
      <c r="L111" s="71">
        <v>1300.8100000000002</v>
      </c>
      <c r="M111" s="71">
        <v>240.32316666666622</v>
      </c>
      <c r="N111" s="73">
        <v>1541.1331666666665</v>
      </c>
    </row>
    <row r="112" spans="1:15" x14ac:dyDescent="0.3">
      <c r="A112" s="70">
        <v>46131</v>
      </c>
      <c r="B112" s="71">
        <v>1541.1331666666665</v>
      </c>
      <c r="C112" s="71">
        <v>1300.8100000000002</v>
      </c>
      <c r="D112" s="71">
        <v>240.32316666666622</v>
      </c>
      <c r="E112" s="87">
        <v>0</v>
      </c>
      <c r="F112" s="87">
        <v>0</v>
      </c>
      <c r="G112" s="87">
        <v>0</v>
      </c>
      <c r="H112" s="87">
        <v>0</v>
      </c>
      <c r="K112" s="72"/>
      <c r="L112" s="71">
        <v>1300.8100000000002</v>
      </c>
      <c r="M112" s="71">
        <v>240.32316666666622</v>
      </c>
      <c r="N112" s="73">
        <v>1541.1331666666665</v>
      </c>
    </row>
    <row r="113" spans="1:14" x14ac:dyDescent="0.3">
      <c r="A113" s="70">
        <v>46132</v>
      </c>
      <c r="B113" s="71">
        <v>1541.1331666666665</v>
      </c>
      <c r="C113" s="71">
        <v>1300.8100000000002</v>
      </c>
      <c r="D113" s="71">
        <v>240.32316666666622</v>
      </c>
      <c r="E113" s="87">
        <v>0</v>
      </c>
      <c r="F113" s="87">
        <v>0</v>
      </c>
      <c r="G113" s="87">
        <v>0</v>
      </c>
      <c r="H113" s="87">
        <v>0</v>
      </c>
      <c r="K113" s="72"/>
      <c r="L113" s="71">
        <v>1300.8100000000002</v>
      </c>
      <c r="M113" s="71">
        <v>240.32316666666622</v>
      </c>
      <c r="N113" s="73">
        <v>1541.1331666666665</v>
      </c>
    </row>
    <row r="114" spans="1:14" x14ac:dyDescent="0.3">
      <c r="A114" s="70">
        <v>46133</v>
      </c>
      <c r="B114" s="71">
        <v>1541.1331666666665</v>
      </c>
      <c r="C114" s="71">
        <v>1300.8100000000002</v>
      </c>
      <c r="D114" s="71">
        <v>240.32316666666622</v>
      </c>
      <c r="E114" s="87">
        <v>0</v>
      </c>
      <c r="F114" s="87">
        <v>0</v>
      </c>
      <c r="G114" s="87">
        <v>0</v>
      </c>
      <c r="H114" s="87">
        <v>0</v>
      </c>
      <c r="K114" s="72"/>
      <c r="L114" s="71">
        <v>1300.8100000000002</v>
      </c>
      <c r="M114" s="71">
        <v>240.32316666666622</v>
      </c>
      <c r="N114" s="73">
        <v>1541.1331666666665</v>
      </c>
    </row>
    <row r="115" spans="1:14" x14ac:dyDescent="0.3">
      <c r="A115" s="70">
        <v>46134</v>
      </c>
      <c r="B115" s="71">
        <v>1541.1331666666665</v>
      </c>
      <c r="C115" s="71">
        <v>1300.8100000000002</v>
      </c>
      <c r="D115" s="71">
        <v>240.32316666666622</v>
      </c>
      <c r="E115" s="87">
        <v>0</v>
      </c>
      <c r="F115" s="87">
        <v>0</v>
      </c>
      <c r="G115" s="87">
        <v>0</v>
      </c>
      <c r="H115" s="87">
        <v>0</v>
      </c>
      <c r="K115" s="72"/>
      <c r="L115" s="71">
        <v>1300.8100000000002</v>
      </c>
      <c r="M115" s="71">
        <v>240.32316666666622</v>
      </c>
      <c r="N115" s="73">
        <v>1541.1331666666665</v>
      </c>
    </row>
    <row r="116" spans="1:14" x14ac:dyDescent="0.3">
      <c r="A116" s="70">
        <v>46135</v>
      </c>
      <c r="B116" s="71">
        <v>1541.1331666666665</v>
      </c>
      <c r="C116" s="71">
        <v>1300.8100000000002</v>
      </c>
      <c r="D116" s="71">
        <v>240.32316666666622</v>
      </c>
      <c r="E116" s="87">
        <v>0</v>
      </c>
      <c r="F116" s="87">
        <v>0</v>
      </c>
      <c r="G116" s="87">
        <v>0</v>
      </c>
      <c r="H116" s="87">
        <v>0</v>
      </c>
      <c r="K116" s="72"/>
      <c r="L116" s="71">
        <v>1300.8100000000002</v>
      </c>
      <c r="M116" s="71">
        <v>240.32316666666622</v>
      </c>
      <c r="N116" s="73">
        <v>1541.1331666666665</v>
      </c>
    </row>
    <row r="117" spans="1:14" x14ac:dyDescent="0.3">
      <c r="A117" s="70">
        <v>46136</v>
      </c>
      <c r="B117" s="71">
        <v>1541.1331666666665</v>
      </c>
      <c r="C117" s="71">
        <v>1300.8100000000002</v>
      </c>
      <c r="D117" s="71">
        <v>240.32316666666622</v>
      </c>
      <c r="E117" s="87">
        <v>0</v>
      </c>
      <c r="F117" s="87">
        <v>0</v>
      </c>
      <c r="G117" s="87">
        <v>0</v>
      </c>
      <c r="H117" s="87">
        <v>0</v>
      </c>
      <c r="K117" s="72"/>
      <c r="L117" s="71">
        <v>1300.8100000000002</v>
      </c>
      <c r="M117" s="71">
        <v>240.32316666666622</v>
      </c>
      <c r="N117" s="73">
        <v>1541.1331666666665</v>
      </c>
    </row>
    <row r="118" spans="1:14" x14ac:dyDescent="0.3">
      <c r="A118" s="70">
        <v>46137</v>
      </c>
      <c r="B118" s="71">
        <v>1541.1331666666665</v>
      </c>
      <c r="C118" s="71">
        <v>1300.8100000000002</v>
      </c>
      <c r="D118" s="71">
        <v>240.32316666666622</v>
      </c>
      <c r="E118" s="87">
        <v>0</v>
      </c>
      <c r="F118" s="87">
        <v>0</v>
      </c>
      <c r="G118" s="87">
        <v>0</v>
      </c>
      <c r="H118" s="87">
        <v>0</v>
      </c>
      <c r="K118" s="72"/>
      <c r="L118" s="71">
        <v>1300.8100000000002</v>
      </c>
      <c r="M118" s="71">
        <v>240.32316666666622</v>
      </c>
      <c r="N118" s="73">
        <v>1541.1331666666665</v>
      </c>
    </row>
    <row r="119" spans="1:14" x14ac:dyDescent="0.3">
      <c r="A119" s="70">
        <v>46138</v>
      </c>
      <c r="B119" s="71">
        <v>1541.1331666666665</v>
      </c>
      <c r="C119" s="71">
        <v>1300.8100000000002</v>
      </c>
      <c r="D119" s="71">
        <v>240.32316666666622</v>
      </c>
      <c r="E119" s="87">
        <v>0</v>
      </c>
      <c r="F119" s="87">
        <v>0</v>
      </c>
      <c r="G119" s="87">
        <v>0</v>
      </c>
      <c r="H119" s="87">
        <v>0</v>
      </c>
      <c r="K119" s="72"/>
      <c r="L119" s="71">
        <v>1300.8100000000002</v>
      </c>
      <c r="M119" s="71">
        <v>240.32316666666622</v>
      </c>
      <c r="N119" s="73">
        <v>1541.1331666666665</v>
      </c>
    </row>
    <row r="120" spans="1:14" x14ac:dyDescent="0.3">
      <c r="A120" s="70">
        <v>46139</v>
      </c>
      <c r="B120" s="71">
        <v>1541.1331666666665</v>
      </c>
      <c r="C120" s="71">
        <v>1300.8100000000002</v>
      </c>
      <c r="D120" s="71">
        <v>240.32316666666622</v>
      </c>
      <c r="E120" s="87">
        <v>0</v>
      </c>
      <c r="F120" s="87">
        <v>197</v>
      </c>
      <c r="G120" s="87">
        <v>0</v>
      </c>
      <c r="H120" s="87">
        <v>25</v>
      </c>
      <c r="K120" s="72"/>
      <c r="L120" s="71">
        <v>1497.8100000000002</v>
      </c>
      <c r="M120" s="71">
        <v>265.32316666666622</v>
      </c>
      <c r="N120" s="73">
        <v>1763.1331666666665</v>
      </c>
    </row>
    <row r="121" spans="1:14" x14ac:dyDescent="0.3">
      <c r="A121" s="70">
        <v>46140</v>
      </c>
      <c r="B121" s="71">
        <v>1763.1331666666665</v>
      </c>
      <c r="C121" s="71">
        <v>1497.8100000000002</v>
      </c>
      <c r="D121" s="71">
        <v>265.32316666666622</v>
      </c>
      <c r="E121" s="87">
        <v>0</v>
      </c>
      <c r="F121" s="87">
        <v>0</v>
      </c>
      <c r="G121" s="87">
        <v>0</v>
      </c>
      <c r="H121" s="87">
        <v>0</v>
      </c>
      <c r="K121" s="72"/>
      <c r="L121" s="71">
        <v>1497.8100000000002</v>
      </c>
      <c r="M121" s="71">
        <v>265.32316666666622</v>
      </c>
      <c r="N121" s="73">
        <v>1763.1331666666665</v>
      </c>
    </row>
    <row r="122" spans="1:14" x14ac:dyDescent="0.3">
      <c r="A122" s="70">
        <v>46141</v>
      </c>
      <c r="B122" s="71">
        <v>1763.1331666666665</v>
      </c>
      <c r="C122" s="71">
        <v>1497.8100000000002</v>
      </c>
      <c r="D122" s="71">
        <v>265.32316666666622</v>
      </c>
      <c r="E122" s="87">
        <v>98.5</v>
      </c>
      <c r="F122" s="87">
        <v>0</v>
      </c>
      <c r="G122" s="87">
        <v>12.5</v>
      </c>
      <c r="H122" s="87">
        <v>0</v>
      </c>
      <c r="K122" s="72"/>
      <c r="L122" s="71">
        <v>1596.3100000000002</v>
      </c>
      <c r="M122" s="71">
        <v>277.82316666666622</v>
      </c>
      <c r="N122" s="73">
        <v>1874.1331666666665</v>
      </c>
    </row>
    <row r="123" spans="1:14" x14ac:dyDescent="0.3">
      <c r="A123" s="70">
        <v>46142</v>
      </c>
      <c r="B123" s="71">
        <v>1874.1331666666665</v>
      </c>
      <c r="C123" s="71">
        <v>1596.3100000000002</v>
      </c>
      <c r="D123" s="71">
        <v>277.82316666666622</v>
      </c>
      <c r="E123" s="87">
        <v>0</v>
      </c>
      <c r="F123" s="87">
        <v>0</v>
      </c>
      <c r="G123" s="87">
        <v>0</v>
      </c>
      <c r="H123" s="87">
        <v>0</v>
      </c>
      <c r="K123" s="72">
        <v>0.01</v>
      </c>
      <c r="L123" s="71">
        <v>1596.3200000000002</v>
      </c>
      <c r="M123" s="71">
        <v>277.82316666666622</v>
      </c>
      <c r="N123" s="73">
        <v>1874.1431666666663</v>
      </c>
    </row>
    <row r="124" spans="1:14" x14ac:dyDescent="0.3">
      <c r="A124" s="70">
        <v>46143</v>
      </c>
      <c r="B124" s="71">
        <v>1874.1431666666663</v>
      </c>
      <c r="C124" s="71">
        <v>1596.3200000000002</v>
      </c>
      <c r="D124" s="71">
        <v>277.82316666666622</v>
      </c>
      <c r="E124" s="87">
        <v>0</v>
      </c>
      <c r="F124" s="87">
        <v>0</v>
      </c>
      <c r="G124" s="87">
        <v>0</v>
      </c>
      <c r="H124" s="87">
        <v>0</v>
      </c>
      <c r="K124" s="72"/>
      <c r="L124" s="71">
        <v>1596.3200000000002</v>
      </c>
      <c r="M124" s="71">
        <v>277.82316666666622</v>
      </c>
      <c r="N124" s="73">
        <v>1874.1431666666663</v>
      </c>
    </row>
    <row r="125" spans="1:14" x14ac:dyDescent="0.3">
      <c r="A125" s="70">
        <v>46144</v>
      </c>
      <c r="B125" s="71">
        <v>1874.1431666666663</v>
      </c>
      <c r="C125" s="71">
        <v>1596.3200000000002</v>
      </c>
      <c r="D125" s="71">
        <v>277.82316666666622</v>
      </c>
      <c r="E125" s="87">
        <v>0</v>
      </c>
      <c r="F125" s="87">
        <v>0</v>
      </c>
      <c r="G125" s="87">
        <v>0</v>
      </c>
      <c r="H125" s="87">
        <v>0</v>
      </c>
      <c r="K125" s="72"/>
      <c r="L125" s="71">
        <v>1596.3200000000002</v>
      </c>
      <c r="M125" s="71">
        <v>277.82316666666622</v>
      </c>
      <c r="N125" s="73">
        <v>1874.1431666666663</v>
      </c>
    </row>
    <row r="126" spans="1:14" x14ac:dyDescent="0.3">
      <c r="A126" s="70">
        <v>46145</v>
      </c>
      <c r="B126" s="71">
        <v>1874.1431666666663</v>
      </c>
      <c r="C126" s="71">
        <v>1596.3200000000002</v>
      </c>
      <c r="D126" s="71">
        <v>277.82316666666622</v>
      </c>
      <c r="E126" s="87">
        <v>0</v>
      </c>
      <c r="F126" s="87">
        <v>0</v>
      </c>
      <c r="G126" s="87">
        <v>0</v>
      </c>
      <c r="H126" s="87">
        <v>0</v>
      </c>
      <c r="K126" s="72"/>
      <c r="L126" s="71">
        <v>1596.3200000000002</v>
      </c>
      <c r="M126" s="71">
        <v>277.82316666666622</v>
      </c>
      <c r="N126" s="73">
        <v>1874.1431666666663</v>
      </c>
    </row>
    <row r="127" spans="1:14" x14ac:dyDescent="0.3">
      <c r="A127" s="70">
        <v>46146</v>
      </c>
      <c r="B127" s="71">
        <v>1874.1431666666663</v>
      </c>
      <c r="C127" s="71">
        <v>1596.3200000000002</v>
      </c>
      <c r="D127" s="71">
        <v>277.82316666666622</v>
      </c>
      <c r="E127" s="87">
        <v>0</v>
      </c>
      <c r="F127" s="87">
        <v>0</v>
      </c>
      <c r="G127" s="87">
        <v>0</v>
      </c>
      <c r="H127" s="87">
        <v>0</v>
      </c>
      <c r="K127" s="72"/>
      <c r="L127" s="71">
        <v>1596.3200000000002</v>
      </c>
      <c r="M127" s="71">
        <v>277.82316666666622</v>
      </c>
      <c r="N127" s="73">
        <v>1874.1431666666663</v>
      </c>
    </row>
    <row r="128" spans="1:14" x14ac:dyDescent="0.3">
      <c r="A128" s="70">
        <v>46147</v>
      </c>
      <c r="B128" s="71">
        <v>1874.1431666666663</v>
      </c>
      <c r="C128" s="71">
        <v>1596.3200000000002</v>
      </c>
      <c r="D128" s="71">
        <v>277.82316666666622</v>
      </c>
      <c r="E128" s="87">
        <v>0</v>
      </c>
      <c r="F128" s="87">
        <v>0</v>
      </c>
      <c r="G128" s="87">
        <v>0</v>
      </c>
      <c r="H128" s="87">
        <v>0</v>
      </c>
      <c r="K128" s="72"/>
      <c r="L128" s="71">
        <v>1596.3200000000002</v>
      </c>
      <c r="M128" s="71">
        <v>277.82316666666622</v>
      </c>
      <c r="N128" s="73">
        <v>1874.1431666666663</v>
      </c>
    </row>
    <row r="129" spans="1:14" x14ac:dyDescent="0.3">
      <c r="A129" s="70">
        <v>46148</v>
      </c>
      <c r="B129" s="71">
        <v>1874.1431666666663</v>
      </c>
      <c r="C129" s="71">
        <v>1596.3200000000002</v>
      </c>
      <c r="D129" s="71">
        <v>277.82316666666622</v>
      </c>
      <c r="E129" s="87">
        <v>0</v>
      </c>
      <c r="F129" s="87">
        <v>0</v>
      </c>
      <c r="G129" s="87">
        <v>0</v>
      </c>
      <c r="H129" s="87">
        <v>0</v>
      </c>
      <c r="K129" s="72"/>
      <c r="L129" s="71">
        <v>1596.3200000000002</v>
      </c>
      <c r="M129" s="71">
        <v>277.82316666666622</v>
      </c>
      <c r="N129" s="73">
        <v>1874.1431666666663</v>
      </c>
    </row>
    <row r="130" spans="1:14" x14ac:dyDescent="0.3">
      <c r="A130" s="70">
        <v>46149</v>
      </c>
      <c r="B130" s="71">
        <v>1874.1431666666663</v>
      </c>
      <c r="C130" s="71">
        <v>1596.3200000000002</v>
      </c>
      <c r="D130" s="71">
        <v>277.82316666666622</v>
      </c>
      <c r="E130" s="87">
        <v>0</v>
      </c>
      <c r="F130" s="87">
        <v>0</v>
      </c>
      <c r="G130" s="87">
        <v>0</v>
      </c>
      <c r="H130" s="87">
        <v>0</v>
      </c>
      <c r="K130" s="72"/>
      <c r="L130" s="71">
        <v>1596.3200000000002</v>
      </c>
      <c r="M130" s="71">
        <v>277.82316666666622</v>
      </c>
      <c r="N130" s="73">
        <v>1874.1431666666663</v>
      </c>
    </row>
    <row r="131" spans="1:14" x14ac:dyDescent="0.3">
      <c r="A131" s="70">
        <v>46150</v>
      </c>
      <c r="B131" s="71">
        <v>1874.1431666666663</v>
      </c>
      <c r="C131" s="71">
        <v>1596.3200000000002</v>
      </c>
      <c r="D131" s="71">
        <v>277.82316666666622</v>
      </c>
      <c r="E131" s="87">
        <v>0</v>
      </c>
      <c r="F131" s="87">
        <v>0</v>
      </c>
      <c r="G131" s="87">
        <v>0</v>
      </c>
      <c r="H131" s="87">
        <v>0</v>
      </c>
      <c r="K131" s="72"/>
      <c r="L131" s="71">
        <v>1596.3200000000002</v>
      </c>
      <c r="M131" s="71">
        <v>277.82316666666622</v>
      </c>
      <c r="N131" s="73">
        <v>1874.1431666666663</v>
      </c>
    </row>
    <row r="132" spans="1:14" x14ac:dyDescent="0.3">
      <c r="A132" s="70">
        <v>46151</v>
      </c>
      <c r="B132" s="71">
        <v>1874.1431666666663</v>
      </c>
      <c r="C132" s="71">
        <v>1596.3200000000002</v>
      </c>
      <c r="D132" s="71">
        <v>277.82316666666622</v>
      </c>
      <c r="E132" s="87">
        <v>0</v>
      </c>
      <c r="F132" s="87">
        <v>0</v>
      </c>
      <c r="G132" s="87">
        <v>0</v>
      </c>
      <c r="H132" s="87">
        <v>0</v>
      </c>
      <c r="K132" s="72"/>
      <c r="L132" s="71">
        <v>1596.3200000000002</v>
      </c>
      <c r="M132" s="71">
        <v>277.82316666666622</v>
      </c>
      <c r="N132" s="73">
        <v>1874.1431666666663</v>
      </c>
    </row>
    <row r="133" spans="1:14" x14ac:dyDescent="0.3">
      <c r="A133" s="70">
        <v>46152</v>
      </c>
      <c r="B133" s="71">
        <v>1874.1431666666663</v>
      </c>
      <c r="C133" s="71">
        <v>1596.3200000000002</v>
      </c>
      <c r="D133" s="71">
        <v>277.82316666666622</v>
      </c>
      <c r="E133" s="87">
        <v>0</v>
      </c>
      <c r="F133" s="87">
        <v>0</v>
      </c>
      <c r="G133" s="87">
        <v>0</v>
      </c>
      <c r="H133" s="87">
        <v>0</v>
      </c>
      <c r="K133" s="72"/>
      <c r="L133" s="71">
        <v>1596.3200000000002</v>
      </c>
      <c r="M133" s="71">
        <v>277.82316666666622</v>
      </c>
      <c r="N133" s="73">
        <v>1874.1431666666663</v>
      </c>
    </row>
    <row r="134" spans="1:14" x14ac:dyDescent="0.3">
      <c r="A134" s="70">
        <v>46153</v>
      </c>
      <c r="B134" s="71">
        <v>1874.1431666666663</v>
      </c>
      <c r="C134" s="71">
        <v>1596.3200000000002</v>
      </c>
      <c r="D134" s="71">
        <v>277.82316666666622</v>
      </c>
      <c r="E134" s="87">
        <v>0</v>
      </c>
      <c r="F134" s="87">
        <v>0</v>
      </c>
      <c r="G134" s="87">
        <v>0</v>
      </c>
      <c r="H134" s="87">
        <v>0</v>
      </c>
      <c r="K134" s="72"/>
      <c r="L134" s="71">
        <v>1596.3200000000002</v>
      </c>
      <c r="M134" s="71">
        <v>277.82316666666622</v>
      </c>
      <c r="N134" s="73">
        <v>1874.1431666666663</v>
      </c>
    </row>
    <row r="135" spans="1:14" x14ac:dyDescent="0.3">
      <c r="A135" s="70">
        <v>46154</v>
      </c>
      <c r="B135" s="71">
        <v>1874.1431666666663</v>
      </c>
      <c r="C135" s="71">
        <v>1596.3200000000002</v>
      </c>
      <c r="D135" s="71">
        <v>277.82316666666622</v>
      </c>
      <c r="E135" s="87">
        <v>0</v>
      </c>
      <c r="F135" s="87">
        <v>0</v>
      </c>
      <c r="G135" s="87">
        <v>0</v>
      </c>
      <c r="H135" s="87">
        <v>0</v>
      </c>
      <c r="K135" s="72"/>
      <c r="L135" s="71">
        <v>1596.3200000000002</v>
      </c>
      <c r="M135" s="71">
        <v>277.82316666666622</v>
      </c>
      <c r="N135" s="73">
        <v>1874.1431666666663</v>
      </c>
    </row>
    <row r="136" spans="1:14" x14ac:dyDescent="0.3">
      <c r="A136" s="70">
        <v>46155</v>
      </c>
      <c r="B136" s="71">
        <v>1874.1431666666663</v>
      </c>
      <c r="C136" s="71">
        <v>1596.3200000000002</v>
      </c>
      <c r="D136" s="71">
        <v>277.82316666666622</v>
      </c>
      <c r="E136" s="87">
        <v>0</v>
      </c>
      <c r="F136" s="87">
        <v>0</v>
      </c>
      <c r="G136" s="87">
        <v>0</v>
      </c>
      <c r="H136" s="87">
        <v>0</v>
      </c>
      <c r="K136" s="72"/>
      <c r="L136" s="71">
        <v>1596.3200000000002</v>
      </c>
      <c r="M136" s="71">
        <v>277.82316666666622</v>
      </c>
      <c r="N136" s="73">
        <v>1874.1431666666663</v>
      </c>
    </row>
    <row r="137" spans="1:14" x14ac:dyDescent="0.3">
      <c r="A137" s="70">
        <v>46156</v>
      </c>
      <c r="B137" s="71">
        <v>1874.1431666666663</v>
      </c>
      <c r="C137" s="71">
        <v>1596.3200000000002</v>
      </c>
      <c r="D137" s="71">
        <v>277.82316666666622</v>
      </c>
      <c r="E137" s="87">
        <v>98.5</v>
      </c>
      <c r="F137" s="87">
        <v>0</v>
      </c>
      <c r="G137" s="87">
        <v>12.5</v>
      </c>
      <c r="H137" s="87">
        <v>0</v>
      </c>
      <c r="K137" s="72"/>
      <c r="L137" s="71">
        <v>1694.8200000000002</v>
      </c>
      <c r="M137" s="71">
        <v>290.32316666666622</v>
      </c>
      <c r="N137" s="73">
        <v>1985.1431666666663</v>
      </c>
    </row>
    <row r="138" spans="1:14" x14ac:dyDescent="0.3">
      <c r="A138" s="70">
        <v>46157</v>
      </c>
      <c r="B138" s="71">
        <v>1985.1431666666663</v>
      </c>
      <c r="C138" s="71">
        <v>1694.8200000000002</v>
      </c>
      <c r="D138" s="71">
        <v>290.32316666666622</v>
      </c>
      <c r="E138" s="87">
        <v>0</v>
      </c>
      <c r="F138" s="87">
        <v>0</v>
      </c>
      <c r="G138" s="87">
        <v>0</v>
      </c>
      <c r="H138" s="87">
        <v>0</v>
      </c>
      <c r="K138" s="72"/>
      <c r="L138" s="71">
        <v>1694.8200000000002</v>
      </c>
      <c r="M138" s="71">
        <v>290.32316666666622</v>
      </c>
      <c r="N138" s="73">
        <v>1985.1431666666663</v>
      </c>
    </row>
    <row r="139" spans="1:14" x14ac:dyDescent="0.3">
      <c r="A139" s="70">
        <v>46158</v>
      </c>
      <c r="B139" s="71">
        <v>1985.1431666666663</v>
      </c>
      <c r="C139" s="71">
        <v>1694.8200000000002</v>
      </c>
      <c r="D139" s="71">
        <v>290.32316666666622</v>
      </c>
      <c r="E139" s="87">
        <v>0</v>
      </c>
      <c r="F139" s="87">
        <v>0</v>
      </c>
      <c r="G139" s="87">
        <v>0</v>
      </c>
      <c r="H139" s="87">
        <v>0</v>
      </c>
      <c r="K139" s="72"/>
      <c r="L139" s="71">
        <v>1694.8200000000002</v>
      </c>
      <c r="M139" s="71">
        <v>290.32316666666622</v>
      </c>
      <c r="N139" s="73">
        <v>1985.1431666666663</v>
      </c>
    </row>
    <row r="140" spans="1:14" x14ac:dyDescent="0.3">
      <c r="A140" s="70">
        <v>46159</v>
      </c>
      <c r="B140" s="71">
        <v>1985.1431666666663</v>
      </c>
      <c r="C140" s="71">
        <v>1694.8200000000002</v>
      </c>
      <c r="D140" s="71">
        <v>290.32316666666622</v>
      </c>
      <c r="E140" s="87">
        <v>0</v>
      </c>
      <c r="F140" s="87">
        <v>0</v>
      </c>
      <c r="G140" s="87">
        <v>0</v>
      </c>
      <c r="H140" s="87">
        <v>0</v>
      </c>
      <c r="K140" s="72"/>
      <c r="L140" s="71">
        <v>1694.8200000000002</v>
      </c>
      <c r="M140" s="71">
        <v>290.32316666666622</v>
      </c>
      <c r="N140" s="73">
        <v>1985.1431666666663</v>
      </c>
    </row>
    <row r="141" spans="1:14" x14ac:dyDescent="0.3">
      <c r="A141" s="70">
        <v>46160</v>
      </c>
      <c r="B141" s="71">
        <v>1985.1431666666663</v>
      </c>
      <c r="C141" s="71">
        <v>1694.8200000000002</v>
      </c>
      <c r="D141" s="71">
        <v>290.32316666666622</v>
      </c>
      <c r="E141" s="87">
        <v>0</v>
      </c>
      <c r="F141" s="87">
        <v>0</v>
      </c>
      <c r="G141" s="87">
        <v>0</v>
      </c>
      <c r="H141" s="87">
        <v>0</v>
      </c>
      <c r="K141" s="72"/>
      <c r="L141" s="71">
        <v>1694.8200000000002</v>
      </c>
      <c r="M141" s="71">
        <v>290.32316666666622</v>
      </c>
      <c r="N141" s="73">
        <v>1985.1431666666663</v>
      </c>
    </row>
    <row r="142" spans="1:14" x14ac:dyDescent="0.3">
      <c r="A142" s="70">
        <v>46161</v>
      </c>
      <c r="B142" s="71">
        <v>1985.1431666666663</v>
      </c>
      <c r="C142" s="71">
        <v>1694.8200000000002</v>
      </c>
      <c r="D142" s="71">
        <v>290.32316666666622</v>
      </c>
      <c r="E142" s="87">
        <v>0</v>
      </c>
      <c r="F142" s="87">
        <v>0</v>
      </c>
      <c r="G142" s="87">
        <v>0</v>
      </c>
      <c r="H142" s="87">
        <v>0</v>
      </c>
      <c r="K142" s="72"/>
      <c r="L142" s="71">
        <v>1694.8200000000002</v>
      </c>
      <c r="M142" s="71">
        <v>290.32316666666622</v>
      </c>
      <c r="N142" s="73">
        <v>1985.1431666666663</v>
      </c>
    </row>
    <row r="143" spans="1:14" x14ac:dyDescent="0.3">
      <c r="A143" s="70">
        <v>46162</v>
      </c>
      <c r="B143" s="71">
        <v>1985.1431666666663</v>
      </c>
      <c r="C143" s="71">
        <v>1694.8200000000002</v>
      </c>
      <c r="D143" s="71">
        <v>290.32316666666622</v>
      </c>
      <c r="E143" s="87">
        <v>0</v>
      </c>
      <c r="F143" s="87">
        <v>197</v>
      </c>
      <c r="G143" s="87">
        <v>0</v>
      </c>
      <c r="H143" s="87">
        <v>25</v>
      </c>
      <c r="K143" s="72"/>
      <c r="L143" s="71">
        <v>1891.8200000000002</v>
      </c>
      <c r="M143" s="71">
        <v>315.32316666666622</v>
      </c>
      <c r="N143" s="73">
        <v>2207.1431666666663</v>
      </c>
    </row>
    <row r="144" spans="1:14" x14ac:dyDescent="0.3">
      <c r="A144" s="70">
        <v>46163</v>
      </c>
      <c r="B144" s="71">
        <v>2207.1431666666663</v>
      </c>
      <c r="C144" s="71">
        <v>1891.8200000000002</v>
      </c>
      <c r="D144" s="71">
        <v>315.32316666666622</v>
      </c>
      <c r="E144" s="87">
        <v>0</v>
      </c>
      <c r="F144" s="87">
        <v>0</v>
      </c>
      <c r="G144" s="87">
        <v>0</v>
      </c>
      <c r="H144" s="87">
        <v>0</v>
      </c>
      <c r="K144" s="72"/>
      <c r="L144" s="71">
        <v>1891.8200000000002</v>
      </c>
      <c r="M144" s="71">
        <v>315.32316666666622</v>
      </c>
      <c r="N144" s="73">
        <v>2207.1431666666663</v>
      </c>
    </row>
    <row r="145" spans="1:14" x14ac:dyDescent="0.3">
      <c r="A145" s="70">
        <v>46164</v>
      </c>
      <c r="B145" s="71">
        <v>2207.1431666666663</v>
      </c>
      <c r="C145" s="71">
        <v>1891.8200000000002</v>
      </c>
      <c r="D145" s="71">
        <v>315.32316666666622</v>
      </c>
      <c r="E145" s="87">
        <v>0</v>
      </c>
      <c r="F145" s="87">
        <v>0</v>
      </c>
      <c r="G145" s="87">
        <v>0</v>
      </c>
      <c r="H145" s="87">
        <v>0</v>
      </c>
      <c r="K145" s="72"/>
      <c r="L145" s="71">
        <v>1891.8200000000002</v>
      </c>
      <c r="M145" s="71">
        <v>315.32316666666622</v>
      </c>
      <c r="N145" s="73">
        <v>2207.1431666666663</v>
      </c>
    </row>
    <row r="146" spans="1:14" x14ac:dyDescent="0.3">
      <c r="A146" s="70">
        <v>46165</v>
      </c>
      <c r="B146" s="71">
        <v>2207.1431666666663</v>
      </c>
      <c r="C146" s="71">
        <v>1891.8200000000002</v>
      </c>
      <c r="D146" s="71">
        <v>315.32316666666622</v>
      </c>
      <c r="E146" s="87">
        <v>0</v>
      </c>
      <c r="F146" s="87">
        <v>0</v>
      </c>
      <c r="G146" s="87">
        <v>0</v>
      </c>
      <c r="H146" s="87">
        <v>0</v>
      </c>
      <c r="K146" s="72"/>
      <c r="L146" s="71">
        <v>1891.8200000000002</v>
      </c>
      <c r="M146" s="71">
        <v>315.32316666666622</v>
      </c>
      <c r="N146" s="73">
        <v>2207.1431666666663</v>
      </c>
    </row>
    <row r="147" spans="1:14" x14ac:dyDescent="0.3">
      <c r="A147" s="70">
        <v>46166</v>
      </c>
      <c r="B147" s="71">
        <v>2207.1431666666663</v>
      </c>
      <c r="C147" s="71">
        <v>1891.8200000000002</v>
      </c>
      <c r="D147" s="71">
        <v>315.32316666666622</v>
      </c>
      <c r="E147" s="87">
        <v>0</v>
      </c>
      <c r="F147" s="87">
        <v>0</v>
      </c>
      <c r="G147" s="87">
        <v>0</v>
      </c>
      <c r="H147" s="87">
        <v>0</v>
      </c>
      <c r="K147" s="72"/>
      <c r="L147" s="71">
        <v>1891.8200000000002</v>
      </c>
      <c r="M147" s="71">
        <v>315.32316666666622</v>
      </c>
      <c r="N147" s="73">
        <v>2207.1431666666663</v>
      </c>
    </row>
    <row r="148" spans="1:14" x14ac:dyDescent="0.3">
      <c r="A148" s="70">
        <v>46167</v>
      </c>
      <c r="B148" s="71">
        <v>2207.1431666666663</v>
      </c>
      <c r="C148" s="71">
        <v>1891.8200000000002</v>
      </c>
      <c r="D148" s="71">
        <v>315.32316666666622</v>
      </c>
      <c r="E148" s="87">
        <v>0</v>
      </c>
      <c r="F148" s="87">
        <v>0</v>
      </c>
      <c r="G148" s="87">
        <v>0</v>
      </c>
      <c r="H148" s="87">
        <v>0</v>
      </c>
      <c r="K148" s="72"/>
      <c r="L148" s="71">
        <v>1891.8200000000002</v>
      </c>
      <c r="M148" s="71">
        <v>315.32316666666622</v>
      </c>
      <c r="N148" s="73">
        <v>2207.1431666666663</v>
      </c>
    </row>
    <row r="149" spans="1:14" x14ac:dyDescent="0.3">
      <c r="A149" s="70">
        <v>46168</v>
      </c>
      <c r="B149" s="71">
        <v>2207.1431666666663</v>
      </c>
      <c r="C149" s="71">
        <v>1891.8200000000002</v>
      </c>
      <c r="D149" s="71">
        <v>315.32316666666622</v>
      </c>
      <c r="E149" s="87">
        <v>0</v>
      </c>
      <c r="F149" s="87">
        <v>0</v>
      </c>
      <c r="G149" s="87">
        <v>0</v>
      </c>
      <c r="H149" s="87">
        <v>0</v>
      </c>
      <c r="K149" s="72"/>
      <c r="L149" s="71">
        <v>1891.8200000000002</v>
      </c>
      <c r="M149" s="71">
        <v>315.32316666666622</v>
      </c>
      <c r="N149" s="73">
        <v>2207.1431666666663</v>
      </c>
    </row>
    <row r="150" spans="1:14" x14ac:dyDescent="0.3">
      <c r="A150" s="70">
        <v>46169</v>
      </c>
      <c r="B150" s="71">
        <v>2207.1431666666663</v>
      </c>
      <c r="C150" s="71">
        <v>1891.8200000000002</v>
      </c>
      <c r="D150" s="71">
        <v>315.32316666666622</v>
      </c>
      <c r="E150" s="87">
        <v>0</v>
      </c>
      <c r="F150" s="87">
        <v>0</v>
      </c>
      <c r="G150" s="87">
        <v>0</v>
      </c>
      <c r="H150" s="87">
        <v>0</v>
      </c>
      <c r="K150" s="72"/>
      <c r="L150" s="71">
        <v>1891.8200000000002</v>
      </c>
      <c r="M150" s="71">
        <v>315.32316666666622</v>
      </c>
      <c r="N150" s="73">
        <v>2207.1431666666663</v>
      </c>
    </row>
    <row r="151" spans="1:14" x14ac:dyDescent="0.3">
      <c r="A151" s="70">
        <v>46170</v>
      </c>
      <c r="B151" s="71">
        <v>2207.1431666666663</v>
      </c>
      <c r="C151" s="71">
        <v>1891.8200000000002</v>
      </c>
      <c r="D151" s="71">
        <v>315.32316666666622</v>
      </c>
      <c r="E151" s="87">
        <v>0</v>
      </c>
      <c r="F151" s="87">
        <v>0</v>
      </c>
      <c r="G151" s="87">
        <v>0</v>
      </c>
      <c r="H151" s="87">
        <v>0</v>
      </c>
      <c r="K151" s="72"/>
      <c r="L151" s="71">
        <v>1891.8200000000002</v>
      </c>
      <c r="M151" s="71">
        <v>315.32316666666622</v>
      </c>
      <c r="N151" s="73">
        <v>2207.1431666666663</v>
      </c>
    </row>
    <row r="152" spans="1:14" x14ac:dyDescent="0.3">
      <c r="A152" s="70">
        <v>46171</v>
      </c>
      <c r="B152" s="71">
        <v>2207.1431666666663</v>
      </c>
      <c r="C152" s="71">
        <v>1891.8200000000002</v>
      </c>
      <c r="D152" s="71">
        <v>315.32316666666622</v>
      </c>
      <c r="E152" s="87">
        <v>0</v>
      </c>
      <c r="F152" s="87">
        <v>0</v>
      </c>
      <c r="G152" s="87">
        <v>0</v>
      </c>
      <c r="H152" s="87">
        <v>0</v>
      </c>
      <c r="K152" s="72"/>
      <c r="L152" s="71">
        <v>1891.8200000000002</v>
      </c>
      <c r="M152" s="71">
        <v>315.32316666666622</v>
      </c>
      <c r="N152" s="73">
        <v>2207.1431666666663</v>
      </c>
    </row>
    <row r="153" spans="1:14" x14ac:dyDescent="0.3">
      <c r="A153" s="70">
        <v>46172</v>
      </c>
      <c r="B153" s="71">
        <v>2207.1431666666663</v>
      </c>
      <c r="C153" s="71">
        <v>1891.8200000000002</v>
      </c>
      <c r="D153" s="71">
        <v>315.32316666666622</v>
      </c>
      <c r="E153" s="87">
        <v>98.5</v>
      </c>
      <c r="F153" s="87">
        <v>0</v>
      </c>
      <c r="G153" s="87">
        <v>12.5</v>
      </c>
      <c r="H153" s="87">
        <v>0</v>
      </c>
      <c r="K153" s="72"/>
      <c r="L153" s="71">
        <v>1990.3200000000002</v>
      </c>
      <c r="M153" s="71">
        <v>327.82316666666622</v>
      </c>
      <c r="N153" s="73">
        <v>2318.1431666666663</v>
      </c>
    </row>
    <row r="154" spans="1:14" x14ac:dyDescent="0.3">
      <c r="A154" s="70">
        <v>46173</v>
      </c>
      <c r="B154" s="71">
        <v>2318.1431666666663</v>
      </c>
      <c r="C154" s="71">
        <v>1990.3200000000002</v>
      </c>
      <c r="D154" s="71">
        <v>327.82316666666622</v>
      </c>
      <c r="E154" s="87">
        <v>0</v>
      </c>
      <c r="F154" s="87">
        <v>0</v>
      </c>
      <c r="G154" s="87">
        <v>0</v>
      </c>
      <c r="H154" s="87">
        <v>0</v>
      </c>
      <c r="K154" s="72"/>
      <c r="L154" s="71">
        <v>1990.3200000000002</v>
      </c>
      <c r="M154" s="71">
        <v>327.82316666666622</v>
      </c>
      <c r="N154" s="73">
        <v>2318.1431666666663</v>
      </c>
    </row>
    <row r="155" spans="1:14" x14ac:dyDescent="0.3">
      <c r="A155" s="70">
        <v>46174</v>
      </c>
      <c r="B155" s="71">
        <v>2318.1431666666663</v>
      </c>
      <c r="C155" s="71">
        <v>1990.3200000000002</v>
      </c>
      <c r="D155" s="71">
        <v>327.82316666666622</v>
      </c>
      <c r="E155" s="87">
        <v>0</v>
      </c>
      <c r="F155" s="87">
        <v>0</v>
      </c>
      <c r="G155" s="87">
        <v>0</v>
      </c>
      <c r="H155" s="87">
        <v>0</v>
      </c>
      <c r="K155" s="72"/>
      <c r="L155" s="71">
        <v>1990.3200000000002</v>
      </c>
      <c r="M155" s="71">
        <v>327.82316666666622</v>
      </c>
      <c r="N155" s="73">
        <v>2318.1431666666663</v>
      </c>
    </row>
    <row r="156" spans="1:14" x14ac:dyDescent="0.3">
      <c r="A156" s="70">
        <v>46175</v>
      </c>
      <c r="B156" s="71">
        <v>2318.1431666666663</v>
      </c>
      <c r="C156" s="71">
        <v>1990.3200000000002</v>
      </c>
      <c r="D156" s="71">
        <v>327.82316666666622</v>
      </c>
      <c r="E156" s="87">
        <v>0</v>
      </c>
      <c r="F156" s="87">
        <v>0</v>
      </c>
      <c r="G156" s="87">
        <v>0</v>
      </c>
      <c r="H156" s="87">
        <v>0</v>
      </c>
      <c r="K156" s="72"/>
      <c r="L156" s="71">
        <v>1990.3200000000002</v>
      </c>
      <c r="M156" s="71">
        <v>327.82316666666622</v>
      </c>
      <c r="N156" s="73">
        <v>2318.1431666666663</v>
      </c>
    </row>
    <row r="157" spans="1:14" x14ac:dyDescent="0.3">
      <c r="A157" s="70">
        <v>46176</v>
      </c>
      <c r="B157" s="71">
        <v>2318.1431666666663</v>
      </c>
      <c r="C157" s="71">
        <v>1990.3200000000002</v>
      </c>
      <c r="D157" s="71">
        <v>327.82316666666622</v>
      </c>
      <c r="E157" s="87">
        <v>0</v>
      </c>
      <c r="F157" s="87">
        <v>0</v>
      </c>
      <c r="G157" s="87">
        <v>0</v>
      </c>
      <c r="H157" s="87">
        <v>0</v>
      </c>
      <c r="K157" s="72"/>
      <c r="L157" s="71">
        <v>1990.3200000000002</v>
      </c>
      <c r="M157" s="71">
        <v>327.82316666666622</v>
      </c>
      <c r="N157" s="73">
        <v>2318.1431666666663</v>
      </c>
    </row>
    <row r="158" spans="1:14" x14ac:dyDescent="0.3">
      <c r="A158" s="70">
        <v>46177</v>
      </c>
      <c r="B158" s="71">
        <v>2318.1431666666663</v>
      </c>
      <c r="C158" s="71">
        <v>1990.3200000000002</v>
      </c>
      <c r="D158" s="71">
        <v>327.82316666666622</v>
      </c>
      <c r="E158" s="87">
        <v>0</v>
      </c>
      <c r="F158" s="87">
        <v>0</v>
      </c>
      <c r="G158" s="87">
        <v>0</v>
      </c>
      <c r="H158" s="87">
        <v>0</v>
      </c>
      <c r="K158" s="72"/>
      <c r="L158" s="71">
        <v>1990.3200000000002</v>
      </c>
      <c r="M158" s="71">
        <v>327.82316666666622</v>
      </c>
      <c r="N158" s="73">
        <v>2318.1431666666663</v>
      </c>
    </row>
    <row r="159" spans="1:14" x14ac:dyDescent="0.3">
      <c r="A159" s="70">
        <v>46178</v>
      </c>
      <c r="B159" s="71">
        <v>2318.1431666666663</v>
      </c>
      <c r="C159" s="71">
        <v>1990.3200000000002</v>
      </c>
      <c r="D159" s="71">
        <v>327.82316666666622</v>
      </c>
      <c r="E159" s="87">
        <v>0</v>
      </c>
      <c r="F159" s="87">
        <v>0</v>
      </c>
      <c r="G159" s="87">
        <v>0</v>
      </c>
      <c r="H159" s="87">
        <v>0</v>
      </c>
      <c r="K159" s="72"/>
      <c r="L159" s="71">
        <v>1990.3200000000002</v>
      </c>
      <c r="M159" s="71">
        <v>327.82316666666622</v>
      </c>
      <c r="N159" s="73">
        <v>2318.1431666666663</v>
      </c>
    </row>
    <row r="160" spans="1:14" x14ac:dyDescent="0.3">
      <c r="A160" s="70">
        <v>46179</v>
      </c>
      <c r="B160" s="71">
        <v>2318.1431666666663</v>
      </c>
      <c r="C160" s="71">
        <v>1990.3200000000002</v>
      </c>
      <c r="D160" s="71">
        <v>327.82316666666622</v>
      </c>
      <c r="E160" s="87">
        <v>0</v>
      </c>
      <c r="F160" s="87">
        <v>0</v>
      </c>
      <c r="G160" s="87">
        <v>0</v>
      </c>
      <c r="H160" s="87">
        <v>0</v>
      </c>
      <c r="K160" s="72"/>
      <c r="L160" s="71">
        <v>1990.3200000000002</v>
      </c>
      <c r="M160" s="71">
        <v>327.82316666666622</v>
      </c>
      <c r="N160" s="73">
        <v>2318.1431666666663</v>
      </c>
    </row>
    <row r="161" spans="1:14" x14ac:dyDescent="0.3">
      <c r="A161" s="70">
        <v>46180</v>
      </c>
      <c r="B161" s="71">
        <v>2318.1431666666663</v>
      </c>
      <c r="C161" s="71">
        <v>1990.3200000000002</v>
      </c>
      <c r="D161" s="71">
        <v>327.82316666666622</v>
      </c>
      <c r="E161" s="87">
        <v>0</v>
      </c>
      <c r="F161" s="87">
        <v>0</v>
      </c>
      <c r="G161" s="87">
        <v>0</v>
      </c>
      <c r="H161" s="87">
        <v>0</v>
      </c>
      <c r="K161" s="72"/>
      <c r="L161" s="71">
        <v>1990.3200000000002</v>
      </c>
      <c r="M161" s="71">
        <v>327.82316666666622</v>
      </c>
      <c r="N161" s="73">
        <v>2318.1431666666663</v>
      </c>
    </row>
    <row r="162" spans="1:14" x14ac:dyDescent="0.3">
      <c r="A162" s="70">
        <v>46181</v>
      </c>
      <c r="B162" s="71">
        <v>2318.1431666666663</v>
      </c>
      <c r="C162" s="71">
        <v>1990.3200000000002</v>
      </c>
      <c r="D162" s="71">
        <v>327.82316666666622</v>
      </c>
      <c r="E162" s="87">
        <v>0</v>
      </c>
      <c r="F162" s="87">
        <v>0</v>
      </c>
      <c r="G162" s="87">
        <v>0</v>
      </c>
      <c r="H162" s="87">
        <v>0</v>
      </c>
      <c r="K162" s="72"/>
      <c r="L162" s="71">
        <v>1990.3200000000002</v>
      </c>
      <c r="M162" s="71">
        <v>327.82316666666622</v>
      </c>
      <c r="N162" s="73">
        <v>2318.1431666666663</v>
      </c>
    </row>
    <row r="163" spans="1:14" x14ac:dyDescent="0.3">
      <c r="A163" s="70">
        <v>46182</v>
      </c>
      <c r="B163" s="71">
        <v>2318.1431666666663</v>
      </c>
      <c r="C163" s="71">
        <v>1990.3200000000002</v>
      </c>
      <c r="D163" s="71">
        <v>327.82316666666622</v>
      </c>
      <c r="E163" s="87">
        <v>0</v>
      </c>
      <c r="F163" s="87">
        <v>0</v>
      </c>
      <c r="G163" s="87">
        <v>0</v>
      </c>
      <c r="H163" s="87">
        <v>0</v>
      </c>
      <c r="K163" s="72"/>
      <c r="L163" s="71">
        <v>1990.3200000000002</v>
      </c>
      <c r="M163" s="71">
        <v>327.82316666666622</v>
      </c>
      <c r="N163" s="73">
        <v>2318.1431666666663</v>
      </c>
    </row>
    <row r="164" spans="1:14" x14ac:dyDescent="0.3">
      <c r="A164" s="70">
        <v>46183</v>
      </c>
      <c r="B164" s="71">
        <v>2318.1431666666663</v>
      </c>
      <c r="C164" s="71">
        <v>1990.3200000000002</v>
      </c>
      <c r="D164" s="71">
        <v>327.82316666666622</v>
      </c>
      <c r="E164" s="87">
        <v>0</v>
      </c>
      <c r="F164" s="87">
        <v>0</v>
      </c>
      <c r="G164" s="87">
        <v>0</v>
      </c>
      <c r="H164" s="87">
        <v>0</v>
      </c>
      <c r="K164" s="72"/>
      <c r="L164" s="71">
        <v>1990.3200000000002</v>
      </c>
      <c r="M164" s="71">
        <v>327.82316666666622</v>
      </c>
      <c r="N164" s="73">
        <v>2318.1431666666663</v>
      </c>
    </row>
    <row r="165" spans="1:14" x14ac:dyDescent="0.3">
      <c r="A165" s="70">
        <v>46184</v>
      </c>
      <c r="B165" s="71">
        <v>2318.1431666666663</v>
      </c>
      <c r="C165" s="71">
        <v>1990.3200000000002</v>
      </c>
      <c r="D165" s="71">
        <v>327.82316666666622</v>
      </c>
      <c r="E165" s="87">
        <v>0</v>
      </c>
      <c r="F165" s="87">
        <v>0</v>
      </c>
      <c r="G165" s="87">
        <v>0</v>
      </c>
      <c r="H165" s="87">
        <v>0</v>
      </c>
      <c r="K165" s="72"/>
      <c r="L165" s="71">
        <v>1990.3200000000002</v>
      </c>
      <c r="M165" s="71">
        <v>327.82316666666622</v>
      </c>
      <c r="N165" s="73">
        <v>2318.1431666666663</v>
      </c>
    </row>
    <row r="166" spans="1:14" x14ac:dyDescent="0.3">
      <c r="A166" s="70">
        <v>46185</v>
      </c>
      <c r="B166" s="71">
        <v>2318.1431666666663</v>
      </c>
      <c r="C166" s="71">
        <v>1990.3200000000002</v>
      </c>
      <c r="D166" s="71">
        <v>327.82316666666622</v>
      </c>
      <c r="E166" s="87">
        <v>0</v>
      </c>
      <c r="F166" s="87">
        <v>0</v>
      </c>
      <c r="G166" s="87">
        <v>0</v>
      </c>
      <c r="H166" s="87">
        <v>0</v>
      </c>
      <c r="K166" s="72"/>
      <c r="L166" s="71">
        <v>1990.3200000000002</v>
      </c>
      <c r="M166" s="71">
        <v>327.82316666666622</v>
      </c>
      <c r="N166" s="73">
        <v>2318.1431666666663</v>
      </c>
    </row>
    <row r="167" spans="1:14" x14ac:dyDescent="0.3">
      <c r="A167" s="70">
        <v>46186</v>
      </c>
      <c r="B167" s="71">
        <v>2318.1431666666663</v>
      </c>
      <c r="C167" s="71">
        <v>1990.3200000000002</v>
      </c>
      <c r="D167" s="71">
        <v>327.82316666666622</v>
      </c>
      <c r="E167" s="87">
        <v>0</v>
      </c>
      <c r="F167" s="87">
        <v>0</v>
      </c>
      <c r="G167" s="87">
        <v>0</v>
      </c>
      <c r="H167" s="87">
        <v>0</v>
      </c>
      <c r="K167" s="72"/>
      <c r="L167" s="71">
        <v>1990.3200000000002</v>
      </c>
      <c r="M167" s="71">
        <v>327.82316666666622</v>
      </c>
      <c r="N167" s="73">
        <v>2318.1431666666663</v>
      </c>
    </row>
    <row r="168" spans="1:14" x14ac:dyDescent="0.3">
      <c r="A168" s="70">
        <v>46187</v>
      </c>
      <c r="B168" s="71">
        <v>2318.1431666666663</v>
      </c>
      <c r="C168" s="71">
        <v>1990.3200000000002</v>
      </c>
      <c r="D168" s="71">
        <v>327.82316666666622</v>
      </c>
      <c r="E168" s="87">
        <v>98.5</v>
      </c>
      <c r="F168" s="87">
        <v>0</v>
      </c>
      <c r="G168" s="87">
        <v>12.5</v>
      </c>
      <c r="H168" s="87">
        <v>0</v>
      </c>
      <c r="K168" s="72"/>
      <c r="L168" s="71">
        <v>2088.8200000000002</v>
      </c>
      <c r="M168" s="71">
        <v>340.32316666666622</v>
      </c>
      <c r="N168" s="73">
        <v>2429.1431666666663</v>
      </c>
    </row>
    <row r="169" spans="1:14" x14ac:dyDescent="0.3">
      <c r="A169" s="70">
        <v>46188</v>
      </c>
      <c r="B169" s="71">
        <v>2429.1431666666663</v>
      </c>
      <c r="C169" s="71">
        <v>2088.8200000000002</v>
      </c>
      <c r="D169" s="71">
        <v>340.32316666666622</v>
      </c>
      <c r="E169" s="87">
        <v>0</v>
      </c>
      <c r="F169" s="87">
        <v>0</v>
      </c>
      <c r="G169" s="87">
        <v>0</v>
      </c>
      <c r="H169" s="87">
        <v>0</v>
      </c>
      <c r="K169" s="72"/>
      <c r="L169" s="71">
        <v>2088.8200000000002</v>
      </c>
      <c r="M169" s="71">
        <v>340.32316666666622</v>
      </c>
      <c r="N169" s="73">
        <v>2429.1431666666663</v>
      </c>
    </row>
    <row r="170" spans="1:14" x14ac:dyDescent="0.3">
      <c r="A170" s="70">
        <v>46189</v>
      </c>
      <c r="B170" s="71">
        <v>2429.1431666666663</v>
      </c>
      <c r="C170" s="71">
        <v>2088.8200000000002</v>
      </c>
      <c r="D170" s="71">
        <v>340.32316666666622</v>
      </c>
      <c r="E170" s="87">
        <v>0</v>
      </c>
      <c r="F170" s="87">
        <v>0</v>
      </c>
      <c r="G170" s="87">
        <v>0</v>
      </c>
      <c r="H170" s="87">
        <v>0</v>
      </c>
      <c r="K170" s="72"/>
      <c r="L170" s="71">
        <v>2088.8200000000002</v>
      </c>
      <c r="M170" s="71">
        <v>340.32316666666622</v>
      </c>
      <c r="N170" s="73">
        <v>2429.1431666666663</v>
      </c>
    </row>
    <row r="171" spans="1:14" x14ac:dyDescent="0.3">
      <c r="A171" s="70">
        <v>46190</v>
      </c>
      <c r="B171" s="71">
        <v>2429.1431666666663</v>
      </c>
      <c r="C171" s="71">
        <v>2088.8200000000002</v>
      </c>
      <c r="D171" s="71">
        <v>340.32316666666622</v>
      </c>
      <c r="E171" s="87">
        <v>0</v>
      </c>
      <c r="F171" s="87">
        <v>0</v>
      </c>
      <c r="G171" s="87">
        <v>0</v>
      </c>
      <c r="H171" s="87">
        <v>0</v>
      </c>
      <c r="K171" s="72"/>
      <c r="L171" s="71">
        <v>2088.8200000000002</v>
      </c>
      <c r="M171" s="71">
        <v>340.32316666666622</v>
      </c>
      <c r="N171" s="73">
        <v>2429.1431666666663</v>
      </c>
    </row>
    <row r="172" spans="1:14" x14ac:dyDescent="0.3">
      <c r="A172" s="70">
        <v>46191</v>
      </c>
      <c r="B172" s="71">
        <v>2429.1431666666663</v>
      </c>
      <c r="C172" s="71">
        <v>2088.8200000000002</v>
      </c>
      <c r="D172" s="71">
        <v>340.32316666666622</v>
      </c>
      <c r="E172" s="87">
        <v>0</v>
      </c>
      <c r="F172" s="87">
        <v>0</v>
      </c>
      <c r="G172" s="87">
        <v>0</v>
      </c>
      <c r="H172" s="87">
        <v>0</v>
      </c>
      <c r="K172" s="72"/>
      <c r="L172" s="71">
        <v>2088.8200000000002</v>
      </c>
      <c r="M172" s="71">
        <v>340.32316666666622</v>
      </c>
      <c r="N172" s="73">
        <v>2429.1431666666663</v>
      </c>
    </row>
    <row r="173" spans="1:14" x14ac:dyDescent="0.3">
      <c r="A173" s="70">
        <v>46192</v>
      </c>
      <c r="B173" s="71">
        <v>2429.1431666666663</v>
      </c>
      <c r="C173" s="71">
        <v>2088.8200000000002</v>
      </c>
      <c r="D173" s="71">
        <v>340.32316666666622</v>
      </c>
      <c r="E173" s="87">
        <v>0</v>
      </c>
      <c r="F173" s="87">
        <v>0</v>
      </c>
      <c r="G173" s="87">
        <v>0</v>
      </c>
      <c r="H173" s="87">
        <v>0</v>
      </c>
      <c r="K173" s="72"/>
      <c r="L173" s="71">
        <v>2088.8200000000002</v>
      </c>
      <c r="M173" s="71">
        <v>340.32316666666622</v>
      </c>
      <c r="N173" s="73">
        <v>2429.1431666666663</v>
      </c>
    </row>
    <row r="174" spans="1:14" x14ac:dyDescent="0.3">
      <c r="A174" s="70">
        <v>46193</v>
      </c>
      <c r="B174" s="71">
        <v>2429.1431666666663</v>
      </c>
      <c r="C174" s="71">
        <v>2088.8200000000002</v>
      </c>
      <c r="D174" s="71">
        <v>340.32316666666622</v>
      </c>
      <c r="E174" s="87">
        <v>0</v>
      </c>
      <c r="F174" s="87">
        <v>197</v>
      </c>
      <c r="G174" s="87">
        <v>0</v>
      </c>
      <c r="H174" s="87">
        <v>25</v>
      </c>
      <c r="K174" s="72"/>
      <c r="L174" s="71">
        <v>2285.8200000000002</v>
      </c>
      <c r="M174" s="71">
        <v>365.32316666666622</v>
      </c>
      <c r="N174" s="73">
        <v>2651.1431666666663</v>
      </c>
    </row>
    <row r="175" spans="1:14" x14ac:dyDescent="0.3">
      <c r="A175" s="70">
        <v>46194</v>
      </c>
      <c r="B175" s="71">
        <v>2651.1431666666663</v>
      </c>
      <c r="C175" s="71">
        <v>2285.8200000000002</v>
      </c>
      <c r="D175" s="71">
        <v>365.32316666666622</v>
      </c>
      <c r="E175" s="87">
        <v>0</v>
      </c>
      <c r="F175" s="87">
        <v>0</v>
      </c>
      <c r="G175" s="87">
        <v>0</v>
      </c>
      <c r="H175" s="87">
        <v>0</v>
      </c>
      <c r="K175" s="72"/>
      <c r="L175" s="71">
        <v>2285.8200000000002</v>
      </c>
      <c r="M175" s="71">
        <v>365.32316666666622</v>
      </c>
      <c r="N175" s="73">
        <v>2651.1431666666663</v>
      </c>
    </row>
    <row r="176" spans="1:14" x14ac:dyDescent="0.3">
      <c r="A176" s="70">
        <v>46195</v>
      </c>
      <c r="B176" s="71">
        <v>2651.1431666666663</v>
      </c>
      <c r="C176" s="71">
        <v>2285.8200000000002</v>
      </c>
      <c r="D176" s="71">
        <v>365.32316666666622</v>
      </c>
      <c r="E176" s="87">
        <v>0</v>
      </c>
      <c r="F176" s="87">
        <v>0</v>
      </c>
      <c r="G176" s="87">
        <v>0</v>
      </c>
      <c r="H176" s="87">
        <v>0</v>
      </c>
      <c r="K176" s="72"/>
      <c r="L176" s="71">
        <v>2285.8200000000002</v>
      </c>
      <c r="M176" s="71">
        <v>365.32316666666622</v>
      </c>
      <c r="N176" s="73">
        <v>2651.1431666666663</v>
      </c>
    </row>
    <row r="177" spans="1:14" x14ac:dyDescent="0.3">
      <c r="A177" s="70">
        <v>46196</v>
      </c>
      <c r="B177" s="71">
        <v>2651.1431666666663</v>
      </c>
      <c r="C177" s="71">
        <v>2285.8200000000002</v>
      </c>
      <c r="D177" s="71">
        <v>365.32316666666622</v>
      </c>
      <c r="E177" s="87">
        <v>0</v>
      </c>
      <c r="F177" s="87">
        <v>0</v>
      </c>
      <c r="G177" s="87">
        <v>0</v>
      </c>
      <c r="H177" s="87">
        <v>0</v>
      </c>
      <c r="K177" s="72"/>
      <c r="L177" s="71">
        <v>2285.8200000000002</v>
      </c>
      <c r="M177" s="71">
        <v>365.32316666666622</v>
      </c>
      <c r="N177" s="73">
        <v>2651.1431666666663</v>
      </c>
    </row>
    <row r="178" spans="1:14" x14ac:dyDescent="0.3">
      <c r="A178" s="70">
        <v>46197</v>
      </c>
      <c r="B178" s="71">
        <v>2651.1431666666663</v>
      </c>
      <c r="C178" s="71">
        <v>2285.8200000000002</v>
      </c>
      <c r="D178" s="71">
        <v>365.32316666666622</v>
      </c>
      <c r="E178" s="87">
        <v>0</v>
      </c>
      <c r="F178" s="87">
        <v>0</v>
      </c>
      <c r="G178" s="87">
        <v>0</v>
      </c>
      <c r="H178" s="87">
        <v>0</v>
      </c>
      <c r="K178" s="72"/>
      <c r="L178" s="71">
        <v>2285.8200000000002</v>
      </c>
      <c r="M178" s="71">
        <v>365.32316666666622</v>
      </c>
      <c r="N178" s="73">
        <v>2651.1431666666663</v>
      </c>
    </row>
    <row r="179" spans="1:14" x14ac:dyDescent="0.3">
      <c r="A179" s="70">
        <v>46198</v>
      </c>
      <c r="B179" s="71">
        <v>2651.1431666666663</v>
      </c>
      <c r="C179" s="71">
        <v>2285.8200000000002</v>
      </c>
      <c r="D179" s="71">
        <v>365.32316666666622</v>
      </c>
      <c r="E179" s="87">
        <v>0</v>
      </c>
      <c r="F179" s="87">
        <v>0</v>
      </c>
      <c r="G179" s="87">
        <v>0</v>
      </c>
      <c r="H179" s="87">
        <v>0</v>
      </c>
      <c r="K179" s="72"/>
      <c r="L179" s="71">
        <v>2285.8200000000002</v>
      </c>
      <c r="M179" s="71">
        <v>365.32316666666622</v>
      </c>
      <c r="N179" s="73">
        <v>2651.1431666666663</v>
      </c>
    </row>
    <row r="180" spans="1:14" x14ac:dyDescent="0.3">
      <c r="A180" s="70">
        <v>46199</v>
      </c>
      <c r="B180" s="71">
        <v>2651.1431666666663</v>
      </c>
      <c r="C180" s="71">
        <v>2285.8200000000002</v>
      </c>
      <c r="D180" s="71">
        <v>365.32316666666622</v>
      </c>
      <c r="E180" s="87">
        <v>0</v>
      </c>
      <c r="F180" s="87">
        <v>0</v>
      </c>
      <c r="G180" s="87">
        <v>0</v>
      </c>
      <c r="H180" s="87">
        <v>0</v>
      </c>
      <c r="K180" s="72"/>
      <c r="L180" s="71">
        <v>2285.8200000000002</v>
      </c>
      <c r="M180" s="71">
        <v>365.32316666666622</v>
      </c>
      <c r="N180" s="73">
        <v>2651.1431666666663</v>
      </c>
    </row>
    <row r="181" spans="1:14" x14ac:dyDescent="0.3">
      <c r="A181" s="70">
        <v>46200</v>
      </c>
      <c r="B181" s="71">
        <v>2651.1431666666663</v>
      </c>
      <c r="C181" s="71">
        <v>2285.8200000000002</v>
      </c>
      <c r="D181" s="71">
        <v>365.32316666666622</v>
      </c>
      <c r="E181" s="87">
        <v>0</v>
      </c>
      <c r="F181" s="87">
        <v>0</v>
      </c>
      <c r="G181" s="87">
        <v>0</v>
      </c>
      <c r="H181" s="87">
        <v>0</v>
      </c>
      <c r="K181" s="72"/>
      <c r="L181" s="71">
        <v>2285.8200000000002</v>
      </c>
      <c r="M181" s="71">
        <v>365.32316666666622</v>
      </c>
      <c r="N181" s="73">
        <v>2651.1431666666663</v>
      </c>
    </row>
    <row r="182" spans="1:14" x14ac:dyDescent="0.3">
      <c r="A182" s="70">
        <v>46201</v>
      </c>
      <c r="B182" s="71">
        <v>2651.1431666666663</v>
      </c>
      <c r="C182" s="71">
        <v>2285.8200000000002</v>
      </c>
      <c r="D182" s="71">
        <v>365.32316666666622</v>
      </c>
      <c r="E182" s="87">
        <v>0</v>
      </c>
      <c r="F182" s="87">
        <v>0</v>
      </c>
      <c r="G182" s="87">
        <v>0</v>
      </c>
      <c r="H182" s="87">
        <v>0</v>
      </c>
      <c r="K182" s="72"/>
      <c r="L182" s="71">
        <v>2285.8200000000002</v>
      </c>
      <c r="M182" s="71">
        <v>365.32316666666622</v>
      </c>
      <c r="N182" s="73">
        <v>2651.1431666666663</v>
      </c>
    </row>
    <row r="183" spans="1:14" x14ac:dyDescent="0.3">
      <c r="A183" s="70">
        <v>46202</v>
      </c>
      <c r="B183" s="71">
        <v>2651.1431666666663</v>
      </c>
      <c r="C183" s="71">
        <v>2285.8200000000002</v>
      </c>
      <c r="D183" s="71">
        <v>365.32316666666622</v>
      </c>
      <c r="E183" s="87">
        <v>98.5</v>
      </c>
      <c r="F183" s="87">
        <v>0</v>
      </c>
      <c r="G183" s="87">
        <v>12.5</v>
      </c>
      <c r="H183" s="87">
        <v>0</v>
      </c>
      <c r="K183" s="72"/>
      <c r="L183" s="71">
        <v>2384.3200000000002</v>
      </c>
      <c r="M183" s="71">
        <v>377.82316666666622</v>
      </c>
      <c r="N183" s="73">
        <v>2762.1431666666663</v>
      </c>
    </row>
    <row r="184" spans="1:14" x14ac:dyDescent="0.3">
      <c r="A184" s="70">
        <v>46203</v>
      </c>
      <c r="B184" s="71">
        <v>2762.1431666666663</v>
      </c>
      <c r="C184" s="71">
        <v>2384.3200000000002</v>
      </c>
      <c r="D184" s="71">
        <v>377.82316666666622</v>
      </c>
      <c r="E184" s="87">
        <v>0</v>
      </c>
      <c r="F184" s="87">
        <v>0</v>
      </c>
      <c r="G184" s="87">
        <v>0</v>
      </c>
      <c r="H184" s="87">
        <v>0</v>
      </c>
      <c r="K184" s="72"/>
      <c r="L184" s="71">
        <v>2384.3200000000002</v>
      </c>
      <c r="M184" s="71">
        <v>377.82316666666622</v>
      </c>
      <c r="N184" s="73">
        <v>2762.1431666666663</v>
      </c>
    </row>
    <row r="185" spans="1:14" x14ac:dyDescent="0.3">
      <c r="A185" s="70">
        <v>46204</v>
      </c>
      <c r="B185" s="71">
        <v>2762.1431666666663</v>
      </c>
      <c r="C185" s="71">
        <v>2384.3200000000002</v>
      </c>
      <c r="D185" s="71">
        <v>377.82316666666622</v>
      </c>
      <c r="E185" s="87">
        <v>0</v>
      </c>
      <c r="F185" s="87">
        <v>0</v>
      </c>
      <c r="G185" s="87">
        <v>0</v>
      </c>
      <c r="H185" s="87">
        <v>0</v>
      </c>
      <c r="K185" s="72"/>
      <c r="L185" s="71">
        <v>2384.3200000000002</v>
      </c>
      <c r="M185" s="71">
        <v>377.82316666666622</v>
      </c>
      <c r="N185" s="73">
        <v>2762.1431666666663</v>
      </c>
    </row>
    <row r="186" spans="1:14" x14ac:dyDescent="0.3">
      <c r="A186" s="70">
        <v>46205</v>
      </c>
      <c r="B186" s="71">
        <v>2762.1431666666663</v>
      </c>
      <c r="C186" s="71">
        <v>2384.3200000000002</v>
      </c>
      <c r="D186" s="71">
        <v>377.82316666666622</v>
      </c>
      <c r="E186" s="87">
        <v>0</v>
      </c>
      <c r="F186" s="87">
        <v>0</v>
      </c>
      <c r="G186" s="87">
        <v>0</v>
      </c>
      <c r="H186" s="87">
        <v>0</v>
      </c>
      <c r="K186" s="72"/>
      <c r="L186" s="71">
        <v>2384.3200000000002</v>
      </c>
      <c r="M186" s="71">
        <v>377.82316666666622</v>
      </c>
      <c r="N186" s="73">
        <v>2762.1431666666663</v>
      </c>
    </row>
    <row r="187" spans="1:14" x14ac:dyDescent="0.3">
      <c r="A187" s="70">
        <v>46206</v>
      </c>
      <c r="B187" s="71">
        <v>2762.1431666666663</v>
      </c>
      <c r="C187" s="71">
        <v>2384.3200000000002</v>
      </c>
      <c r="D187" s="71">
        <v>377.82316666666622</v>
      </c>
      <c r="E187" s="87">
        <v>0</v>
      </c>
      <c r="F187" s="87">
        <v>0</v>
      </c>
      <c r="G187" s="87">
        <v>0</v>
      </c>
      <c r="H187" s="87">
        <v>0</v>
      </c>
      <c r="K187" s="72">
        <v>0</v>
      </c>
      <c r="L187" s="71">
        <v>2384.34</v>
      </c>
      <c r="M187" s="71">
        <v>377.82316666666622</v>
      </c>
      <c r="N187" s="73">
        <v>2762.1631666666663</v>
      </c>
    </row>
    <row r="188" spans="1:14" x14ac:dyDescent="0.3">
      <c r="A188" s="70">
        <v>46207</v>
      </c>
      <c r="B188" s="71">
        <v>2762.1631666666663</v>
      </c>
      <c r="C188" s="71">
        <v>2384.34</v>
      </c>
      <c r="D188" s="71">
        <v>377.82316666666622</v>
      </c>
      <c r="E188" s="87">
        <v>0</v>
      </c>
      <c r="F188" s="87">
        <v>0</v>
      </c>
      <c r="G188" s="87">
        <v>0</v>
      </c>
      <c r="H188" s="87">
        <v>0</v>
      </c>
      <c r="K188" s="72"/>
      <c r="L188" s="71">
        <v>2384.34</v>
      </c>
      <c r="M188" s="71">
        <v>377.82316666666622</v>
      </c>
      <c r="N188" s="73">
        <v>2762.1631666666663</v>
      </c>
    </row>
    <row r="189" spans="1:14" x14ac:dyDescent="0.3">
      <c r="A189" s="70">
        <v>46208</v>
      </c>
      <c r="B189" s="71">
        <v>2762.1631666666663</v>
      </c>
      <c r="C189" s="71">
        <v>2384.34</v>
      </c>
      <c r="D189" s="71">
        <v>377.82316666666622</v>
      </c>
      <c r="E189" s="87">
        <v>0</v>
      </c>
      <c r="F189" s="87">
        <v>0</v>
      </c>
      <c r="G189" s="87">
        <v>0</v>
      </c>
      <c r="H189" s="87">
        <v>0</v>
      </c>
      <c r="K189" s="72"/>
      <c r="L189" s="71">
        <v>2384.34</v>
      </c>
      <c r="M189" s="71">
        <v>377.82316666666622</v>
      </c>
      <c r="N189" s="73">
        <v>2762.1631666666663</v>
      </c>
    </row>
    <row r="190" spans="1:14" x14ac:dyDescent="0.3">
      <c r="A190" s="70">
        <v>46209</v>
      </c>
      <c r="B190" s="71">
        <v>2762.1631666666663</v>
      </c>
      <c r="C190" s="71">
        <v>2384.34</v>
      </c>
      <c r="D190" s="71">
        <v>377.82316666666622</v>
      </c>
      <c r="E190" s="87">
        <v>0</v>
      </c>
      <c r="F190" s="87">
        <v>0</v>
      </c>
      <c r="G190" s="87">
        <v>0</v>
      </c>
      <c r="H190" s="87">
        <v>0</v>
      </c>
      <c r="K190" s="72"/>
      <c r="L190" s="71">
        <v>2384.34</v>
      </c>
      <c r="M190" s="71">
        <v>377.82316666666622</v>
      </c>
      <c r="N190" s="73">
        <v>2762.1631666666663</v>
      </c>
    </row>
    <row r="191" spans="1:14" x14ac:dyDescent="0.3">
      <c r="A191" s="70">
        <v>46210</v>
      </c>
      <c r="B191" s="71">
        <v>2762.1631666666663</v>
      </c>
      <c r="C191" s="71">
        <v>2384.34</v>
      </c>
      <c r="D191" s="71">
        <v>377.82316666666622</v>
      </c>
      <c r="E191" s="87">
        <v>0</v>
      </c>
      <c r="F191" s="87">
        <v>0</v>
      </c>
      <c r="G191" s="87">
        <v>0</v>
      </c>
      <c r="H191" s="87">
        <v>0</v>
      </c>
      <c r="I191" s="72">
        <v>-2300</v>
      </c>
      <c r="J191" s="72">
        <v>-3.95</v>
      </c>
      <c r="K191" s="72"/>
      <c r="L191" s="71">
        <v>30.390000000000327</v>
      </c>
      <c r="M191" s="71">
        <v>377.82316666666622</v>
      </c>
      <c r="N191" s="73">
        <v>408.21316666666655</v>
      </c>
    </row>
    <row r="192" spans="1:14" x14ac:dyDescent="0.3">
      <c r="A192" s="70">
        <v>46211</v>
      </c>
      <c r="B192" s="71">
        <v>408.21316666666655</v>
      </c>
      <c r="C192" s="71">
        <v>30.390000000000327</v>
      </c>
      <c r="D192" s="71">
        <v>377.82316666666622</v>
      </c>
      <c r="E192" s="87">
        <v>0</v>
      </c>
      <c r="F192" s="87">
        <v>0</v>
      </c>
      <c r="G192" s="87">
        <v>0</v>
      </c>
      <c r="H192" s="87">
        <v>0</v>
      </c>
      <c r="K192" s="72"/>
      <c r="L192" s="71">
        <v>30.390000000000327</v>
      </c>
      <c r="M192" s="71">
        <v>377.82316666666622</v>
      </c>
      <c r="N192" s="73">
        <v>408.21316666666655</v>
      </c>
    </row>
    <row r="193" spans="1:14" x14ac:dyDescent="0.3">
      <c r="A193" s="70">
        <v>46212</v>
      </c>
      <c r="B193" s="71">
        <v>408.21316666666655</v>
      </c>
      <c r="C193" s="71">
        <v>30.390000000000327</v>
      </c>
      <c r="D193" s="71">
        <v>377.82316666666622</v>
      </c>
      <c r="E193" s="87">
        <v>0</v>
      </c>
      <c r="F193" s="87">
        <v>0</v>
      </c>
      <c r="G193" s="87">
        <v>0</v>
      </c>
      <c r="H193" s="87">
        <v>0</v>
      </c>
      <c r="K193" s="72"/>
      <c r="L193" s="71">
        <v>30.390000000000327</v>
      </c>
      <c r="M193" s="71">
        <v>377.82316666666622</v>
      </c>
      <c r="N193" s="73">
        <v>408.21316666666655</v>
      </c>
    </row>
    <row r="194" spans="1:14" x14ac:dyDescent="0.3">
      <c r="A194" s="70">
        <v>46213</v>
      </c>
      <c r="B194" s="71">
        <v>408.21316666666655</v>
      </c>
      <c r="C194" s="71">
        <v>30.390000000000327</v>
      </c>
      <c r="D194" s="71">
        <v>377.82316666666622</v>
      </c>
      <c r="E194" s="87">
        <v>0</v>
      </c>
      <c r="F194" s="87">
        <v>0</v>
      </c>
      <c r="G194" s="87">
        <v>0</v>
      </c>
      <c r="H194" s="87">
        <v>0</v>
      </c>
      <c r="K194" s="72"/>
      <c r="L194" s="71">
        <v>30.390000000000327</v>
      </c>
      <c r="M194" s="71">
        <v>377.82316666666622</v>
      </c>
      <c r="N194" s="73">
        <v>408.21316666666655</v>
      </c>
    </row>
    <row r="195" spans="1:14" x14ac:dyDescent="0.3">
      <c r="A195" s="70">
        <v>46214</v>
      </c>
      <c r="B195" s="71">
        <v>408.21316666666655</v>
      </c>
      <c r="C195" s="71">
        <v>30.390000000000327</v>
      </c>
      <c r="D195" s="71">
        <v>377.82316666666622</v>
      </c>
      <c r="E195" s="87">
        <v>0</v>
      </c>
      <c r="F195" s="87">
        <v>0</v>
      </c>
      <c r="G195" s="87">
        <v>0</v>
      </c>
      <c r="H195" s="87">
        <v>0</v>
      </c>
      <c r="K195" s="72">
        <v>0.02</v>
      </c>
      <c r="L195" s="71">
        <v>30.410000000000327</v>
      </c>
      <c r="M195" s="71">
        <v>377.82316666666622</v>
      </c>
      <c r="N195" s="73">
        <v>408.23316666666653</v>
      </c>
    </row>
    <row r="196" spans="1:14" x14ac:dyDescent="0.3">
      <c r="A196" s="70">
        <v>46215</v>
      </c>
      <c r="B196" s="71">
        <v>408.23316666666653</v>
      </c>
      <c r="C196" s="71">
        <v>30.410000000000327</v>
      </c>
      <c r="D196" s="71">
        <v>377.82316666666622</v>
      </c>
      <c r="E196" s="87">
        <v>0</v>
      </c>
      <c r="F196" s="87">
        <v>0</v>
      </c>
      <c r="G196" s="87">
        <v>0</v>
      </c>
      <c r="H196" s="87">
        <v>0</v>
      </c>
      <c r="K196" s="72"/>
      <c r="L196" s="71">
        <f t="shared" ref="L196:L213" si="0">MAX((C196+E196+F196)+I196,0)</f>
        <v>30.410000000000327</v>
      </c>
      <c r="M196" s="71">
        <v>377.82316666666622</v>
      </c>
      <c r="N196" s="73">
        <v>408.23316666666653</v>
      </c>
    </row>
    <row r="197" spans="1:14" x14ac:dyDescent="0.3">
      <c r="A197" s="70">
        <v>46216</v>
      </c>
      <c r="B197" s="71">
        <v>408.23316666666653</v>
      </c>
      <c r="C197" s="71">
        <v>30.410000000000327</v>
      </c>
      <c r="D197" s="71">
        <v>377.82316666666622</v>
      </c>
      <c r="E197" s="87">
        <v>0</v>
      </c>
      <c r="F197" s="87">
        <v>0</v>
      </c>
      <c r="G197" s="87">
        <v>0</v>
      </c>
      <c r="H197" s="87">
        <v>0</v>
      </c>
      <c r="K197" s="72"/>
      <c r="L197" s="71">
        <f t="shared" si="0"/>
        <v>30.410000000000327</v>
      </c>
      <c r="M197" s="71">
        <v>377.82316666666622</v>
      </c>
      <c r="N197" s="73">
        <v>408.23316666666653</v>
      </c>
    </row>
    <row r="198" spans="1:14" x14ac:dyDescent="0.3">
      <c r="A198" s="70">
        <v>46217</v>
      </c>
      <c r="B198" s="71">
        <v>408.23316666666653</v>
      </c>
      <c r="C198" s="71">
        <v>30.410000000000327</v>
      </c>
      <c r="D198" s="71">
        <v>377.82316666666622</v>
      </c>
      <c r="E198" s="87">
        <v>98.5</v>
      </c>
      <c r="F198" s="87">
        <v>0</v>
      </c>
      <c r="G198" s="87">
        <v>12.5</v>
      </c>
      <c r="H198" s="87">
        <v>0</v>
      </c>
      <c r="K198" s="72"/>
      <c r="L198" s="71">
        <f t="shared" si="0"/>
        <v>128.91000000000034</v>
      </c>
      <c r="M198" s="71">
        <v>390.32316666666622</v>
      </c>
      <c r="N198" s="73">
        <v>519.23316666666653</v>
      </c>
    </row>
    <row r="199" spans="1:14" x14ac:dyDescent="0.3">
      <c r="A199" s="70">
        <v>46218</v>
      </c>
      <c r="B199" s="71">
        <v>519.23316666666653</v>
      </c>
      <c r="C199" s="71">
        <v>128.91000000000034</v>
      </c>
      <c r="D199" s="71">
        <v>390.32316666666622</v>
      </c>
      <c r="E199" s="87">
        <v>0</v>
      </c>
      <c r="F199" s="87">
        <v>0</v>
      </c>
      <c r="G199" s="87">
        <v>0</v>
      </c>
      <c r="H199" s="87">
        <v>0</v>
      </c>
      <c r="K199" s="72"/>
      <c r="L199" s="71">
        <f t="shared" si="0"/>
        <v>128.91000000000034</v>
      </c>
      <c r="M199" s="71">
        <v>390.32316666666622</v>
      </c>
      <c r="N199" s="73">
        <v>519.23316666666653</v>
      </c>
    </row>
    <row r="200" spans="1:14" x14ac:dyDescent="0.3">
      <c r="A200" s="70">
        <v>46219</v>
      </c>
      <c r="B200" s="71">
        <v>519.23316666666653</v>
      </c>
      <c r="C200" s="71">
        <v>128.91000000000034</v>
      </c>
      <c r="D200" s="71">
        <v>390.32316666666622</v>
      </c>
      <c r="E200" s="87">
        <v>0</v>
      </c>
      <c r="F200" s="87">
        <v>0</v>
      </c>
      <c r="G200" s="87">
        <v>0</v>
      </c>
      <c r="H200" s="87">
        <v>0</v>
      </c>
      <c r="K200" s="72"/>
      <c r="L200" s="71">
        <f t="shared" si="0"/>
        <v>128.91000000000034</v>
      </c>
      <c r="M200" s="71">
        <v>390.32316666666622</v>
      </c>
      <c r="N200" s="73">
        <v>519.23316666666653</v>
      </c>
    </row>
    <row r="201" spans="1:14" x14ac:dyDescent="0.3">
      <c r="A201" s="70">
        <v>46220</v>
      </c>
      <c r="B201" s="71">
        <v>519.23316666666653</v>
      </c>
      <c r="C201" s="71">
        <v>128.91000000000034</v>
      </c>
      <c r="D201" s="71">
        <v>390.32316666666622</v>
      </c>
      <c r="E201" s="87">
        <v>0</v>
      </c>
      <c r="F201" s="87">
        <v>0</v>
      </c>
      <c r="G201" s="87">
        <v>0</v>
      </c>
      <c r="H201" s="87">
        <v>0</v>
      </c>
      <c r="K201" s="72"/>
      <c r="L201" s="71">
        <f t="shared" si="0"/>
        <v>128.91000000000034</v>
      </c>
      <c r="M201" s="71">
        <v>390.32316666666622</v>
      </c>
      <c r="N201" s="73">
        <v>519.23316666666653</v>
      </c>
    </row>
    <row r="202" spans="1:14" x14ac:dyDescent="0.3">
      <c r="A202" s="70">
        <v>46221</v>
      </c>
      <c r="B202" s="71">
        <v>519.23316666666653</v>
      </c>
      <c r="C202" s="71">
        <v>128.91000000000034</v>
      </c>
      <c r="D202" s="71">
        <v>390.32316666666622</v>
      </c>
      <c r="E202" s="87">
        <v>0</v>
      </c>
      <c r="F202" s="87">
        <v>0</v>
      </c>
      <c r="G202" s="87">
        <v>0</v>
      </c>
      <c r="H202" s="87">
        <v>0</v>
      </c>
      <c r="K202" s="72"/>
      <c r="L202" s="71">
        <f t="shared" si="0"/>
        <v>128.91000000000034</v>
      </c>
      <c r="M202" s="71">
        <v>390.32316666666622</v>
      </c>
      <c r="N202" s="73">
        <v>519.23316666666653</v>
      </c>
    </row>
    <row r="203" spans="1:14" x14ac:dyDescent="0.3">
      <c r="A203" s="70">
        <v>46222</v>
      </c>
      <c r="B203" s="71">
        <v>519.23316666666653</v>
      </c>
      <c r="C203" s="71">
        <v>128.91000000000034</v>
      </c>
      <c r="D203" s="71">
        <v>390.32316666666622</v>
      </c>
      <c r="E203" s="87">
        <v>0</v>
      </c>
      <c r="F203" s="87">
        <v>0</v>
      </c>
      <c r="G203" s="87">
        <v>0</v>
      </c>
      <c r="H203" s="87">
        <v>0</v>
      </c>
      <c r="K203" s="72"/>
      <c r="L203" s="71">
        <f t="shared" si="0"/>
        <v>128.91000000000034</v>
      </c>
      <c r="M203" s="71">
        <v>390.32316666666622</v>
      </c>
      <c r="N203" s="73">
        <v>519.23316666666653</v>
      </c>
    </row>
    <row r="204" spans="1:14" x14ac:dyDescent="0.3">
      <c r="A204" s="70">
        <v>46223</v>
      </c>
      <c r="B204" s="71">
        <v>519.23316666666653</v>
      </c>
      <c r="C204" s="71">
        <v>128.91000000000034</v>
      </c>
      <c r="D204" s="71">
        <v>390.32316666666622</v>
      </c>
      <c r="E204" s="87">
        <v>0</v>
      </c>
      <c r="F204" s="87">
        <v>197</v>
      </c>
      <c r="G204" s="87">
        <v>0</v>
      </c>
      <c r="H204" s="87">
        <v>25</v>
      </c>
      <c r="K204" s="72"/>
      <c r="L204" s="71">
        <f t="shared" si="0"/>
        <v>325.91000000000031</v>
      </c>
      <c r="M204" s="71">
        <v>415.32316666666622</v>
      </c>
      <c r="N204" s="73">
        <v>741.23316666666653</v>
      </c>
    </row>
    <row r="205" spans="1:14" x14ac:dyDescent="0.3">
      <c r="A205" s="70">
        <v>46224</v>
      </c>
      <c r="B205" s="71">
        <v>741.23316666666653</v>
      </c>
      <c r="C205" s="71">
        <v>325.91000000000031</v>
      </c>
      <c r="D205" s="71">
        <v>415.32316666666622</v>
      </c>
      <c r="E205" s="87">
        <v>0</v>
      </c>
      <c r="F205" s="87">
        <v>0</v>
      </c>
      <c r="G205" s="87">
        <v>0</v>
      </c>
      <c r="H205" s="87">
        <v>0</v>
      </c>
      <c r="K205" s="72"/>
      <c r="L205" s="71">
        <f t="shared" si="0"/>
        <v>325.91000000000031</v>
      </c>
      <c r="M205" s="71">
        <v>415.32316666666622</v>
      </c>
      <c r="N205" s="73">
        <v>741.23316666666653</v>
      </c>
    </row>
    <row r="206" spans="1:14" x14ac:dyDescent="0.3">
      <c r="A206" s="70">
        <v>46225</v>
      </c>
      <c r="B206" s="71">
        <v>741.23316666666653</v>
      </c>
      <c r="C206" s="71">
        <v>325.91000000000031</v>
      </c>
      <c r="D206" s="71">
        <v>415.32316666666622</v>
      </c>
      <c r="E206" s="87">
        <v>0</v>
      </c>
      <c r="F206" s="87">
        <v>0</v>
      </c>
      <c r="G206" s="87">
        <v>0</v>
      </c>
      <c r="H206" s="87">
        <v>0</v>
      </c>
      <c r="K206" s="72"/>
      <c r="L206" s="71">
        <f t="shared" si="0"/>
        <v>325.91000000000031</v>
      </c>
      <c r="M206" s="71">
        <v>415.32316666666622</v>
      </c>
      <c r="N206" s="73">
        <v>741.23316666666653</v>
      </c>
    </row>
    <row r="207" spans="1:14" x14ac:dyDescent="0.3">
      <c r="A207" s="70">
        <v>46226</v>
      </c>
      <c r="B207" s="71">
        <v>741.23316666666653</v>
      </c>
      <c r="C207" s="71">
        <v>325.91000000000031</v>
      </c>
      <c r="D207" s="71">
        <v>415.32316666666622</v>
      </c>
      <c r="E207" s="87">
        <v>0</v>
      </c>
      <c r="F207" s="87">
        <v>0</v>
      </c>
      <c r="G207" s="87">
        <v>0</v>
      </c>
      <c r="H207" s="87">
        <v>0</v>
      </c>
      <c r="K207" s="72"/>
      <c r="L207" s="71">
        <f t="shared" si="0"/>
        <v>325.91000000000031</v>
      </c>
      <c r="M207" s="71">
        <v>415.32316666666622</v>
      </c>
      <c r="N207" s="73">
        <v>741.23316666666653</v>
      </c>
    </row>
    <row r="208" spans="1:14" x14ac:dyDescent="0.3">
      <c r="A208" s="70">
        <v>46227</v>
      </c>
      <c r="B208" s="71">
        <v>741.23316666666653</v>
      </c>
      <c r="C208" s="71">
        <v>325.91000000000031</v>
      </c>
      <c r="D208" s="71">
        <v>415.32316666666622</v>
      </c>
      <c r="E208" s="87">
        <v>0</v>
      </c>
      <c r="F208" s="87">
        <v>0</v>
      </c>
      <c r="G208" s="87">
        <v>0</v>
      </c>
      <c r="H208" s="87">
        <v>0</v>
      </c>
      <c r="K208" s="72"/>
      <c r="L208" s="71">
        <f t="shared" si="0"/>
        <v>325.91000000000031</v>
      </c>
      <c r="M208" s="71">
        <v>415.32316666666622</v>
      </c>
      <c r="N208" s="73">
        <v>741.23316666666653</v>
      </c>
    </row>
    <row r="209" spans="1:14" x14ac:dyDescent="0.3">
      <c r="A209" s="70">
        <v>46228</v>
      </c>
      <c r="B209" s="71">
        <v>741.23316666666653</v>
      </c>
      <c r="C209" s="71">
        <v>325.91000000000031</v>
      </c>
      <c r="D209" s="71">
        <v>415.32316666666622</v>
      </c>
      <c r="E209" s="87">
        <v>0</v>
      </c>
      <c r="F209" s="87">
        <v>0</v>
      </c>
      <c r="G209" s="87">
        <v>0</v>
      </c>
      <c r="H209" s="87">
        <v>0</v>
      </c>
      <c r="K209" s="72"/>
      <c r="L209" s="71">
        <f t="shared" si="0"/>
        <v>325.91000000000031</v>
      </c>
      <c r="M209" s="71">
        <v>415.32316666666622</v>
      </c>
      <c r="N209" s="73">
        <v>741.23316666666653</v>
      </c>
    </row>
    <row r="210" spans="1:14" x14ac:dyDescent="0.3">
      <c r="A210" s="70">
        <v>46229</v>
      </c>
      <c r="B210" s="71">
        <v>741.23316666666653</v>
      </c>
      <c r="C210" s="71">
        <v>325.91000000000031</v>
      </c>
      <c r="D210" s="71">
        <v>415.32316666666622</v>
      </c>
      <c r="E210" s="87">
        <v>0</v>
      </c>
      <c r="F210" s="87">
        <v>0</v>
      </c>
      <c r="G210" s="87">
        <v>0</v>
      </c>
      <c r="H210" s="87">
        <v>0</v>
      </c>
      <c r="K210" s="72"/>
      <c r="L210" s="71">
        <f t="shared" si="0"/>
        <v>325.91000000000031</v>
      </c>
      <c r="M210" s="71">
        <f>D210+G210+H210+K210</f>
        <v>415.32316666666622</v>
      </c>
      <c r="N210" s="73">
        <f>L210+M210</f>
        <v>741.23316666666653</v>
      </c>
    </row>
    <row r="211" spans="1:14" x14ac:dyDescent="0.3">
      <c r="A211" s="70">
        <v>46230</v>
      </c>
      <c r="B211" s="71">
        <v>741.23316666666653</v>
      </c>
      <c r="C211" s="71">
        <v>325.91000000000031</v>
      </c>
      <c r="D211" s="71">
        <v>415.32316666666622</v>
      </c>
      <c r="E211" s="87">
        <v>0</v>
      </c>
      <c r="F211" s="87">
        <v>0</v>
      </c>
      <c r="G211" s="87">
        <v>0</v>
      </c>
      <c r="H211" s="87">
        <v>0</v>
      </c>
      <c r="K211" s="72"/>
      <c r="L211" s="71">
        <f t="shared" si="0"/>
        <v>325.91000000000031</v>
      </c>
      <c r="M211" s="71">
        <f t="shared" ref="M211:M218" si="1">D211+G211+H211+K211</f>
        <v>415.32316666666622</v>
      </c>
      <c r="N211" s="73">
        <f t="shared" ref="N211:N218" si="2">L211+M211</f>
        <v>741.23316666666653</v>
      </c>
    </row>
    <row r="212" spans="1:14" x14ac:dyDescent="0.3">
      <c r="A212" s="70">
        <v>46231</v>
      </c>
      <c r="B212" s="71">
        <f>N211</f>
        <v>741.23316666666653</v>
      </c>
      <c r="C212" s="71">
        <f>L211</f>
        <v>325.91000000000031</v>
      </c>
      <c r="D212" s="71">
        <f>M211</f>
        <v>415.32316666666622</v>
      </c>
      <c r="E212" s="87">
        <f>-(IF(DAY(A212+2)=1,'Main Budget'!$I$14,IF(DAY(A212+1)=15,'Main Budget'!$I$14,0)))</f>
        <v>0</v>
      </c>
      <c r="F212" s="87">
        <f>-(IF(DAY(A212)=20,'Main Budget'!$F$14,0))</f>
        <v>0</v>
      </c>
      <c r="G212" s="87">
        <f>-(IF(DAY(A212+2)=1,'Main Budget'!$I$15,IF(DAY(A212+1)=15,'Main Budget'!$I$15,0)))</f>
        <v>0</v>
      </c>
      <c r="H212" s="87">
        <f>-(IF(DAY(A212)=20,'Main Budget'!$F$15,0))</f>
        <v>0</v>
      </c>
      <c r="K212" s="72"/>
      <c r="L212" s="71">
        <f t="shared" si="0"/>
        <v>325.91000000000031</v>
      </c>
      <c r="M212" s="71">
        <f t="shared" si="1"/>
        <v>415.32316666666622</v>
      </c>
      <c r="N212" s="73">
        <f t="shared" si="2"/>
        <v>741.23316666666653</v>
      </c>
    </row>
    <row r="213" spans="1:14" x14ac:dyDescent="0.3">
      <c r="A213" s="70">
        <v>46232</v>
      </c>
      <c r="B213" s="71">
        <f t="shared" ref="B213:B218" si="3">N212</f>
        <v>741.23316666666653</v>
      </c>
      <c r="C213" s="71">
        <f t="shared" ref="C213:C218" si="4">L212</f>
        <v>325.91000000000031</v>
      </c>
      <c r="D213" s="71">
        <f t="shared" ref="D213:D218" si="5">M212</f>
        <v>415.32316666666622</v>
      </c>
      <c r="E213" s="87">
        <f>-(IF(DAY(A213+2)=1,'Main Budget'!$I$14,IF(DAY(A213+1)=15,'Main Budget'!$I$14,0)))</f>
        <v>0</v>
      </c>
      <c r="F213" s="87">
        <f>-(IF(DAY(A213)=20,'Main Budget'!$F$14,0))</f>
        <v>0</v>
      </c>
      <c r="G213" s="87">
        <f>-(IF(DAY(A213+2)=1,'Main Budget'!$I$15,IF(DAY(A213+1)=15,'Main Budget'!$I$15,0)))</f>
        <v>0</v>
      </c>
      <c r="H213" s="87">
        <f>-(IF(DAY(A213)=20,'Main Budget'!$F$15,0))</f>
        <v>0</v>
      </c>
      <c r="K213" s="72"/>
      <c r="L213" s="71">
        <f t="shared" si="0"/>
        <v>325.91000000000031</v>
      </c>
      <c r="M213" s="71">
        <f t="shared" si="1"/>
        <v>415.32316666666622</v>
      </c>
      <c r="N213" s="73">
        <f t="shared" si="2"/>
        <v>741.23316666666653</v>
      </c>
    </row>
    <row r="214" spans="1:14" x14ac:dyDescent="0.3">
      <c r="A214" s="70">
        <v>46233</v>
      </c>
      <c r="B214" s="71">
        <f t="shared" si="3"/>
        <v>741.23316666666653</v>
      </c>
      <c r="C214" s="71">
        <f t="shared" si="4"/>
        <v>325.91000000000031</v>
      </c>
      <c r="D214" s="71">
        <f t="shared" si="5"/>
        <v>415.32316666666622</v>
      </c>
      <c r="E214" s="87">
        <f>-(IF(DAY(A214+2)=1,'Main Budget'!$I$14,IF(DAY(A214+1)=15,'Main Budget'!$I$14,0)))</f>
        <v>98.081249999999997</v>
      </c>
      <c r="F214" s="87">
        <f>-(IF(DAY(A214)=20,'Main Budget'!$F$14,0))</f>
        <v>0</v>
      </c>
      <c r="G214" s="87">
        <f>-(IF(DAY(A214+2)=1,'Main Budget'!$I$15,IF(DAY(A214+1)=15,'Main Budget'!$I$15,0)))</f>
        <v>12.5</v>
      </c>
      <c r="H214" s="87">
        <f>-(IF(DAY(A214)=20,'Main Budget'!$F$15,0))</f>
        <v>0</v>
      </c>
      <c r="K214" s="72">
        <v>0.43</v>
      </c>
      <c r="L214" s="71">
        <f>MAX((C214+E214+F214)+I214,0)</f>
        <v>423.99125000000032</v>
      </c>
      <c r="M214" s="71">
        <f t="shared" si="1"/>
        <v>428.25316666666623</v>
      </c>
      <c r="N214" s="73">
        <f t="shared" si="2"/>
        <v>852.24441666666655</v>
      </c>
    </row>
    <row r="215" spans="1:14" x14ac:dyDescent="0.3">
      <c r="A215" s="70">
        <v>46234</v>
      </c>
      <c r="B215" s="71">
        <f t="shared" si="3"/>
        <v>852.24441666666655</v>
      </c>
      <c r="C215" s="71">
        <f t="shared" si="4"/>
        <v>423.99125000000032</v>
      </c>
      <c r="D215" s="71">
        <f t="shared" si="5"/>
        <v>428.25316666666623</v>
      </c>
      <c r="E215" s="87">
        <f>-(IF(DAY(A215+2)=1,'Main Budget'!$I$14,IF(DAY(A215+1)=15,'Main Budget'!$I$14,0)))</f>
        <v>0</v>
      </c>
      <c r="F215" s="87">
        <f>-(IF(DAY(A215)=20,'Main Budget'!$F$14,0))</f>
        <v>0</v>
      </c>
      <c r="G215" s="87">
        <f>-(IF(DAY(A215+2)=1,'Main Budget'!$I$15,IF(DAY(A215+1)=15,'Main Budget'!$I$15,0)))</f>
        <v>0</v>
      </c>
      <c r="H215" s="87">
        <f>-(IF(DAY(A215)=20,'Main Budget'!$F$15,0))</f>
        <v>0</v>
      </c>
      <c r="K215" s="72"/>
      <c r="L215" s="71">
        <f t="shared" ref="L215:L218" si="6">MAX((C215+E215+F215)+I215,0)</f>
        <v>423.99125000000032</v>
      </c>
      <c r="M215" s="71">
        <f t="shared" si="1"/>
        <v>428.25316666666623</v>
      </c>
      <c r="N215" s="73">
        <f t="shared" si="2"/>
        <v>852.24441666666655</v>
      </c>
    </row>
    <row r="216" spans="1:14" x14ac:dyDescent="0.3">
      <c r="A216" s="70">
        <v>46235</v>
      </c>
      <c r="B216" s="71">
        <f t="shared" si="3"/>
        <v>852.24441666666655</v>
      </c>
      <c r="C216" s="71">
        <f t="shared" si="4"/>
        <v>423.99125000000032</v>
      </c>
      <c r="D216" s="71">
        <f t="shared" si="5"/>
        <v>428.25316666666623</v>
      </c>
      <c r="E216" s="87">
        <f>-(IF(DAY(A216+2)=1,'Main Budget'!$I$14,IF(DAY(A216+1)=15,'Main Budget'!$I$14,0)))</f>
        <v>0</v>
      </c>
      <c r="F216" s="87">
        <f>-(IF(DAY(A216)=20,'Main Budget'!$F$14,0))</f>
        <v>0</v>
      </c>
      <c r="G216" s="87">
        <f>-(IF(DAY(A216+2)=1,'Main Budget'!$I$15,IF(DAY(A216+1)=15,'Main Budget'!$I$15,0)))</f>
        <v>0</v>
      </c>
      <c r="H216" s="87">
        <f>-(IF(DAY(A216)=20,'Main Budget'!$F$15,0))</f>
        <v>0</v>
      </c>
      <c r="K216" s="72"/>
      <c r="L216" s="71">
        <f t="shared" si="6"/>
        <v>423.99125000000032</v>
      </c>
      <c r="M216" s="71">
        <f t="shared" si="1"/>
        <v>428.25316666666623</v>
      </c>
      <c r="N216" s="73">
        <f t="shared" si="2"/>
        <v>852.24441666666655</v>
      </c>
    </row>
    <row r="217" spans="1:14" x14ac:dyDescent="0.3">
      <c r="A217" s="70">
        <v>46236</v>
      </c>
      <c r="B217" s="71">
        <f t="shared" si="3"/>
        <v>852.24441666666655</v>
      </c>
      <c r="C217" s="71">
        <f t="shared" si="4"/>
        <v>423.99125000000032</v>
      </c>
      <c r="D217" s="71">
        <f t="shared" si="5"/>
        <v>428.25316666666623</v>
      </c>
      <c r="E217" s="87">
        <f>-(IF(DAY(A217+2)=1,'Main Budget'!$I$14,IF(DAY(A217+1)=15,'Main Budget'!$I$14,0)))</f>
        <v>0</v>
      </c>
      <c r="F217" s="87">
        <f>-(IF(DAY(A217)=20,'Main Budget'!$F$14,0))</f>
        <v>0</v>
      </c>
      <c r="G217" s="87">
        <f>-(IF(DAY(A217+2)=1,'Main Budget'!$I$15,IF(DAY(A217+1)=15,'Main Budget'!$I$15,0)))</f>
        <v>0</v>
      </c>
      <c r="H217" s="87">
        <f>-(IF(DAY(A217)=20,'Main Budget'!$F$15,0))</f>
        <v>0</v>
      </c>
      <c r="K217" s="72"/>
      <c r="L217" s="71">
        <f t="shared" si="6"/>
        <v>423.99125000000032</v>
      </c>
      <c r="M217" s="71">
        <f t="shared" si="1"/>
        <v>428.25316666666623</v>
      </c>
      <c r="N217" s="73">
        <f t="shared" si="2"/>
        <v>852.24441666666655</v>
      </c>
    </row>
    <row r="218" spans="1:14" x14ac:dyDescent="0.3">
      <c r="A218" s="70">
        <v>46237</v>
      </c>
      <c r="B218" s="71">
        <f t="shared" ref="B218:B233" si="7">N217</f>
        <v>852.24441666666655</v>
      </c>
      <c r="C218" s="71">
        <f t="shared" ref="C218:C233" si="8">L217</f>
        <v>423.99125000000032</v>
      </c>
      <c r="D218" s="71">
        <f t="shared" ref="D218:D233" si="9">M217</f>
        <v>428.25316666666623</v>
      </c>
      <c r="E218" s="87">
        <f>-(IF(DAY(A218+2)=1,'Main Budget'!$I$14,IF(DAY(A218+1)=15,'Main Budget'!$I$14,0)))</f>
        <v>0</v>
      </c>
      <c r="F218" s="87">
        <f>-(IF(DAY(A218)=20,'Main Budget'!$F$14,0))</f>
        <v>0</v>
      </c>
      <c r="G218" s="87">
        <f>-(IF(DAY(A218+2)=1,'Main Budget'!$I$15,IF(DAY(A218+1)=15,'Main Budget'!$I$15,0)))</f>
        <v>0</v>
      </c>
      <c r="H218" s="87">
        <f>-(IF(DAY(A218)=20,'Main Budget'!$F$15,0))</f>
        <v>0</v>
      </c>
      <c r="K218" s="72"/>
      <c r="L218" s="71">
        <f t="shared" ref="L218:L233" si="10">MAX((C218+E218+F218)+I218,0)</f>
        <v>423.99125000000032</v>
      </c>
      <c r="M218" s="71">
        <f t="shared" ref="M218:M233" si="11">D218+G218+H218+K218</f>
        <v>428.25316666666623</v>
      </c>
      <c r="N218" s="73">
        <f t="shared" ref="N218:N233" si="12">L218+M218</f>
        <v>852.24441666666655</v>
      </c>
    </row>
    <row r="219" spans="1:14" x14ac:dyDescent="0.3">
      <c r="A219" s="70">
        <v>46238</v>
      </c>
      <c r="B219" s="71">
        <f t="shared" si="7"/>
        <v>852.24441666666655</v>
      </c>
      <c r="C219" s="71">
        <f t="shared" si="8"/>
        <v>423.99125000000032</v>
      </c>
      <c r="D219" s="71">
        <f t="shared" si="9"/>
        <v>428.25316666666623</v>
      </c>
      <c r="E219" s="87">
        <f>-(IF(DAY(A219+2)=1,'Main Budget'!$I$14,IF(DAY(A219+1)=15,'Main Budget'!$I$14,0)))</f>
        <v>0</v>
      </c>
      <c r="F219" s="87">
        <f>-(IF(DAY(A219)=20,'Main Budget'!$F$14,0))</f>
        <v>0</v>
      </c>
      <c r="G219" s="87">
        <f>-(IF(DAY(A219+2)=1,'Main Budget'!$I$15,IF(DAY(A219+1)=15,'Main Budget'!$I$15,0)))</f>
        <v>0</v>
      </c>
      <c r="H219" s="87">
        <f>-(IF(DAY(A219)=20,'Main Budget'!$F$15,0))</f>
        <v>0</v>
      </c>
      <c r="K219" s="72"/>
      <c r="L219" s="71">
        <f t="shared" si="10"/>
        <v>423.99125000000032</v>
      </c>
      <c r="M219" s="71">
        <f t="shared" si="11"/>
        <v>428.25316666666623</v>
      </c>
      <c r="N219" s="73">
        <f t="shared" si="12"/>
        <v>852.24441666666655</v>
      </c>
    </row>
    <row r="220" spans="1:14" x14ac:dyDescent="0.3">
      <c r="A220" s="70">
        <v>46239</v>
      </c>
      <c r="B220" s="71">
        <f t="shared" si="7"/>
        <v>852.24441666666655</v>
      </c>
      <c r="C220" s="71">
        <f t="shared" si="8"/>
        <v>423.99125000000032</v>
      </c>
      <c r="D220" s="71">
        <f t="shared" si="9"/>
        <v>428.25316666666623</v>
      </c>
      <c r="E220" s="87">
        <f>-(IF(DAY(A220+2)=1,'Main Budget'!$I$14,IF(DAY(A220+1)=15,'Main Budget'!$I$14,0)))</f>
        <v>0</v>
      </c>
      <c r="F220" s="87">
        <f>-(IF(DAY(A220)=20,'Main Budget'!$F$14,0))</f>
        <v>0</v>
      </c>
      <c r="G220" s="87">
        <f>-(IF(DAY(A220+2)=1,'Main Budget'!$I$15,IF(DAY(A220+1)=15,'Main Budget'!$I$15,0)))</f>
        <v>0</v>
      </c>
      <c r="H220" s="87">
        <f>-(IF(DAY(A220)=20,'Main Budget'!$F$15,0))</f>
        <v>0</v>
      </c>
      <c r="K220" s="72"/>
      <c r="L220" s="71">
        <f t="shared" si="10"/>
        <v>423.99125000000032</v>
      </c>
      <c r="M220" s="71">
        <f t="shared" si="11"/>
        <v>428.25316666666623</v>
      </c>
      <c r="N220" s="73">
        <f t="shared" si="12"/>
        <v>852.24441666666655</v>
      </c>
    </row>
    <row r="221" spans="1:14" x14ac:dyDescent="0.3">
      <c r="A221" s="70">
        <v>46240</v>
      </c>
      <c r="B221" s="71">
        <f t="shared" si="7"/>
        <v>852.24441666666655</v>
      </c>
      <c r="C221" s="71">
        <f t="shared" si="8"/>
        <v>423.99125000000032</v>
      </c>
      <c r="D221" s="71">
        <f t="shared" si="9"/>
        <v>428.25316666666623</v>
      </c>
      <c r="E221" s="87">
        <f>-(IF(DAY(A221+2)=1,'Main Budget'!$I$14,IF(DAY(A221+1)=15,'Main Budget'!$I$14,0)))</f>
        <v>0</v>
      </c>
      <c r="F221" s="87">
        <f>-(IF(DAY(A221)=20,'Main Budget'!$F$14,0))</f>
        <v>0</v>
      </c>
      <c r="G221" s="87">
        <f>-(IF(DAY(A221+2)=1,'Main Budget'!$I$15,IF(DAY(A221+1)=15,'Main Budget'!$I$15,0)))</f>
        <v>0</v>
      </c>
      <c r="H221" s="87">
        <f>-(IF(DAY(A221)=20,'Main Budget'!$F$15,0))</f>
        <v>0</v>
      </c>
      <c r="K221" s="72"/>
      <c r="L221" s="71">
        <f t="shared" si="10"/>
        <v>423.99125000000032</v>
      </c>
      <c r="M221" s="71">
        <f t="shared" si="11"/>
        <v>428.25316666666623</v>
      </c>
      <c r="N221" s="73">
        <f t="shared" si="12"/>
        <v>852.24441666666655</v>
      </c>
    </row>
    <row r="222" spans="1:14" x14ac:dyDescent="0.3">
      <c r="A222" s="70">
        <v>46241</v>
      </c>
      <c r="B222" s="71">
        <f t="shared" si="7"/>
        <v>852.24441666666655</v>
      </c>
      <c r="C222" s="71">
        <f t="shared" si="8"/>
        <v>423.99125000000032</v>
      </c>
      <c r="D222" s="71">
        <f t="shared" si="9"/>
        <v>428.25316666666623</v>
      </c>
      <c r="E222" s="87">
        <f>-(IF(DAY(A222+2)=1,'Main Budget'!$I$14,IF(DAY(A222+1)=15,'Main Budget'!$I$14,0)))</f>
        <v>0</v>
      </c>
      <c r="F222" s="87">
        <f>-(IF(DAY(A222)=20,'Main Budget'!$F$14,0))</f>
        <v>0</v>
      </c>
      <c r="G222" s="87">
        <f>-(IF(DAY(A222+2)=1,'Main Budget'!$I$15,IF(DAY(A222+1)=15,'Main Budget'!$I$15,0)))</f>
        <v>0</v>
      </c>
      <c r="H222" s="87">
        <f>-(IF(DAY(A222)=20,'Main Budget'!$F$15,0))</f>
        <v>0</v>
      </c>
      <c r="K222" s="72"/>
      <c r="L222" s="71">
        <f t="shared" si="10"/>
        <v>423.99125000000032</v>
      </c>
      <c r="M222" s="71">
        <f t="shared" si="11"/>
        <v>428.25316666666623</v>
      </c>
      <c r="N222" s="73">
        <f t="shared" si="12"/>
        <v>852.24441666666655</v>
      </c>
    </row>
    <row r="223" spans="1:14" x14ac:dyDescent="0.3">
      <c r="A223" s="70">
        <v>46242</v>
      </c>
      <c r="B223" s="71">
        <f t="shared" si="7"/>
        <v>852.24441666666655</v>
      </c>
      <c r="C223" s="71">
        <f t="shared" si="8"/>
        <v>423.99125000000032</v>
      </c>
      <c r="D223" s="71">
        <f t="shared" si="9"/>
        <v>428.25316666666623</v>
      </c>
      <c r="E223" s="87">
        <f>-(IF(DAY(A223+2)=1,'Main Budget'!$I$14,IF(DAY(A223+1)=15,'Main Budget'!$I$14,0)))</f>
        <v>0</v>
      </c>
      <c r="F223" s="87">
        <f>-(IF(DAY(A223)=20,'Main Budget'!$F$14,0))</f>
        <v>0</v>
      </c>
      <c r="G223" s="87">
        <f>-(IF(DAY(A223+2)=1,'Main Budget'!$I$15,IF(DAY(A223+1)=15,'Main Budget'!$I$15,0)))</f>
        <v>0</v>
      </c>
      <c r="H223" s="87">
        <f>-(IF(DAY(A223)=20,'Main Budget'!$F$15,0))</f>
        <v>0</v>
      </c>
      <c r="K223" s="72"/>
      <c r="L223" s="71">
        <f t="shared" si="10"/>
        <v>423.99125000000032</v>
      </c>
      <c r="M223" s="71">
        <f t="shared" si="11"/>
        <v>428.25316666666623</v>
      </c>
      <c r="N223" s="73">
        <f t="shared" si="12"/>
        <v>852.24441666666655</v>
      </c>
    </row>
    <row r="224" spans="1:14" x14ac:dyDescent="0.3">
      <c r="A224" s="70">
        <v>46243</v>
      </c>
      <c r="B224" s="71">
        <f t="shared" si="7"/>
        <v>852.24441666666655</v>
      </c>
      <c r="C224" s="71">
        <f t="shared" si="8"/>
        <v>423.99125000000032</v>
      </c>
      <c r="D224" s="71">
        <f t="shared" si="9"/>
        <v>428.25316666666623</v>
      </c>
      <c r="E224" s="87">
        <f>-(IF(DAY(A224+2)=1,'Main Budget'!$I$14,IF(DAY(A224+1)=15,'Main Budget'!$I$14,0)))</f>
        <v>0</v>
      </c>
      <c r="F224" s="87">
        <f>-(IF(DAY(A224)=20,'Main Budget'!$F$14,0))</f>
        <v>0</v>
      </c>
      <c r="G224" s="87">
        <f>-(IF(DAY(A224+2)=1,'Main Budget'!$I$15,IF(DAY(A224+1)=15,'Main Budget'!$I$15,0)))</f>
        <v>0</v>
      </c>
      <c r="H224" s="87">
        <f>-(IF(DAY(A224)=20,'Main Budget'!$F$15,0))</f>
        <v>0</v>
      </c>
      <c r="K224" s="72"/>
      <c r="L224" s="71">
        <f t="shared" si="10"/>
        <v>423.99125000000032</v>
      </c>
      <c r="M224" s="71">
        <f t="shared" si="11"/>
        <v>428.25316666666623</v>
      </c>
      <c r="N224" s="73">
        <f t="shared" si="12"/>
        <v>852.24441666666655</v>
      </c>
    </row>
    <row r="225" spans="1:14" x14ac:dyDescent="0.3">
      <c r="A225" s="70">
        <v>46244</v>
      </c>
      <c r="B225" s="71">
        <f t="shared" si="7"/>
        <v>852.24441666666655</v>
      </c>
      <c r="C225" s="71">
        <f t="shared" si="8"/>
        <v>423.99125000000032</v>
      </c>
      <c r="D225" s="71">
        <f t="shared" si="9"/>
        <v>428.25316666666623</v>
      </c>
      <c r="E225" s="87">
        <f>-(IF(DAY(A225+2)=1,'Main Budget'!$I$14,IF(DAY(A225+1)=15,'Main Budget'!$I$14,0)))</f>
        <v>0</v>
      </c>
      <c r="F225" s="87">
        <f>-(IF(DAY(A225)=20,'Main Budget'!$F$14,0))</f>
        <v>0</v>
      </c>
      <c r="G225" s="87">
        <f>-(IF(DAY(A225+2)=1,'Main Budget'!$I$15,IF(DAY(A225+1)=15,'Main Budget'!$I$15,0)))</f>
        <v>0</v>
      </c>
      <c r="H225" s="87">
        <f>-(IF(DAY(A225)=20,'Main Budget'!$F$15,0))</f>
        <v>0</v>
      </c>
      <c r="K225" s="72"/>
      <c r="L225" s="71">
        <f t="shared" si="10"/>
        <v>423.99125000000032</v>
      </c>
      <c r="M225" s="71">
        <f t="shared" si="11"/>
        <v>428.25316666666623</v>
      </c>
      <c r="N225" s="73">
        <f t="shared" si="12"/>
        <v>852.24441666666655</v>
      </c>
    </row>
    <row r="226" spans="1:14" x14ac:dyDescent="0.3">
      <c r="A226" s="70">
        <v>46245</v>
      </c>
      <c r="B226" s="71">
        <f t="shared" si="7"/>
        <v>852.24441666666655</v>
      </c>
      <c r="C226" s="71">
        <f t="shared" si="8"/>
        <v>423.99125000000032</v>
      </c>
      <c r="D226" s="71">
        <f t="shared" si="9"/>
        <v>428.25316666666623</v>
      </c>
      <c r="E226" s="87">
        <f>-(IF(DAY(A226+2)=1,'Main Budget'!$I$14,IF(DAY(A226+1)=15,'Main Budget'!$I$14,0)))</f>
        <v>0</v>
      </c>
      <c r="F226" s="87">
        <f>-(IF(DAY(A226)=20,'Main Budget'!$F$14,0))</f>
        <v>0</v>
      </c>
      <c r="G226" s="87">
        <f>-(IF(DAY(A226+2)=1,'Main Budget'!$I$15,IF(DAY(A226+1)=15,'Main Budget'!$I$15,0)))</f>
        <v>0</v>
      </c>
      <c r="H226" s="87">
        <f>-(IF(DAY(A226)=20,'Main Budget'!$F$15,0))</f>
        <v>0</v>
      </c>
      <c r="K226" s="72"/>
      <c r="L226" s="71">
        <f t="shared" si="10"/>
        <v>423.99125000000032</v>
      </c>
      <c r="M226" s="71">
        <f t="shared" si="11"/>
        <v>428.25316666666623</v>
      </c>
      <c r="N226" s="73">
        <f t="shared" si="12"/>
        <v>852.24441666666655</v>
      </c>
    </row>
    <row r="227" spans="1:14" x14ac:dyDescent="0.3">
      <c r="A227" s="70">
        <v>46246</v>
      </c>
      <c r="B227" s="71">
        <f t="shared" si="7"/>
        <v>852.24441666666655</v>
      </c>
      <c r="C227" s="71">
        <f t="shared" si="8"/>
        <v>423.99125000000032</v>
      </c>
      <c r="D227" s="71">
        <f t="shared" si="9"/>
        <v>428.25316666666623</v>
      </c>
      <c r="E227" s="87">
        <f>-(IF(DAY(A227+2)=1,'Main Budget'!$I$14,IF(DAY(A227+1)=15,'Main Budget'!$I$14,0)))</f>
        <v>0</v>
      </c>
      <c r="F227" s="87">
        <f>-(IF(DAY(A227)=20,'Main Budget'!$F$14,0))</f>
        <v>0</v>
      </c>
      <c r="G227" s="87">
        <f>-(IF(DAY(A227+2)=1,'Main Budget'!$I$15,IF(DAY(A227+1)=15,'Main Budget'!$I$15,0)))</f>
        <v>0</v>
      </c>
      <c r="H227" s="87">
        <f>-(IF(DAY(A227)=20,'Main Budget'!$F$15,0))</f>
        <v>0</v>
      </c>
      <c r="K227" s="72"/>
      <c r="L227" s="71">
        <f t="shared" si="10"/>
        <v>423.99125000000032</v>
      </c>
      <c r="M227" s="71">
        <f t="shared" si="11"/>
        <v>428.25316666666623</v>
      </c>
      <c r="N227" s="73">
        <f t="shared" si="12"/>
        <v>852.24441666666655</v>
      </c>
    </row>
    <row r="228" spans="1:14" x14ac:dyDescent="0.3">
      <c r="A228" s="70">
        <v>46247</v>
      </c>
      <c r="B228" s="71">
        <f t="shared" si="7"/>
        <v>852.24441666666655</v>
      </c>
      <c r="C228" s="71">
        <f t="shared" si="8"/>
        <v>423.99125000000032</v>
      </c>
      <c r="D228" s="71">
        <f t="shared" si="9"/>
        <v>428.25316666666623</v>
      </c>
      <c r="E228" s="87">
        <f>-(IF(DAY(A228+2)=1,'Main Budget'!$I$14,IF(DAY(A228+1)=15,'Main Budget'!$I$14,0)))</f>
        <v>0</v>
      </c>
      <c r="F228" s="87">
        <f>-(IF(DAY(A228)=20,'Main Budget'!$F$14,0))</f>
        <v>0</v>
      </c>
      <c r="G228" s="87">
        <f>-(IF(DAY(A228+2)=1,'Main Budget'!$I$15,IF(DAY(A228+1)=15,'Main Budget'!$I$15,0)))</f>
        <v>0</v>
      </c>
      <c r="H228" s="87">
        <f>-(IF(DAY(A228)=20,'Main Budget'!$F$15,0))</f>
        <v>0</v>
      </c>
      <c r="K228" s="72"/>
      <c r="L228" s="71">
        <f t="shared" si="10"/>
        <v>423.99125000000032</v>
      </c>
      <c r="M228" s="71">
        <f t="shared" si="11"/>
        <v>428.25316666666623</v>
      </c>
      <c r="N228" s="73">
        <f t="shared" si="12"/>
        <v>852.24441666666655</v>
      </c>
    </row>
    <row r="229" spans="1:14" x14ac:dyDescent="0.3">
      <c r="A229" s="70">
        <v>46248</v>
      </c>
      <c r="B229" s="71">
        <f t="shared" si="7"/>
        <v>852.24441666666655</v>
      </c>
      <c r="C229" s="71">
        <f t="shared" si="8"/>
        <v>423.99125000000032</v>
      </c>
      <c r="D229" s="71">
        <f t="shared" si="9"/>
        <v>428.25316666666623</v>
      </c>
      <c r="E229" s="87">
        <f>-(IF(DAY(A229+2)=1,'Main Budget'!$I$14,IF(DAY(A229+1)=15,'Main Budget'!$I$14,0)))</f>
        <v>98.081249999999997</v>
      </c>
      <c r="F229" s="87">
        <f>-(IF(DAY(A229)=20,'Main Budget'!$F$14,0))</f>
        <v>0</v>
      </c>
      <c r="G229" s="87">
        <f>-(IF(DAY(A229+2)=1,'Main Budget'!$I$15,IF(DAY(A229+1)=15,'Main Budget'!$I$15,0)))</f>
        <v>12.5</v>
      </c>
      <c r="H229" s="87">
        <f>-(IF(DAY(A229)=20,'Main Budget'!$F$15,0))</f>
        <v>0</v>
      </c>
      <c r="K229" s="72"/>
      <c r="L229" s="71">
        <f t="shared" si="10"/>
        <v>522.07250000000033</v>
      </c>
      <c r="M229" s="71">
        <f t="shared" si="11"/>
        <v>440.75316666666623</v>
      </c>
      <c r="N229" s="73">
        <f t="shared" si="12"/>
        <v>962.82566666666662</v>
      </c>
    </row>
    <row r="230" spans="1:14" x14ac:dyDescent="0.3">
      <c r="A230" s="70">
        <v>46249</v>
      </c>
      <c r="B230" s="71">
        <f t="shared" si="7"/>
        <v>962.82566666666662</v>
      </c>
      <c r="C230" s="71">
        <f t="shared" si="8"/>
        <v>522.07250000000033</v>
      </c>
      <c r="D230" s="71">
        <f t="shared" si="9"/>
        <v>440.75316666666623</v>
      </c>
      <c r="E230" s="87">
        <f>-(IF(DAY(A230+2)=1,'Main Budget'!$I$14,IF(DAY(A230+1)=15,'Main Budget'!$I$14,0)))</f>
        <v>0</v>
      </c>
      <c r="F230" s="87">
        <f>-(IF(DAY(A230)=20,'Main Budget'!$F$14,0))</f>
        <v>0</v>
      </c>
      <c r="G230" s="87">
        <f>-(IF(DAY(A230+2)=1,'Main Budget'!$I$15,IF(DAY(A230+1)=15,'Main Budget'!$I$15,0)))</f>
        <v>0</v>
      </c>
      <c r="H230" s="87">
        <f>-(IF(DAY(A230)=20,'Main Budget'!$F$15,0))</f>
        <v>0</v>
      </c>
      <c r="K230" s="72"/>
      <c r="L230" s="71">
        <f t="shared" si="10"/>
        <v>522.07250000000033</v>
      </c>
      <c r="M230" s="71">
        <f t="shared" si="11"/>
        <v>440.75316666666623</v>
      </c>
      <c r="N230" s="73">
        <f t="shared" si="12"/>
        <v>962.82566666666662</v>
      </c>
    </row>
    <row r="231" spans="1:14" x14ac:dyDescent="0.3">
      <c r="A231" s="70">
        <v>46250</v>
      </c>
      <c r="B231" s="71">
        <f t="shared" si="7"/>
        <v>962.82566666666662</v>
      </c>
      <c r="C231" s="71">
        <f t="shared" si="8"/>
        <v>522.07250000000033</v>
      </c>
      <c r="D231" s="71">
        <f t="shared" si="9"/>
        <v>440.75316666666623</v>
      </c>
      <c r="E231" s="87">
        <f>-(IF(DAY(A231+2)=1,'Main Budget'!$I$14,IF(DAY(A231+1)=15,'Main Budget'!$I$14,0)))</f>
        <v>0</v>
      </c>
      <c r="F231" s="87">
        <f>-(IF(DAY(A231)=20,'Main Budget'!$F$14,0))</f>
        <v>0</v>
      </c>
      <c r="G231" s="87">
        <f>-(IF(DAY(A231+2)=1,'Main Budget'!$I$15,IF(DAY(A231+1)=15,'Main Budget'!$I$15,0)))</f>
        <v>0</v>
      </c>
      <c r="H231" s="87">
        <f>-(IF(DAY(A231)=20,'Main Budget'!$F$15,0))</f>
        <v>0</v>
      </c>
      <c r="K231" s="72"/>
      <c r="L231" s="71">
        <f t="shared" si="10"/>
        <v>522.07250000000033</v>
      </c>
      <c r="M231" s="71">
        <f t="shared" si="11"/>
        <v>440.75316666666623</v>
      </c>
      <c r="N231" s="73">
        <f t="shared" si="12"/>
        <v>962.82566666666662</v>
      </c>
    </row>
    <row r="232" spans="1:14" x14ac:dyDescent="0.3">
      <c r="A232" s="70">
        <v>46251</v>
      </c>
      <c r="B232" s="71">
        <f t="shared" si="7"/>
        <v>962.82566666666662</v>
      </c>
      <c r="C232" s="71">
        <f t="shared" si="8"/>
        <v>522.07250000000033</v>
      </c>
      <c r="D232" s="71">
        <f t="shared" si="9"/>
        <v>440.75316666666623</v>
      </c>
      <c r="E232" s="87">
        <f>-(IF(DAY(A232+2)=1,'Main Budget'!$I$14,IF(DAY(A232+1)=15,'Main Budget'!$I$14,0)))</f>
        <v>0</v>
      </c>
      <c r="F232" s="87">
        <f>-(IF(DAY(A232)=20,'Main Budget'!$F$14,0))</f>
        <v>0</v>
      </c>
      <c r="G232" s="87">
        <f>-(IF(DAY(A232+2)=1,'Main Budget'!$I$15,IF(DAY(A232+1)=15,'Main Budget'!$I$15,0)))</f>
        <v>0</v>
      </c>
      <c r="H232" s="87">
        <f>-(IF(DAY(A232)=20,'Main Budget'!$F$15,0))</f>
        <v>0</v>
      </c>
      <c r="K232" s="72"/>
      <c r="L232" s="71">
        <f t="shared" si="10"/>
        <v>522.07250000000033</v>
      </c>
      <c r="M232" s="71">
        <f t="shared" si="11"/>
        <v>440.75316666666623</v>
      </c>
      <c r="N232" s="73">
        <f t="shared" si="12"/>
        <v>962.82566666666662</v>
      </c>
    </row>
    <row r="233" spans="1:14" x14ac:dyDescent="0.3">
      <c r="A233" s="70">
        <v>46252</v>
      </c>
      <c r="B233" s="71">
        <f t="shared" si="7"/>
        <v>962.82566666666662</v>
      </c>
      <c r="C233" s="71">
        <f t="shared" si="8"/>
        <v>522.07250000000033</v>
      </c>
      <c r="D233" s="71">
        <f t="shared" si="9"/>
        <v>440.75316666666623</v>
      </c>
      <c r="E233" s="87">
        <f>-(IF(DAY(A233+2)=1,'Main Budget'!$I$14,IF(DAY(A233+1)=15,'Main Budget'!$I$14,0)))</f>
        <v>0</v>
      </c>
      <c r="F233" s="87">
        <f>-(IF(DAY(A233)=20,'Main Budget'!$F$14,0))</f>
        <v>0</v>
      </c>
      <c r="G233" s="87">
        <f>-(IF(DAY(A233+2)=1,'Main Budget'!$I$15,IF(DAY(A233+1)=15,'Main Budget'!$I$15,0)))</f>
        <v>0</v>
      </c>
      <c r="H233" s="87">
        <f>-(IF(DAY(A233)=20,'Main Budget'!$F$15,0))</f>
        <v>0</v>
      </c>
      <c r="K233" s="72"/>
      <c r="L233" s="71">
        <f t="shared" si="10"/>
        <v>522.07250000000033</v>
      </c>
      <c r="M233" s="71">
        <f t="shared" si="11"/>
        <v>440.75316666666623</v>
      </c>
      <c r="N233" s="73">
        <f t="shared" si="12"/>
        <v>962.82566666666662</v>
      </c>
    </row>
  </sheetData>
  <mergeCells count="2">
    <mergeCell ref="E1:H1"/>
    <mergeCell ref="I1:J1"/>
  </mergeCells>
  <conditionalFormatting sqref="A2:O2">
    <cfRule type="expression" dxfId="6" priority="2">
      <formula>#REF!=TODAY()+1</formula>
    </cfRule>
  </conditionalFormatting>
  <conditionalFormatting sqref="A3:O195 A196:K212 L196:L213 E213:K213 A234:O1046597 M196:O233 A213:D233 E214:L233">
    <cfRule type="expression" dxfId="5" priority="1">
      <formula>$A4=TODAY()+1</formula>
    </cfRule>
  </conditionalFormatting>
  <conditionalFormatting sqref="A1046598:O1047026">
    <cfRule type="expression" dxfId="4" priority="14">
      <formula>$A2=TODAY()+1</formula>
    </cfRule>
  </conditionalFormatting>
  <conditionalFormatting sqref="A1047027:O1048576">
    <cfRule type="expression" dxfId="3" priority="9">
      <formula>#REF!=TODAY()+1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</sheetPr>
  <dimension ref="A1:N243"/>
  <sheetViews>
    <sheetView workbookViewId="0">
      <pane ySplit="2" topLeftCell="A209" activePane="bottomLeft" state="frozen"/>
      <selection activeCell="G21" sqref="G21"/>
      <selection pane="bottomLeft" activeCell="G222" sqref="G222"/>
    </sheetView>
  </sheetViews>
  <sheetFormatPr defaultRowHeight="13" x14ac:dyDescent="0.3"/>
  <cols>
    <col min="1" max="1" width="11.90625" bestFit="1" customWidth="1"/>
    <col min="2" max="4" width="11" style="71" customWidth="1"/>
    <col min="5" max="5" width="7.54296875" style="71" bestFit="1" customWidth="1"/>
    <col min="6" max="6" width="7.36328125" style="71" customWidth="1"/>
    <col min="7" max="7" width="11.1796875" style="71" bestFit="1" customWidth="1"/>
    <col min="8" max="8" width="8.453125" style="71" bestFit="1" customWidth="1"/>
    <col min="9" max="9" width="13.1796875" style="71" customWidth="1"/>
    <col min="10" max="10" width="9.54296875" style="71" bestFit="1" customWidth="1"/>
    <col min="11" max="13" width="11.1796875" style="73" customWidth="1"/>
    <col min="14" max="14" width="22.54296875" bestFit="1" customWidth="1"/>
  </cols>
  <sheetData>
    <row r="1" spans="1:14" ht="13.5" thickBot="1" x14ac:dyDescent="0.35">
      <c r="E1" s="120" t="s">
        <v>84</v>
      </c>
      <c r="F1" s="121"/>
      <c r="G1" s="117" t="s">
        <v>83</v>
      </c>
      <c r="H1" s="118"/>
      <c r="I1" s="118"/>
      <c r="J1" s="119"/>
    </row>
    <row r="2" spans="1:14" s="64" customFormat="1" ht="40.25" customHeight="1" thickBot="1" x14ac:dyDescent="0.35">
      <c r="A2" s="83" t="s">
        <v>42</v>
      </c>
      <c r="B2" s="84" t="s">
        <v>86</v>
      </c>
      <c r="C2" s="84" t="s">
        <v>85</v>
      </c>
      <c r="D2" s="84" t="s">
        <v>43</v>
      </c>
      <c r="E2" s="88" t="s">
        <v>44</v>
      </c>
      <c r="F2" s="88" t="s">
        <v>69</v>
      </c>
      <c r="G2" s="89" t="s">
        <v>70</v>
      </c>
      <c r="H2" s="89" t="s">
        <v>71</v>
      </c>
      <c r="I2" s="89" t="s">
        <v>72</v>
      </c>
      <c r="J2" s="89" t="s">
        <v>89</v>
      </c>
      <c r="K2" s="84" t="s">
        <v>54</v>
      </c>
      <c r="L2" s="86" t="s">
        <v>55</v>
      </c>
      <c r="M2" s="86" t="s">
        <v>87</v>
      </c>
      <c r="N2" s="85" t="s">
        <v>67</v>
      </c>
    </row>
    <row r="3" spans="1:14" x14ac:dyDescent="0.3">
      <c r="A3" s="70">
        <v>46022</v>
      </c>
      <c r="B3" s="71">
        <v>204.099999999999</v>
      </c>
      <c r="C3" s="71">
        <f>B3</f>
        <v>204.099999999999</v>
      </c>
      <c r="D3" s="71">
        <v>0</v>
      </c>
      <c r="E3" s="87">
        <v>0</v>
      </c>
      <c r="F3" s="87">
        <v>0</v>
      </c>
      <c r="G3" s="72">
        <v>0</v>
      </c>
      <c r="H3" s="72">
        <v>0</v>
      </c>
      <c r="I3" s="72"/>
      <c r="J3" s="72"/>
      <c r="K3" s="73">
        <v>204.099999999999</v>
      </c>
      <c r="L3" s="73">
        <v>0</v>
      </c>
      <c r="M3" s="73">
        <f>K3+L3</f>
        <v>204.099999999999</v>
      </c>
    </row>
    <row r="4" spans="1:14" x14ac:dyDescent="0.3">
      <c r="A4" s="70">
        <v>46023</v>
      </c>
      <c r="B4" s="71">
        <v>204.099999999999</v>
      </c>
      <c r="C4" s="71">
        <f t="shared" ref="C4:C35" si="0">K3</f>
        <v>204.099999999999</v>
      </c>
      <c r="D4" s="71">
        <v>0</v>
      </c>
      <c r="E4" s="87">
        <v>0</v>
      </c>
      <c r="F4" s="87">
        <v>11.25</v>
      </c>
      <c r="G4" s="72">
        <v>0</v>
      </c>
      <c r="H4" s="72">
        <v>0</v>
      </c>
      <c r="I4" s="72"/>
      <c r="J4" s="72"/>
      <c r="K4" s="73">
        <v>215.349999999999</v>
      </c>
      <c r="L4" s="73">
        <v>0</v>
      </c>
      <c r="M4" s="73">
        <f t="shared" ref="M4:M67" si="1">K4+L4</f>
        <v>215.349999999999</v>
      </c>
    </row>
    <row r="5" spans="1:14" x14ac:dyDescent="0.3">
      <c r="A5" s="70">
        <v>46024</v>
      </c>
      <c r="B5" s="71">
        <v>215.349999999999</v>
      </c>
      <c r="C5" s="71">
        <f t="shared" si="0"/>
        <v>215.349999999999</v>
      </c>
      <c r="D5" s="71">
        <v>0</v>
      </c>
      <c r="E5" s="87">
        <v>0</v>
      </c>
      <c r="F5" s="87">
        <v>0</v>
      </c>
      <c r="G5" s="72">
        <v>0</v>
      </c>
      <c r="H5" s="72">
        <v>0</v>
      </c>
      <c r="I5" s="72"/>
      <c r="J5" s="72"/>
      <c r="K5" s="73">
        <v>215.349999999999</v>
      </c>
      <c r="L5" s="73">
        <v>0</v>
      </c>
      <c r="M5" s="73">
        <f t="shared" si="1"/>
        <v>215.349999999999</v>
      </c>
    </row>
    <row r="6" spans="1:14" x14ac:dyDescent="0.3">
      <c r="A6" s="70">
        <v>46025</v>
      </c>
      <c r="B6" s="71">
        <v>215.349999999999</v>
      </c>
      <c r="C6" s="71">
        <f t="shared" si="0"/>
        <v>215.349999999999</v>
      </c>
      <c r="D6" s="71">
        <v>0</v>
      </c>
      <c r="E6" s="87">
        <v>0</v>
      </c>
      <c r="F6" s="87">
        <v>0</v>
      </c>
      <c r="G6" s="72">
        <v>0</v>
      </c>
      <c r="H6" s="72">
        <v>0</v>
      </c>
      <c r="I6" s="72"/>
      <c r="J6" s="72"/>
      <c r="K6" s="73">
        <v>215.349999999999</v>
      </c>
      <c r="L6" s="73">
        <v>0</v>
      </c>
      <c r="M6" s="73">
        <f t="shared" si="1"/>
        <v>215.349999999999</v>
      </c>
    </row>
    <row r="7" spans="1:14" x14ac:dyDescent="0.3">
      <c r="A7" s="70">
        <v>46026</v>
      </c>
      <c r="B7" s="71">
        <v>215.349999999999</v>
      </c>
      <c r="C7" s="71">
        <f t="shared" si="0"/>
        <v>215.349999999999</v>
      </c>
      <c r="D7" s="71">
        <v>0</v>
      </c>
      <c r="E7" s="87">
        <v>0</v>
      </c>
      <c r="F7" s="87">
        <v>0</v>
      </c>
      <c r="G7" s="72">
        <v>0</v>
      </c>
      <c r="H7" s="72">
        <v>0</v>
      </c>
      <c r="I7" s="72"/>
      <c r="J7" s="72"/>
      <c r="K7" s="73">
        <v>215.349999999999</v>
      </c>
      <c r="L7" s="73">
        <v>0</v>
      </c>
      <c r="M7" s="73">
        <f t="shared" si="1"/>
        <v>215.349999999999</v>
      </c>
    </row>
    <row r="8" spans="1:14" x14ac:dyDescent="0.3">
      <c r="A8" s="70">
        <v>46027</v>
      </c>
      <c r="B8" s="71">
        <v>215.349999999999</v>
      </c>
      <c r="C8" s="71">
        <f t="shared" si="0"/>
        <v>215.349999999999</v>
      </c>
      <c r="D8" s="71">
        <v>0</v>
      </c>
      <c r="E8" s="87">
        <v>0</v>
      </c>
      <c r="F8" s="87">
        <v>0</v>
      </c>
      <c r="G8" s="72">
        <v>0</v>
      </c>
      <c r="H8" s="72">
        <v>0</v>
      </c>
      <c r="I8" s="72"/>
      <c r="J8" s="72"/>
      <c r="K8" s="73">
        <v>215.349999999999</v>
      </c>
      <c r="L8" s="73">
        <v>0</v>
      </c>
      <c r="M8" s="73">
        <f t="shared" si="1"/>
        <v>215.349999999999</v>
      </c>
    </row>
    <row r="9" spans="1:14" x14ac:dyDescent="0.3">
      <c r="A9" s="70">
        <v>46028</v>
      </c>
      <c r="B9" s="71">
        <v>215.349999999999</v>
      </c>
      <c r="C9" s="71">
        <f t="shared" si="0"/>
        <v>215.349999999999</v>
      </c>
      <c r="D9" s="71">
        <v>0</v>
      </c>
      <c r="E9" s="87">
        <v>0</v>
      </c>
      <c r="F9" s="87">
        <v>0</v>
      </c>
      <c r="G9" s="72">
        <v>0</v>
      </c>
      <c r="H9" s="72">
        <v>0</v>
      </c>
      <c r="I9" s="72"/>
      <c r="J9" s="72"/>
      <c r="K9" s="73">
        <v>215.349999999999</v>
      </c>
      <c r="L9" s="73">
        <v>0</v>
      </c>
      <c r="M9" s="73">
        <f t="shared" si="1"/>
        <v>215.349999999999</v>
      </c>
    </row>
    <row r="10" spans="1:14" x14ac:dyDescent="0.3">
      <c r="A10" s="70">
        <v>46029</v>
      </c>
      <c r="B10" s="71">
        <v>215.349999999999</v>
      </c>
      <c r="C10" s="71">
        <f t="shared" si="0"/>
        <v>215.349999999999</v>
      </c>
      <c r="D10" s="71">
        <v>0</v>
      </c>
      <c r="E10" s="87">
        <v>0</v>
      </c>
      <c r="F10" s="87">
        <v>0</v>
      </c>
      <c r="G10" s="72">
        <v>0</v>
      </c>
      <c r="H10" s="72">
        <v>0</v>
      </c>
      <c r="I10" s="72"/>
      <c r="J10" s="72"/>
      <c r="K10" s="73">
        <v>215.349999999999</v>
      </c>
      <c r="L10" s="73">
        <v>0</v>
      </c>
      <c r="M10" s="73">
        <f t="shared" si="1"/>
        <v>215.349999999999</v>
      </c>
    </row>
    <row r="11" spans="1:14" x14ac:dyDescent="0.3">
      <c r="A11" s="70">
        <v>46030</v>
      </c>
      <c r="B11" s="71">
        <v>215.349999999999</v>
      </c>
      <c r="C11" s="71">
        <f t="shared" si="0"/>
        <v>215.349999999999</v>
      </c>
      <c r="D11" s="71">
        <v>0</v>
      </c>
      <c r="E11" s="87">
        <v>0</v>
      </c>
      <c r="F11" s="87">
        <v>0</v>
      </c>
      <c r="G11" s="72">
        <v>0</v>
      </c>
      <c r="H11" s="72">
        <v>0</v>
      </c>
      <c r="I11" s="72"/>
      <c r="J11" s="72"/>
      <c r="K11" s="73">
        <v>215.349999999999</v>
      </c>
      <c r="L11" s="73">
        <v>0</v>
      </c>
      <c r="M11" s="73">
        <f t="shared" si="1"/>
        <v>215.349999999999</v>
      </c>
    </row>
    <row r="12" spans="1:14" x14ac:dyDescent="0.3">
      <c r="A12" s="70">
        <v>46031</v>
      </c>
      <c r="B12" s="71">
        <v>215.349999999999</v>
      </c>
      <c r="C12" s="71">
        <f t="shared" si="0"/>
        <v>215.349999999999</v>
      </c>
      <c r="D12" s="71">
        <v>0</v>
      </c>
      <c r="E12" s="87">
        <v>0</v>
      </c>
      <c r="F12" s="87">
        <v>0</v>
      </c>
      <c r="G12" s="72">
        <v>0</v>
      </c>
      <c r="H12" s="72">
        <v>0</v>
      </c>
      <c r="I12" s="72"/>
      <c r="J12" s="72"/>
      <c r="K12" s="73">
        <v>215.349999999999</v>
      </c>
      <c r="L12" s="73">
        <v>0</v>
      </c>
      <c r="M12" s="73">
        <f t="shared" si="1"/>
        <v>215.349999999999</v>
      </c>
    </row>
    <row r="13" spans="1:14" x14ac:dyDescent="0.3">
      <c r="A13" s="70">
        <v>46032</v>
      </c>
      <c r="B13" s="71">
        <v>215.349999999999</v>
      </c>
      <c r="C13" s="71">
        <f t="shared" si="0"/>
        <v>215.349999999999</v>
      </c>
      <c r="D13" s="71">
        <v>0</v>
      </c>
      <c r="E13" s="87">
        <v>0</v>
      </c>
      <c r="F13" s="87">
        <v>0</v>
      </c>
      <c r="G13" s="72">
        <v>0</v>
      </c>
      <c r="H13" s="72">
        <v>0</v>
      </c>
      <c r="I13" s="72"/>
      <c r="J13" s="72"/>
      <c r="K13" s="73">
        <v>215.349999999999</v>
      </c>
      <c r="L13" s="73">
        <v>0</v>
      </c>
      <c r="M13" s="73">
        <f t="shared" si="1"/>
        <v>215.349999999999</v>
      </c>
    </row>
    <row r="14" spans="1:14" x14ac:dyDescent="0.3">
      <c r="A14" s="70">
        <v>46033</v>
      </c>
      <c r="B14" s="71">
        <v>215.349999999999</v>
      </c>
      <c r="C14" s="71">
        <f t="shared" si="0"/>
        <v>215.349999999999</v>
      </c>
      <c r="D14" s="71">
        <v>0</v>
      </c>
      <c r="E14" s="87">
        <v>0</v>
      </c>
      <c r="F14" s="87">
        <v>0</v>
      </c>
      <c r="G14" s="72">
        <v>0</v>
      </c>
      <c r="H14" s="72">
        <v>0</v>
      </c>
      <c r="I14" s="72"/>
      <c r="J14" s="72"/>
      <c r="K14" s="73">
        <v>215.349999999999</v>
      </c>
      <c r="L14" s="73">
        <v>0</v>
      </c>
      <c r="M14" s="73">
        <f t="shared" si="1"/>
        <v>215.349999999999</v>
      </c>
    </row>
    <row r="15" spans="1:14" x14ac:dyDescent="0.3">
      <c r="A15" s="70">
        <v>46034</v>
      </c>
      <c r="B15" s="71">
        <v>215.349999999999</v>
      </c>
      <c r="C15" s="71">
        <f t="shared" si="0"/>
        <v>215.349999999999</v>
      </c>
      <c r="D15" s="71">
        <v>0</v>
      </c>
      <c r="E15" s="87">
        <v>0</v>
      </c>
      <c r="F15" s="87">
        <v>0</v>
      </c>
      <c r="G15" s="72">
        <v>0</v>
      </c>
      <c r="H15" s="72">
        <v>0</v>
      </c>
      <c r="I15" s="72"/>
      <c r="J15" s="72"/>
      <c r="K15" s="73">
        <v>215.349999999999</v>
      </c>
      <c r="L15" s="73">
        <v>0</v>
      </c>
      <c r="M15" s="73">
        <f t="shared" si="1"/>
        <v>215.349999999999</v>
      </c>
    </row>
    <row r="16" spans="1:14" x14ac:dyDescent="0.3">
      <c r="A16" s="70">
        <v>46035</v>
      </c>
      <c r="B16" s="71">
        <v>215.349999999999</v>
      </c>
      <c r="C16" s="71">
        <f t="shared" si="0"/>
        <v>215.349999999999</v>
      </c>
      <c r="D16" s="71">
        <v>0</v>
      </c>
      <c r="E16" s="87">
        <v>85</v>
      </c>
      <c r="F16" s="87">
        <v>0</v>
      </c>
      <c r="G16" s="72">
        <v>0</v>
      </c>
      <c r="H16" s="72">
        <v>0</v>
      </c>
      <c r="I16" s="72"/>
      <c r="J16" s="72"/>
      <c r="K16" s="73">
        <v>300.349999999999</v>
      </c>
      <c r="L16" s="73">
        <v>0</v>
      </c>
      <c r="M16" s="73">
        <f t="shared" si="1"/>
        <v>300.349999999999</v>
      </c>
    </row>
    <row r="17" spans="1:13" x14ac:dyDescent="0.3">
      <c r="A17" s="70">
        <v>46036</v>
      </c>
      <c r="B17" s="71">
        <v>300.349999999999</v>
      </c>
      <c r="C17" s="71">
        <f t="shared" si="0"/>
        <v>300.349999999999</v>
      </c>
      <c r="D17" s="71">
        <v>0</v>
      </c>
      <c r="E17" s="87">
        <v>0</v>
      </c>
      <c r="F17" s="87">
        <v>11.25</v>
      </c>
      <c r="G17" s="72">
        <v>0</v>
      </c>
      <c r="H17" s="72">
        <v>0</v>
      </c>
      <c r="I17" s="72"/>
      <c r="J17" s="72"/>
      <c r="K17" s="73">
        <v>311.599999999999</v>
      </c>
      <c r="L17" s="73">
        <v>0</v>
      </c>
      <c r="M17" s="73">
        <f t="shared" si="1"/>
        <v>311.599999999999</v>
      </c>
    </row>
    <row r="18" spans="1:13" x14ac:dyDescent="0.3">
      <c r="A18" s="70">
        <v>46037</v>
      </c>
      <c r="B18" s="71">
        <v>311.599999999999</v>
      </c>
      <c r="C18" s="71">
        <f t="shared" si="0"/>
        <v>311.599999999999</v>
      </c>
      <c r="D18" s="71">
        <v>0</v>
      </c>
      <c r="E18" s="87">
        <v>0</v>
      </c>
      <c r="F18" s="87">
        <v>0</v>
      </c>
      <c r="G18" s="72">
        <v>0</v>
      </c>
      <c r="H18" s="72">
        <v>0</v>
      </c>
      <c r="I18" s="72"/>
      <c r="J18" s="72"/>
      <c r="K18" s="73">
        <v>311.599999999999</v>
      </c>
      <c r="L18" s="73">
        <v>0</v>
      </c>
      <c r="M18" s="73">
        <f t="shared" si="1"/>
        <v>311.599999999999</v>
      </c>
    </row>
    <row r="19" spans="1:13" x14ac:dyDescent="0.3">
      <c r="A19" s="70">
        <v>46038</v>
      </c>
      <c r="B19" s="71">
        <v>311.599999999999</v>
      </c>
      <c r="C19" s="71">
        <f t="shared" si="0"/>
        <v>311.599999999999</v>
      </c>
      <c r="D19" s="71">
        <v>0</v>
      </c>
      <c r="E19" s="87">
        <v>0</v>
      </c>
      <c r="F19" s="87">
        <v>0</v>
      </c>
      <c r="G19" s="72">
        <v>-30</v>
      </c>
      <c r="H19" s="72">
        <v>0</v>
      </c>
      <c r="I19" s="72"/>
      <c r="J19" s="72"/>
      <c r="K19" s="73">
        <v>281.599999999999</v>
      </c>
      <c r="L19" s="73">
        <v>0</v>
      </c>
      <c r="M19" s="73">
        <f t="shared" si="1"/>
        <v>281.599999999999</v>
      </c>
    </row>
    <row r="20" spans="1:13" x14ac:dyDescent="0.3">
      <c r="A20" s="70">
        <v>46039</v>
      </c>
      <c r="B20" s="71">
        <v>281.599999999999</v>
      </c>
      <c r="C20" s="71">
        <f t="shared" si="0"/>
        <v>281.599999999999</v>
      </c>
      <c r="D20" s="71">
        <v>0</v>
      </c>
      <c r="E20" s="87">
        <v>0</v>
      </c>
      <c r="F20" s="87">
        <v>0</v>
      </c>
      <c r="G20" s="72">
        <v>0</v>
      </c>
      <c r="H20" s="72">
        <v>-44.99</v>
      </c>
      <c r="I20" s="72"/>
      <c r="J20" s="72"/>
      <c r="K20" s="73">
        <v>236.60999999999899</v>
      </c>
      <c r="L20" s="73">
        <v>0</v>
      </c>
      <c r="M20" s="73">
        <f t="shared" si="1"/>
        <v>236.60999999999899</v>
      </c>
    </row>
    <row r="21" spans="1:13" x14ac:dyDescent="0.3">
      <c r="A21" s="70">
        <v>46040</v>
      </c>
      <c r="B21" s="71">
        <v>236.60999999999899</v>
      </c>
      <c r="C21" s="71">
        <f t="shared" si="0"/>
        <v>236.60999999999899</v>
      </c>
      <c r="D21" s="71">
        <v>0</v>
      </c>
      <c r="E21" s="87">
        <v>0</v>
      </c>
      <c r="F21" s="87">
        <v>0</v>
      </c>
      <c r="G21" s="72">
        <v>0</v>
      </c>
      <c r="H21" s="72">
        <v>0</v>
      </c>
      <c r="I21" s="72"/>
      <c r="J21" s="72"/>
      <c r="K21" s="73">
        <v>236.60999999999899</v>
      </c>
      <c r="L21" s="73">
        <v>0</v>
      </c>
      <c r="M21" s="73">
        <f t="shared" si="1"/>
        <v>236.60999999999899</v>
      </c>
    </row>
    <row r="22" spans="1:13" x14ac:dyDescent="0.3">
      <c r="A22" s="70">
        <v>46041</v>
      </c>
      <c r="B22" s="71">
        <v>236.60999999999899</v>
      </c>
      <c r="C22" s="71">
        <f t="shared" si="0"/>
        <v>236.60999999999899</v>
      </c>
      <c r="D22" s="71">
        <v>0</v>
      </c>
      <c r="E22" s="87">
        <v>0</v>
      </c>
      <c r="F22" s="87">
        <v>0</v>
      </c>
      <c r="G22" s="72">
        <v>0</v>
      </c>
      <c r="H22" s="72">
        <v>0</v>
      </c>
      <c r="I22" s="72"/>
      <c r="J22" s="72"/>
      <c r="K22" s="73">
        <v>236.60999999999899</v>
      </c>
      <c r="L22" s="73">
        <v>0</v>
      </c>
      <c r="M22" s="73">
        <f t="shared" si="1"/>
        <v>236.60999999999899</v>
      </c>
    </row>
    <row r="23" spans="1:13" x14ac:dyDescent="0.3">
      <c r="A23" s="70">
        <v>46042</v>
      </c>
      <c r="B23" s="71">
        <v>236.60999999999899</v>
      </c>
      <c r="C23" s="71">
        <f t="shared" si="0"/>
        <v>236.60999999999899</v>
      </c>
      <c r="D23" s="71">
        <v>0</v>
      </c>
      <c r="E23" s="87">
        <v>0</v>
      </c>
      <c r="F23" s="87">
        <v>0</v>
      </c>
      <c r="G23" s="72">
        <v>0</v>
      </c>
      <c r="H23" s="72">
        <v>0</v>
      </c>
      <c r="I23" s="72"/>
      <c r="J23" s="72"/>
      <c r="K23" s="73">
        <v>236.60999999999899</v>
      </c>
      <c r="L23" s="73">
        <v>0</v>
      </c>
      <c r="M23" s="73">
        <f t="shared" si="1"/>
        <v>236.60999999999899</v>
      </c>
    </row>
    <row r="24" spans="1:13" x14ac:dyDescent="0.3">
      <c r="A24" s="70">
        <v>46043</v>
      </c>
      <c r="B24" s="71">
        <v>236.60999999999899</v>
      </c>
      <c r="C24" s="71">
        <f t="shared" si="0"/>
        <v>236.60999999999899</v>
      </c>
      <c r="D24" s="71">
        <v>0</v>
      </c>
      <c r="E24" s="87">
        <v>0</v>
      </c>
      <c r="F24" s="87">
        <v>0</v>
      </c>
      <c r="G24" s="72">
        <v>0</v>
      </c>
      <c r="H24" s="72">
        <v>0</v>
      </c>
      <c r="I24" s="72"/>
      <c r="J24" s="72"/>
      <c r="K24" s="73">
        <v>236.60999999999899</v>
      </c>
      <c r="L24" s="73">
        <v>0</v>
      </c>
      <c r="M24" s="73">
        <f t="shared" si="1"/>
        <v>236.60999999999899</v>
      </c>
    </row>
    <row r="25" spans="1:13" x14ac:dyDescent="0.3">
      <c r="A25" s="70">
        <v>46044</v>
      </c>
      <c r="B25" s="71">
        <v>236.60999999999899</v>
      </c>
      <c r="C25" s="71">
        <f t="shared" si="0"/>
        <v>236.60999999999899</v>
      </c>
      <c r="D25" s="71">
        <v>0</v>
      </c>
      <c r="E25" s="87">
        <v>0</v>
      </c>
      <c r="F25" s="87">
        <v>0</v>
      </c>
      <c r="G25" s="72">
        <v>0</v>
      </c>
      <c r="H25" s="72">
        <v>0</v>
      </c>
      <c r="I25" s="72"/>
      <c r="J25" s="72"/>
      <c r="K25" s="73">
        <v>236.60999999999899</v>
      </c>
      <c r="L25" s="73">
        <v>0</v>
      </c>
      <c r="M25" s="73">
        <f t="shared" si="1"/>
        <v>236.60999999999899</v>
      </c>
    </row>
    <row r="26" spans="1:13" x14ac:dyDescent="0.3">
      <c r="A26" s="70">
        <v>46045</v>
      </c>
      <c r="B26" s="71">
        <v>236.60999999999899</v>
      </c>
      <c r="C26" s="71">
        <f t="shared" si="0"/>
        <v>236.60999999999899</v>
      </c>
      <c r="D26" s="71">
        <v>0</v>
      </c>
      <c r="E26" s="87">
        <v>0</v>
      </c>
      <c r="F26" s="87">
        <v>0</v>
      </c>
      <c r="G26" s="72">
        <v>0</v>
      </c>
      <c r="H26" s="72">
        <v>0</v>
      </c>
      <c r="I26" s="72"/>
      <c r="J26" s="72"/>
      <c r="K26" s="73">
        <v>236.60999999999899</v>
      </c>
      <c r="L26" s="73">
        <v>0</v>
      </c>
      <c r="M26" s="73">
        <f t="shared" si="1"/>
        <v>236.60999999999899</v>
      </c>
    </row>
    <row r="27" spans="1:13" x14ac:dyDescent="0.3">
      <c r="A27" s="70">
        <v>46046</v>
      </c>
      <c r="B27" s="71">
        <v>236.60999999999899</v>
      </c>
      <c r="C27" s="71">
        <f t="shared" si="0"/>
        <v>236.60999999999899</v>
      </c>
      <c r="D27" s="71">
        <v>0</v>
      </c>
      <c r="E27" s="87">
        <v>0</v>
      </c>
      <c r="F27" s="87">
        <v>0</v>
      </c>
      <c r="G27" s="72">
        <v>0</v>
      </c>
      <c r="H27" s="72">
        <v>0</v>
      </c>
      <c r="I27" s="72"/>
      <c r="J27" s="72"/>
      <c r="K27" s="73">
        <v>236.60999999999899</v>
      </c>
      <c r="L27" s="73">
        <v>0</v>
      </c>
      <c r="M27" s="73">
        <f t="shared" si="1"/>
        <v>236.60999999999899</v>
      </c>
    </row>
    <row r="28" spans="1:13" x14ac:dyDescent="0.3">
      <c r="A28" s="70">
        <v>46047</v>
      </c>
      <c r="B28" s="71">
        <v>236.60999999999899</v>
      </c>
      <c r="C28" s="71">
        <f t="shared" si="0"/>
        <v>236.60999999999899</v>
      </c>
      <c r="D28" s="71">
        <v>0</v>
      </c>
      <c r="E28" s="87">
        <v>0</v>
      </c>
      <c r="F28" s="87">
        <v>0</v>
      </c>
      <c r="G28" s="72">
        <v>0</v>
      </c>
      <c r="H28" s="72">
        <v>0</v>
      </c>
      <c r="I28" s="72"/>
      <c r="J28" s="72"/>
      <c r="K28" s="73">
        <v>236.60999999999899</v>
      </c>
      <c r="L28" s="73">
        <v>0</v>
      </c>
      <c r="M28" s="73">
        <f t="shared" si="1"/>
        <v>236.60999999999899</v>
      </c>
    </row>
    <row r="29" spans="1:13" x14ac:dyDescent="0.3">
      <c r="A29" s="70">
        <v>46048</v>
      </c>
      <c r="B29" s="71">
        <v>236.60999999999899</v>
      </c>
      <c r="C29" s="71">
        <f t="shared" si="0"/>
        <v>236.60999999999899</v>
      </c>
      <c r="D29" s="71">
        <v>0</v>
      </c>
      <c r="E29" s="87">
        <v>0</v>
      </c>
      <c r="F29" s="87">
        <v>0</v>
      </c>
      <c r="G29" s="72">
        <v>0</v>
      </c>
      <c r="H29" s="72">
        <v>0</v>
      </c>
      <c r="I29" s="72"/>
      <c r="J29" s="72"/>
      <c r="K29" s="73">
        <v>236.60999999999899</v>
      </c>
      <c r="L29" s="73">
        <v>0</v>
      </c>
      <c r="M29" s="73">
        <f t="shared" si="1"/>
        <v>236.60999999999899</v>
      </c>
    </row>
    <row r="30" spans="1:13" x14ac:dyDescent="0.3">
      <c r="A30" s="70">
        <v>46049</v>
      </c>
      <c r="B30" s="71">
        <v>236.60999999999899</v>
      </c>
      <c r="C30" s="71">
        <f t="shared" si="0"/>
        <v>236.60999999999899</v>
      </c>
      <c r="D30" s="71">
        <v>0</v>
      </c>
      <c r="E30" s="87">
        <v>0</v>
      </c>
      <c r="F30" s="87">
        <v>0</v>
      </c>
      <c r="G30" s="72">
        <v>0</v>
      </c>
      <c r="H30" s="72">
        <v>0</v>
      </c>
      <c r="I30" s="72"/>
      <c r="J30" s="72"/>
      <c r="K30" s="73">
        <v>236.60999999999899</v>
      </c>
      <c r="L30" s="73">
        <v>0</v>
      </c>
      <c r="M30" s="73">
        <f t="shared" si="1"/>
        <v>236.60999999999899</v>
      </c>
    </row>
    <row r="31" spans="1:13" x14ac:dyDescent="0.3">
      <c r="A31" s="70">
        <v>46050</v>
      </c>
      <c r="B31" s="71">
        <v>236.60999999999899</v>
      </c>
      <c r="C31" s="71">
        <f t="shared" si="0"/>
        <v>236.60999999999899</v>
      </c>
      <c r="D31" s="71">
        <v>0</v>
      </c>
      <c r="E31" s="87">
        <v>0</v>
      </c>
      <c r="F31" s="87">
        <v>0</v>
      </c>
      <c r="G31" s="72">
        <v>0</v>
      </c>
      <c r="H31" s="72">
        <v>0</v>
      </c>
      <c r="I31" s="72"/>
      <c r="J31" s="72"/>
      <c r="K31" s="73">
        <v>236.60999999999899</v>
      </c>
      <c r="L31" s="73">
        <v>0</v>
      </c>
      <c r="M31" s="73">
        <f t="shared" si="1"/>
        <v>236.60999999999899</v>
      </c>
    </row>
    <row r="32" spans="1:13" x14ac:dyDescent="0.3">
      <c r="A32" s="70">
        <v>46051</v>
      </c>
      <c r="B32" s="71">
        <v>236.60999999999899</v>
      </c>
      <c r="C32" s="71">
        <f t="shared" si="0"/>
        <v>236.60999999999899</v>
      </c>
      <c r="D32" s="71">
        <v>0</v>
      </c>
      <c r="E32" s="87">
        <v>0</v>
      </c>
      <c r="F32" s="87">
        <v>0</v>
      </c>
      <c r="G32" s="72">
        <v>0</v>
      </c>
      <c r="H32" s="72">
        <v>0</v>
      </c>
      <c r="I32" s="72"/>
      <c r="J32" s="72"/>
      <c r="K32" s="73">
        <v>236.60999999999899</v>
      </c>
      <c r="L32" s="73">
        <v>0</v>
      </c>
      <c r="M32" s="73">
        <f t="shared" si="1"/>
        <v>236.60999999999899</v>
      </c>
    </row>
    <row r="33" spans="1:13" x14ac:dyDescent="0.3">
      <c r="A33" s="70">
        <v>46052</v>
      </c>
      <c r="B33" s="71">
        <v>236.60999999999899</v>
      </c>
      <c r="C33" s="71">
        <f t="shared" si="0"/>
        <v>236.60999999999899</v>
      </c>
      <c r="D33" s="71">
        <v>0</v>
      </c>
      <c r="E33" s="87">
        <v>85</v>
      </c>
      <c r="F33" s="87">
        <v>0</v>
      </c>
      <c r="G33" s="72">
        <v>0</v>
      </c>
      <c r="H33" s="72">
        <v>0</v>
      </c>
      <c r="I33" s="72"/>
      <c r="J33" s="72"/>
      <c r="K33" s="73">
        <v>321.60999999999899</v>
      </c>
      <c r="L33" s="73">
        <v>0</v>
      </c>
      <c r="M33" s="73">
        <f t="shared" si="1"/>
        <v>321.60999999999899</v>
      </c>
    </row>
    <row r="34" spans="1:13" x14ac:dyDescent="0.3">
      <c r="A34" s="70">
        <v>46053</v>
      </c>
      <c r="B34" s="71">
        <v>321.60999999999899</v>
      </c>
      <c r="C34" s="71">
        <f t="shared" si="0"/>
        <v>321.60999999999899</v>
      </c>
      <c r="D34" s="71">
        <v>0</v>
      </c>
      <c r="E34" s="87">
        <v>0</v>
      </c>
      <c r="F34" s="87">
        <v>0</v>
      </c>
      <c r="G34" s="72">
        <v>0</v>
      </c>
      <c r="H34" s="72">
        <v>0</v>
      </c>
      <c r="I34" s="72"/>
      <c r="J34" s="72"/>
      <c r="K34" s="73">
        <v>321.60999999999899</v>
      </c>
      <c r="L34" s="73">
        <v>0</v>
      </c>
      <c r="M34" s="73">
        <f t="shared" si="1"/>
        <v>321.60999999999899</v>
      </c>
    </row>
    <row r="35" spans="1:13" x14ac:dyDescent="0.3">
      <c r="A35" s="70">
        <v>46054</v>
      </c>
      <c r="B35" s="71">
        <v>321.60999999999899</v>
      </c>
      <c r="C35" s="71">
        <f t="shared" si="0"/>
        <v>321.60999999999899</v>
      </c>
      <c r="D35" s="71">
        <v>0</v>
      </c>
      <c r="E35" s="87">
        <v>0</v>
      </c>
      <c r="F35" s="87">
        <v>11.25</v>
      </c>
      <c r="G35" s="72">
        <v>0</v>
      </c>
      <c r="H35" s="72">
        <v>0</v>
      </c>
      <c r="I35" s="72"/>
      <c r="J35" s="72"/>
      <c r="K35" s="73">
        <v>332.85999999999899</v>
      </c>
      <c r="L35" s="73">
        <v>0</v>
      </c>
      <c r="M35" s="73">
        <f t="shared" si="1"/>
        <v>332.85999999999899</v>
      </c>
    </row>
    <row r="36" spans="1:13" x14ac:dyDescent="0.3">
      <c r="A36" s="70">
        <v>46055</v>
      </c>
      <c r="B36" s="71">
        <v>332.85999999999899</v>
      </c>
      <c r="C36" s="71">
        <f t="shared" ref="C36:C66" si="2">K35</f>
        <v>332.85999999999899</v>
      </c>
      <c r="D36" s="71">
        <v>0</v>
      </c>
      <c r="E36" s="87">
        <v>0</v>
      </c>
      <c r="F36" s="87">
        <v>0</v>
      </c>
      <c r="G36" s="72">
        <v>0</v>
      </c>
      <c r="H36" s="72">
        <v>0</v>
      </c>
      <c r="I36" s="72"/>
      <c r="J36" s="72"/>
      <c r="K36" s="73">
        <v>332.85999999999899</v>
      </c>
      <c r="L36" s="73">
        <v>0</v>
      </c>
      <c r="M36" s="73">
        <f t="shared" si="1"/>
        <v>332.85999999999899</v>
      </c>
    </row>
    <row r="37" spans="1:13" x14ac:dyDescent="0.3">
      <c r="A37" s="70">
        <v>46056</v>
      </c>
      <c r="B37" s="71">
        <v>332.85999999999899</v>
      </c>
      <c r="C37" s="71">
        <f t="shared" si="2"/>
        <v>332.85999999999899</v>
      </c>
      <c r="D37" s="71">
        <v>0</v>
      </c>
      <c r="E37" s="87">
        <v>0</v>
      </c>
      <c r="F37" s="87">
        <v>0</v>
      </c>
      <c r="G37" s="72">
        <v>0</v>
      </c>
      <c r="H37" s="72">
        <v>0</v>
      </c>
      <c r="I37" s="72"/>
      <c r="J37" s="72"/>
      <c r="K37" s="73">
        <v>332.85999999999899</v>
      </c>
      <c r="L37" s="73">
        <v>0</v>
      </c>
      <c r="M37" s="73">
        <f t="shared" si="1"/>
        <v>332.85999999999899</v>
      </c>
    </row>
    <row r="38" spans="1:13" x14ac:dyDescent="0.3">
      <c r="A38" s="70">
        <v>46057</v>
      </c>
      <c r="B38" s="71">
        <v>332.85999999999899</v>
      </c>
      <c r="C38" s="71">
        <f t="shared" si="2"/>
        <v>332.85999999999899</v>
      </c>
      <c r="D38" s="71">
        <v>0</v>
      </c>
      <c r="E38" s="87">
        <v>0</v>
      </c>
      <c r="F38" s="87">
        <v>0</v>
      </c>
      <c r="G38" s="72">
        <v>0</v>
      </c>
      <c r="H38" s="72">
        <v>0</v>
      </c>
      <c r="I38" s="72"/>
      <c r="J38" s="72"/>
      <c r="K38" s="73">
        <v>332.85999999999899</v>
      </c>
      <c r="L38" s="73">
        <v>0</v>
      </c>
      <c r="M38" s="73">
        <f t="shared" si="1"/>
        <v>332.85999999999899</v>
      </c>
    </row>
    <row r="39" spans="1:13" x14ac:dyDescent="0.3">
      <c r="A39" s="70">
        <v>46058</v>
      </c>
      <c r="B39" s="71">
        <v>332.85999999999899</v>
      </c>
      <c r="C39" s="71">
        <f t="shared" si="2"/>
        <v>332.85999999999899</v>
      </c>
      <c r="D39" s="71">
        <v>0</v>
      </c>
      <c r="E39" s="87">
        <v>0</v>
      </c>
      <c r="F39" s="87">
        <v>0</v>
      </c>
      <c r="G39" s="72">
        <v>0</v>
      </c>
      <c r="H39" s="72">
        <v>0</v>
      </c>
      <c r="I39" s="72"/>
      <c r="J39" s="72"/>
      <c r="K39" s="73">
        <v>332.85999999999899</v>
      </c>
      <c r="L39" s="73">
        <v>0</v>
      </c>
      <c r="M39" s="73">
        <f t="shared" si="1"/>
        <v>332.85999999999899</v>
      </c>
    </row>
    <row r="40" spans="1:13" x14ac:dyDescent="0.3">
      <c r="A40" s="70">
        <v>46059</v>
      </c>
      <c r="B40" s="71">
        <v>332.85999999999899</v>
      </c>
      <c r="C40" s="71">
        <f t="shared" si="2"/>
        <v>332.85999999999899</v>
      </c>
      <c r="D40" s="71">
        <v>0</v>
      </c>
      <c r="E40" s="87">
        <v>0</v>
      </c>
      <c r="F40" s="87">
        <v>0</v>
      </c>
      <c r="G40" s="72">
        <v>0</v>
      </c>
      <c r="H40" s="72">
        <v>0</v>
      </c>
      <c r="I40" s="72"/>
      <c r="J40" s="72"/>
      <c r="K40" s="73">
        <v>332.85999999999899</v>
      </c>
      <c r="L40" s="73">
        <v>0</v>
      </c>
      <c r="M40" s="73">
        <f t="shared" si="1"/>
        <v>332.85999999999899</v>
      </c>
    </row>
    <row r="41" spans="1:13" x14ac:dyDescent="0.3">
      <c r="A41" s="70">
        <v>46060</v>
      </c>
      <c r="B41" s="71">
        <v>332.85999999999899</v>
      </c>
      <c r="C41" s="71">
        <f t="shared" si="2"/>
        <v>332.85999999999899</v>
      </c>
      <c r="D41" s="71">
        <v>0</v>
      </c>
      <c r="E41" s="87">
        <v>0</v>
      </c>
      <c r="F41" s="87">
        <v>0</v>
      </c>
      <c r="G41" s="72">
        <v>0</v>
      </c>
      <c r="H41" s="72">
        <v>0</v>
      </c>
      <c r="I41" s="72"/>
      <c r="J41" s="72"/>
      <c r="K41" s="73">
        <v>332.85999999999899</v>
      </c>
      <c r="L41" s="73">
        <v>0</v>
      </c>
      <c r="M41" s="73">
        <f t="shared" si="1"/>
        <v>332.85999999999899</v>
      </c>
    </row>
    <row r="42" spans="1:13" x14ac:dyDescent="0.3">
      <c r="A42" s="70">
        <v>46061</v>
      </c>
      <c r="B42" s="71">
        <v>332.85999999999899</v>
      </c>
      <c r="C42" s="71">
        <f t="shared" si="2"/>
        <v>332.85999999999899</v>
      </c>
      <c r="D42" s="71">
        <v>0</v>
      </c>
      <c r="E42" s="87">
        <v>0</v>
      </c>
      <c r="F42" s="87">
        <v>0</v>
      </c>
      <c r="G42" s="72">
        <v>0</v>
      </c>
      <c r="H42" s="72">
        <v>0</v>
      </c>
      <c r="I42" s="72"/>
      <c r="J42" s="72"/>
      <c r="K42" s="73">
        <v>332.85999999999899</v>
      </c>
      <c r="L42" s="73">
        <v>0</v>
      </c>
      <c r="M42" s="73">
        <f t="shared" si="1"/>
        <v>332.85999999999899</v>
      </c>
    </row>
    <row r="43" spans="1:13" x14ac:dyDescent="0.3">
      <c r="A43" s="70">
        <v>46062</v>
      </c>
      <c r="B43" s="71">
        <v>332.85999999999899</v>
      </c>
      <c r="C43" s="71">
        <f t="shared" si="2"/>
        <v>332.85999999999899</v>
      </c>
      <c r="D43" s="71">
        <v>0</v>
      </c>
      <c r="E43" s="87">
        <v>0</v>
      </c>
      <c r="F43" s="87">
        <v>0</v>
      </c>
      <c r="G43" s="72">
        <v>0</v>
      </c>
      <c r="H43" s="72">
        <v>0</v>
      </c>
      <c r="I43" s="72"/>
      <c r="J43" s="72"/>
      <c r="K43" s="73">
        <v>332.85999999999899</v>
      </c>
      <c r="L43" s="73">
        <v>0</v>
      </c>
      <c r="M43" s="73">
        <f t="shared" si="1"/>
        <v>332.85999999999899</v>
      </c>
    </row>
    <row r="44" spans="1:13" x14ac:dyDescent="0.3">
      <c r="A44" s="70">
        <v>46063</v>
      </c>
      <c r="B44" s="71">
        <v>332.85999999999899</v>
      </c>
      <c r="C44" s="71">
        <f t="shared" si="2"/>
        <v>332.85999999999899</v>
      </c>
      <c r="D44" s="71">
        <v>0</v>
      </c>
      <c r="E44" s="87">
        <v>0</v>
      </c>
      <c r="F44" s="87">
        <v>0</v>
      </c>
      <c r="G44" s="72">
        <v>0</v>
      </c>
      <c r="H44" s="72">
        <v>0</v>
      </c>
      <c r="I44" s="72"/>
      <c r="J44" s="72"/>
      <c r="K44" s="73">
        <v>332.85999999999899</v>
      </c>
      <c r="L44" s="73">
        <v>0</v>
      </c>
      <c r="M44" s="73">
        <f t="shared" si="1"/>
        <v>332.85999999999899</v>
      </c>
    </row>
    <row r="45" spans="1:13" x14ac:dyDescent="0.3">
      <c r="A45" s="70">
        <v>46064</v>
      </c>
      <c r="B45" s="71">
        <v>332.85999999999899</v>
      </c>
      <c r="C45" s="71">
        <f t="shared" si="2"/>
        <v>332.85999999999899</v>
      </c>
      <c r="D45" s="71">
        <v>0</v>
      </c>
      <c r="E45" s="87">
        <v>0</v>
      </c>
      <c r="F45" s="87">
        <v>0</v>
      </c>
      <c r="G45" s="72">
        <v>0</v>
      </c>
      <c r="H45" s="72">
        <v>0</v>
      </c>
      <c r="I45" s="72"/>
      <c r="J45" s="72"/>
      <c r="K45" s="73">
        <v>332.85999999999899</v>
      </c>
      <c r="L45" s="73">
        <v>0</v>
      </c>
      <c r="M45" s="73">
        <f t="shared" si="1"/>
        <v>332.85999999999899</v>
      </c>
    </row>
    <row r="46" spans="1:13" x14ac:dyDescent="0.3">
      <c r="A46" s="70">
        <v>46065</v>
      </c>
      <c r="B46" s="71">
        <v>332.85999999999899</v>
      </c>
      <c r="C46" s="71">
        <f t="shared" si="2"/>
        <v>332.85999999999899</v>
      </c>
      <c r="D46" s="71">
        <v>0</v>
      </c>
      <c r="E46" s="87">
        <v>0</v>
      </c>
      <c r="F46" s="87">
        <v>0</v>
      </c>
      <c r="G46" s="72">
        <v>0</v>
      </c>
      <c r="H46" s="72">
        <v>0</v>
      </c>
      <c r="I46" s="72"/>
      <c r="J46" s="72"/>
      <c r="K46" s="73">
        <v>332.85999999999899</v>
      </c>
      <c r="L46" s="73">
        <v>0</v>
      </c>
      <c r="M46" s="73">
        <f t="shared" si="1"/>
        <v>332.85999999999899</v>
      </c>
    </row>
    <row r="47" spans="1:13" x14ac:dyDescent="0.3">
      <c r="A47" s="70">
        <v>46066</v>
      </c>
      <c r="B47" s="71">
        <v>332.85999999999899</v>
      </c>
      <c r="C47" s="71">
        <f t="shared" si="2"/>
        <v>332.85999999999899</v>
      </c>
      <c r="D47" s="71">
        <v>0</v>
      </c>
      <c r="E47" s="87">
        <v>85</v>
      </c>
      <c r="F47" s="87">
        <v>0</v>
      </c>
      <c r="G47" s="72">
        <v>0</v>
      </c>
      <c r="H47" s="72">
        <v>0</v>
      </c>
      <c r="I47" s="72"/>
      <c r="J47" s="72"/>
      <c r="K47" s="73">
        <v>417.85999999999899</v>
      </c>
      <c r="L47" s="73">
        <v>0</v>
      </c>
      <c r="M47" s="73">
        <f t="shared" si="1"/>
        <v>417.85999999999899</v>
      </c>
    </row>
    <row r="48" spans="1:13" x14ac:dyDescent="0.3">
      <c r="A48" s="70">
        <v>46067</v>
      </c>
      <c r="B48" s="71">
        <v>417.85999999999899</v>
      </c>
      <c r="C48" s="71">
        <f t="shared" si="2"/>
        <v>417.85999999999899</v>
      </c>
      <c r="D48" s="71">
        <v>0</v>
      </c>
      <c r="E48" s="87">
        <v>0</v>
      </c>
      <c r="F48" s="87">
        <v>11.25</v>
      </c>
      <c r="G48" s="72">
        <v>0</v>
      </c>
      <c r="H48" s="72">
        <v>0</v>
      </c>
      <c r="I48" s="72"/>
      <c r="J48" s="72"/>
      <c r="K48" s="73">
        <v>429.10999999999899</v>
      </c>
      <c r="L48" s="73">
        <v>0</v>
      </c>
      <c r="M48" s="73">
        <f t="shared" si="1"/>
        <v>429.10999999999899</v>
      </c>
    </row>
    <row r="49" spans="1:13" x14ac:dyDescent="0.3">
      <c r="A49" s="70">
        <v>46068</v>
      </c>
      <c r="B49" s="71">
        <v>429.10999999999899</v>
      </c>
      <c r="C49" s="71">
        <f t="shared" si="2"/>
        <v>429.10999999999899</v>
      </c>
      <c r="D49" s="71">
        <v>0</v>
      </c>
      <c r="E49" s="87">
        <v>0</v>
      </c>
      <c r="F49" s="87">
        <v>0</v>
      </c>
      <c r="G49" s="72">
        <v>0</v>
      </c>
      <c r="H49" s="72">
        <v>0</v>
      </c>
      <c r="I49" s="72"/>
      <c r="J49" s="72"/>
      <c r="K49" s="73">
        <v>429.10999999999899</v>
      </c>
      <c r="L49" s="73">
        <v>0</v>
      </c>
      <c r="M49" s="73">
        <f t="shared" si="1"/>
        <v>429.10999999999899</v>
      </c>
    </row>
    <row r="50" spans="1:13" x14ac:dyDescent="0.3">
      <c r="A50" s="70">
        <v>46069</v>
      </c>
      <c r="B50" s="71">
        <v>429.10999999999899</v>
      </c>
      <c r="C50" s="71">
        <f t="shared" si="2"/>
        <v>429.10999999999899</v>
      </c>
      <c r="D50" s="71">
        <v>0</v>
      </c>
      <c r="E50" s="87">
        <v>0</v>
      </c>
      <c r="F50" s="87">
        <v>0</v>
      </c>
      <c r="G50" s="72">
        <v>-30</v>
      </c>
      <c r="H50" s="72">
        <v>0</v>
      </c>
      <c r="I50" s="72"/>
      <c r="J50" s="72"/>
      <c r="K50" s="73">
        <v>399.10999999999899</v>
      </c>
      <c r="L50" s="73">
        <v>0</v>
      </c>
      <c r="M50" s="73">
        <f t="shared" si="1"/>
        <v>399.10999999999899</v>
      </c>
    </row>
    <row r="51" spans="1:13" x14ac:dyDescent="0.3">
      <c r="A51" s="70">
        <v>46070</v>
      </c>
      <c r="B51" s="71">
        <v>399.10999999999899</v>
      </c>
      <c r="C51" s="71">
        <f t="shared" si="2"/>
        <v>399.10999999999899</v>
      </c>
      <c r="D51" s="71">
        <v>0</v>
      </c>
      <c r="E51" s="87">
        <v>0</v>
      </c>
      <c r="F51" s="87">
        <v>0</v>
      </c>
      <c r="G51" s="72">
        <v>0</v>
      </c>
      <c r="H51" s="72">
        <v>-44.99</v>
      </c>
      <c r="I51" s="72"/>
      <c r="J51" s="72"/>
      <c r="K51" s="73">
        <v>354.11999999999898</v>
      </c>
      <c r="L51" s="73">
        <v>0</v>
      </c>
      <c r="M51" s="73">
        <f t="shared" si="1"/>
        <v>354.11999999999898</v>
      </c>
    </row>
    <row r="52" spans="1:13" x14ac:dyDescent="0.3">
      <c r="A52" s="70">
        <v>46071</v>
      </c>
      <c r="B52" s="71">
        <v>354.11999999999898</v>
      </c>
      <c r="C52" s="71">
        <f t="shared" si="2"/>
        <v>354.11999999999898</v>
      </c>
      <c r="D52" s="71">
        <v>0</v>
      </c>
      <c r="E52" s="87">
        <v>0</v>
      </c>
      <c r="F52" s="87">
        <v>0</v>
      </c>
      <c r="G52" s="72">
        <v>0</v>
      </c>
      <c r="H52" s="72">
        <v>0</v>
      </c>
      <c r="I52" s="72"/>
      <c r="J52" s="72"/>
      <c r="K52" s="73">
        <v>354.11999999999898</v>
      </c>
      <c r="L52" s="73">
        <v>0</v>
      </c>
      <c r="M52" s="73">
        <f t="shared" si="1"/>
        <v>354.11999999999898</v>
      </c>
    </row>
    <row r="53" spans="1:13" x14ac:dyDescent="0.3">
      <c r="A53" s="70">
        <v>46072</v>
      </c>
      <c r="B53" s="71">
        <v>354.11999999999898</v>
      </c>
      <c r="C53" s="71">
        <f t="shared" si="2"/>
        <v>354.11999999999898</v>
      </c>
      <c r="D53" s="71">
        <v>0</v>
      </c>
      <c r="E53" s="87">
        <v>0</v>
      </c>
      <c r="F53" s="87">
        <v>0</v>
      </c>
      <c r="G53" s="72">
        <v>0</v>
      </c>
      <c r="H53" s="72">
        <v>0</v>
      </c>
      <c r="I53" s="72"/>
      <c r="J53" s="72"/>
      <c r="K53" s="73">
        <v>354.11999999999898</v>
      </c>
      <c r="L53" s="73">
        <v>0</v>
      </c>
      <c r="M53" s="73">
        <f t="shared" si="1"/>
        <v>354.11999999999898</v>
      </c>
    </row>
    <row r="54" spans="1:13" x14ac:dyDescent="0.3">
      <c r="A54" s="70">
        <v>46073</v>
      </c>
      <c r="B54" s="71">
        <v>354.11999999999898</v>
      </c>
      <c r="C54" s="71">
        <f t="shared" si="2"/>
        <v>354.11999999999898</v>
      </c>
      <c r="D54" s="71">
        <v>0</v>
      </c>
      <c r="E54" s="87">
        <v>0</v>
      </c>
      <c r="F54" s="87">
        <v>0</v>
      </c>
      <c r="G54" s="72">
        <v>0</v>
      </c>
      <c r="H54" s="72">
        <v>0</v>
      </c>
      <c r="I54" s="72"/>
      <c r="J54" s="72"/>
      <c r="K54" s="73">
        <v>354.11999999999898</v>
      </c>
      <c r="L54" s="73">
        <v>0</v>
      </c>
      <c r="M54" s="73">
        <f t="shared" si="1"/>
        <v>354.11999999999898</v>
      </c>
    </row>
    <row r="55" spans="1:13" x14ac:dyDescent="0.3">
      <c r="A55" s="70">
        <v>46074</v>
      </c>
      <c r="B55" s="71">
        <v>354.11999999999898</v>
      </c>
      <c r="C55" s="71">
        <f t="shared" si="2"/>
        <v>354.11999999999898</v>
      </c>
      <c r="D55" s="71">
        <v>0</v>
      </c>
      <c r="E55" s="87">
        <v>0</v>
      </c>
      <c r="F55" s="87">
        <v>0</v>
      </c>
      <c r="G55" s="72">
        <v>0</v>
      </c>
      <c r="H55" s="72">
        <v>0</v>
      </c>
      <c r="I55" s="72"/>
      <c r="J55" s="72"/>
      <c r="K55" s="73">
        <v>354.11999999999898</v>
      </c>
      <c r="L55" s="73">
        <v>0</v>
      </c>
      <c r="M55" s="73">
        <f t="shared" si="1"/>
        <v>354.11999999999898</v>
      </c>
    </row>
    <row r="56" spans="1:13" x14ac:dyDescent="0.3">
      <c r="A56" s="70">
        <v>46075</v>
      </c>
      <c r="B56" s="71">
        <v>354.11999999999898</v>
      </c>
      <c r="C56" s="71">
        <f t="shared" si="2"/>
        <v>354.11999999999898</v>
      </c>
      <c r="D56" s="71">
        <v>0</v>
      </c>
      <c r="E56" s="87">
        <v>0</v>
      </c>
      <c r="F56" s="87">
        <v>0</v>
      </c>
      <c r="G56" s="72">
        <v>0</v>
      </c>
      <c r="H56" s="72">
        <v>0</v>
      </c>
      <c r="I56" s="72"/>
      <c r="J56" s="72"/>
      <c r="K56" s="73">
        <v>354.11999999999898</v>
      </c>
      <c r="L56" s="73">
        <v>0</v>
      </c>
      <c r="M56" s="73">
        <f t="shared" si="1"/>
        <v>354.11999999999898</v>
      </c>
    </row>
    <row r="57" spans="1:13" x14ac:dyDescent="0.3">
      <c r="A57" s="70">
        <v>46076</v>
      </c>
      <c r="B57" s="71">
        <v>354.11999999999898</v>
      </c>
      <c r="C57" s="71">
        <f t="shared" si="2"/>
        <v>354.11999999999898</v>
      </c>
      <c r="D57" s="71">
        <v>0</v>
      </c>
      <c r="E57" s="87">
        <v>0</v>
      </c>
      <c r="F57" s="87">
        <v>0</v>
      </c>
      <c r="G57" s="72">
        <v>0</v>
      </c>
      <c r="H57" s="72">
        <v>0</v>
      </c>
      <c r="I57" s="72"/>
      <c r="J57" s="72"/>
      <c r="K57" s="73">
        <v>354.11999999999898</v>
      </c>
      <c r="L57" s="73">
        <v>0</v>
      </c>
      <c r="M57" s="73">
        <f t="shared" si="1"/>
        <v>354.11999999999898</v>
      </c>
    </row>
    <row r="58" spans="1:13" x14ac:dyDescent="0.3">
      <c r="A58" s="70">
        <v>46077</v>
      </c>
      <c r="B58" s="71">
        <v>354.11999999999898</v>
      </c>
      <c r="C58" s="71">
        <f t="shared" si="2"/>
        <v>354.11999999999898</v>
      </c>
      <c r="D58" s="71">
        <v>0</v>
      </c>
      <c r="E58" s="87">
        <v>0</v>
      </c>
      <c r="F58" s="87">
        <v>0</v>
      </c>
      <c r="G58" s="72">
        <v>0</v>
      </c>
      <c r="H58" s="72">
        <v>0</v>
      </c>
      <c r="I58" s="72"/>
      <c r="J58" s="72"/>
      <c r="K58" s="73">
        <v>354.11999999999898</v>
      </c>
      <c r="L58" s="73">
        <v>0</v>
      </c>
      <c r="M58" s="73">
        <f t="shared" si="1"/>
        <v>354.11999999999898</v>
      </c>
    </row>
    <row r="59" spans="1:13" x14ac:dyDescent="0.3">
      <c r="A59" s="70">
        <v>46078</v>
      </c>
      <c r="B59" s="71">
        <v>354.11999999999898</v>
      </c>
      <c r="C59" s="71">
        <f t="shared" si="2"/>
        <v>354.11999999999898</v>
      </c>
      <c r="D59" s="71">
        <v>0</v>
      </c>
      <c r="E59" s="87">
        <v>0</v>
      </c>
      <c r="F59" s="87">
        <v>0</v>
      </c>
      <c r="G59" s="72">
        <v>0</v>
      </c>
      <c r="H59" s="72">
        <v>0</v>
      </c>
      <c r="I59" s="72"/>
      <c r="J59" s="72"/>
      <c r="K59" s="73">
        <v>354.11999999999898</v>
      </c>
      <c r="L59" s="73">
        <v>0</v>
      </c>
      <c r="M59" s="73">
        <f t="shared" si="1"/>
        <v>354.11999999999898</v>
      </c>
    </row>
    <row r="60" spans="1:13" x14ac:dyDescent="0.3">
      <c r="A60" s="70">
        <v>46079</v>
      </c>
      <c r="B60" s="71">
        <v>354.11999999999898</v>
      </c>
      <c r="C60" s="71">
        <f t="shared" si="2"/>
        <v>354.11999999999898</v>
      </c>
      <c r="D60" s="71">
        <v>0</v>
      </c>
      <c r="E60" s="87">
        <v>0</v>
      </c>
      <c r="F60" s="87">
        <v>0</v>
      </c>
      <c r="G60" s="72">
        <v>0</v>
      </c>
      <c r="H60" s="72">
        <v>0</v>
      </c>
      <c r="I60" s="72"/>
      <c r="J60" s="72"/>
      <c r="K60" s="73">
        <v>354.11999999999898</v>
      </c>
      <c r="L60" s="73">
        <v>0</v>
      </c>
      <c r="M60" s="73">
        <f t="shared" si="1"/>
        <v>354.11999999999898</v>
      </c>
    </row>
    <row r="61" spans="1:13" x14ac:dyDescent="0.3">
      <c r="A61" s="70">
        <v>46080</v>
      </c>
      <c r="B61" s="71">
        <v>354.11999999999898</v>
      </c>
      <c r="C61" s="71">
        <f t="shared" si="2"/>
        <v>354.11999999999898</v>
      </c>
      <c r="D61" s="71">
        <v>0</v>
      </c>
      <c r="E61" s="87">
        <v>85</v>
      </c>
      <c r="F61" s="87">
        <v>0</v>
      </c>
      <c r="G61" s="72">
        <v>0</v>
      </c>
      <c r="H61" s="72">
        <v>0</v>
      </c>
      <c r="I61" s="72"/>
      <c r="J61" s="72"/>
      <c r="K61" s="73">
        <v>439.11999999999898</v>
      </c>
      <c r="L61" s="73">
        <v>0</v>
      </c>
      <c r="M61" s="73">
        <f t="shared" si="1"/>
        <v>439.11999999999898</v>
      </c>
    </row>
    <row r="62" spans="1:13" x14ac:dyDescent="0.3">
      <c r="A62" s="70">
        <v>46081</v>
      </c>
      <c r="B62" s="71">
        <v>439.11999999999898</v>
      </c>
      <c r="C62" s="71">
        <f t="shared" si="2"/>
        <v>439.11999999999898</v>
      </c>
      <c r="D62" s="71">
        <v>0</v>
      </c>
      <c r="E62" s="87">
        <v>0</v>
      </c>
      <c r="F62" s="87">
        <v>0</v>
      </c>
      <c r="G62" s="72">
        <v>0</v>
      </c>
      <c r="H62" s="72">
        <v>0</v>
      </c>
      <c r="I62" s="72"/>
      <c r="J62" s="72"/>
      <c r="K62" s="73">
        <v>439.11999999999898</v>
      </c>
      <c r="L62" s="73">
        <v>0</v>
      </c>
      <c r="M62" s="73">
        <f t="shared" si="1"/>
        <v>439.11999999999898</v>
      </c>
    </row>
    <row r="63" spans="1:13" x14ac:dyDescent="0.3">
      <c r="A63" s="70">
        <v>46082</v>
      </c>
      <c r="B63" s="71">
        <v>439.11999999999898</v>
      </c>
      <c r="C63" s="71">
        <f t="shared" si="2"/>
        <v>439.11999999999898</v>
      </c>
      <c r="D63" s="71">
        <v>0</v>
      </c>
      <c r="E63" s="87">
        <v>0</v>
      </c>
      <c r="F63" s="87">
        <v>11.25</v>
      </c>
      <c r="G63" s="72">
        <v>0</v>
      </c>
      <c r="H63" s="72">
        <v>0</v>
      </c>
      <c r="I63" s="72"/>
      <c r="J63" s="72"/>
      <c r="K63" s="73">
        <v>450.36999999999898</v>
      </c>
      <c r="L63" s="73">
        <v>0</v>
      </c>
      <c r="M63" s="73">
        <f t="shared" si="1"/>
        <v>450.36999999999898</v>
      </c>
    </row>
    <row r="64" spans="1:13" x14ac:dyDescent="0.3">
      <c r="A64" s="70">
        <v>46083</v>
      </c>
      <c r="B64" s="71">
        <v>450.36999999999898</v>
      </c>
      <c r="C64" s="71">
        <f t="shared" si="2"/>
        <v>450.36999999999898</v>
      </c>
      <c r="D64" s="71">
        <v>0</v>
      </c>
      <c r="E64" s="87">
        <v>0</v>
      </c>
      <c r="F64" s="87">
        <v>0</v>
      </c>
      <c r="G64" s="72">
        <v>0</v>
      </c>
      <c r="H64" s="72">
        <v>0</v>
      </c>
      <c r="I64" s="72"/>
      <c r="J64" s="72"/>
      <c r="K64" s="73">
        <v>450.36999999999898</v>
      </c>
      <c r="L64" s="73">
        <v>0</v>
      </c>
      <c r="M64" s="73">
        <f t="shared" si="1"/>
        <v>450.36999999999898</v>
      </c>
    </row>
    <row r="65" spans="1:13" x14ac:dyDescent="0.3">
      <c r="A65" s="70">
        <v>46084</v>
      </c>
      <c r="B65" s="71">
        <v>450.36999999999898</v>
      </c>
      <c r="C65" s="71">
        <f t="shared" si="2"/>
        <v>450.36999999999898</v>
      </c>
      <c r="D65" s="71">
        <v>0</v>
      </c>
      <c r="E65" s="87">
        <v>0</v>
      </c>
      <c r="F65" s="87">
        <v>0</v>
      </c>
      <c r="G65" s="72">
        <v>0</v>
      </c>
      <c r="H65" s="72">
        <v>0</v>
      </c>
      <c r="I65" s="72"/>
      <c r="J65" s="72"/>
      <c r="K65" s="73">
        <v>450.36999999999898</v>
      </c>
      <c r="L65" s="73">
        <v>0</v>
      </c>
      <c r="M65" s="73">
        <f t="shared" si="1"/>
        <v>450.36999999999898</v>
      </c>
    </row>
    <row r="66" spans="1:13" x14ac:dyDescent="0.3">
      <c r="A66" s="70">
        <v>46085</v>
      </c>
      <c r="B66" s="71">
        <v>450.36999999999898</v>
      </c>
      <c r="C66" s="71">
        <f t="shared" si="2"/>
        <v>450.36999999999898</v>
      </c>
      <c r="D66" s="71">
        <v>0</v>
      </c>
      <c r="E66" s="87">
        <v>0</v>
      </c>
      <c r="F66" s="87">
        <v>0</v>
      </c>
      <c r="G66" s="72">
        <v>0</v>
      </c>
      <c r="H66" s="72">
        <v>0</v>
      </c>
      <c r="I66" s="72"/>
      <c r="J66" s="72"/>
      <c r="K66" s="73">
        <v>450.36999999999898</v>
      </c>
      <c r="L66" s="73">
        <v>0</v>
      </c>
      <c r="M66" s="73">
        <f t="shared" si="1"/>
        <v>450.36999999999898</v>
      </c>
    </row>
    <row r="67" spans="1:13" x14ac:dyDescent="0.3">
      <c r="A67" s="70">
        <v>46086</v>
      </c>
      <c r="B67" s="71">
        <v>450.36999999999898</v>
      </c>
      <c r="C67" s="71">
        <f t="shared" ref="C67:C130" si="3">K66</f>
        <v>450.36999999999898</v>
      </c>
      <c r="D67" s="71">
        <v>0</v>
      </c>
      <c r="E67" s="87">
        <v>0</v>
      </c>
      <c r="F67" s="87">
        <v>0</v>
      </c>
      <c r="G67" s="72">
        <v>0</v>
      </c>
      <c r="H67" s="72">
        <v>0</v>
      </c>
      <c r="I67" s="72"/>
      <c r="J67" s="72"/>
      <c r="K67" s="73">
        <v>450.36999999999898</v>
      </c>
      <c r="L67" s="73">
        <v>0</v>
      </c>
      <c r="M67" s="73">
        <f t="shared" si="1"/>
        <v>450.36999999999898</v>
      </c>
    </row>
    <row r="68" spans="1:13" x14ac:dyDescent="0.3">
      <c r="A68" s="70">
        <v>46087</v>
      </c>
      <c r="B68" s="71">
        <v>450.36999999999898</v>
      </c>
      <c r="C68" s="71">
        <f t="shared" si="3"/>
        <v>450.36999999999898</v>
      </c>
      <c r="D68" s="71">
        <v>0</v>
      </c>
      <c r="E68" s="87">
        <v>0</v>
      </c>
      <c r="F68" s="87">
        <v>0</v>
      </c>
      <c r="G68" s="72">
        <v>0</v>
      </c>
      <c r="H68" s="72">
        <v>0</v>
      </c>
      <c r="I68" s="72"/>
      <c r="J68" s="72"/>
      <c r="K68" s="73">
        <v>450.36999999999898</v>
      </c>
      <c r="L68" s="73">
        <v>0</v>
      </c>
      <c r="M68" s="73">
        <f t="shared" ref="M68:M131" si="4">K68+L68</f>
        <v>450.36999999999898</v>
      </c>
    </row>
    <row r="69" spans="1:13" x14ac:dyDescent="0.3">
      <c r="A69" s="70">
        <v>46088</v>
      </c>
      <c r="B69" s="71">
        <v>450.36999999999898</v>
      </c>
      <c r="C69" s="71">
        <f t="shared" si="3"/>
        <v>450.36999999999898</v>
      </c>
      <c r="D69" s="71">
        <v>0</v>
      </c>
      <c r="E69" s="87">
        <v>0</v>
      </c>
      <c r="F69" s="87">
        <v>0</v>
      </c>
      <c r="G69" s="72">
        <v>0</v>
      </c>
      <c r="H69" s="72">
        <v>0</v>
      </c>
      <c r="I69" s="72"/>
      <c r="J69" s="72"/>
      <c r="K69" s="73">
        <v>450.36999999999898</v>
      </c>
      <c r="L69" s="73">
        <v>0</v>
      </c>
      <c r="M69" s="73">
        <f t="shared" si="4"/>
        <v>450.36999999999898</v>
      </c>
    </row>
    <row r="70" spans="1:13" x14ac:dyDescent="0.3">
      <c r="A70" s="70">
        <v>46089</v>
      </c>
      <c r="B70" s="71">
        <v>450.36999999999898</v>
      </c>
      <c r="C70" s="71">
        <f t="shared" si="3"/>
        <v>450.36999999999898</v>
      </c>
      <c r="D70" s="71">
        <v>0</v>
      </c>
      <c r="E70" s="87">
        <v>0</v>
      </c>
      <c r="F70" s="87">
        <v>0</v>
      </c>
      <c r="G70" s="72">
        <v>0</v>
      </c>
      <c r="H70" s="72">
        <v>0</v>
      </c>
      <c r="I70" s="72"/>
      <c r="J70" s="72"/>
      <c r="K70" s="73">
        <v>450.36999999999898</v>
      </c>
      <c r="L70" s="73">
        <v>0</v>
      </c>
      <c r="M70" s="73">
        <f t="shared" si="4"/>
        <v>450.36999999999898</v>
      </c>
    </row>
    <row r="71" spans="1:13" x14ac:dyDescent="0.3">
      <c r="A71" s="70">
        <v>46090</v>
      </c>
      <c r="B71" s="71">
        <v>450.36999999999898</v>
      </c>
      <c r="C71" s="71">
        <f t="shared" si="3"/>
        <v>450.36999999999898</v>
      </c>
      <c r="D71" s="71">
        <v>0</v>
      </c>
      <c r="E71" s="87">
        <v>0</v>
      </c>
      <c r="F71" s="87">
        <v>0</v>
      </c>
      <c r="G71" s="72">
        <v>0</v>
      </c>
      <c r="H71" s="72">
        <v>0</v>
      </c>
      <c r="I71" s="72"/>
      <c r="J71" s="72"/>
      <c r="K71" s="73">
        <v>450.36999999999898</v>
      </c>
      <c r="L71" s="73">
        <v>0</v>
      </c>
      <c r="M71" s="73">
        <f t="shared" si="4"/>
        <v>450.36999999999898</v>
      </c>
    </row>
    <row r="72" spans="1:13" x14ac:dyDescent="0.3">
      <c r="A72" s="70">
        <v>46091</v>
      </c>
      <c r="B72" s="71">
        <v>450.36999999999898</v>
      </c>
      <c r="C72" s="71">
        <f t="shared" si="3"/>
        <v>450.36999999999898</v>
      </c>
      <c r="D72" s="71">
        <v>0</v>
      </c>
      <c r="E72" s="87">
        <v>0</v>
      </c>
      <c r="F72" s="87">
        <v>0</v>
      </c>
      <c r="G72" s="72">
        <v>0</v>
      </c>
      <c r="H72" s="72">
        <v>0</v>
      </c>
      <c r="I72" s="72"/>
      <c r="J72" s="72"/>
      <c r="K72" s="73">
        <v>450.36999999999898</v>
      </c>
      <c r="L72" s="73">
        <v>0</v>
      </c>
      <c r="M72" s="73">
        <f t="shared" si="4"/>
        <v>450.36999999999898</v>
      </c>
    </row>
    <row r="73" spans="1:13" x14ac:dyDescent="0.3">
      <c r="A73" s="70">
        <v>46092</v>
      </c>
      <c r="B73" s="71">
        <v>450.36999999999898</v>
      </c>
      <c r="C73" s="71">
        <f t="shared" si="3"/>
        <v>450.36999999999898</v>
      </c>
      <c r="D73" s="71">
        <v>0</v>
      </c>
      <c r="E73" s="87">
        <v>0</v>
      </c>
      <c r="F73" s="87">
        <v>0</v>
      </c>
      <c r="G73" s="72">
        <v>0</v>
      </c>
      <c r="H73" s="72">
        <v>0</v>
      </c>
      <c r="I73" s="72"/>
      <c r="J73" s="72"/>
      <c r="K73" s="73">
        <v>450.36999999999898</v>
      </c>
      <c r="L73" s="73">
        <v>0</v>
      </c>
      <c r="M73" s="73">
        <f t="shared" si="4"/>
        <v>450.36999999999898</v>
      </c>
    </row>
    <row r="74" spans="1:13" x14ac:dyDescent="0.3">
      <c r="A74" s="70">
        <v>46093</v>
      </c>
      <c r="B74" s="71">
        <v>450.36999999999898</v>
      </c>
      <c r="C74" s="71">
        <f t="shared" si="3"/>
        <v>450.36999999999898</v>
      </c>
      <c r="D74" s="71">
        <v>0</v>
      </c>
      <c r="E74" s="87">
        <v>0</v>
      </c>
      <c r="F74" s="87">
        <v>0</v>
      </c>
      <c r="G74" s="72">
        <v>0</v>
      </c>
      <c r="H74" s="72">
        <v>0</v>
      </c>
      <c r="I74" s="72"/>
      <c r="J74" s="72"/>
      <c r="K74" s="73">
        <v>450.36999999999898</v>
      </c>
      <c r="L74" s="73">
        <v>0</v>
      </c>
      <c r="M74" s="73">
        <f t="shared" si="4"/>
        <v>450.36999999999898</v>
      </c>
    </row>
    <row r="75" spans="1:13" x14ac:dyDescent="0.3">
      <c r="A75" s="70">
        <v>46094</v>
      </c>
      <c r="B75" s="71">
        <v>450.36999999999898</v>
      </c>
      <c r="C75" s="71">
        <f t="shared" si="3"/>
        <v>450.36999999999898</v>
      </c>
      <c r="D75" s="71">
        <v>0</v>
      </c>
      <c r="E75" s="87">
        <v>85</v>
      </c>
      <c r="F75" s="87">
        <v>0</v>
      </c>
      <c r="G75" s="72">
        <v>0</v>
      </c>
      <c r="H75" s="72">
        <v>0</v>
      </c>
      <c r="I75" s="72"/>
      <c r="J75" s="72"/>
      <c r="K75" s="73">
        <v>535.36999999999898</v>
      </c>
      <c r="L75" s="73">
        <v>0</v>
      </c>
      <c r="M75" s="73">
        <f t="shared" si="4"/>
        <v>535.36999999999898</v>
      </c>
    </row>
    <row r="76" spans="1:13" x14ac:dyDescent="0.3">
      <c r="A76" s="70">
        <v>46095</v>
      </c>
      <c r="B76" s="71">
        <v>535.36999999999898</v>
      </c>
      <c r="C76" s="71">
        <f t="shared" si="3"/>
        <v>535.36999999999898</v>
      </c>
      <c r="D76" s="71">
        <v>0</v>
      </c>
      <c r="E76" s="87">
        <v>0</v>
      </c>
      <c r="F76" s="87">
        <v>11.25</v>
      </c>
      <c r="G76" s="72">
        <v>0</v>
      </c>
      <c r="H76" s="72">
        <v>0</v>
      </c>
      <c r="I76" s="72"/>
      <c r="J76" s="72"/>
      <c r="K76" s="73">
        <v>546.61999999999898</v>
      </c>
      <c r="L76" s="73">
        <v>0</v>
      </c>
      <c r="M76" s="73">
        <f t="shared" si="4"/>
        <v>546.61999999999898</v>
      </c>
    </row>
    <row r="77" spans="1:13" x14ac:dyDescent="0.3">
      <c r="A77" s="70">
        <v>46096</v>
      </c>
      <c r="B77" s="71">
        <v>546.61999999999898</v>
      </c>
      <c r="C77" s="71">
        <f t="shared" si="3"/>
        <v>546.61999999999898</v>
      </c>
      <c r="D77" s="71">
        <v>0</v>
      </c>
      <c r="E77" s="87">
        <v>0</v>
      </c>
      <c r="F77" s="87">
        <v>0</v>
      </c>
      <c r="G77" s="72">
        <v>0</v>
      </c>
      <c r="H77" s="72">
        <v>0</v>
      </c>
      <c r="I77" s="72"/>
      <c r="J77" s="72"/>
      <c r="K77" s="73">
        <v>546.61999999999898</v>
      </c>
      <c r="L77" s="73">
        <v>0</v>
      </c>
      <c r="M77" s="73">
        <f t="shared" si="4"/>
        <v>546.61999999999898</v>
      </c>
    </row>
    <row r="78" spans="1:13" x14ac:dyDescent="0.3">
      <c r="A78" s="70">
        <v>46097</v>
      </c>
      <c r="B78" s="71">
        <v>546.61999999999898</v>
      </c>
      <c r="C78" s="71">
        <f t="shared" si="3"/>
        <v>546.61999999999898</v>
      </c>
      <c r="D78" s="71">
        <v>0</v>
      </c>
      <c r="E78" s="87">
        <v>0</v>
      </c>
      <c r="F78" s="87">
        <v>0</v>
      </c>
      <c r="G78" s="72">
        <v>-30</v>
      </c>
      <c r="H78" s="72">
        <v>0</v>
      </c>
      <c r="I78" s="72"/>
      <c r="J78" s="72"/>
      <c r="K78" s="73">
        <v>516.61999999999898</v>
      </c>
      <c r="L78" s="73">
        <v>0</v>
      </c>
      <c r="M78" s="73">
        <f t="shared" si="4"/>
        <v>516.61999999999898</v>
      </c>
    </row>
    <row r="79" spans="1:13" x14ac:dyDescent="0.3">
      <c r="A79" s="70">
        <v>46098</v>
      </c>
      <c r="B79" s="71">
        <v>516.61999999999898</v>
      </c>
      <c r="C79" s="71">
        <f t="shared" si="3"/>
        <v>516.61999999999898</v>
      </c>
      <c r="D79" s="71">
        <v>0</v>
      </c>
      <c r="E79" s="87">
        <v>0</v>
      </c>
      <c r="F79" s="87">
        <v>0</v>
      </c>
      <c r="G79" s="72">
        <v>0</v>
      </c>
      <c r="H79" s="72">
        <v>-44.99</v>
      </c>
      <c r="I79" s="72"/>
      <c r="J79" s="72"/>
      <c r="K79" s="73">
        <v>471.62999999999897</v>
      </c>
      <c r="L79" s="73">
        <v>0</v>
      </c>
      <c r="M79" s="73">
        <f t="shared" si="4"/>
        <v>471.62999999999897</v>
      </c>
    </row>
    <row r="80" spans="1:13" x14ac:dyDescent="0.3">
      <c r="A80" s="70">
        <v>46099</v>
      </c>
      <c r="B80" s="71">
        <v>471.62999999999897</v>
      </c>
      <c r="C80" s="71">
        <f t="shared" si="3"/>
        <v>471.62999999999897</v>
      </c>
      <c r="D80" s="71">
        <v>0</v>
      </c>
      <c r="E80" s="87">
        <v>0</v>
      </c>
      <c r="F80" s="87">
        <v>0</v>
      </c>
      <c r="G80" s="72">
        <v>0</v>
      </c>
      <c r="H80" s="72">
        <v>0</v>
      </c>
      <c r="I80" s="72"/>
      <c r="J80" s="72"/>
      <c r="K80" s="73">
        <v>471.62999999999897</v>
      </c>
      <c r="L80" s="73">
        <v>0</v>
      </c>
      <c r="M80" s="73">
        <f t="shared" si="4"/>
        <v>471.62999999999897</v>
      </c>
    </row>
    <row r="81" spans="1:13" x14ac:dyDescent="0.3">
      <c r="A81" s="70">
        <v>46100</v>
      </c>
      <c r="B81" s="71">
        <v>471.62999999999897</v>
      </c>
      <c r="C81" s="71">
        <f t="shared" si="3"/>
        <v>471.62999999999897</v>
      </c>
      <c r="D81" s="71">
        <v>0</v>
      </c>
      <c r="E81" s="87">
        <v>0</v>
      </c>
      <c r="F81" s="87">
        <v>0</v>
      </c>
      <c r="G81" s="72">
        <v>0</v>
      </c>
      <c r="H81" s="72">
        <v>0</v>
      </c>
      <c r="I81" s="72"/>
      <c r="J81" s="72"/>
      <c r="K81" s="73">
        <v>471.62999999999897</v>
      </c>
      <c r="L81" s="73">
        <v>0</v>
      </c>
      <c r="M81" s="73">
        <f t="shared" si="4"/>
        <v>471.62999999999897</v>
      </c>
    </row>
    <row r="82" spans="1:13" x14ac:dyDescent="0.3">
      <c r="A82" s="70">
        <v>46101</v>
      </c>
      <c r="B82" s="71">
        <v>471.62999999999897</v>
      </c>
      <c r="C82" s="71">
        <f t="shared" si="3"/>
        <v>471.62999999999897</v>
      </c>
      <c r="D82" s="71">
        <v>0</v>
      </c>
      <c r="E82" s="87">
        <v>0</v>
      </c>
      <c r="F82" s="87">
        <v>0</v>
      </c>
      <c r="G82" s="72">
        <v>0</v>
      </c>
      <c r="H82" s="72">
        <v>0</v>
      </c>
      <c r="I82" s="72"/>
      <c r="J82" s="72"/>
      <c r="K82" s="73">
        <v>471.62999999999897</v>
      </c>
      <c r="L82" s="73">
        <v>0</v>
      </c>
      <c r="M82" s="73">
        <f t="shared" si="4"/>
        <v>471.62999999999897</v>
      </c>
    </row>
    <row r="83" spans="1:13" x14ac:dyDescent="0.3">
      <c r="A83" s="70">
        <v>46102</v>
      </c>
      <c r="B83" s="71">
        <v>471.62999999999897</v>
      </c>
      <c r="C83" s="71">
        <f t="shared" si="3"/>
        <v>471.62999999999897</v>
      </c>
      <c r="D83" s="71">
        <v>0</v>
      </c>
      <c r="E83" s="87">
        <v>0</v>
      </c>
      <c r="F83" s="87">
        <v>0</v>
      </c>
      <c r="G83" s="72">
        <v>0</v>
      </c>
      <c r="H83" s="72">
        <v>0</v>
      </c>
      <c r="I83" s="72"/>
      <c r="J83" s="72"/>
      <c r="K83" s="73">
        <v>471.62999999999897</v>
      </c>
      <c r="L83" s="73">
        <v>0</v>
      </c>
      <c r="M83" s="73">
        <f t="shared" si="4"/>
        <v>471.62999999999897</v>
      </c>
    </row>
    <row r="84" spans="1:13" x14ac:dyDescent="0.3">
      <c r="A84" s="70">
        <v>46103</v>
      </c>
      <c r="B84" s="71">
        <v>471.62999999999897</v>
      </c>
      <c r="C84" s="71">
        <f t="shared" si="3"/>
        <v>471.62999999999897</v>
      </c>
      <c r="D84" s="71">
        <v>0</v>
      </c>
      <c r="E84" s="87">
        <v>0</v>
      </c>
      <c r="F84" s="87">
        <v>0</v>
      </c>
      <c r="G84" s="72">
        <v>0</v>
      </c>
      <c r="H84" s="72">
        <v>0</v>
      </c>
      <c r="I84" s="72"/>
      <c r="J84" s="72"/>
      <c r="K84" s="73">
        <v>471.62999999999897</v>
      </c>
      <c r="L84" s="73">
        <v>0</v>
      </c>
      <c r="M84" s="73">
        <f t="shared" si="4"/>
        <v>471.62999999999897</v>
      </c>
    </row>
    <row r="85" spans="1:13" x14ac:dyDescent="0.3">
      <c r="A85" s="70">
        <v>46104</v>
      </c>
      <c r="B85" s="71">
        <v>471.62999999999897</v>
      </c>
      <c r="C85" s="71">
        <f t="shared" si="3"/>
        <v>471.62999999999897</v>
      </c>
      <c r="D85" s="71">
        <v>0</v>
      </c>
      <c r="E85" s="87">
        <v>0</v>
      </c>
      <c r="F85" s="87">
        <v>0</v>
      </c>
      <c r="G85" s="72">
        <v>0</v>
      </c>
      <c r="H85" s="72">
        <v>0</v>
      </c>
      <c r="I85" s="72"/>
      <c r="J85" s="72"/>
      <c r="K85" s="73">
        <v>471.62999999999897</v>
      </c>
      <c r="L85" s="73">
        <v>0</v>
      </c>
      <c r="M85" s="73">
        <f t="shared" si="4"/>
        <v>471.62999999999897</v>
      </c>
    </row>
    <row r="86" spans="1:13" x14ac:dyDescent="0.3">
      <c r="A86" s="70">
        <v>46105</v>
      </c>
      <c r="B86" s="71">
        <v>471.62999999999897</v>
      </c>
      <c r="C86" s="71">
        <f t="shared" si="3"/>
        <v>471.62999999999897</v>
      </c>
      <c r="D86" s="71">
        <v>0</v>
      </c>
      <c r="E86" s="87">
        <v>0</v>
      </c>
      <c r="F86" s="87">
        <v>0</v>
      </c>
      <c r="G86" s="72">
        <v>0</v>
      </c>
      <c r="H86" s="72">
        <v>0</v>
      </c>
      <c r="I86" s="72"/>
      <c r="J86" s="72"/>
      <c r="K86" s="73">
        <v>471.62999999999897</v>
      </c>
      <c r="L86" s="73">
        <v>0</v>
      </c>
      <c r="M86" s="73">
        <f t="shared" si="4"/>
        <v>471.62999999999897</v>
      </c>
    </row>
    <row r="87" spans="1:13" x14ac:dyDescent="0.3">
      <c r="A87" s="70">
        <v>46106</v>
      </c>
      <c r="B87" s="71">
        <v>471.62999999999897</v>
      </c>
      <c r="C87" s="71">
        <f t="shared" si="3"/>
        <v>471.62999999999897</v>
      </c>
      <c r="D87" s="71">
        <v>0</v>
      </c>
      <c r="E87" s="87">
        <v>0</v>
      </c>
      <c r="F87" s="87">
        <v>0</v>
      </c>
      <c r="G87" s="72">
        <v>0</v>
      </c>
      <c r="H87" s="72">
        <v>0</v>
      </c>
      <c r="I87" s="72"/>
      <c r="J87" s="72"/>
      <c r="K87" s="73">
        <v>471.62999999999897</v>
      </c>
      <c r="L87" s="73">
        <v>0</v>
      </c>
      <c r="M87" s="73">
        <f t="shared" si="4"/>
        <v>471.62999999999897</v>
      </c>
    </row>
    <row r="88" spans="1:13" x14ac:dyDescent="0.3">
      <c r="A88" s="70">
        <v>46107</v>
      </c>
      <c r="B88" s="71">
        <v>471.62999999999897</v>
      </c>
      <c r="C88" s="71">
        <f t="shared" si="3"/>
        <v>471.62999999999897</v>
      </c>
      <c r="D88" s="71">
        <v>0</v>
      </c>
      <c r="E88" s="87">
        <v>0</v>
      </c>
      <c r="F88" s="87">
        <v>0</v>
      </c>
      <c r="G88" s="72">
        <v>0</v>
      </c>
      <c r="H88" s="72">
        <v>0</v>
      </c>
      <c r="I88" s="72"/>
      <c r="J88" s="72"/>
      <c r="K88" s="73">
        <v>471.62999999999897</v>
      </c>
      <c r="L88" s="73">
        <v>0</v>
      </c>
      <c r="M88" s="73">
        <f t="shared" si="4"/>
        <v>471.62999999999897</v>
      </c>
    </row>
    <row r="89" spans="1:13" x14ac:dyDescent="0.3">
      <c r="A89" s="70">
        <v>46108</v>
      </c>
      <c r="B89" s="71">
        <v>471.62999999999897</v>
      </c>
      <c r="C89" s="71">
        <f t="shared" si="3"/>
        <v>471.62999999999897</v>
      </c>
      <c r="D89" s="71">
        <v>0</v>
      </c>
      <c r="E89" s="87">
        <v>0</v>
      </c>
      <c r="F89" s="87">
        <v>0</v>
      </c>
      <c r="G89" s="72">
        <v>0</v>
      </c>
      <c r="H89" s="72">
        <v>0</v>
      </c>
      <c r="I89" s="72"/>
      <c r="J89" s="72"/>
      <c r="K89" s="73">
        <v>471.62999999999897</v>
      </c>
      <c r="L89" s="73">
        <v>0</v>
      </c>
      <c r="M89" s="73">
        <f t="shared" si="4"/>
        <v>471.62999999999897</v>
      </c>
    </row>
    <row r="90" spans="1:13" x14ac:dyDescent="0.3">
      <c r="A90" s="70">
        <v>46109</v>
      </c>
      <c r="B90" s="71">
        <v>471.62999999999897</v>
      </c>
      <c r="C90" s="71">
        <f t="shared" si="3"/>
        <v>471.62999999999897</v>
      </c>
      <c r="D90" s="71">
        <v>0</v>
      </c>
      <c r="E90" s="87">
        <v>0</v>
      </c>
      <c r="F90" s="87">
        <v>0</v>
      </c>
      <c r="G90" s="72">
        <v>0</v>
      </c>
      <c r="H90" s="72">
        <v>0</v>
      </c>
      <c r="I90" s="72"/>
      <c r="J90" s="72"/>
      <c r="K90" s="73">
        <v>471.62999999999897</v>
      </c>
      <c r="L90" s="73">
        <v>0</v>
      </c>
      <c r="M90" s="73">
        <f t="shared" si="4"/>
        <v>471.62999999999897</v>
      </c>
    </row>
    <row r="91" spans="1:13" x14ac:dyDescent="0.3">
      <c r="A91" s="70">
        <v>46110</v>
      </c>
      <c r="B91" s="71">
        <v>471.62999999999897</v>
      </c>
      <c r="C91" s="71">
        <f t="shared" si="3"/>
        <v>471.62999999999897</v>
      </c>
      <c r="D91" s="71">
        <v>0</v>
      </c>
      <c r="E91" s="87">
        <v>0</v>
      </c>
      <c r="F91" s="87">
        <v>0</v>
      </c>
      <c r="G91" s="72">
        <v>0</v>
      </c>
      <c r="H91" s="72">
        <v>0</v>
      </c>
      <c r="I91" s="72"/>
      <c r="J91" s="72"/>
      <c r="K91" s="73">
        <v>471.62999999999897</v>
      </c>
      <c r="L91" s="73">
        <v>0</v>
      </c>
      <c r="M91" s="73">
        <f t="shared" si="4"/>
        <v>471.62999999999897</v>
      </c>
    </row>
    <row r="92" spans="1:13" x14ac:dyDescent="0.3">
      <c r="A92" s="70">
        <v>46111</v>
      </c>
      <c r="B92" s="71">
        <v>471.62999999999897</v>
      </c>
      <c r="C92" s="71">
        <f t="shared" si="3"/>
        <v>471.62999999999897</v>
      </c>
      <c r="D92" s="71">
        <v>0</v>
      </c>
      <c r="E92" s="87">
        <v>85</v>
      </c>
      <c r="F92" s="87">
        <v>0</v>
      </c>
      <c r="G92" s="72">
        <v>0</v>
      </c>
      <c r="H92" s="72">
        <v>0</v>
      </c>
      <c r="I92" s="72"/>
      <c r="J92" s="72"/>
      <c r="K92" s="73">
        <v>556.62999999999897</v>
      </c>
      <c r="L92" s="73">
        <v>0</v>
      </c>
      <c r="M92" s="73">
        <f t="shared" si="4"/>
        <v>556.62999999999897</v>
      </c>
    </row>
    <row r="93" spans="1:13" x14ac:dyDescent="0.3">
      <c r="A93" s="70">
        <v>46112</v>
      </c>
      <c r="B93" s="71">
        <v>556.62999999999897</v>
      </c>
      <c r="C93" s="71">
        <f t="shared" si="3"/>
        <v>556.62999999999897</v>
      </c>
      <c r="D93" s="71">
        <v>0</v>
      </c>
      <c r="E93" s="87">
        <v>0</v>
      </c>
      <c r="F93" s="87">
        <v>0</v>
      </c>
      <c r="G93" s="72">
        <v>0</v>
      </c>
      <c r="H93" s="72">
        <v>0</v>
      </c>
      <c r="I93" s="72"/>
      <c r="J93" s="72"/>
      <c r="K93" s="73">
        <v>556.62999999999897</v>
      </c>
      <c r="L93" s="73">
        <v>0</v>
      </c>
      <c r="M93" s="73">
        <f t="shared" si="4"/>
        <v>556.62999999999897</v>
      </c>
    </row>
    <row r="94" spans="1:13" x14ac:dyDescent="0.3">
      <c r="A94" s="70">
        <v>46113</v>
      </c>
      <c r="B94" s="71">
        <v>556.62999999999897</v>
      </c>
      <c r="C94" s="71">
        <f t="shared" si="3"/>
        <v>556.62999999999897</v>
      </c>
      <c r="D94" s="71">
        <v>0</v>
      </c>
      <c r="E94" s="87">
        <v>0</v>
      </c>
      <c r="F94" s="87">
        <v>11.25</v>
      </c>
      <c r="G94" s="72">
        <v>0</v>
      </c>
      <c r="H94" s="72">
        <v>0</v>
      </c>
      <c r="I94" s="72"/>
      <c r="J94" s="72"/>
      <c r="K94" s="73">
        <v>567.87999999999897</v>
      </c>
      <c r="L94" s="73">
        <v>0</v>
      </c>
      <c r="M94" s="73">
        <f t="shared" si="4"/>
        <v>567.87999999999897</v>
      </c>
    </row>
    <row r="95" spans="1:13" x14ac:dyDescent="0.3">
      <c r="A95" s="70">
        <v>46114</v>
      </c>
      <c r="B95" s="71">
        <v>567.87999999999897</v>
      </c>
      <c r="C95" s="71">
        <f t="shared" si="3"/>
        <v>567.87999999999897</v>
      </c>
      <c r="D95" s="71">
        <v>0</v>
      </c>
      <c r="E95" s="87">
        <v>0</v>
      </c>
      <c r="F95" s="87">
        <v>0</v>
      </c>
      <c r="G95" s="72">
        <v>0</v>
      </c>
      <c r="H95" s="72">
        <v>0</v>
      </c>
      <c r="I95" s="72"/>
      <c r="J95" s="72"/>
      <c r="K95" s="73">
        <v>567.87999999999897</v>
      </c>
      <c r="L95" s="73">
        <v>0</v>
      </c>
      <c r="M95" s="73">
        <f t="shared" si="4"/>
        <v>567.87999999999897</v>
      </c>
    </row>
    <row r="96" spans="1:13" x14ac:dyDescent="0.3">
      <c r="A96" s="70">
        <v>46115</v>
      </c>
      <c r="B96" s="71">
        <v>567.87999999999897</v>
      </c>
      <c r="C96" s="71">
        <f t="shared" si="3"/>
        <v>567.87999999999897</v>
      </c>
      <c r="D96" s="71">
        <v>0</v>
      </c>
      <c r="E96" s="87">
        <v>0</v>
      </c>
      <c r="F96" s="87">
        <v>0</v>
      </c>
      <c r="G96" s="72">
        <v>0</v>
      </c>
      <c r="H96" s="72">
        <v>0</v>
      </c>
      <c r="I96" s="72"/>
      <c r="J96" s="72"/>
      <c r="K96" s="73">
        <v>567.87999999999897</v>
      </c>
      <c r="L96" s="73">
        <v>0</v>
      </c>
      <c r="M96" s="73">
        <f t="shared" si="4"/>
        <v>567.87999999999897</v>
      </c>
    </row>
    <row r="97" spans="1:13" x14ac:dyDescent="0.3">
      <c r="A97" s="70">
        <v>46116</v>
      </c>
      <c r="B97" s="71">
        <v>567.87999999999897</v>
      </c>
      <c r="C97" s="71">
        <f t="shared" si="3"/>
        <v>567.87999999999897</v>
      </c>
      <c r="D97" s="71">
        <v>0</v>
      </c>
      <c r="E97" s="87">
        <v>0</v>
      </c>
      <c r="F97" s="87">
        <v>0</v>
      </c>
      <c r="G97" s="72">
        <v>0</v>
      </c>
      <c r="H97" s="72">
        <v>0</v>
      </c>
      <c r="I97" s="72"/>
      <c r="J97" s="72"/>
      <c r="K97" s="73">
        <v>567.87999999999897</v>
      </c>
      <c r="L97" s="73">
        <v>0</v>
      </c>
      <c r="M97" s="73">
        <f t="shared" si="4"/>
        <v>567.87999999999897</v>
      </c>
    </row>
    <row r="98" spans="1:13" x14ac:dyDescent="0.3">
      <c r="A98" s="70">
        <v>46117</v>
      </c>
      <c r="B98" s="71">
        <v>567.87999999999897</v>
      </c>
      <c r="C98" s="71">
        <f t="shared" si="3"/>
        <v>567.87999999999897</v>
      </c>
      <c r="D98" s="71">
        <v>0</v>
      </c>
      <c r="E98" s="87">
        <v>0</v>
      </c>
      <c r="F98" s="87">
        <v>0</v>
      </c>
      <c r="G98" s="72">
        <v>0</v>
      </c>
      <c r="H98" s="72">
        <v>0</v>
      </c>
      <c r="I98" s="72"/>
      <c r="J98" s="72"/>
      <c r="K98" s="73">
        <v>567.87999999999897</v>
      </c>
      <c r="L98" s="73">
        <v>0</v>
      </c>
      <c r="M98" s="73">
        <f t="shared" si="4"/>
        <v>567.87999999999897</v>
      </c>
    </row>
    <row r="99" spans="1:13" x14ac:dyDescent="0.3">
      <c r="A99" s="70">
        <v>46118</v>
      </c>
      <c r="B99" s="71">
        <v>567.87999999999897</v>
      </c>
      <c r="C99" s="71">
        <f t="shared" si="3"/>
        <v>567.87999999999897</v>
      </c>
      <c r="D99" s="71">
        <v>0</v>
      </c>
      <c r="E99" s="87">
        <v>0</v>
      </c>
      <c r="F99" s="87">
        <v>0</v>
      </c>
      <c r="G99" s="72">
        <v>0</v>
      </c>
      <c r="H99" s="72">
        <v>0</v>
      </c>
      <c r="I99" s="72"/>
      <c r="J99" s="72"/>
      <c r="K99" s="73">
        <v>567.87999999999897</v>
      </c>
      <c r="L99" s="73">
        <v>0</v>
      </c>
      <c r="M99" s="73">
        <f t="shared" si="4"/>
        <v>567.87999999999897</v>
      </c>
    </row>
    <row r="100" spans="1:13" x14ac:dyDescent="0.3">
      <c r="A100" s="70">
        <v>46119</v>
      </c>
      <c r="B100" s="71">
        <v>567.87999999999897</v>
      </c>
      <c r="C100" s="71">
        <f t="shared" si="3"/>
        <v>567.87999999999897</v>
      </c>
      <c r="D100" s="71">
        <v>0</v>
      </c>
      <c r="E100" s="87">
        <v>0</v>
      </c>
      <c r="F100" s="87">
        <v>0</v>
      </c>
      <c r="G100" s="72">
        <v>0</v>
      </c>
      <c r="H100" s="72">
        <v>0</v>
      </c>
      <c r="I100" s="72"/>
      <c r="J100" s="72"/>
      <c r="K100" s="73">
        <v>567.87999999999897</v>
      </c>
      <c r="L100" s="73">
        <v>0</v>
      </c>
      <c r="M100" s="73">
        <f t="shared" si="4"/>
        <v>567.87999999999897</v>
      </c>
    </row>
    <row r="101" spans="1:13" x14ac:dyDescent="0.3">
      <c r="A101" s="70">
        <v>46120</v>
      </c>
      <c r="B101" s="71">
        <v>567.87999999999897</v>
      </c>
      <c r="C101" s="71">
        <f t="shared" si="3"/>
        <v>567.87999999999897</v>
      </c>
      <c r="D101" s="71">
        <v>0</v>
      </c>
      <c r="E101" s="87">
        <v>0</v>
      </c>
      <c r="F101" s="87">
        <v>0</v>
      </c>
      <c r="G101" s="72">
        <v>0</v>
      </c>
      <c r="H101" s="72">
        <v>0</v>
      </c>
      <c r="I101" s="72"/>
      <c r="J101" s="72"/>
      <c r="K101" s="73">
        <v>567.87999999999897</v>
      </c>
      <c r="L101" s="73">
        <v>0</v>
      </c>
      <c r="M101" s="73">
        <f t="shared" si="4"/>
        <v>567.87999999999897</v>
      </c>
    </row>
    <row r="102" spans="1:13" x14ac:dyDescent="0.3">
      <c r="A102" s="70">
        <v>46121</v>
      </c>
      <c r="B102" s="71">
        <v>567.87999999999897</v>
      </c>
      <c r="C102" s="71">
        <f t="shared" si="3"/>
        <v>567.87999999999897</v>
      </c>
      <c r="D102" s="71">
        <v>0</v>
      </c>
      <c r="E102" s="87">
        <v>0</v>
      </c>
      <c r="F102" s="87">
        <v>0</v>
      </c>
      <c r="G102" s="72">
        <v>0</v>
      </c>
      <c r="H102" s="72">
        <v>0</v>
      </c>
      <c r="I102" s="72"/>
      <c r="J102" s="72"/>
      <c r="K102" s="73">
        <v>567.87999999999897</v>
      </c>
      <c r="L102" s="73">
        <v>0</v>
      </c>
      <c r="M102" s="73">
        <f t="shared" si="4"/>
        <v>567.87999999999897</v>
      </c>
    </row>
    <row r="103" spans="1:13" x14ac:dyDescent="0.3">
      <c r="A103" s="70">
        <v>46122</v>
      </c>
      <c r="B103" s="71">
        <v>567.87999999999897</v>
      </c>
      <c r="C103" s="71">
        <f t="shared" si="3"/>
        <v>567.87999999999897</v>
      </c>
      <c r="D103" s="71">
        <v>0</v>
      </c>
      <c r="E103" s="87">
        <v>0</v>
      </c>
      <c r="F103" s="87">
        <v>0</v>
      </c>
      <c r="G103" s="72">
        <v>0</v>
      </c>
      <c r="H103" s="72">
        <v>0</v>
      </c>
      <c r="I103" s="72"/>
      <c r="J103" s="72"/>
      <c r="K103" s="73">
        <v>567.87999999999897</v>
      </c>
      <c r="L103" s="73">
        <v>0</v>
      </c>
      <c r="M103" s="73">
        <f t="shared" si="4"/>
        <v>567.87999999999897</v>
      </c>
    </row>
    <row r="104" spans="1:13" x14ac:dyDescent="0.3">
      <c r="A104" s="70">
        <v>46123</v>
      </c>
      <c r="B104" s="71">
        <v>567.87999999999897</v>
      </c>
      <c r="C104" s="71">
        <f t="shared" si="3"/>
        <v>567.87999999999897</v>
      </c>
      <c r="D104" s="71">
        <v>0</v>
      </c>
      <c r="E104" s="87">
        <v>0</v>
      </c>
      <c r="F104" s="87">
        <v>0</v>
      </c>
      <c r="G104" s="72">
        <v>0</v>
      </c>
      <c r="H104" s="72">
        <v>0</v>
      </c>
      <c r="I104" s="72"/>
      <c r="J104" s="72"/>
      <c r="K104" s="73">
        <v>567.87999999999897</v>
      </c>
      <c r="L104" s="73">
        <v>0</v>
      </c>
      <c r="M104" s="73">
        <f t="shared" si="4"/>
        <v>567.87999999999897</v>
      </c>
    </row>
    <row r="105" spans="1:13" x14ac:dyDescent="0.3">
      <c r="A105" s="70">
        <v>46124</v>
      </c>
      <c r="B105" s="71">
        <v>567.87999999999897</v>
      </c>
      <c r="C105" s="71">
        <f t="shared" si="3"/>
        <v>567.87999999999897</v>
      </c>
      <c r="D105" s="71">
        <v>0</v>
      </c>
      <c r="E105" s="87">
        <v>0</v>
      </c>
      <c r="F105" s="87">
        <v>0</v>
      </c>
      <c r="G105" s="72">
        <v>0</v>
      </c>
      <c r="H105" s="72">
        <v>0</v>
      </c>
      <c r="I105" s="72"/>
      <c r="J105" s="72"/>
      <c r="K105" s="73">
        <v>567.87999999999897</v>
      </c>
      <c r="L105" s="73">
        <v>0</v>
      </c>
      <c r="M105" s="73">
        <f t="shared" si="4"/>
        <v>567.87999999999897</v>
      </c>
    </row>
    <row r="106" spans="1:13" x14ac:dyDescent="0.3">
      <c r="A106" s="70">
        <v>46125</v>
      </c>
      <c r="B106" s="71">
        <v>567.87999999999897</v>
      </c>
      <c r="C106" s="71">
        <f t="shared" si="3"/>
        <v>567.87999999999897</v>
      </c>
      <c r="D106" s="71">
        <v>0</v>
      </c>
      <c r="E106" s="87">
        <v>85</v>
      </c>
      <c r="F106" s="87">
        <v>0</v>
      </c>
      <c r="G106" s="72">
        <v>0</v>
      </c>
      <c r="H106" s="72">
        <v>0</v>
      </c>
      <c r="I106" s="72"/>
      <c r="J106" s="72"/>
      <c r="K106" s="73">
        <v>652.87999999999897</v>
      </c>
      <c r="L106" s="73">
        <v>0</v>
      </c>
      <c r="M106" s="73">
        <f t="shared" si="4"/>
        <v>652.87999999999897</v>
      </c>
    </row>
    <row r="107" spans="1:13" x14ac:dyDescent="0.3">
      <c r="A107" s="70">
        <v>46126</v>
      </c>
      <c r="B107" s="71">
        <v>652.87999999999897</v>
      </c>
      <c r="C107" s="71">
        <f t="shared" si="3"/>
        <v>652.87999999999897</v>
      </c>
      <c r="D107" s="71">
        <v>0</v>
      </c>
      <c r="E107" s="87">
        <v>0</v>
      </c>
      <c r="F107" s="87">
        <v>11.25</v>
      </c>
      <c r="G107" s="72">
        <v>0</v>
      </c>
      <c r="H107" s="72">
        <v>0</v>
      </c>
      <c r="I107" s="72"/>
      <c r="J107" s="72"/>
      <c r="K107" s="73">
        <v>664.12999999999897</v>
      </c>
      <c r="L107" s="73">
        <v>0</v>
      </c>
      <c r="M107" s="73">
        <f t="shared" si="4"/>
        <v>664.12999999999897</v>
      </c>
    </row>
    <row r="108" spans="1:13" x14ac:dyDescent="0.3">
      <c r="A108" s="70">
        <v>46127</v>
      </c>
      <c r="B108" s="71">
        <v>664.12999999999897</v>
      </c>
      <c r="C108" s="71">
        <f t="shared" si="3"/>
        <v>664.12999999999897</v>
      </c>
      <c r="D108" s="71">
        <v>0</v>
      </c>
      <c r="E108" s="87">
        <v>0</v>
      </c>
      <c r="F108" s="87">
        <v>0</v>
      </c>
      <c r="G108" s="72">
        <v>0</v>
      </c>
      <c r="H108" s="72">
        <v>0</v>
      </c>
      <c r="I108" s="72"/>
      <c r="J108" s="72"/>
      <c r="K108" s="73">
        <v>664.12999999999897</v>
      </c>
      <c r="L108" s="73">
        <v>0</v>
      </c>
      <c r="M108" s="73">
        <f t="shared" si="4"/>
        <v>664.12999999999897</v>
      </c>
    </row>
    <row r="109" spans="1:13" x14ac:dyDescent="0.3">
      <c r="A109" s="70">
        <v>46128</v>
      </c>
      <c r="B109" s="71">
        <v>664.12999999999897</v>
      </c>
      <c r="C109" s="71">
        <f t="shared" si="3"/>
        <v>664.12999999999897</v>
      </c>
      <c r="D109" s="71">
        <v>0</v>
      </c>
      <c r="E109" s="87">
        <v>0</v>
      </c>
      <c r="F109" s="87">
        <v>0</v>
      </c>
      <c r="G109" s="72">
        <v>-30</v>
      </c>
      <c r="H109" s="72">
        <v>0</v>
      </c>
      <c r="I109" s="72"/>
      <c r="J109" s="72"/>
      <c r="K109" s="73">
        <v>634.12999999999897</v>
      </c>
      <c r="L109" s="73">
        <v>0</v>
      </c>
      <c r="M109" s="73">
        <f t="shared" si="4"/>
        <v>634.12999999999897</v>
      </c>
    </row>
    <row r="110" spans="1:13" x14ac:dyDescent="0.3">
      <c r="A110" s="70">
        <v>46129</v>
      </c>
      <c r="B110" s="71">
        <v>634.12999999999897</v>
      </c>
      <c r="C110" s="71">
        <f t="shared" si="3"/>
        <v>634.12999999999897</v>
      </c>
      <c r="D110" s="71">
        <v>0</v>
      </c>
      <c r="E110" s="87">
        <v>0</v>
      </c>
      <c r="F110" s="87">
        <v>0</v>
      </c>
      <c r="G110" s="72">
        <v>0</v>
      </c>
      <c r="H110" s="72">
        <v>-44.99</v>
      </c>
      <c r="I110" s="72"/>
      <c r="J110" s="72"/>
      <c r="K110" s="73">
        <v>589.13999999999896</v>
      </c>
      <c r="L110" s="73">
        <v>0</v>
      </c>
      <c r="M110" s="73">
        <f t="shared" si="4"/>
        <v>589.13999999999896</v>
      </c>
    </row>
    <row r="111" spans="1:13" x14ac:dyDescent="0.3">
      <c r="A111" s="70">
        <v>46130</v>
      </c>
      <c r="B111" s="71">
        <v>589.13999999999896</v>
      </c>
      <c r="C111" s="71">
        <f t="shared" si="3"/>
        <v>589.13999999999896</v>
      </c>
      <c r="D111" s="71">
        <v>0</v>
      </c>
      <c r="E111" s="87">
        <v>0</v>
      </c>
      <c r="F111" s="87">
        <v>0</v>
      </c>
      <c r="G111" s="72">
        <v>0</v>
      </c>
      <c r="H111" s="72">
        <v>0</v>
      </c>
      <c r="I111" s="72"/>
      <c r="J111" s="72"/>
      <c r="K111" s="73">
        <v>589.13999999999896</v>
      </c>
      <c r="L111" s="73">
        <v>0</v>
      </c>
      <c r="M111" s="73">
        <f t="shared" si="4"/>
        <v>589.13999999999896</v>
      </c>
    </row>
    <row r="112" spans="1:13" x14ac:dyDescent="0.3">
      <c r="A112" s="70">
        <v>46131</v>
      </c>
      <c r="B112" s="71">
        <v>589.13999999999896</v>
      </c>
      <c r="C112" s="71">
        <f t="shared" si="3"/>
        <v>589.13999999999896</v>
      </c>
      <c r="D112" s="71">
        <v>0</v>
      </c>
      <c r="E112" s="87">
        <v>0</v>
      </c>
      <c r="F112" s="87">
        <v>0</v>
      </c>
      <c r="G112" s="72">
        <v>0</v>
      </c>
      <c r="H112" s="72">
        <v>0</v>
      </c>
      <c r="I112" s="72"/>
      <c r="J112" s="72"/>
      <c r="K112" s="73">
        <v>589.13999999999896</v>
      </c>
      <c r="L112" s="73">
        <v>0</v>
      </c>
      <c r="M112" s="73">
        <f t="shared" si="4"/>
        <v>589.13999999999896</v>
      </c>
    </row>
    <row r="113" spans="1:13" x14ac:dyDescent="0.3">
      <c r="A113" s="70">
        <v>46132</v>
      </c>
      <c r="B113" s="71">
        <v>589.13999999999896</v>
      </c>
      <c r="C113" s="71">
        <f t="shared" si="3"/>
        <v>589.13999999999896</v>
      </c>
      <c r="D113" s="71">
        <v>0</v>
      </c>
      <c r="E113" s="87">
        <v>0</v>
      </c>
      <c r="F113" s="87">
        <v>0</v>
      </c>
      <c r="G113" s="72">
        <v>0</v>
      </c>
      <c r="H113" s="72">
        <v>0</v>
      </c>
      <c r="I113" s="72"/>
      <c r="J113" s="72"/>
      <c r="K113" s="73">
        <v>589.13999999999896</v>
      </c>
      <c r="L113" s="73">
        <v>0</v>
      </c>
      <c r="M113" s="73">
        <f t="shared" si="4"/>
        <v>589.13999999999896</v>
      </c>
    </row>
    <row r="114" spans="1:13" x14ac:dyDescent="0.3">
      <c r="A114" s="70">
        <v>46133</v>
      </c>
      <c r="B114" s="71">
        <v>589.13999999999896</v>
      </c>
      <c r="C114" s="71">
        <f t="shared" si="3"/>
        <v>589.13999999999896</v>
      </c>
      <c r="D114" s="71">
        <v>0</v>
      </c>
      <c r="E114" s="87">
        <v>0</v>
      </c>
      <c r="F114" s="87">
        <v>0</v>
      </c>
      <c r="G114" s="72">
        <v>0</v>
      </c>
      <c r="H114" s="72">
        <v>0</v>
      </c>
      <c r="I114" s="72"/>
      <c r="J114" s="72"/>
      <c r="K114" s="73">
        <v>589.13999999999896</v>
      </c>
      <c r="L114" s="73">
        <v>0</v>
      </c>
      <c r="M114" s="73">
        <f t="shared" si="4"/>
        <v>589.13999999999896</v>
      </c>
    </row>
    <row r="115" spans="1:13" x14ac:dyDescent="0.3">
      <c r="A115" s="70">
        <v>46134</v>
      </c>
      <c r="B115" s="71">
        <v>589.13999999999896</v>
      </c>
      <c r="C115" s="71">
        <f t="shared" si="3"/>
        <v>589.13999999999896</v>
      </c>
      <c r="D115" s="71">
        <v>0</v>
      </c>
      <c r="E115" s="87">
        <v>0</v>
      </c>
      <c r="F115" s="87">
        <v>0</v>
      </c>
      <c r="G115" s="72">
        <v>0</v>
      </c>
      <c r="H115" s="72">
        <v>0</v>
      </c>
      <c r="I115" s="72"/>
      <c r="J115" s="72"/>
      <c r="K115" s="73">
        <v>589.13999999999896</v>
      </c>
      <c r="L115" s="73">
        <v>0</v>
      </c>
      <c r="M115" s="73">
        <f t="shared" si="4"/>
        <v>589.13999999999896</v>
      </c>
    </row>
    <row r="116" spans="1:13" x14ac:dyDescent="0.3">
      <c r="A116" s="70">
        <v>46135</v>
      </c>
      <c r="B116" s="71">
        <v>589.13999999999896</v>
      </c>
      <c r="C116" s="71">
        <f t="shared" si="3"/>
        <v>589.13999999999896</v>
      </c>
      <c r="D116" s="71">
        <v>0</v>
      </c>
      <c r="E116" s="87">
        <v>0</v>
      </c>
      <c r="F116" s="87">
        <v>0</v>
      </c>
      <c r="G116" s="72">
        <v>0</v>
      </c>
      <c r="H116" s="72">
        <v>0</v>
      </c>
      <c r="I116" s="72"/>
      <c r="J116" s="72"/>
      <c r="K116" s="73">
        <v>589.13999999999896</v>
      </c>
      <c r="L116" s="73">
        <v>0</v>
      </c>
      <c r="M116" s="73">
        <f t="shared" si="4"/>
        <v>589.13999999999896</v>
      </c>
    </row>
    <row r="117" spans="1:13" x14ac:dyDescent="0.3">
      <c r="A117" s="70">
        <v>46136</v>
      </c>
      <c r="B117" s="71">
        <v>589.13999999999896</v>
      </c>
      <c r="C117" s="71">
        <f t="shared" si="3"/>
        <v>589.13999999999896</v>
      </c>
      <c r="D117" s="71">
        <v>0</v>
      </c>
      <c r="E117" s="87">
        <v>0</v>
      </c>
      <c r="F117" s="87">
        <v>0</v>
      </c>
      <c r="G117" s="72">
        <v>0</v>
      </c>
      <c r="H117" s="72">
        <v>0</v>
      </c>
      <c r="I117" s="72"/>
      <c r="J117" s="72"/>
      <c r="K117" s="73">
        <v>589.13999999999896</v>
      </c>
      <c r="L117" s="73">
        <v>0</v>
      </c>
      <c r="M117" s="73">
        <f t="shared" si="4"/>
        <v>589.13999999999896</v>
      </c>
    </row>
    <row r="118" spans="1:13" x14ac:dyDescent="0.3">
      <c r="A118" s="70">
        <v>46137</v>
      </c>
      <c r="B118" s="71">
        <v>589.13999999999896</v>
      </c>
      <c r="C118" s="71">
        <f t="shared" si="3"/>
        <v>589.13999999999896</v>
      </c>
      <c r="D118" s="71">
        <v>0</v>
      </c>
      <c r="E118" s="87">
        <v>0</v>
      </c>
      <c r="F118" s="87">
        <v>0</v>
      </c>
      <c r="G118" s="72">
        <v>0</v>
      </c>
      <c r="H118" s="72">
        <v>0</v>
      </c>
      <c r="I118" s="72"/>
      <c r="J118" s="72"/>
      <c r="K118" s="73">
        <v>589.13999999999896</v>
      </c>
      <c r="L118" s="73">
        <v>0</v>
      </c>
      <c r="M118" s="73">
        <f t="shared" si="4"/>
        <v>589.13999999999896</v>
      </c>
    </row>
    <row r="119" spans="1:13" x14ac:dyDescent="0.3">
      <c r="A119" s="70">
        <v>46138</v>
      </c>
      <c r="B119" s="71">
        <v>589.13999999999896</v>
      </c>
      <c r="C119" s="71">
        <f t="shared" si="3"/>
        <v>589.13999999999896</v>
      </c>
      <c r="D119" s="71">
        <v>0</v>
      </c>
      <c r="E119" s="87">
        <v>0</v>
      </c>
      <c r="F119" s="87">
        <v>0</v>
      </c>
      <c r="G119" s="72">
        <v>0</v>
      </c>
      <c r="H119" s="72">
        <v>0</v>
      </c>
      <c r="I119" s="72"/>
      <c r="J119" s="72"/>
      <c r="K119" s="73">
        <v>589.13999999999896</v>
      </c>
      <c r="L119" s="73">
        <v>0</v>
      </c>
      <c r="M119" s="73">
        <f t="shared" si="4"/>
        <v>589.13999999999896</v>
      </c>
    </row>
    <row r="120" spans="1:13" x14ac:dyDescent="0.3">
      <c r="A120" s="70">
        <v>46139</v>
      </c>
      <c r="B120" s="71">
        <v>589.13999999999896</v>
      </c>
      <c r="C120" s="71">
        <f t="shared" si="3"/>
        <v>589.13999999999896</v>
      </c>
      <c r="D120" s="71">
        <v>0</v>
      </c>
      <c r="E120" s="87">
        <v>0</v>
      </c>
      <c r="F120" s="87">
        <v>0</v>
      </c>
      <c r="G120" s="72">
        <v>0</v>
      </c>
      <c r="H120" s="72">
        <v>0</v>
      </c>
      <c r="I120" s="72"/>
      <c r="J120" s="72"/>
      <c r="K120" s="73">
        <v>589.13999999999896</v>
      </c>
      <c r="L120" s="73">
        <v>0</v>
      </c>
      <c r="M120" s="73">
        <f t="shared" si="4"/>
        <v>589.13999999999896</v>
      </c>
    </row>
    <row r="121" spans="1:13" x14ac:dyDescent="0.3">
      <c r="A121" s="70">
        <v>46140</v>
      </c>
      <c r="B121" s="71">
        <v>589.13999999999896</v>
      </c>
      <c r="C121" s="71">
        <f t="shared" si="3"/>
        <v>589.13999999999896</v>
      </c>
      <c r="D121" s="71">
        <v>0</v>
      </c>
      <c r="E121" s="87">
        <v>0</v>
      </c>
      <c r="F121" s="87">
        <v>0</v>
      </c>
      <c r="G121" s="72">
        <v>0</v>
      </c>
      <c r="H121" s="72">
        <v>0</v>
      </c>
      <c r="I121" s="72"/>
      <c r="J121" s="72"/>
      <c r="K121" s="73">
        <v>589.13999999999896</v>
      </c>
      <c r="L121" s="73">
        <v>0</v>
      </c>
      <c r="M121" s="73">
        <f t="shared" si="4"/>
        <v>589.13999999999896</v>
      </c>
    </row>
    <row r="122" spans="1:13" x14ac:dyDescent="0.3">
      <c r="A122" s="70">
        <v>46141</v>
      </c>
      <c r="B122" s="71">
        <v>589.13999999999896</v>
      </c>
      <c r="C122" s="71">
        <f t="shared" si="3"/>
        <v>589.13999999999896</v>
      </c>
      <c r="D122" s="71">
        <v>0</v>
      </c>
      <c r="E122" s="87">
        <v>85</v>
      </c>
      <c r="F122" s="87">
        <v>0</v>
      </c>
      <c r="G122" s="72">
        <v>0</v>
      </c>
      <c r="H122" s="72">
        <v>0</v>
      </c>
      <c r="I122" s="72"/>
      <c r="J122" s="72"/>
      <c r="K122" s="73">
        <v>674.13999999999896</v>
      </c>
      <c r="L122" s="73">
        <v>0</v>
      </c>
      <c r="M122" s="73">
        <f t="shared" si="4"/>
        <v>674.13999999999896</v>
      </c>
    </row>
    <row r="123" spans="1:13" x14ac:dyDescent="0.3">
      <c r="A123" s="70">
        <v>46142</v>
      </c>
      <c r="B123" s="71">
        <v>674.13999999999896</v>
      </c>
      <c r="C123" s="71">
        <f t="shared" si="3"/>
        <v>674.13999999999896</v>
      </c>
      <c r="D123" s="71">
        <v>0</v>
      </c>
      <c r="E123" s="87">
        <v>0</v>
      </c>
      <c r="F123" s="87">
        <v>0</v>
      </c>
      <c r="G123" s="72">
        <v>0</v>
      </c>
      <c r="H123" s="72">
        <v>0</v>
      </c>
      <c r="I123" s="72"/>
      <c r="J123" s="72"/>
      <c r="K123" s="73">
        <v>674.13999999999896</v>
      </c>
      <c r="L123" s="73">
        <v>0</v>
      </c>
      <c r="M123" s="73">
        <f t="shared" si="4"/>
        <v>674.13999999999896</v>
      </c>
    </row>
    <row r="124" spans="1:13" x14ac:dyDescent="0.3">
      <c r="A124" s="70">
        <v>46143</v>
      </c>
      <c r="B124" s="71">
        <v>674.13999999999896</v>
      </c>
      <c r="C124" s="71">
        <f t="shared" si="3"/>
        <v>674.13999999999896</v>
      </c>
      <c r="D124" s="71">
        <v>0</v>
      </c>
      <c r="E124" s="87">
        <v>0</v>
      </c>
      <c r="F124" s="87">
        <v>11.25</v>
      </c>
      <c r="G124" s="72">
        <v>0</v>
      </c>
      <c r="H124" s="72">
        <v>0</v>
      </c>
      <c r="I124" s="72"/>
      <c r="J124" s="72"/>
      <c r="K124" s="73">
        <v>685.38999999999896</v>
      </c>
      <c r="L124" s="73">
        <v>0</v>
      </c>
      <c r="M124" s="73">
        <f t="shared" si="4"/>
        <v>685.38999999999896</v>
      </c>
    </row>
    <row r="125" spans="1:13" x14ac:dyDescent="0.3">
      <c r="A125" s="70">
        <v>46144</v>
      </c>
      <c r="B125" s="71">
        <v>685.38999999999896</v>
      </c>
      <c r="C125" s="71">
        <f t="shared" si="3"/>
        <v>685.38999999999896</v>
      </c>
      <c r="D125" s="71">
        <v>0</v>
      </c>
      <c r="E125" s="87">
        <v>0</v>
      </c>
      <c r="F125" s="87">
        <v>0</v>
      </c>
      <c r="G125" s="72">
        <v>0</v>
      </c>
      <c r="H125" s="72">
        <v>0</v>
      </c>
      <c r="I125" s="72"/>
      <c r="J125" s="72"/>
      <c r="K125" s="73">
        <v>685.38999999999896</v>
      </c>
      <c r="L125" s="73">
        <v>0</v>
      </c>
      <c r="M125" s="73">
        <f t="shared" si="4"/>
        <v>685.38999999999896</v>
      </c>
    </row>
    <row r="126" spans="1:13" x14ac:dyDescent="0.3">
      <c r="A126" s="70">
        <v>46145</v>
      </c>
      <c r="B126" s="71">
        <v>685.38999999999896</v>
      </c>
      <c r="C126" s="71">
        <f t="shared" si="3"/>
        <v>685.38999999999896</v>
      </c>
      <c r="D126" s="71">
        <v>0</v>
      </c>
      <c r="E126" s="87">
        <v>0</v>
      </c>
      <c r="F126" s="87">
        <v>0</v>
      </c>
      <c r="G126" s="72">
        <v>0</v>
      </c>
      <c r="H126" s="72">
        <v>0</v>
      </c>
      <c r="I126" s="72"/>
      <c r="J126" s="72"/>
      <c r="K126" s="73">
        <v>685.38999999999896</v>
      </c>
      <c r="L126" s="73">
        <v>0</v>
      </c>
      <c r="M126" s="73">
        <f t="shared" si="4"/>
        <v>685.38999999999896</v>
      </c>
    </row>
    <row r="127" spans="1:13" x14ac:dyDescent="0.3">
      <c r="A127" s="70">
        <v>46146</v>
      </c>
      <c r="B127" s="71">
        <v>685.38999999999896</v>
      </c>
      <c r="C127" s="71">
        <f t="shared" si="3"/>
        <v>685.38999999999896</v>
      </c>
      <c r="D127" s="71">
        <v>0</v>
      </c>
      <c r="E127" s="87">
        <v>0</v>
      </c>
      <c r="F127" s="87">
        <v>0</v>
      </c>
      <c r="G127" s="72">
        <v>0</v>
      </c>
      <c r="H127" s="72">
        <v>0</v>
      </c>
      <c r="I127" s="72"/>
      <c r="J127" s="72"/>
      <c r="K127" s="73">
        <v>685.38999999999896</v>
      </c>
      <c r="L127" s="73">
        <v>0</v>
      </c>
      <c r="M127" s="73">
        <f t="shared" si="4"/>
        <v>685.38999999999896</v>
      </c>
    </row>
    <row r="128" spans="1:13" x14ac:dyDescent="0.3">
      <c r="A128" s="70">
        <v>46147</v>
      </c>
      <c r="B128" s="71">
        <v>685.38999999999896</v>
      </c>
      <c r="C128" s="71">
        <f t="shared" si="3"/>
        <v>685.38999999999896</v>
      </c>
      <c r="D128" s="71">
        <v>0</v>
      </c>
      <c r="E128" s="87">
        <v>0</v>
      </c>
      <c r="F128" s="87">
        <v>0</v>
      </c>
      <c r="G128" s="72">
        <v>0</v>
      </c>
      <c r="H128" s="72">
        <v>0</v>
      </c>
      <c r="I128" s="72"/>
      <c r="J128" s="72"/>
      <c r="K128" s="73">
        <v>685.38999999999896</v>
      </c>
      <c r="L128" s="73">
        <v>0</v>
      </c>
      <c r="M128" s="73">
        <f t="shared" si="4"/>
        <v>685.38999999999896</v>
      </c>
    </row>
    <row r="129" spans="1:13" x14ac:dyDescent="0.3">
      <c r="A129" s="70">
        <v>46148</v>
      </c>
      <c r="B129" s="71">
        <v>685.38999999999896</v>
      </c>
      <c r="C129" s="71">
        <f t="shared" si="3"/>
        <v>685.38999999999896</v>
      </c>
      <c r="D129" s="71">
        <v>0</v>
      </c>
      <c r="E129" s="87">
        <v>0</v>
      </c>
      <c r="F129" s="87">
        <v>0</v>
      </c>
      <c r="G129" s="72">
        <v>0</v>
      </c>
      <c r="H129" s="72">
        <v>0</v>
      </c>
      <c r="I129" s="72"/>
      <c r="J129" s="72"/>
      <c r="K129" s="73">
        <v>685.38999999999896</v>
      </c>
      <c r="L129" s="73">
        <v>0</v>
      </c>
      <c r="M129" s="73">
        <f t="shared" si="4"/>
        <v>685.38999999999896</v>
      </c>
    </row>
    <row r="130" spans="1:13" x14ac:dyDescent="0.3">
      <c r="A130" s="70">
        <v>46149</v>
      </c>
      <c r="B130" s="71">
        <v>685.38999999999896</v>
      </c>
      <c r="C130" s="71">
        <f t="shared" si="3"/>
        <v>685.38999999999896</v>
      </c>
      <c r="D130" s="71">
        <v>0</v>
      </c>
      <c r="E130" s="87">
        <v>0</v>
      </c>
      <c r="F130" s="87">
        <v>0</v>
      </c>
      <c r="G130" s="72">
        <v>0</v>
      </c>
      <c r="H130" s="72">
        <v>0</v>
      </c>
      <c r="I130" s="72"/>
      <c r="J130" s="72"/>
      <c r="K130" s="73">
        <v>685.38999999999896</v>
      </c>
      <c r="L130" s="73">
        <v>0</v>
      </c>
      <c r="M130" s="73">
        <f t="shared" si="4"/>
        <v>685.38999999999896</v>
      </c>
    </row>
    <row r="131" spans="1:13" x14ac:dyDescent="0.3">
      <c r="A131" s="70">
        <v>46150</v>
      </c>
      <c r="B131" s="71">
        <v>685.38999999999896</v>
      </c>
      <c r="C131" s="71">
        <f t="shared" ref="C131:C182" si="5">K130</f>
        <v>685.38999999999896</v>
      </c>
      <c r="D131" s="71">
        <v>0</v>
      </c>
      <c r="E131" s="87">
        <v>0</v>
      </c>
      <c r="F131" s="87">
        <v>0</v>
      </c>
      <c r="G131" s="72">
        <v>0</v>
      </c>
      <c r="H131" s="72">
        <v>0</v>
      </c>
      <c r="I131" s="72"/>
      <c r="J131" s="72"/>
      <c r="K131" s="73">
        <v>685.38999999999896</v>
      </c>
      <c r="L131" s="73">
        <v>0</v>
      </c>
      <c r="M131" s="73">
        <f t="shared" si="4"/>
        <v>685.38999999999896</v>
      </c>
    </row>
    <row r="132" spans="1:13" x14ac:dyDescent="0.3">
      <c r="A132" s="70">
        <v>46151</v>
      </c>
      <c r="B132" s="71">
        <v>685.38999999999896</v>
      </c>
      <c r="C132" s="71">
        <f t="shared" si="5"/>
        <v>685.38999999999896</v>
      </c>
      <c r="D132" s="71">
        <v>0</v>
      </c>
      <c r="E132" s="87">
        <v>0</v>
      </c>
      <c r="F132" s="87">
        <v>0</v>
      </c>
      <c r="G132" s="72">
        <v>0</v>
      </c>
      <c r="H132" s="72">
        <v>0</v>
      </c>
      <c r="I132" s="72"/>
      <c r="J132" s="72"/>
      <c r="K132" s="73">
        <v>685.38999999999896</v>
      </c>
      <c r="L132" s="73">
        <v>0</v>
      </c>
      <c r="M132" s="73">
        <f t="shared" ref="M132:M195" si="6">K132+L132</f>
        <v>685.38999999999896</v>
      </c>
    </row>
    <row r="133" spans="1:13" x14ac:dyDescent="0.3">
      <c r="A133" s="70">
        <v>46152</v>
      </c>
      <c r="B133" s="71">
        <v>685.38999999999896</v>
      </c>
      <c r="C133" s="71">
        <f t="shared" si="5"/>
        <v>685.38999999999896</v>
      </c>
      <c r="D133" s="71">
        <v>0</v>
      </c>
      <c r="E133" s="87">
        <v>0</v>
      </c>
      <c r="F133" s="87">
        <v>0</v>
      </c>
      <c r="G133" s="72">
        <v>0</v>
      </c>
      <c r="H133" s="72">
        <v>0</v>
      </c>
      <c r="I133" s="72"/>
      <c r="J133" s="72"/>
      <c r="K133" s="73">
        <v>685.38999999999896</v>
      </c>
      <c r="L133" s="73">
        <v>0</v>
      </c>
      <c r="M133" s="73">
        <f t="shared" si="6"/>
        <v>685.38999999999896</v>
      </c>
    </row>
    <row r="134" spans="1:13" x14ac:dyDescent="0.3">
      <c r="A134" s="70">
        <v>46153</v>
      </c>
      <c r="B134" s="71">
        <v>685.38999999999896</v>
      </c>
      <c r="C134" s="71">
        <f t="shared" si="5"/>
        <v>685.38999999999896</v>
      </c>
      <c r="D134" s="71">
        <v>0</v>
      </c>
      <c r="E134" s="87">
        <v>0</v>
      </c>
      <c r="F134" s="87">
        <v>0</v>
      </c>
      <c r="G134" s="72">
        <v>0</v>
      </c>
      <c r="H134" s="72">
        <v>0</v>
      </c>
      <c r="I134" s="72"/>
      <c r="J134" s="72"/>
      <c r="K134" s="73">
        <v>685.38999999999896</v>
      </c>
      <c r="L134" s="73">
        <v>0</v>
      </c>
      <c r="M134" s="73">
        <f t="shared" si="6"/>
        <v>685.38999999999896</v>
      </c>
    </row>
    <row r="135" spans="1:13" x14ac:dyDescent="0.3">
      <c r="A135" s="70">
        <v>46154</v>
      </c>
      <c r="B135" s="71">
        <v>685.38999999999896</v>
      </c>
      <c r="C135" s="71">
        <f t="shared" si="5"/>
        <v>685.38999999999896</v>
      </c>
      <c r="D135" s="71">
        <v>0</v>
      </c>
      <c r="E135" s="87">
        <v>0</v>
      </c>
      <c r="F135" s="87">
        <v>0</v>
      </c>
      <c r="G135" s="72">
        <v>0</v>
      </c>
      <c r="H135" s="72">
        <v>0</v>
      </c>
      <c r="I135" s="72"/>
      <c r="J135" s="72"/>
      <c r="K135" s="73">
        <v>685.38999999999896</v>
      </c>
      <c r="L135" s="73">
        <v>0</v>
      </c>
      <c r="M135" s="73">
        <f t="shared" si="6"/>
        <v>685.38999999999896</v>
      </c>
    </row>
    <row r="136" spans="1:13" x14ac:dyDescent="0.3">
      <c r="A136" s="70">
        <v>46155</v>
      </c>
      <c r="B136" s="71">
        <v>685.38999999999896</v>
      </c>
      <c r="C136" s="71">
        <f t="shared" si="5"/>
        <v>685.38999999999896</v>
      </c>
      <c r="D136" s="71">
        <v>0</v>
      </c>
      <c r="E136" s="87">
        <v>85</v>
      </c>
      <c r="F136" s="87">
        <v>0</v>
      </c>
      <c r="G136" s="72">
        <v>0</v>
      </c>
      <c r="H136" s="72">
        <v>0</v>
      </c>
      <c r="I136" s="72"/>
      <c r="J136" s="72"/>
      <c r="K136" s="73">
        <v>770.38999999999896</v>
      </c>
      <c r="L136" s="73">
        <v>0</v>
      </c>
      <c r="M136" s="73">
        <f t="shared" si="6"/>
        <v>770.38999999999896</v>
      </c>
    </row>
    <row r="137" spans="1:13" x14ac:dyDescent="0.3">
      <c r="A137" s="70">
        <v>46156</v>
      </c>
      <c r="B137" s="71">
        <v>770.38999999999896</v>
      </c>
      <c r="C137" s="71">
        <f t="shared" si="5"/>
        <v>770.38999999999896</v>
      </c>
      <c r="D137" s="71">
        <v>0</v>
      </c>
      <c r="E137" s="87">
        <v>0</v>
      </c>
      <c r="F137" s="87">
        <v>11.25</v>
      </c>
      <c r="G137" s="72">
        <v>0</v>
      </c>
      <c r="H137" s="72">
        <v>0</v>
      </c>
      <c r="I137" s="72"/>
      <c r="J137" s="72"/>
      <c r="K137" s="73">
        <v>781.63999999999896</v>
      </c>
      <c r="L137" s="73">
        <v>0</v>
      </c>
      <c r="M137" s="73">
        <f t="shared" si="6"/>
        <v>781.63999999999896</v>
      </c>
    </row>
    <row r="138" spans="1:13" x14ac:dyDescent="0.3">
      <c r="A138" s="70">
        <v>46157</v>
      </c>
      <c r="B138" s="71">
        <v>781.63999999999896</v>
      </c>
      <c r="C138" s="71">
        <f t="shared" si="5"/>
        <v>781.63999999999896</v>
      </c>
      <c r="D138" s="71">
        <v>0</v>
      </c>
      <c r="E138" s="87">
        <v>0</v>
      </c>
      <c r="F138" s="87">
        <v>0</v>
      </c>
      <c r="G138" s="72">
        <v>0</v>
      </c>
      <c r="H138" s="72">
        <v>0</v>
      </c>
      <c r="I138" s="72"/>
      <c r="J138" s="72"/>
      <c r="K138" s="73">
        <v>781.63999999999896</v>
      </c>
      <c r="L138" s="73">
        <v>0</v>
      </c>
      <c r="M138" s="73">
        <f t="shared" si="6"/>
        <v>781.63999999999896</v>
      </c>
    </row>
    <row r="139" spans="1:13" x14ac:dyDescent="0.3">
      <c r="A139" s="70">
        <v>46158</v>
      </c>
      <c r="B139" s="71">
        <v>781.63999999999896</v>
      </c>
      <c r="C139" s="71">
        <f t="shared" si="5"/>
        <v>781.63999999999896</v>
      </c>
      <c r="D139" s="71">
        <v>0</v>
      </c>
      <c r="E139" s="87">
        <v>0</v>
      </c>
      <c r="F139" s="87">
        <v>0</v>
      </c>
      <c r="G139" s="72">
        <v>-30</v>
      </c>
      <c r="H139" s="72">
        <v>0</v>
      </c>
      <c r="I139" s="72"/>
      <c r="J139" s="72"/>
      <c r="K139" s="73">
        <v>751.63999999999896</v>
      </c>
      <c r="L139" s="73">
        <v>0</v>
      </c>
      <c r="M139" s="73">
        <f t="shared" si="6"/>
        <v>751.63999999999896</v>
      </c>
    </row>
    <row r="140" spans="1:13" x14ac:dyDescent="0.3">
      <c r="A140" s="70">
        <v>46159</v>
      </c>
      <c r="B140" s="71">
        <v>751.63999999999896</v>
      </c>
      <c r="C140" s="71">
        <f t="shared" si="5"/>
        <v>751.63999999999896</v>
      </c>
      <c r="D140" s="71">
        <v>0</v>
      </c>
      <c r="E140" s="87">
        <v>0</v>
      </c>
      <c r="F140" s="87">
        <v>0</v>
      </c>
      <c r="G140" s="72">
        <v>0</v>
      </c>
      <c r="H140" s="72">
        <v>-44.99</v>
      </c>
      <c r="I140" s="72"/>
      <c r="J140" s="72"/>
      <c r="K140" s="73">
        <v>706.64999999999895</v>
      </c>
      <c r="L140" s="73">
        <v>0</v>
      </c>
      <c r="M140" s="73">
        <f t="shared" si="6"/>
        <v>706.64999999999895</v>
      </c>
    </row>
    <row r="141" spans="1:13" x14ac:dyDescent="0.3">
      <c r="A141" s="70">
        <v>46160</v>
      </c>
      <c r="B141" s="71">
        <v>706.64999999999895</v>
      </c>
      <c r="C141" s="71">
        <f t="shared" si="5"/>
        <v>706.64999999999895</v>
      </c>
      <c r="D141" s="71">
        <v>0</v>
      </c>
      <c r="E141" s="87">
        <v>0</v>
      </c>
      <c r="F141" s="87">
        <v>0</v>
      </c>
      <c r="G141" s="72">
        <v>0</v>
      </c>
      <c r="H141" s="72">
        <v>0</v>
      </c>
      <c r="I141" s="72"/>
      <c r="J141" s="72"/>
      <c r="K141" s="73">
        <v>706.64999999999895</v>
      </c>
      <c r="L141" s="73">
        <v>0</v>
      </c>
      <c r="M141" s="73">
        <f t="shared" si="6"/>
        <v>706.64999999999895</v>
      </c>
    </row>
    <row r="142" spans="1:13" x14ac:dyDescent="0.3">
      <c r="A142" s="70">
        <v>46161</v>
      </c>
      <c r="B142" s="71">
        <v>706.64999999999895</v>
      </c>
      <c r="C142" s="71">
        <f t="shared" si="5"/>
        <v>706.64999999999895</v>
      </c>
      <c r="D142" s="71">
        <v>0</v>
      </c>
      <c r="E142" s="87">
        <v>0</v>
      </c>
      <c r="F142" s="87">
        <v>0</v>
      </c>
      <c r="G142" s="72">
        <v>0</v>
      </c>
      <c r="H142" s="72">
        <v>0</v>
      </c>
      <c r="I142" s="72"/>
      <c r="J142" s="72"/>
      <c r="K142" s="73">
        <v>706.64999999999895</v>
      </c>
      <c r="L142" s="73">
        <v>0</v>
      </c>
      <c r="M142" s="73">
        <f t="shared" si="6"/>
        <v>706.64999999999895</v>
      </c>
    </row>
    <row r="143" spans="1:13" x14ac:dyDescent="0.3">
      <c r="A143" s="70">
        <v>46162</v>
      </c>
      <c r="B143" s="71">
        <v>706.64999999999895</v>
      </c>
      <c r="C143" s="71">
        <f t="shared" si="5"/>
        <v>706.64999999999895</v>
      </c>
      <c r="D143" s="71">
        <v>0</v>
      </c>
      <c r="E143" s="87">
        <v>0</v>
      </c>
      <c r="F143" s="87">
        <v>0</v>
      </c>
      <c r="G143" s="72">
        <v>0</v>
      </c>
      <c r="H143" s="72">
        <v>0</v>
      </c>
      <c r="I143" s="72"/>
      <c r="J143" s="72"/>
      <c r="K143" s="73">
        <v>706.64999999999895</v>
      </c>
      <c r="L143" s="73">
        <v>0</v>
      </c>
      <c r="M143" s="73">
        <f t="shared" si="6"/>
        <v>706.64999999999895</v>
      </c>
    </row>
    <row r="144" spans="1:13" x14ac:dyDescent="0.3">
      <c r="A144" s="70">
        <v>46163</v>
      </c>
      <c r="B144" s="71">
        <v>706.64999999999895</v>
      </c>
      <c r="C144" s="71">
        <f t="shared" si="5"/>
        <v>706.64999999999895</v>
      </c>
      <c r="D144" s="71">
        <v>0</v>
      </c>
      <c r="E144" s="87">
        <v>0</v>
      </c>
      <c r="F144" s="87">
        <v>0</v>
      </c>
      <c r="G144" s="72">
        <v>0</v>
      </c>
      <c r="H144" s="72">
        <v>0</v>
      </c>
      <c r="I144" s="72"/>
      <c r="J144" s="72"/>
      <c r="K144" s="73">
        <v>706.64999999999895</v>
      </c>
      <c r="L144" s="73">
        <v>0</v>
      </c>
      <c r="M144" s="73">
        <f t="shared" si="6"/>
        <v>706.64999999999895</v>
      </c>
    </row>
    <row r="145" spans="1:13" x14ac:dyDescent="0.3">
      <c r="A145" s="70">
        <v>46164</v>
      </c>
      <c r="B145" s="71">
        <v>706.64999999999895</v>
      </c>
      <c r="C145" s="71">
        <f t="shared" si="5"/>
        <v>706.64999999999895</v>
      </c>
      <c r="D145" s="71">
        <v>0</v>
      </c>
      <c r="E145" s="87">
        <v>0</v>
      </c>
      <c r="F145" s="87">
        <v>0</v>
      </c>
      <c r="G145" s="72">
        <v>0</v>
      </c>
      <c r="H145" s="72">
        <v>0</v>
      </c>
      <c r="I145" s="72"/>
      <c r="J145" s="72"/>
      <c r="K145" s="73">
        <v>706.64999999999895</v>
      </c>
      <c r="L145" s="73">
        <v>0</v>
      </c>
      <c r="M145" s="73">
        <f t="shared" si="6"/>
        <v>706.64999999999895</v>
      </c>
    </row>
    <row r="146" spans="1:13" x14ac:dyDescent="0.3">
      <c r="A146" s="70">
        <v>46165</v>
      </c>
      <c r="B146" s="71">
        <v>706.64999999999895</v>
      </c>
      <c r="C146" s="71">
        <f t="shared" si="5"/>
        <v>706.64999999999895</v>
      </c>
      <c r="D146" s="71">
        <v>0</v>
      </c>
      <c r="E146" s="87">
        <v>0</v>
      </c>
      <c r="F146" s="87">
        <v>0</v>
      </c>
      <c r="G146" s="72">
        <v>0</v>
      </c>
      <c r="H146" s="72">
        <v>0</v>
      </c>
      <c r="I146" s="72"/>
      <c r="J146" s="72"/>
      <c r="K146" s="73">
        <v>706.64999999999895</v>
      </c>
      <c r="L146" s="73">
        <v>0</v>
      </c>
      <c r="M146" s="73">
        <f t="shared" si="6"/>
        <v>706.64999999999895</v>
      </c>
    </row>
    <row r="147" spans="1:13" x14ac:dyDescent="0.3">
      <c r="A147" s="70">
        <v>46166</v>
      </c>
      <c r="B147" s="71">
        <v>706.64999999999895</v>
      </c>
      <c r="C147" s="71">
        <f t="shared" si="5"/>
        <v>706.64999999999895</v>
      </c>
      <c r="D147" s="71">
        <v>0</v>
      </c>
      <c r="E147" s="87">
        <v>0</v>
      </c>
      <c r="F147" s="87">
        <v>0</v>
      </c>
      <c r="G147" s="72">
        <v>0</v>
      </c>
      <c r="H147" s="72">
        <v>0</v>
      </c>
      <c r="I147" s="72"/>
      <c r="J147" s="72"/>
      <c r="K147" s="73">
        <v>706.64999999999895</v>
      </c>
      <c r="L147" s="73">
        <v>0</v>
      </c>
      <c r="M147" s="73">
        <f t="shared" si="6"/>
        <v>706.64999999999895</v>
      </c>
    </row>
    <row r="148" spans="1:13" x14ac:dyDescent="0.3">
      <c r="A148" s="70">
        <v>46167</v>
      </c>
      <c r="B148" s="71">
        <v>706.64999999999895</v>
      </c>
      <c r="C148" s="71">
        <f t="shared" si="5"/>
        <v>706.64999999999895</v>
      </c>
      <c r="D148" s="71">
        <v>0</v>
      </c>
      <c r="E148" s="87">
        <v>0</v>
      </c>
      <c r="F148" s="87">
        <v>0</v>
      </c>
      <c r="G148" s="72">
        <v>0</v>
      </c>
      <c r="H148" s="72">
        <v>0</v>
      </c>
      <c r="I148" s="72"/>
      <c r="J148" s="72"/>
      <c r="K148" s="73">
        <v>706.64999999999895</v>
      </c>
      <c r="L148" s="73">
        <v>0</v>
      </c>
      <c r="M148" s="73">
        <f t="shared" si="6"/>
        <v>706.64999999999895</v>
      </c>
    </row>
    <row r="149" spans="1:13" x14ac:dyDescent="0.3">
      <c r="A149" s="70">
        <v>46168</v>
      </c>
      <c r="B149" s="71">
        <v>706.64999999999895</v>
      </c>
      <c r="C149" s="71">
        <f t="shared" si="5"/>
        <v>706.64999999999895</v>
      </c>
      <c r="D149" s="71">
        <v>0</v>
      </c>
      <c r="E149" s="87">
        <v>0</v>
      </c>
      <c r="F149" s="87">
        <v>0</v>
      </c>
      <c r="G149" s="72">
        <v>0</v>
      </c>
      <c r="H149" s="72">
        <v>0</v>
      </c>
      <c r="I149" s="72"/>
      <c r="J149" s="72"/>
      <c r="K149" s="73">
        <v>706.64999999999895</v>
      </c>
      <c r="L149" s="73">
        <v>0</v>
      </c>
      <c r="M149" s="73">
        <f t="shared" si="6"/>
        <v>706.64999999999895</v>
      </c>
    </row>
    <row r="150" spans="1:13" x14ac:dyDescent="0.3">
      <c r="A150" s="70">
        <v>46169</v>
      </c>
      <c r="B150" s="71">
        <v>706.64999999999895</v>
      </c>
      <c r="C150" s="71">
        <f t="shared" si="5"/>
        <v>706.64999999999895</v>
      </c>
      <c r="D150" s="71">
        <v>0</v>
      </c>
      <c r="E150" s="87">
        <v>0</v>
      </c>
      <c r="F150" s="87">
        <v>0</v>
      </c>
      <c r="G150" s="72">
        <v>0</v>
      </c>
      <c r="H150" s="72">
        <v>0</v>
      </c>
      <c r="I150" s="72"/>
      <c r="J150" s="72"/>
      <c r="K150" s="73">
        <v>706.64999999999895</v>
      </c>
      <c r="L150" s="73">
        <v>0</v>
      </c>
      <c r="M150" s="73">
        <f t="shared" si="6"/>
        <v>706.64999999999895</v>
      </c>
    </row>
    <row r="151" spans="1:13" x14ac:dyDescent="0.3">
      <c r="A151" s="70">
        <v>46170</v>
      </c>
      <c r="B151" s="71">
        <v>706.64999999999895</v>
      </c>
      <c r="C151" s="71">
        <f t="shared" si="5"/>
        <v>706.64999999999895</v>
      </c>
      <c r="D151" s="71">
        <v>0</v>
      </c>
      <c r="E151" s="87">
        <v>0</v>
      </c>
      <c r="F151" s="87">
        <v>0</v>
      </c>
      <c r="G151" s="72">
        <v>0</v>
      </c>
      <c r="H151" s="72">
        <v>0</v>
      </c>
      <c r="I151" s="72"/>
      <c r="J151" s="72"/>
      <c r="K151" s="73">
        <v>706.64999999999895</v>
      </c>
      <c r="L151" s="73">
        <v>0</v>
      </c>
      <c r="M151" s="73">
        <f t="shared" si="6"/>
        <v>706.64999999999895</v>
      </c>
    </row>
    <row r="152" spans="1:13" x14ac:dyDescent="0.3">
      <c r="A152" s="70">
        <v>46171</v>
      </c>
      <c r="B152" s="71">
        <v>706.64999999999895</v>
      </c>
      <c r="C152" s="71">
        <f t="shared" si="5"/>
        <v>706.64999999999895</v>
      </c>
      <c r="D152" s="71">
        <v>0</v>
      </c>
      <c r="E152" s="87">
        <v>0</v>
      </c>
      <c r="F152" s="87">
        <v>0</v>
      </c>
      <c r="G152" s="72">
        <v>0</v>
      </c>
      <c r="H152" s="72">
        <v>0</v>
      </c>
      <c r="I152" s="72"/>
      <c r="J152" s="72"/>
      <c r="K152" s="73">
        <v>706.64999999999895</v>
      </c>
      <c r="L152" s="73">
        <v>0</v>
      </c>
      <c r="M152" s="73">
        <f t="shared" si="6"/>
        <v>706.64999999999895</v>
      </c>
    </row>
    <row r="153" spans="1:13" x14ac:dyDescent="0.3">
      <c r="A153" s="70">
        <v>46172</v>
      </c>
      <c r="B153" s="71">
        <v>706.64999999999895</v>
      </c>
      <c r="C153" s="71">
        <f t="shared" si="5"/>
        <v>706.64999999999895</v>
      </c>
      <c r="D153" s="71">
        <v>0</v>
      </c>
      <c r="E153" s="87">
        <v>85</v>
      </c>
      <c r="F153" s="87">
        <v>0</v>
      </c>
      <c r="G153" s="72">
        <v>0</v>
      </c>
      <c r="H153" s="72">
        <v>0</v>
      </c>
      <c r="I153" s="72"/>
      <c r="J153" s="72"/>
      <c r="K153" s="73">
        <v>791.64999999999895</v>
      </c>
      <c r="L153" s="73">
        <v>0</v>
      </c>
      <c r="M153" s="73">
        <f t="shared" si="6"/>
        <v>791.64999999999895</v>
      </c>
    </row>
    <row r="154" spans="1:13" x14ac:dyDescent="0.3">
      <c r="A154" s="70">
        <v>46173</v>
      </c>
      <c r="B154" s="71">
        <v>791.64999999999895</v>
      </c>
      <c r="C154" s="71">
        <f t="shared" si="5"/>
        <v>791.64999999999895</v>
      </c>
      <c r="D154" s="71">
        <v>0</v>
      </c>
      <c r="E154" s="87">
        <v>0</v>
      </c>
      <c r="F154" s="87">
        <v>0</v>
      </c>
      <c r="G154" s="72">
        <v>0</v>
      </c>
      <c r="H154" s="72">
        <v>0</v>
      </c>
      <c r="I154" s="72"/>
      <c r="J154" s="72"/>
      <c r="K154" s="73">
        <v>791.64999999999895</v>
      </c>
      <c r="L154" s="73">
        <v>0</v>
      </c>
      <c r="M154" s="73">
        <f t="shared" si="6"/>
        <v>791.64999999999895</v>
      </c>
    </row>
    <row r="155" spans="1:13" x14ac:dyDescent="0.3">
      <c r="A155" s="70">
        <v>46174</v>
      </c>
      <c r="B155" s="71">
        <v>791.64999999999895</v>
      </c>
      <c r="C155" s="71">
        <f t="shared" si="5"/>
        <v>791.64999999999895</v>
      </c>
      <c r="D155" s="71">
        <v>0</v>
      </c>
      <c r="E155" s="87">
        <v>0</v>
      </c>
      <c r="F155" s="87">
        <v>11.25</v>
      </c>
      <c r="G155" s="72">
        <v>0</v>
      </c>
      <c r="H155" s="72">
        <v>0</v>
      </c>
      <c r="I155" s="72"/>
      <c r="J155" s="72"/>
      <c r="K155" s="73">
        <v>802.89999999999895</v>
      </c>
      <c r="L155" s="73">
        <v>0</v>
      </c>
      <c r="M155" s="73">
        <f t="shared" si="6"/>
        <v>802.89999999999895</v>
      </c>
    </row>
    <row r="156" spans="1:13" x14ac:dyDescent="0.3">
      <c r="A156" s="70">
        <v>46175</v>
      </c>
      <c r="B156" s="71">
        <v>802.89999999999895</v>
      </c>
      <c r="C156" s="71">
        <f t="shared" si="5"/>
        <v>802.89999999999895</v>
      </c>
      <c r="D156" s="71">
        <v>0</v>
      </c>
      <c r="E156" s="87">
        <v>0</v>
      </c>
      <c r="F156" s="87">
        <v>0</v>
      </c>
      <c r="G156" s="72">
        <v>0</v>
      </c>
      <c r="H156" s="72">
        <v>0</v>
      </c>
      <c r="I156" s="72"/>
      <c r="J156" s="72"/>
      <c r="K156" s="73">
        <v>802.89999999999895</v>
      </c>
      <c r="L156" s="73">
        <v>0</v>
      </c>
      <c r="M156" s="73">
        <f t="shared" si="6"/>
        <v>802.89999999999895</v>
      </c>
    </row>
    <row r="157" spans="1:13" x14ac:dyDescent="0.3">
      <c r="A157" s="70">
        <v>46176</v>
      </c>
      <c r="B157" s="71">
        <v>802.89999999999895</v>
      </c>
      <c r="C157" s="71">
        <f t="shared" si="5"/>
        <v>802.89999999999895</v>
      </c>
      <c r="D157" s="71">
        <v>0</v>
      </c>
      <c r="E157" s="87">
        <v>0</v>
      </c>
      <c r="F157" s="87">
        <v>0</v>
      </c>
      <c r="G157" s="72">
        <v>0</v>
      </c>
      <c r="H157" s="72">
        <v>0</v>
      </c>
      <c r="I157" s="72"/>
      <c r="J157" s="72"/>
      <c r="K157" s="73">
        <v>802.89999999999895</v>
      </c>
      <c r="L157" s="73">
        <v>0</v>
      </c>
      <c r="M157" s="73">
        <f t="shared" si="6"/>
        <v>802.89999999999895</v>
      </c>
    </row>
    <row r="158" spans="1:13" x14ac:dyDescent="0.3">
      <c r="A158" s="70">
        <v>46177</v>
      </c>
      <c r="B158" s="71">
        <v>802.89999999999895</v>
      </c>
      <c r="C158" s="71">
        <f t="shared" si="5"/>
        <v>802.89999999999895</v>
      </c>
      <c r="D158" s="71">
        <v>0</v>
      </c>
      <c r="E158" s="87">
        <v>0</v>
      </c>
      <c r="F158" s="87">
        <v>0</v>
      </c>
      <c r="G158" s="72">
        <v>0</v>
      </c>
      <c r="H158" s="72">
        <v>0</v>
      </c>
      <c r="I158" s="72"/>
      <c r="J158" s="72"/>
      <c r="K158" s="73">
        <v>802.89999999999895</v>
      </c>
      <c r="L158" s="73">
        <v>0</v>
      </c>
      <c r="M158" s="73">
        <f t="shared" si="6"/>
        <v>802.89999999999895</v>
      </c>
    </row>
    <row r="159" spans="1:13" x14ac:dyDescent="0.3">
      <c r="A159" s="70">
        <v>46178</v>
      </c>
      <c r="B159" s="71">
        <v>802.89999999999895</v>
      </c>
      <c r="C159" s="71">
        <f t="shared" si="5"/>
        <v>802.89999999999895</v>
      </c>
      <c r="D159" s="71">
        <v>0</v>
      </c>
      <c r="E159" s="87">
        <v>0</v>
      </c>
      <c r="F159" s="87">
        <v>0</v>
      </c>
      <c r="G159" s="72">
        <v>0</v>
      </c>
      <c r="H159" s="72">
        <v>0</v>
      </c>
      <c r="I159" s="72"/>
      <c r="J159" s="72"/>
      <c r="K159" s="73">
        <v>802.89999999999895</v>
      </c>
      <c r="L159" s="73">
        <v>0</v>
      </c>
      <c r="M159" s="73">
        <f t="shared" si="6"/>
        <v>802.89999999999895</v>
      </c>
    </row>
    <row r="160" spans="1:13" x14ac:dyDescent="0.3">
      <c r="A160" s="70">
        <v>46179</v>
      </c>
      <c r="B160" s="71">
        <v>802.89999999999895</v>
      </c>
      <c r="C160" s="71">
        <f t="shared" si="5"/>
        <v>802.89999999999895</v>
      </c>
      <c r="D160" s="71">
        <v>0</v>
      </c>
      <c r="E160" s="87">
        <v>0</v>
      </c>
      <c r="F160" s="87">
        <v>0</v>
      </c>
      <c r="G160" s="72">
        <v>0</v>
      </c>
      <c r="H160" s="72">
        <v>0</v>
      </c>
      <c r="I160" s="72"/>
      <c r="J160" s="72"/>
      <c r="K160" s="73">
        <v>802.89999999999895</v>
      </c>
      <c r="L160" s="73">
        <v>0</v>
      </c>
      <c r="M160" s="73">
        <f t="shared" si="6"/>
        <v>802.89999999999895</v>
      </c>
    </row>
    <row r="161" spans="1:13" x14ac:dyDescent="0.3">
      <c r="A161" s="70">
        <v>46180</v>
      </c>
      <c r="B161" s="71">
        <v>802.89999999999895</v>
      </c>
      <c r="C161" s="71">
        <f t="shared" si="5"/>
        <v>802.89999999999895</v>
      </c>
      <c r="D161" s="71">
        <v>0</v>
      </c>
      <c r="E161" s="87">
        <v>0</v>
      </c>
      <c r="F161" s="87">
        <v>0</v>
      </c>
      <c r="G161" s="72">
        <v>0</v>
      </c>
      <c r="H161" s="72">
        <v>0</v>
      </c>
      <c r="I161" s="72"/>
      <c r="J161" s="72"/>
      <c r="K161" s="73">
        <v>802.89999999999895</v>
      </c>
      <c r="L161" s="73">
        <v>0</v>
      </c>
      <c r="M161" s="73">
        <f t="shared" si="6"/>
        <v>802.89999999999895</v>
      </c>
    </row>
    <row r="162" spans="1:13" x14ac:dyDescent="0.3">
      <c r="A162" s="70">
        <v>46181</v>
      </c>
      <c r="B162" s="71">
        <v>802.89999999999895</v>
      </c>
      <c r="C162" s="71">
        <f t="shared" si="5"/>
        <v>802.89999999999895</v>
      </c>
      <c r="D162" s="71">
        <v>0</v>
      </c>
      <c r="E162" s="87">
        <v>0</v>
      </c>
      <c r="F162" s="87">
        <v>0</v>
      </c>
      <c r="G162" s="72">
        <v>0</v>
      </c>
      <c r="H162" s="72">
        <v>0</v>
      </c>
      <c r="I162" s="72"/>
      <c r="J162" s="72"/>
      <c r="K162" s="73">
        <v>802.89999999999895</v>
      </c>
      <c r="L162" s="73">
        <v>0</v>
      </c>
      <c r="M162" s="73">
        <f t="shared" si="6"/>
        <v>802.89999999999895</v>
      </c>
    </row>
    <row r="163" spans="1:13" x14ac:dyDescent="0.3">
      <c r="A163" s="70">
        <v>46182</v>
      </c>
      <c r="B163" s="71">
        <v>802.89999999999895</v>
      </c>
      <c r="C163" s="71">
        <f t="shared" si="5"/>
        <v>802.89999999999895</v>
      </c>
      <c r="D163" s="71">
        <v>0</v>
      </c>
      <c r="E163" s="87">
        <v>0</v>
      </c>
      <c r="F163" s="87">
        <v>0</v>
      </c>
      <c r="G163" s="72">
        <v>0</v>
      </c>
      <c r="H163" s="72">
        <v>0</v>
      </c>
      <c r="I163" s="72"/>
      <c r="J163" s="72"/>
      <c r="K163" s="73">
        <v>802.89999999999895</v>
      </c>
      <c r="L163" s="73">
        <v>0</v>
      </c>
      <c r="M163" s="73">
        <f t="shared" si="6"/>
        <v>802.89999999999895</v>
      </c>
    </row>
    <row r="164" spans="1:13" x14ac:dyDescent="0.3">
      <c r="A164" s="70">
        <v>46183</v>
      </c>
      <c r="B164" s="71">
        <v>802.89999999999895</v>
      </c>
      <c r="C164" s="71">
        <f t="shared" si="5"/>
        <v>802.89999999999895</v>
      </c>
      <c r="D164" s="71">
        <v>0</v>
      </c>
      <c r="E164" s="87">
        <v>0</v>
      </c>
      <c r="F164" s="87">
        <v>0</v>
      </c>
      <c r="G164" s="72">
        <v>0</v>
      </c>
      <c r="H164" s="72">
        <v>0</v>
      </c>
      <c r="I164" s="72"/>
      <c r="J164" s="72"/>
      <c r="K164" s="73">
        <v>802.89999999999895</v>
      </c>
      <c r="L164" s="73">
        <v>0</v>
      </c>
      <c r="M164" s="73">
        <f t="shared" si="6"/>
        <v>802.89999999999895</v>
      </c>
    </row>
    <row r="165" spans="1:13" x14ac:dyDescent="0.3">
      <c r="A165" s="70">
        <v>46184</v>
      </c>
      <c r="B165" s="71">
        <v>802.89999999999895</v>
      </c>
      <c r="C165" s="71">
        <f t="shared" si="5"/>
        <v>802.89999999999895</v>
      </c>
      <c r="D165" s="71">
        <v>0</v>
      </c>
      <c r="E165" s="87">
        <v>0</v>
      </c>
      <c r="F165" s="87">
        <v>0</v>
      </c>
      <c r="G165" s="72">
        <v>0</v>
      </c>
      <c r="H165" s="72">
        <v>0</v>
      </c>
      <c r="I165" s="72"/>
      <c r="J165" s="72"/>
      <c r="K165" s="73">
        <v>802.89999999999895</v>
      </c>
      <c r="L165" s="73">
        <v>0</v>
      </c>
      <c r="M165" s="73">
        <f t="shared" si="6"/>
        <v>802.89999999999895</v>
      </c>
    </row>
    <row r="166" spans="1:13" x14ac:dyDescent="0.3">
      <c r="A166" s="70">
        <v>46185</v>
      </c>
      <c r="B166" s="71">
        <v>802.89999999999895</v>
      </c>
      <c r="C166" s="71">
        <f t="shared" si="5"/>
        <v>802.89999999999895</v>
      </c>
      <c r="D166" s="71">
        <v>0</v>
      </c>
      <c r="E166" s="87">
        <v>0</v>
      </c>
      <c r="F166" s="87">
        <v>0</v>
      </c>
      <c r="G166" s="72">
        <v>0</v>
      </c>
      <c r="H166" s="72">
        <v>0</v>
      </c>
      <c r="I166" s="72"/>
      <c r="J166" s="72"/>
      <c r="K166" s="73">
        <v>802.89999999999895</v>
      </c>
      <c r="L166" s="73">
        <v>0</v>
      </c>
      <c r="M166" s="73">
        <f t="shared" si="6"/>
        <v>802.89999999999895</v>
      </c>
    </row>
    <row r="167" spans="1:13" x14ac:dyDescent="0.3">
      <c r="A167" s="70">
        <v>46186</v>
      </c>
      <c r="B167" s="71">
        <v>802.89999999999895</v>
      </c>
      <c r="C167" s="71">
        <f t="shared" si="5"/>
        <v>802.89999999999895</v>
      </c>
      <c r="D167" s="71">
        <v>0</v>
      </c>
      <c r="E167" s="87">
        <v>85</v>
      </c>
      <c r="F167" s="87">
        <v>0</v>
      </c>
      <c r="G167" s="72">
        <v>0</v>
      </c>
      <c r="H167" s="72">
        <v>0</v>
      </c>
      <c r="I167" s="72"/>
      <c r="J167" s="72"/>
      <c r="K167" s="73">
        <v>887.89999999999895</v>
      </c>
      <c r="L167" s="73">
        <v>0</v>
      </c>
      <c r="M167" s="73">
        <f t="shared" si="6"/>
        <v>887.89999999999895</v>
      </c>
    </row>
    <row r="168" spans="1:13" x14ac:dyDescent="0.3">
      <c r="A168" s="70">
        <v>46187</v>
      </c>
      <c r="B168" s="71">
        <v>887.89999999999895</v>
      </c>
      <c r="C168" s="71">
        <f t="shared" si="5"/>
        <v>887.89999999999895</v>
      </c>
      <c r="D168" s="71">
        <v>0</v>
      </c>
      <c r="E168" s="87">
        <v>0</v>
      </c>
      <c r="F168" s="87">
        <v>11.25</v>
      </c>
      <c r="G168" s="72">
        <v>0</v>
      </c>
      <c r="H168" s="72">
        <v>0</v>
      </c>
      <c r="I168" s="72"/>
      <c r="J168" s="72"/>
      <c r="K168" s="73">
        <v>899.14999999999895</v>
      </c>
      <c r="L168" s="73">
        <v>0</v>
      </c>
      <c r="M168" s="73">
        <f t="shared" si="6"/>
        <v>899.14999999999895</v>
      </c>
    </row>
    <row r="169" spans="1:13" x14ac:dyDescent="0.3">
      <c r="A169" s="70">
        <v>46188</v>
      </c>
      <c r="B169" s="71">
        <v>899.14999999999895</v>
      </c>
      <c r="C169" s="71">
        <f t="shared" si="5"/>
        <v>899.14999999999895</v>
      </c>
      <c r="D169" s="71">
        <v>0</v>
      </c>
      <c r="E169" s="87">
        <v>0</v>
      </c>
      <c r="F169" s="87">
        <v>0</v>
      </c>
      <c r="G169" s="72">
        <v>0</v>
      </c>
      <c r="H169" s="72">
        <v>0</v>
      </c>
      <c r="I169" s="72"/>
      <c r="J169" s="72"/>
      <c r="K169" s="73">
        <v>899.14999999999895</v>
      </c>
      <c r="L169" s="73">
        <v>0</v>
      </c>
      <c r="M169" s="73">
        <f t="shared" si="6"/>
        <v>899.14999999999895</v>
      </c>
    </row>
    <row r="170" spans="1:13" x14ac:dyDescent="0.3">
      <c r="A170" s="70">
        <v>46189</v>
      </c>
      <c r="B170" s="71">
        <v>899.14999999999895</v>
      </c>
      <c r="C170" s="71">
        <f t="shared" si="5"/>
        <v>899.14999999999895</v>
      </c>
      <c r="D170" s="71">
        <v>0</v>
      </c>
      <c r="E170" s="87">
        <v>0</v>
      </c>
      <c r="F170" s="87">
        <v>0</v>
      </c>
      <c r="G170" s="72">
        <v>-30</v>
      </c>
      <c r="H170" s="72">
        <v>0</v>
      </c>
      <c r="I170" s="72"/>
      <c r="J170" s="72"/>
      <c r="K170" s="73">
        <v>869.14999999999895</v>
      </c>
      <c r="L170" s="73">
        <v>0</v>
      </c>
      <c r="M170" s="73">
        <f t="shared" si="6"/>
        <v>869.14999999999895</v>
      </c>
    </row>
    <row r="171" spans="1:13" x14ac:dyDescent="0.3">
      <c r="A171" s="70">
        <v>46190</v>
      </c>
      <c r="B171" s="71">
        <v>869.14999999999895</v>
      </c>
      <c r="C171" s="71">
        <f t="shared" si="5"/>
        <v>869.14999999999895</v>
      </c>
      <c r="D171" s="71">
        <v>0</v>
      </c>
      <c r="E171" s="87">
        <v>0</v>
      </c>
      <c r="F171" s="87">
        <v>0</v>
      </c>
      <c r="G171" s="72">
        <v>0</v>
      </c>
      <c r="H171" s="72">
        <v>-44.99</v>
      </c>
      <c r="I171" s="72"/>
      <c r="J171" s="72"/>
      <c r="K171" s="73">
        <v>824.15999999999894</v>
      </c>
      <c r="L171" s="73">
        <v>0</v>
      </c>
      <c r="M171" s="73">
        <f t="shared" si="6"/>
        <v>824.15999999999894</v>
      </c>
    </row>
    <row r="172" spans="1:13" x14ac:dyDescent="0.3">
      <c r="A172" s="70">
        <v>46191</v>
      </c>
      <c r="B172" s="71">
        <v>824.15999999999894</v>
      </c>
      <c r="C172" s="71">
        <f t="shared" si="5"/>
        <v>824.15999999999894</v>
      </c>
      <c r="D172" s="71">
        <v>0</v>
      </c>
      <c r="E172" s="87">
        <v>0</v>
      </c>
      <c r="F172" s="87">
        <v>0</v>
      </c>
      <c r="G172" s="72">
        <v>0</v>
      </c>
      <c r="H172" s="72">
        <v>0</v>
      </c>
      <c r="I172" s="72"/>
      <c r="J172" s="72"/>
      <c r="K172" s="73">
        <v>824.15999999999894</v>
      </c>
      <c r="L172" s="73">
        <v>0</v>
      </c>
      <c r="M172" s="73">
        <f t="shared" si="6"/>
        <v>824.15999999999894</v>
      </c>
    </row>
    <row r="173" spans="1:13" x14ac:dyDescent="0.3">
      <c r="A173" s="70">
        <v>46192</v>
      </c>
      <c r="B173" s="71">
        <v>824.15999999999894</v>
      </c>
      <c r="C173" s="71">
        <f t="shared" si="5"/>
        <v>824.15999999999894</v>
      </c>
      <c r="D173" s="71">
        <v>0</v>
      </c>
      <c r="E173" s="87">
        <v>0</v>
      </c>
      <c r="F173" s="87">
        <v>0</v>
      </c>
      <c r="G173" s="72">
        <v>0</v>
      </c>
      <c r="H173" s="72">
        <v>0</v>
      </c>
      <c r="I173" s="72"/>
      <c r="J173" s="72"/>
      <c r="K173" s="73">
        <v>824.15999999999894</v>
      </c>
      <c r="L173" s="73">
        <v>0</v>
      </c>
      <c r="M173" s="73">
        <f t="shared" si="6"/>
        <v>824.15999999999894</v>
      </c>
    </row>
    <row r="174" spans="1:13" x14ac:dyDescent="0.3">
      <c r="A174" s="70">
        <v>46193</v>
      </c>
      <c r="B174" s="71">
        <v>824.15999999999894</v>
      </c>
      <c r="C174" s="71">
        <f t="shared" si="5"/>
        <v>824.15999999999894</v>
      </c>
      <c r="D174" s="71">
        <v>0</v>
      </c>
      <c r="E174" s="87">
        <v>0</v>
      </c>
      <c r="F174" s="87">
        <v>0</v>
      </c>
      <c r="G174" s="72">
        <v>0</v>
      </c>
      <c r="H174" s="72">
        <v>0</v>
      </c>
      <c r="I174" s="72"/>
      <c r="J174" s="72"/>
      <c r="K174" s="73">
        <v>824.15999999999894</v>
      </c>
      <c r="L174" s="73">
        <v>0</v>
      </c>
      <c r="M174" s="73">
        <f t="shared" si="6"/>
        <v>824.15999999999894</v>
      </c>
    </row>
    <row r="175" spans="1:13" x14ac:dyDescent="0.3">
      <c r="A175" s="70">
        <v>46194</v>
      </c>
      <c r="B175" s="71">
        <v>824.15999999999894</v>
      </c>
      <c r="C175" s="71">
        <f t="shared" si="5"/>
        <v>824.15999999999894</v>
      </c>
      <c r="D175" s="71">
        <v>0</v>
      </c>
      <c r="E175" s="87">
        <v>0</v>
      </c>
      <c r="F175" s="87">
        <v>0</v>
      </c>
      <c r="G175" s="72">
        <v>0</v>
      </c>
      <c r="H175" s="72">
        <v>0</v>
      </c>
      <c r="I175" s="72"/>
      <c r="J175" s="72"/>
      <c r="K175" s="73">
        <v>824.15999999999894</v>
      </c>
      <c r="L175" s="73">
        <v>0</v>
      </c>
      <c r="M175" s="73">
        <f t="shared" si="6"/>
        <v>824.15999999999894</v>
      </c>
    </row>
    <row r="176" spans="1:13" x14ac:dyDescent="0.3">
      <c r="A176" s="70">
        <v>46195</v>
      </c>
      <c r="B176" s="71">
        <v>824.15999999999894</v>
      </c>
      <c r="C176" s="71">
        <f t="shared" si="5"/>
        <v>824.15999999999894</v>
      </c>
      <c r="D176" s="71">
        <v>0</v>
      </c>
      <c r="E176" s="87">
        <v>0</v>
      </c>
      <c r="F176" s="87">
        <v>0</v>
      </c>
      <c r="G176" s="72">
        <v>0</v>
      </c>
      <c r="H176" s="72">
        <v>0</v>
      </c>
      <c r="I176" s="72"/>
      <c r="J176" s="72"/>
      <c r="K176" s="73">
        <v>824.15999999999894</v>
      </c>
      <c r="L176" s="73">
        <v>0</v>
      </c>
      <c r="M176" s="73">
        <f t="shared" si="6"/>
        <v>824.15999999999894</v>
      </c>
    </row>
    <row r="177" spans="1:14" x14ac:dyDescent="0.3">
      <c r="A177" s="70">
        <v>46196</v>
      </c>
      <c r="B177" s="71">
        <v>824.15999999999894</v>
      </c>
      <c r="C177" s="71">
        <f t="shared" si="5"/>
        <v>824.15999999999894</v>
      </c>
      <c r="D177" s="71">
        <v>0</v>
      </c>
      <c r="E177" s="87">
        <v>0</v>
      </c>
      <c r="F177" s="87">
        <v>0</v>
      </c>
      <c r="G177" s="72">
        <v>0</v>
      </c>
      <c r="H177" s="72">
        <v>0</v>
      </c>
      <c r="I177" s="72"/>
      <c r="J177" s="72"/>
      <c r="K177" s="73">
        <v>824.15999999999894</v>
      </c>
      <c r="L177" s="73">
        <v>0</v>
      </c>
      <c r="M177" s="73">
        <f t="shared" si="6"/>
        <v>824.15999999999894</v>
      </c>
    </row>
    <row r="178" spans="1:14" x14ac:dyDescent="0.3">
      <c r="A178" s="70">
        <v>46197</v>
      </c>
      <c r="B178" s="71">
        <v>824.15999999999894</v>
      </c>
      <c r="C178" s="71">
        <f t="shared" si="5"/>
        <v>824.15999999999894</v>
      </c>
      <c r="D178" s="71">
        <v>0</v>
      </c>
      <c r="E178" s="87">
        <v>0</v>
      </c>
      <c r="F178" s="87">
        <v>0</v>
      </c>
      <c r="G178" s="72">
        <v>0</v>
      </c>
      <c r="H178" s="72">
        <v>0</v>
      </c>
      <c r="I178" s="72"/>
      <c r="J178" s="72"/>
      <c r="K178" s="73">
        <v>824.15999999999894</v>
      </c>
      <c r="L178" s="73">
        <v>0</v>
      </c>
      <c r="M178" s="73">
        <f t="shared" si="6"/>
        <v>824.15999999999894</v>
      </c>
    </row>
    <row r="179" spans="1:14" x14ac:dyDescent="0.3">
      <c r="A179" s="70">
        <v>46198</v>
      </c>
      <c r="B179" s="71">
        <v>824.15999999999894</v>
      </c>
      <c r="C179" s="71">
        <f t="shared" si="5"/>
        <v>824.15999999999894</v>
      </c>
      <c r="D179" s="71">
        <v>0</v>
      </c>
      <c r="E179" s="87">
        <v>0</v>
      </c>
      <c r="F179" s="87">
        <v>0</v>
      </c>
      <c r="G179" s="72">
        <v>0</v>
      </c>
      <c r="H179" s="72">
        <v>0</v>
      </c>
      <c r="I179" s="72">
        <v>-622</v>
      </c>
      <c r="J179" s="72"/>
      <c r="K179" s="73">
        <v>202.15999999999894</v>
      </c>
      <c r="L179" s="73">
        <v>0</v>
      </c>
      <c r="M179" s="73">
        <f t="shared" si="6"/>
        <v>202.15999999999894</v>
      </c>
      <c r="N179" t="s">
        <v>73</v>
      </c>
    </row>
    <row r="180" spans="1:14" x14ac:dyDescent="0.3">
      <c r="A180" s="70">
        <v>46199</v>
      </c>
      <c r="B180" s="71">
        <v>202.15999999999894</v>
      </c>
      <c r="C180" s="71">
        <f t="shared" si="5"/>
        <v>202.15999999999894</v>
      </c>
      <c r="D180" s="71">
        <v>0</v>
      </c>
      <c r="E180" s="87">
        <v>0</v>
      </c>
      <c r="F180" s="87">
        <v>0</v>
      </c>
      <c r="G180" s="72">
        <v>0</v>
      </c>
      <c r="H180" s="72">
        <v>0</v>
      </c>
      <c r="I180" s="72"/>
      <c r="J180" s="72"/>
      <c r="K180" s="73">
        <v>202.15999999999894</v>
      </c>
      <c r="L180" s="73">
        <v>0</v>
      </c>
      <c r="M180" s="73">
        <f t="shared" si="6"/>
        <v>202.15999999999894</v>
      </c>
    </row>
    <row r="181" spans="1:14" x14ac:dyDescent="0.3">
      <c r="A181" s="70">
        <v>46200</v>
      </c>
      <c r="B181" s="71">
        <v>202.15999999999894</v>
      </c>
      <c r="C181" s="71">
        <f t="shared" si="5"/>
        <v>202.15999999999894</v>
      </c>
      <c r="D181" s="71">
        <v>0</v>
      </c>
      <c r="E181" s="87">
        <v>0</v>
      </c>
      <c r="F181" s="87">
        <v>0</v>
      </c>
      <c r="G181" s="72">
        <v>0</v>
      </c>
      <c r="H181" s="72">
        <v>0</v>
      </c>
      <c r="I181" s="72"/>
      <c r="J181" s="72"/>
      <c r="K181" s="73">
        <v>202.15999999999894</v>
      </c>
      <c r="L181" s="73">
        <v>0</v>
      </c>
      <c r="M181" s="73">
        <f t="shared" si="6"/>
        <v>202.15999999999894</v>
      </c>
    </row>
    <row r="182" spans="1:14" x14ac:dyDescent="0.3">
      <c r="A182" s="70">
        <v>46201</v>
      </c>
      <c r="B182" s="71">
        <v>202.15999999999894</v>
      </c>
      <c r="C182" s="71">
        <f t="shared" si="5"/>
        <v>202.15999999999894</v>
      </c>
      <c r="D182" s="71">
        <v>0</v>
      </c>
      <c r="E182" s="87">
        <v>0</v>
      </c>
      <c r="F182" s="87">
        <v>0</v>
      </c>
      <c r="G182" s="72">
        <v>0</v>
      </c>
      <c r="H182" s="72">
        <v>0</v>
      </c>
      <c r="I182" s="72"/>
      <c r="J182" s="72"/>
      <c r="K182" s="73">
        <v>202.15999999999894</v>
      </c>
      <c r="L182" s="73">
        <v>0</v>
      </c>
      <c r="M182" s="73">
        <f t="shared" si="6"/>
        <v>202.15999999999894</v>
      </c>
    </row>
    <row r="183" spans="1:14" x14ac:dyDescent="0.3">
      <c r="A183" s="70">
        <v>46202</v>
      </c>
      <c r="B183" s="71">
        <v>202.15999999999894</v>
      </c>
      <c r="C183" s="71">
        <f t="shared" ref="C183:C196" si="7">K182</f>
        <v>202.15999999999894</v>
      </c>
      <c r="D183" s="71">
        <v>0</v>
      </c>
      <c r="E183" s="87">
        <v>85</v>
      </c>
      <c r="F183" s="87">
        <v>0</v>
      </c>
      <c r="G183" s="72">
        <v>0</v>
      </c>
      <c r="H183" s="72">
        <v>0</v>
      </c>
      <c r="I183" s="72"/>
      <c r="J183" s="72"/>
      <c r="K183" s="73">
        <v>287.15999999999894</v>
      </c>
      <c r="L183" s="73">
        <v>0</v>
      </c>
      <c r="M183" s="73">
        <f t="shared" si="6"/>
        <v>287.15999999999894</v>
      </c>
    </row>
    <row r="184" spans="1:14" x14ac:dyDescent="0.3">
      <c r="A184" s="70">
        <v>46203</v>
      </c>
      <c r="B184" s="71">
        <v>287.15999999999894</v>
      </c>
      <c r="C184" s="71">
        <f t="shared" si="7"/>
        <v>287.15999999999894</v>
      </c>
      <c r="D184" s="71">
        <v>0</v>
      </c>
      <c r="E184" s="87">
        <v>0</v>
      </c>
      <c r="F184" s="87">
        <v>0</v>
      </c>
      <c r="G184" s="72">
        <v>0</v>
      </c>
      <c r="H184" s="72">
        <v>0</v>
      </c>
      <c r="I184" s="72"/>
      <c r="J184" s="72"/>
      <c r="K184" s="73">
        <v>287.15999999999894</v>
      </c>
      <c r="L184" s="73">
        <v>0</v>
      </c>
      <c r="M184" s="73">
        <f t="shared" si="6"/>
        <v>287.15999999999894</v>
      </c>
    </row>
    <row r="185" spans="1:14" x14ac:dyDescent="0.3">
      <c r="A185" s="70">
        <v>46204</v>
      </c>
      <c r="B185" s="71">
        <v>287.15999999999894</v>
      </c>
      <c r="C185" s="71">
        <f t="shared" si="7"/>
        <v>287.15999999999894</v>
      </c>
      <c r="D185" s="71">
        <v>0</v>
      </c>
      <c r="E185" s="87">
        <v>0</v>
      </c>
      <c r="F185" s="87">
        <v>11.25</v>
      </c>
      <c r="G185" s="72">
        <v>0</v>
      </c>
      <c r="H185" s="72">
        <v>0</v>
      </c>
      <c r="I185" s="72"/>
      <c r="J185" s="72">
        <v>500</v>
      </c>
      <c r="K185" s="73">
        <v>798.40999999999894</v>
      </c>
      <c r="L185" s="73">
        <v>0</v>
      </c>
      <c r="M185" s="73">
        <f t="shared" si="6"/>
        <v>798.40999999999894</v>
      </c>
      <c r="N185" t="s">
        <v>74</v>
      </c>
    </row>
    <row r="186" spans="1:14" x14ac:dyDescent="0.3">
      <c r="A186" s="70">
        <v>46205</v>
      </c>
      <c r="B186" s="71">
        <v>798.40999999999894</v>
      </c>
      <c r="C186" s="71">
        <f t="shared" si="7"/>
        <v>798.40999999999894</v>
      </c>
      <c r="D186" s="71">
        <v>0</v>
      </c>
      <c r="E186" s="87">
        <v>0</v>
      </c>
      <c r="F186" s="87">
        <v>0</v>
      </c>
      <c r="G186" s="72">
        <v>0</v>
      </c>
      <c r="H186" s="72">
        <v>0</v>
      </c>
      <c r="I186" s="72"/>
      <c r="J186" s="72">
        <v>-491.01</v>
      </c>
      <c r="K186" s="73">
        <v>307.39999999999895</v>
      </c>
      <c r="L186" s="73">
        <v>0</v>
      </c>
      <c r="M186" s="73">
        <f t="shared" si="6"/>
        <v>307.39999999999895</v>
      </c>
      <c r="N186" t="s">
        <v>75</v>
      </c>
    </row>
    <row r="187" spans="1:14" x14ac:dyDescent="0.3">
      <c r="A187" s="70">
        <v>46206</v>
      </c>
      <c r="B187" s="71">
        <v>307.39999999999895</v>
      </c>
      <c r="C187" s="71">
        <f t="shared" si="7"/>
        <v>307.39999999999895</v>
      </c>
      <c r="D187" s="71">
        <v>0</v>
      </c>
      <c r="E187" s="87">
        <v>0</v>
      </c>
      <c r="F187" s="87">
        <v>0</v>
      </c>
      <c r="G187" s="72">
        <v>0</v>
      </c>
      <c r="H187" s="72">
        <v>0</v>
      </c>
      <c r="I187" s="72"/>
      <c r="J187" s="72"/>
      <c r="K187" s="73">
        <v>307.39999999999895</v>
      </c>
      <c r="L187" s="73">
        <v>0</v>
      </c>
      <c r="M187" s="73">
        <f t="shared" si="6"/>
        <v>307.39999999999895</v>
      </c>
    </row>
    <row r="188" spans="1:14" x14ac:dyDescent="0.3">
      <c r="A188" s="70">
        <v>46207</v>
      </c>
      <c r="B188" s="71">
        <v>307.39999999999895</v>
      </c>
      <c r="C188" s="71">
        <f t="shared" si="7"/>
        <v>307.39999999999895</v>
      </c>
      <c r="D188" s="71">
        <v>0</v>
      </c>
      <c r="E188" s="87">
        <v>0</v>
      </c>
      <c r="F188" s="87">
        <v>0</v>
      </c>
      <c r="G188" s="72">
        <v>0</v>
      </c>
      <c r="H188" s="72">
        <v>0</v>
      </c>
      <c r="I188" s="72"/>
      <c r="J188" s="72"/>
      <c r="K188" s="73">
        <v>307.39999999999895</v>
      </c>
      <c r="L188" s="73">
        <v>0</v>
      </c>
      <c r="M188" s="73">
        <f t="shared" si="6"/>
        <v>307.39999999999895</v>
      </c>
    </row>
    <row r="189" spans="1:14" x14ac:dyDescent="0.3">
      <c r="A189" s="70">
        <v>46208</v>
      </c>
      <c r="B189" s="71">
        <v>307.39999999999895</v>
      </c>
      <c r="C189" s="71">
        <f t="shared" si="7"/>
        <v>307.39999999999895</v>
      </c>
      <c r="D189" s="71">
        <v>0</v>
      </c>
      <c r="E189" s="87">
        <v>0</v>
      </c>
      <c r="F189" s="87">
        <v>0</v>
      </c>
      <c r="G189" s="72">
        <v>0</v>
      </c>
      <c r="H189" s="72">
        <v>0</v>
      </c>
      <c r="I189" s="72"/>
      <c r="J189" s="72"/>
      <c r="K189" s="73">
        <v>307.39999999999895</v>
      </c>
      <c r="L189" s="73">
        <v>0</v>
      </c>
      <c r="M189" s="73">
        <f t="shared" si="6"/>
        <v>307.39999999999895</v>
      </c>
    </row>
    <row r="190" spans="1:14" x14ac:dyDescent="0.3">
      <c r="A190" s="70">
        <v>46209</v>
      </c>
      <c r="B190" s="71">
        <v>307.39999999999895</v>
      </c>
      <c r="C190" s="71">
        <f t="shared" si="7"/>
        <v>307.39999999999895</v>
      </c>
      <c r="D190" s="71">
        <v>0</v>
      </c>
      <c r="E190" s="87">
        <v>0</v>
      </c>
      <c r="F190" s="87">
        <v>0</v>
      </c>
      <c r="G190" s="72">
        <v>0</v>
      </c>
      <c r="H190" s="72">
        <v>0</v>
      </c>
      <c r="I190" s="72"/>
      <c r="J190" s="72"/>
      <c r="K190" s="73">
        <v>307.39999999999895</v>
      </c>
      <c r="L190" s="73">
        <v>0</v>
      </c>
      <c r="M190" s="73">
        <f t="shared" si="6"/>
        <v>307.39999999999895</v>
      </c>
    </row>
    <row r="191" spans="1:14" x14ac:dyDescent="0.3">
      <c r="A191" s="70">
        <v>46210</v>
      </c>
      <c r="B191" s="71">
        <v>307.39999999999895</v>
      </c>
      <c r="C191" s="71">
        <f t="shared" si="7"/>
        <v>307.39999999999895</v>
      </c>
      <c r="D191" s="71">
        <v>0</v>
      </c>
      <c r="E191" s="87">
        <v>0</v>
      </c>
      <c r="F191" s="87">
        <v>0</v>
      </c>
      <c r="G191" s="72">
        <v>0</v>
      </c>
      <c r="H191" s="72">
        <v>0</v>
      </c>
      <c r="I191" s="72"/>
      <c r="J191" s="72"/>
      <c r="K191" s="73">
        <v>307.39999999999895</v>
      </c>
      <c r="L191" s="73">
        <v>0</v>
      </c>
      <c r="M191" s="73">
        <f t="shared" si="6"/>
        <v>307.39999999999895</v>
      </c>
    </row>
    <row r="192" spans="1:14" x14ac:dyDescent="0.3">
      <c r="A192" s="70">
        <v>46211</v>
      </c>
      <c r="B192" s="71">
        <v>307.39999999999895</v>
      </c>
      <c r="C192" s="71">
        <f t="shared" si="7"/>
        <v>307.39999999999895</v>
      </c>
      <c r="D192" s="71">
        <v>0</v>
      </c>
      <c r="E192" s="87">
        <v>0</v>
      </c>
      <c r="F192" s="87">
        <v>0</v>
      </c>
      <c r="G192" s="72">
        <v>0</v>
      </c>
      <c r="H192" s="72">
        <v>0</v>
      </c>
      <c r="I192" s="72"/>
      <c r="J192" s="72"/>
      <c r="K192" s="73">
        <v>307.39999999999895</v>
      </c>
      <c r="L192" s="73">
        <v>0</v>
      </c>
      <c r="M192" s="73">
        <f t="shared" si="6"/>
        <v>307.39999999999895</v>
      </c>
    </row>
    <row r="193" spans="1:14" x14ac:dyDescent="0.3">
      <c r="A193" s="70">
        <v>46212</v>
      </c>
      <c r="B193" s="71">
        <v>307.39999999999895</v>
      </c>
      <c r="C193" s="71">
        <f t="shared" si="7"/>
        <v>307.39999999999895</v>
      </c>
      <c r="D193" s="71">
        <v>0</v>
      </c>
      <c r="E193" s="87">
        <v>0</v>
      </c>
      <c r="F193" s="87">
        <v>0</v>
      </c>
      <c r="G193" s="72">
        <v>0</v>
      </c>
      <c r="H193" s="72">
        <v>0</v>
      </c>
      <c r="I193" s="72"/>
      <c r="J193" s="72">
        <v>-216.63</v>
      </c>
      <c r="K193" s="73">
        <v>90.769999999998959</v>
      </c>
      <c r="L193" s="73">
        <v>0</v>
      </c>
      <c r="M193" s="73">
        <f t="shared" si="6"/>
        <v>90.769999999998959</v>
      </c>
      <c r="N193" t="s">
        <v>75</v>
      </c>
    </row>
    <row r="194" spans="1:14" x14ac:dyDescent="0.3">
      <c r="A194" s="70">
        <v>46213</v>
      </c>
      <c r="B194" s="71">
        <v>90.769999999998959</v>
      </c>
      <c r="C194" s="71">
        <f t="shared" si="7"/>
        <v>90.769999999998959</v>
      </c>
      <c r="D194" s="71">
        <v>0</v>
      </c>
      <c r="E194" s="87">
        <v>0</v>
      </c>
      <c r="F194" s="87">
        <v>0</v>
      </c>
      <c r="G194" s="72">
        <v>0</v>
      </c>
      <c r="H194" s="72">
        <v>0</v>
      </c>
      <c r="I194" s="72"/>
      <c r="J194" s="72"/>
      <c r="K194" s="73">
        <v>90.769999999998959</v>
      </c>
      <c r="L194" s="73">
        <v>0</v>
      </c>
      <c r="M194" s="73">
        <f t="shared" si="6"/>
        <v>90.769999999998959</v>
      </c>
    </row>
    <row r="195" spans="1:14" x14ac:dyDescent="0.3">
      <c r="A195" s="70">
        <v>46214</v>
      </c>
      <c r="B195" s="71">
        <v>90.769999999998959</v>
      </c>
      <c r="C195" s="71">
        <f t="shared" si="7"/>
        <v>90.769999999998959</v>
      </c>
      <c r="D195" s="71">
        <v>0</v>
      </c>
      <c r="E195" s="87">
        <v>0</v>
      </c>
      <c r="F195" s="87">
        <v>0</v>
      </c>
      <c r="G195" s="72">
        <v>0</v>
      </c>
      <c r="H195" s="72">
        <v>0</v>
      </c>
      <c r="I195" s="72"/>
      <c r="J195" s="72"/>
      <c r="K195" s="73">
        <v>90.769999999998959</v>
      </c>
      <c r="L195" s="73">
        <v>0</v>
      </c>
      <c r="M195" s="73">
        <f t="shared" si="6"/>
        <v>90.769999999998959</v>
      </c>
    </row>
    <row r="196" spans="1:14" x14ac:dyDescent="0.3">
      <c r="A196" s="70">
        <v>46215</v>
      </c>
      <c r="B196" s="71">
        <v>90.769999999998959</v>
      </c>
      <c r="C196" s="71">
        <f t="shared" si="7"/>
        <v>90.769999999998959</v>
      </c>
      <c r="D196" s="71">
        <v>0</v>
      </c>
      <c r="E196" s="87">
        <v>0</v>
      </c>
      <c r="F196" s="87">
        <v>0</v>
      </c>
      <c r="G196" s="72">
        <v>0</v>
      </c>
      <c r="H196" s="72">
        <v>0</v>
      </c>
      <c r="I196" s="72"/>
      <c r="J196" s="72"/>
      <c r="K196" s="73">
        <v>90.769999999998959</v>
      </c>
      <c r="L196" s="73">
        <f>D196+IF(E196&gt;0,'Main Budget'!$I$9,0)</f>
        <v>0</v>
      </c>
      <c r="M196" s="73">
        <f t="shared" ref="M196:M218" si="8">K196+L196</f>
        <v>90.769999999998959</v>
      </c>
    </row>
    <row r="197" spans="1:14" x14ac:dyDescent="0.3">
      <c r="A197" s="70">
        <v>46216</v>
      </c>
      <c r="B197" s="71">
        <f>M196</f>
        <v>90.769999999998959</v>
      </c>
      <c r="C197" s="71">
        <f>K196</f>
        <v>90.769999999998959</v>
      </c>
      <c r="D197" s="71">
        <f>L196</f>
        <v>0</v>
      </c>
      <c r="E197" s="87">
        <f>IF(DAY(A197+2)=1,'Main Budget'!$E$29,IF(DAY(A197+2)=15,'Main Budget'!$E$29,0))</f>
        <v>84.998333333333335</v>
      </c>
      <c r="F197" s="87">
        <v>0</v>
      </c>
      <c r="G197" s="72">
        <v>0</v>
      </c>
      <c r="H197" s="72">
        <v>0</v>
      </c>
      <c r="I197" s="72"/>
      <c r="J197" s="72"/>
      <c r="K197" s="73">
        <f>C197+SUM(E197:J197)-IF(E197&gt;0,-'Main Budget'!$I$9,0)</f>
        <v>168.84833333333231</v>
      </c>
      <c r="L197" s="73">
        <f>D197+IF(E197&gt;0,-'Main Budget'!$I$9,0)</f>
        <v>6.92</v>
      </c>
      <c r="M197" s="73">
        <f t="shared" si="8"/>
        <v>175.76833333333229</v>
      </c>
    </row>
    <row r="198" spans="1:14" x14ac:dyDescent="0.3">
      <c r="A198" s="70">
        <v>46217</v>
      </c>
      <c r="B198" s="71">
        <f t="shared" ref="B198:B218" si="9">M197</f>
        <v>175.76833333333229</v>
      </c>
      <c r="C198" s="71">
        <f t="shared" ref="C198:C218" si="10">K197</f>
        <v>168.84833333333231</v>
      </c>
      <c r="D198" s="71">
        <f t="shared" ref="D198:D218" si="11">L197</f>
        <v>6.92</v>
      </c>
      <c r="E198" s="87">
        <f>IF(DAY(A198+2)=1,'Main Budget'!$E$29,IF(DAY(A198+2)=15,'Main Budget'!$E$29,0))</f>
        <v>0</v>
      </c>
      <c r="F198" s="87">
        <v>11.25</v>
      </c>
      <c r="G198" s="72">
        <v>0</v>
      </c>
      <c r="H198" s="72">
        <v>0</v>
      </c>
      <c r="I198" s="72"/>
      <c r="J198" s="72"/>
      <c r="K198" s="73">
        <f>K197+SUM(E198:J198)-IF(E198&gt;0,-'Main Budget'!$I$9,0)</f>
        <v>180.09833333333231</v>
      </c>
      <c r="L198" s="73">
        <f>D198+IF(E198&gt;0,-'Main Budget'!$I$9,0)</f>
        <v>6.92</v>
      </c>
      <c r="M198" s="73">
        <f t="shared" si="8"/>
        <v>187.01833333333229</v>
      </c>
    </row>
    <row r="199" spans="1:14" x14ac:dyDescent="0.3">
      <c r="A199" s="70">
        <v>46218</v>
      </c>
      <c r="B199" s="71">
        <f t="shared" si="9"/>
        <v>187.01833333333229</v>
      </c>
      <c r="C199" s="71">
        <f t="shared" si="10"/>
        <v>180.09833333333231</v>
      </c>
      <c r="D199" s="71">
        <f t="shared" si="11"/>
        <v>6.92</v>
      </c>
      <c r="E199" s="87">
        <f>IF(DAY(A199+2)=1,'Main Budget'!$E$29,IF(DAY(A199+2)=15,'Main Budget'!$E$29,0))</f>
        <v>0</v>
      </c>
      <c r="F199" s="87">
        <v>0</v>
      </c>
      <c r="G199" s="72">
        <v>0</v>
      </c>
      <c r="H199" s="72">
        <v>0</v>
      </c>
      <c r="I199" s="72"/>
      <c r="J199" s="72"/>
      <c r="K199" s="73">
        <f>K198+SUM(E199:J199)-IF(E199&gt;0,-'Main Budget'!$I$9,0)</f>
        <v>180.09833333333231</v>
      </c>
      <c r="L199" s="73">
        <f>D199+IF(E199&gt;0,-'Main Budget'!$I$9,0)</f>
        <v>6.92</v>
      </c>
      <c r="M199" s="73">
        <f t="shared" si="8"/>
        <v>187.01833333333229</v>
      </c>
    </row>
    <row r="200" spans="1:14" x14ac:dyDescent="0.3">
      <c r="A200" s="70">
        <v>46219</v>
      </c>
      <c r="B200" s="71">
        <f t="shared" si="9"/>
        <v>187.01833333333229</v>
      </c>
      <c r="C200" s="71">
        <f t="shared" si="10"/>
        <v>180.09833333333231</v>
      </c>
      <c r="D200" s="71">
        <f t="shared" si="11"/>
        <v>6.92</v>
      </c>
      <c r="E200" s="87">
        <f>IF(DAY(A200+2)=1,'Main Budget'!$E$29,IF(DAY(A200+2)=15,'Main Budget'!$E$29,0))</f>
        <v>0</v>
      </c>
      <c r="F200" s="87">
        <v>0</v>
      </c>
      <c r="G200" s="72">
        <v>-30</v>
      </c>
      <c r="H200" s="72">
        <v>0</v>
      </c>
      <c r="I200" s="72"/>
      <c r="J200" s="72"/>
      <c r="K200" s="73">
        <f>K199+SUM(E200:J200)-IF(E200&gt;0,-'Main Budget'!$I$9,0)</f>
        <v>150.09833333333231</v>
      </c>
      <c r="L200" s="73">
        <f>D200+IF(E200&gt;0,-'Main Budget'!$I$9,0)</f>
        <v>6.92</v>
      </c>
      <c r="M200" s="73">
        <f t="shared" si="8"/>
        <v>157.01833333333229</v>
      </c>
    </row>
    <row r="201" spans="1:14" x14ac:dyDescent="0.3">
      <c r="A201" s="70">
        <v>46220</v>
      </c>
      <c r="B201" s="71">
        <f t="shared" si="9"/>
        <v>157.01833333333229</v>
      </c>
      <c r="C201" s="71">
        <f t="shared" si="10"/>
        <v>150.09833333333231</v>
      </c>
      <c r="D201" s="71">
        <f t="shared" si="11"/>
        <v>6.92</v>
      </c>
      <c r="E201" s="87">
        <f>IF(DAY(A201+2)=1,'Main Budget'!$E$29,IF(DAY(A201+2)=15,'Main Budget'!$E$29,0))</f>
        <v>0</v>
      </c>
      <c r="F201" s="87">
        <v>0</v>
      </c>
      <c r="G201" s="72">
        <v>0</v>
      </c>
      <c r="H201" s="72">
        <v>-44.99</v>
      </c>
      <c r="I201" s="72"/>
      <c r="J201" s="72"/>
      <c r="K201" s="73">
        <f>K200+SUM(E201:J201)-IF(E201&gt;0,-'Main Budget'!$I$9,0)</f>
        <v>105.1083333333323</v>
      </c>
      <c r="L201" s="73">
        <f>D201+IF(E201&gt;0,-'Main Budget'!$I$9,0)</f>
        <v>6.92</v>
      </c>
      <c r="M201" s="73">
        <f t="shared" si="8"/>
        <v>112.0283333333323</v>
      </c>
    </row>
    <row r="202" spans="1:14" x14ac:dyDescent="0.3">
      <c r="A202" s="70">
        <v>46221</v>
      </c>
      <c r="B202" s="71">
        <f t="shared" si="9"/>
        <v>112.0283333333323</v>
      </c>
      <c r="C202" s="71">
        <f t="shared" si="10"/>
        <v>105.1083333333323</v>
      </c>
      <c r="D202" s="71">
        <f t="shared" si="11"/>
        <v>6.92</v>
      </c>
      <c r="E202" s="87">
        <f>IF(DAY(A202+2)=1,'Main Budget'!$E$29,IF(DAY(A202+2)=15,'Main Budget'!$E$29,0))</f>
        <v>0</v>
      </c>
      <c r="F202" s="87">
        <f t="shared" ref="F202:F218" si="12">IF(OR(DAY(A202)=1,DAY(A202)=14),11.25,0)</f>
        <v>0</v>
      </c>
      <c r="G202" s="72">
        <f>IF(DAY(A202)='Main Budget'!$K$7,('Main Budget'!$E$7),0)</f>
        <v>0</v>
      </c>
      <c r="H202" s="72">
        <f>IF(DAY(A202)='Main Budget'!$K$8,('Main Budget'!$E$8)*2,0)</f>
        <v>0</v>
      </c>
      <c r="I202" s="72"/>
      <c r="J202" s="72"/>
      <c r="K202" s="73">
        <f>K201+SUM(E202:J202)-IF(E202&gt;0,-'Main Budget'!$I$9,0)</f>
        <v>105.1083333333323</v>
      </c>
      <c r="L202" s="73">
        <f>D202+IF(E202&gt;0,-'Main Budget'!$I$9,0)</f>
        <v>6.92</v>
      </c>
      <c r="M202" s="73">
        <f t="shared" si="8"/>
        <v>112.0283333333323</v>
      </c>
    </row>
    <row r="203" spans="1:14" x14ac:dyDescent="0.3">
      <c r="A203" s="70">
        <v>46222</v>
      </c>
      <c r="B203" s="71">
        <f t="shared" si="9"/>
        <v>112.0283333333323</v>
      </c>
      <c r="C203" s="71">
        <f t="shared" si="10"/>
        <v>105.1083333333323</v>
      </c>
      <c r="D203" s="71">
        <f t="shared" si="11"/>
        <v>6.92</v>
      </c>
      <c r="E203" s="87">
        <f>IF(DAY(A203+2)=1,'Main Budget'!$E$29,IF(DAY(A203+2)=15,'Main Budget'!$E$29,0))</f>
        <v>0</v>
      </c>
      <c r="F203" s="87">
        <f t="shared" si="12"/>
        <v>0</v>
      </c>
      <c r="G203" s="72">
        <f>IF(DAY(A203)='Main Budget'!$K$7,('Main Budget'!$E$7),0)</f>
        <v>0</v>
      </c>
      <c r="H203" s="72">
        <f>IF(DAY(A203)='Main Budget'!$K$8,('Main Budget'!$E$8)*2,0)</f>
        <v>0</v>
      </c>
      <c r="I203" s="72"/>
      <c r="J203" s="72"/>
      <c r="K203" s="73">
        <f>K202+SUM(E203:J203)-IF(E203&gt;0,-'Main Budget'!$I$9,0)</f>
        <v>105.1083333333323</v>
      </c>
      <c r="L203" s="73">
        <f>D203+IF(E203&gt;0,-'Main Budget'!$I$9,0)</f>
        <v>6.92</v>
      </c>
      <c r="M203" s="73">
        <f t="shared" si="8"/>
        <v>112.0283333333323</v>
      </c>
    </row>
    <row r="204" spans="1:14" x14ac:dyDescent="0.3">
      <c r="A204" s="70">
        <v>46223</v>
      </c>
      <c r="B204" s="71">
        <f t="shared" si="9"/>
        <v>112.0283333333323</v>
      </c>
      <c r="C204" s="71">
        <f t="shared" si="10"/>
        <v>105.1083333333323</v>
      </c>
      <c r="D204" s="71">
        <f t="shared" si="11"/>
        <v>6.92</v>
      </c>
      <c r="E204" s="87">
        <f>IF(DAY(A204+2)=1,'Main Budget'!$E$29,IF(DAY(A204+2)=15,'Main Budget'!$E$29,0))</f>
        <v>0</v>
      </c>
      <c r="F204" s="87">
        <f t="shared" si="12"/>
        <v>0</v>
      </c>
      <c r="G204" s="72">
        <f>IF(DAY(A204)='Main Budget'!$K$7,('Main Budget'!$E$7),0)</f>
        <v>0</v>
      </c>
      <c r="H204" s="72">
        <f>IF(DAY(A204)='Main Budget'!$K$8,('Main Budget'!$E$8)*2,0)</f>
        <v>0</v>
      </c>
      <c r="I204" s="72"/>
      <c r="J204" s="72"/>
      <c r="K204" s="73">
        <f>K203+SUM(E204:J204)-IF(E204&gt;0,-'Main Budget'!$I$9,0)</f>
        <v>105.1083333333323</v>
      </c>
      <c r="L204" s="73">
        <f>D204+IF(E204&gt;0,-'Main Budget'!$I$9,0)</f>
        <v>6.92</v>
      </c>
      <c r="M204" s="73">
        <f t="shared" si="8"/>
        <v>112.0283333333323</v>
      </c>
    </row>
    <row r="205" spans="1:14" x14ac:dyDescent="0.3">
      <c r="A205" s="70">
        <v>46224</v>
      </c>
      <c r="B205" s="71">
        <f t="shared" si="9"/>
        <v>112.0283333333323</v>
      </c>
      <c r="C205" s="71">
        <f t="shared" si="10"/>
        <v>105.1083333333323</v>
      </c>
      <c r="D205" s="71">
        <f t="shared" si="11"/>
        <v>6.92</v>
      </c>
      <c r="E205" s="87">
        <f>IF(DAY(A205+2)=1,'Main Budget'!$E$29,IF(DAY(A205+2)=15,'Main Budget'!$E$29,0))</f>
        <v>0</v>
      </c>
      <c r="F205" s="87">
        <f t="shared" si="12"/>
        <v>0</v>
      </c>
      <c r="G205" s="72">
        <f>IF(DAY(A205)='Main Budget'!$K$7,('Main Budget'!$E$7),0)</f>
        <v>0</v>
      </c>
      <c r="H205" s="72">
        <f>IF(DAY(A205)='Main Budget'!$K$8,('Main Budget'!$E$8)*2,0)</f>
        <v>0</v>
      </c>
      <c r="I205" s="72"/>
      <c r="J205" s="72"/>
      <c r="K205" s="73">
        <f>K204+SUM(E205:J205)-IF(E205&gt;0,-'Main Budget'!$I$9,0)</f>
        <v>105.1083333333323</v>
      </c>
      <c r="L205" s="73">
        <f>D205+IF(E205&gt;0,-'Main Budget'!$I$9,0)</f>
        <v>6.92</v>
      </c>
      <c r="M205" s="73">
        <f t="shared" si="8"/>
        <v>112.0283333333323</v>
      </c>
    </row>
    <row r="206" spans="1:14" x14ac:dyDescent="0.3">
      <c r="A206" s="70">
        <v>46225</v>
      </c>
      <c r="B206" s="71">
        <f t="shared" si="9"/>
        <v>112.0283333333323</v>
      </c>
      <c r="C206" s="71">
        <f t="shared" si="10"/>
        <v>105.1083333333323</v>
      </c>
      <c r="D206" s="71">
        <f t="shared" si="11"/>
        <v>6.92</v>
      </c>
      <c r="E206" s="87">
        <f>IF(DAY(A206+2)=1,'Main Budget'!$E$29,IF(DAY(A206+2)=15,'Main Budget'!$E$29,0))</f>
        <v>0</v>
      </c>
      <c r="F206" s="87">
        <f t="shared" si="12"/>
        <v>0</v>
      </c>
      <c r="G206" s="72">
        <f>IF(DAY(A206)='Main Budget'!$K$7,('Main Budget'!$E$7),0)</f>
        <v>0</v>
      </c>
      <c r="H206" s="72">
        <f>IF(DAY(A206)='Main Budget'!$K$8,('Main Budget'!$E$8)*2,0)</f>
        <v>0</v>
      </c>
      <c r="I206" s="72"/>
      <c r="J206" s="72"/>
      <c r="K206" s="73">
        <f>K205+SUM(E206:J206)-IF(E206&gt;0,-'Main Budget'!$I$9,0)</f>
        <v>105.1083333333323</v>
      </c>
      <c r="L206" s="73">
        <f>D206+IF(E206&gt;0,-'Main Budget'!$I$9,0)</f>
        <v>6.92</v>
      </c>
      <c r="M206" s="73">
        <f t="shared" si="8"/>
        <v>112.0283333333323</v>
      </c>
    </row>
    <row r="207" spans="1:14" x14ac:dyDescent="0.3">
      <c r="A207" s="70">
        <v>46226</v>
      </c>
      <c r="B207" s="71">
        <f t="shared" si="9"/>
        <v>112.0283333333323</v>
      </c>
      <c r="C207" s="71">
        <f t="shared" si="10"/>
        <v>105.1083333333323</v>
      </c>
      <c r="D207" s="71">
        <f t="shared" si="11"/>
        <v>6.92</v>
      </c>
      <c r="E207" s="87">
        <f>IF(DAY(A207+2)=1,'Main Budget'!$E$29,IF(DAY(A207+2)=15,'Main Budget'!$E$29,0))</f>
        <v>0</v>
      </c>
      <c r="F207" s="87">
        <f t="shared" si="12"/>
        <v>0</v>
      </c>
      <c r="G207" s="72">
        <f>IF(DAY(A207)='Main Budget'!$K$7,('Main Budget'!$E$7),0)</f>
        <v>0</v>
      </c>
      <c r="H207" s="72">
        <f>IF(DAY(A207)='Main Budget'!$K$8,('Main Budget'!$E$8)*2,0)</f>
        <v>0</v>
      </c>
      <c r="I207" s="72"/>
      <c r="J207" s="72"/>
      <c r="K207" s="73">
        <f>K206+SUM(E207:J207)-IF(E207&gt;0,-'Main Budget'!$I$9,0)</f>
        <v>105.1083333333323</v>
      </c>
      <c r="L207" s="73">
        <f>D207+IF(E207&gt;0,-'Main Budget'!$I$9,0)</f>
        <v>6.92</v>
      </c>
      <c r="M207" s="73">
        <f t="shared" si="8"/>
        <v>112.0283333333323</v>
      </c>
    </row>
    <row r="208" spans="1:14" x14ac:dyDescent="0.3">
      <c r="A208" s="70">
        <v>46227</v>
      </c>
      <c r="B208" s="71">
        <f t="shared" si="9"/>
        <v>112.0283333333323</v>
      </c>
      <c r="C208" s="71">
        <f t="shared" si="10"/>
        <v>105.1083333333323</v>
      </c>
      <c r="D208" s="71">
        <f t="shared" si="11"/>
        <v>6.92</v>
      </c>
      <c r="E208" s="87">
        <f>IF(DAY(A208+2)=1,'Main Budget'!$E$29,IF(DAY(A208+2)=15,'Main Budget'!$E$29,0))</f>
        <v>0</v>
      </c>
      <c r="F208" s="87">
        <f t="shared" si="12"/>
        <v>0</v>
      </c>
      <c r="G208" s="72">
        <f>IF(DAY(A208)='Main Budget'!$K$7,('Main Budget'!$E$7),0)</f>
        <v>0</v>
      </c>
      <c r="H208" s="72">
        <f>IF(DAY(A208)='Main Budget'!$K$8,('Main Budget'!$E$8)*2,0)</f>
        <v>0</v>
      </c>
      <c r="I208" s="72"/>
      <c r="J208" s="72"/>
      <c r="K208" s="73">
        <f>K207+SUM(E208:J208)-IF(E208&gt;0,-'Main Budget'!$I$9,0)</f>
        <v>105.1083333333323</v>
      </c>
      <c r="L208" s="73">
        <f>D208+IF(E208&gt;0,-'Main Budget'!$I$9,0)</f>
        <v>6.92</v>
      </c>
      <c r="M208" s="73">
        <f t="shared" si="8"/>
        <v>112.0283333333323</v>
      </c>
    </row>
    <row r="209" spans="1:13" x14ac:dyDescent="0.3">
      <c r="A209" s="70">
        <v>46228</v>
      </c>
      <c r="B209" s="71">
        <f t="shared" si="9"/>
        <v>112.0283333333323</v>
      </c>
      <c r="C209" s="71">
        <f t="shared" si="10"/>
        <v>105.1083333333323</v>
      </c>
      <c r="D209" s="71">
        <f t="shared" si="11"/>
        <v>6.92</v>
      </c>
      <c r="E209" s="87">
        <f>IF(DAY(A209+2)=1,'Main Budget'!$E$29,IF(DAY(A209+2)=15,'Main Budget'!$E$29,0))</f>
        <v>0</v>
      </c>
      <c r="F209" s="87">
        <f t="shared" si="12"/>
        <v>0</v>
      </c>
      <c r="G209" s="72">
        <f>IF(DAY(A209)='Main Budget'!$K$7,('Main Budget'!$E$7),0)</f>
        <v>0</v>
      </c>
      <c r="H209" s="72">
        <f>IF(DAY(A209)='Main Budget'!$K$8,('Main Budget'!$E$8)*2,0)</f>
        <v>0</v>
      </c>
      <c r="I209" s="72"/>
      <c r="J209" s="72"/>
      <c r="K209" s="73">
        <f>K208+SUM(E209:J209)-IF(E209&gt;0,-'Main Budget'!$I$9,0)</f>
        <v>105.1083333333323</v>
      </c>
      <c r="L209" s="73">
        <f>D209+IF(E209&gt;0,-'Main Budget'!$I$9,0)</f>
        <v>6.92</v>
      </c>
      <c r="M209" s="73">
        <f t="shared" si="8"/>
        <v>112.0283333333323</v>
      </c>
    </row>
    <row r="210" spans="1:13" x14ac:dyDescent="0.3">
      <c r="A210" s="70">
        <v>46229</v>
      </c>
      <c r="B210" s="71">
        <f t="shared" si="9"/>
        <v>112.0283333333323</v>
      </c>
      <c r="C210" s="71">
        <f t="shared" si="10"/>
        <v>105.1083333333323</v>
      </c>
      <c r="D210" s="71">
        <f t="shared" si="11"/>
        <v>6.92</v>
      </c>
      <c r="E210" s="87">
        <f>IF(DAY(A210+2)=1,'Main Budget'!$E$29,IF(DAY(A210+2)=15,'Main Budget'!$E$29,0))</f>
        <v>0</v>
      </c>
      <c r="F210" s="87">
        <f t="shared" si="12"/>
        <v>0</v>
      </c>
      <c r="G210" s="72">
        <f>IF(DAY(A210)='Main Budget'!$K$7,('Main Budget'!$E$7),0)</f>
        <v>0</v>
      </c>
      <c r="H210" s="72">
        <f>IF(DAY(A210)='Main Budget'!$K$8,('Main Budget'!$E$8)*2,0)</f>
        <v>0</v>
      </c>
      <c r="I210" s="72"/>
      <c r="J210" s="72"/>
      <c r="K210" s="73">
        <f>K209+SUM(E210:J210)-IF(E210&gt;0,-'Main Budget'!$I$9,0)</f>
        <v>105.1083333333323</v>
      </c>
      <c r="L210" s="73">
        <f>D210+IF(E210&gt;0,-'Main Budget'!$I$9,0)</f>
        <v>6.92</v>
      </c>
      <c r="M210" s="73">
        <f t="shared" si="8"/>
        <v>112.0283333333323</v>
      </c>
    </row>
    <row r="211" spans="1:13" x14ac:dyDescent="0.3">
      <c r="A211" s="70">
        <v>46230</v>
      </c>
      <c r="B211" s="71">
        <f t="shared" si="9"/>
        <v>112.0283333333323</v>
      </c>
      <c r="C211" s="71">
        <f t="shared" si="10"/>
        <v>105.1083333333323</v>
      </c>
      <c r="D211" s="71">
        <f t="shared" si="11"/>
        <v>6.92</v>
      </c>
      <c r="E211" s="87">
        <f>IF(DAY(A211+2)=1,'Main Budget'!$E$29,IF(DAY(A211+2)=15,'Main Budget'!$E$29,0))</f>
        <v>0</v>
      </c>
      <c r="F211" s="87">
        <f t="shared" si="12"/>
        <v>0</v>
      </c>
      <c r="G211" s="72">
        <f>IF(DAY(A211)='Main Budget'!$K$7,('Main Budget'!$E$7),0)</f>
        <v>0</v>
      </c>
      <c r="H211" s="72">
        <f>IF(DAY(A211)='Main Budget'!$K$8,('Main Budget'!$E$8)*2,0)</f>
        <v>0</v>
      </c>
      <c r="I211" s="72"/>
      <c r="J211" s="72"/>
      <c r="K211" s="73">
        <f>K210+SUM(E211:J211)-IF(E211&gt;0,-'Main Budget'!$I$9,0)</f>
        <v>105.1083333333323</v>
      </c>
      <c r="L211" s="73">
        <f>D211+IF(E211&gt;0,-'Main Budget'!$I$9,0)</f>
        <v>6.92</v>
      </c>
      <c r="M211" s="73">
        <f t="shared" si="8"/>
        <v>112.0283333333323</v>
      </c>
    </row>
    <row r="212" spans="1:13" x14ac:dyDescent="0.3">
      <c r="A212" s="70">
        <v>46231</v>
      </c>
      <c r="B212" s="71">
        <f t="shared" si="9"/>
        <v>112.0283333333323</v>
      </c>
      <c r="C212" s="71">
        <f t="shared" si="10"/>
        <v>105.1083333333323</v>
      </c>
      <c r="D212" s="71">
        <f t="shared" si="11"/>
        <v>6.92</v>
      </c>
      <c r="E212" s="87">
        <f>IF(DAY(A212+2)=1,'Main Budget'!$E$29,IF(DAY(A212+2)=15,'Main Budget'!$E$29,0))</f>
        <v>0</v>
      </c>
      <c r="F212" s="87">
        <f t="shared" si="12"/>
        <v>0</v>
      </c>
      <c r="G212" s="72">
        <f>IF(DAY(A212)='Main Budget'!$K$7,('Main Budget'!$E$7),0)</f>
        <v>0</v>
      </c>
      <c r="H212" s="72">
        <f>IF(DAY(A212)='Main Budget'!$K$8,('Main Budget'!$E$8)*2,0)</f>
        <v>0</v>
      </c>
      <c r="I212" s="72"/>
      <c r="J212" s="72"/>
      <c r="K212" s="73">
        <f>K211+SUM(E212:J212)-IF(E212&gt;0,-'Main Budget'!$I$9,0)</f>
        <v>105.1083333333323</v>
      </c>
      <c r="L212" s="73">
        <f>D212+IF(E212&gt;0,-'Main Budget'!$I$9,0)</f>
        <v>6.92</v>
      </c>
      <c r="M212" s="73">
        <f t="shared" si="8"/>
        <v>112.0283333333323</v>
      </c>
    </row>
    <row r="213" spans="1:13" x14ac:dyDescent="0.3">
      <c r="A213" s="70">
        <v>46232</v>
      </c>
      <c r="B213" s="71">
        <f t="shared" si="9"/>
        <v>112.0283333333323</v>
      </c>
      <c r="C213" s="71">
        <f t="shared" si="10"/>
        <v>105.1083333333323</v>
      </c>
      <c r="D213" s="71">
        <f t="shared" si="11"/>
        <v>6.92</v>
      </c>
      <c r="E213" s="87">
        <f>IF(DAY(A213+2)=1,'Main Budget'!$E$29,IF(DAY(A213+2)=15,'Main Budget'!$E$29,0))</f>
        <v>0</v>
      </c>
      <c r="F213" s="87">
        <f t="shared" si="12"/>
        <v>0</v>
      </c>
      <c r="G213" s="72">
        <f>IF(DAY(A213)='Main Budget'!$K$7,('Main Budget'!$E$7),0)</f>
        <v>0</v>
      </c>
      <c r="H213" s="72">
        <f>IF(DAY(A213)='Main Budget'!$K$8,('Main Budget'!$E$8)*2,0)</f>
        <v>0</v>
      </c>
      <c r="I213" s="72"/>
      <c r="J213" s="72">
        <v>6.59</v>
      </c>
      <c r="K213" s="73">
        <f>K212+SUM(E213:J213)-IF(E213&gt;0,-'Main Budget'!$I$9,0)</f>
        <v>111.6983333333323</v>
      </c>
      <c r="L213" s="73">
        <f>D213+IF(E213&gt;0,-'Main Budget'!$I$9,0)</f>
        <v>6.92</v>
      </c>
      <c r="M213" s="73">
        <f t="shared" si="8"/>
        <v>118.6183333333323</v>
      </c>
    </row>
    <row r="214" spans="1:13" x14ac:dyDescent="0.3">
      <c r="A214" s="70">
        <v>46233</v>
      </c>
      <c r="B214" s="71">
        <f t="shared" si="9"/>
        <v>118.6183333333323</v>
      </c>
      <c r="C214" s="71">
        <f t="shared" si="10"/>
        <v>111.6983333333323</v>
      </c>
      <c r="D214" s="71">
        <f t="shared" si="11"/>
        <v>6.92</v>
      </c>
      <c r="E214" s="87">
        <f>IF(DAY(A214+2)=1,'Main Budget'!$E$29,IF(DAY(A214+2)=15,'Main Budget'!$E$29,0))</f>
        <v>84.998333333333335</v>
      </c>
      <c r="F214" s="87">
        <f t="shared" si="12"/>
        <v>0</v>
      </c>
      <c r="G214" s="72">
        <f>IF(DAY(A214)='Main Budget'!$K$7,('Main Budget'!$E$7),0)</f>
        <v>0</v>
      </c>
      <c r="H214" s="72">
        <f>IF(DAY(A214)='Main Budget'!$K$8,('Main Budget'!$E$8)*2,0)</f>
        <v>0</v>
      </c>
      <c r="I214" s="72"/>
      <c r="J214" s="72"/>
      <c r="K214" s="73">
        <f>K213+SUM(E214:J214)-IF(E214&gt;0,-'Main Budget'!$I$9,0)</f>
        <v>189.77666666666565</v>
      </c>
      <c r="L214" s="73">
        <f>D214+IF(E214&gt;0,-'Main Budget'!$I$9,0)</f>
        <v>13.84</v>
      </c>
      <c r="M214" s="73">
        <f t="shared" si="8"/>
        <v>203.61666666666565</v>
      </c>
    </row>
    <row r="215" spans="1:13" x14ac:dyDescent="0.3">
      <c r="A215" s="70">
        <v>46234</v>
      </c>
      <c r="B215" s="71">
        <f t="shared" si="9"/>
        <v>203.61666666666565</v>
      </c>
      <c r="C215" s="71">
        <f t="shared" si="10"/>
        <v>189.77666666666565</v>
      </c>
      <c r="D215" s="71">
        <f t="shared" si="11"/>
        <v>13.84</v>
      </c>
      <c r="E215" s="87">
        <f>IF(DAY(A215+2)=1,'Main Budget'!$E$29,IF(DAY(A215+2)=15,'Main Budget'!$E$29,0))</f>
        <v>0</v>
      </c>
      <c r="F215" s="87">
        <f t="shared" si="12"/>
        <v>0</v>
      </c>
      <c r="G215" s="72">
        <f>IF(DAY(A215)='Main Budget'!$K$7,('Main Budget'!$E$7),0)</f>
        <v>0</v>
      </c>
      <c r="H215" s="72">
        <f>IF(DAY(A215)='Main Budget'!$K$8,('Main Budget'!$E$8)*2,0)</f>
        <v>0</v>
      </c>
      <c r="I215" s="72"/>
      <c r="J215" s="72"/>
      <c r="K215" s="73">
        <f>K214+SUM(E215:J215)-IF(E215&gt;0,-'Main Budget'!$I$9,0)</f>
        <v>189.77666666666565</v>
      </c>
      <c r="L215" s="73">
        <f>D215+IF(E215&gt;0,-'Main Budget'!$I$9,0)</f>
        <v>13.84</v>
      </c>
      <c r="M215" s="73">
        <f t="shared" si="8"/>
        <v>203.61666666666565</v>
      </c>
    </row>
    <row r="216" spans="1:13" x14ac:dyDescent="0.3">
      <c r="A216" s="70">
        <v>46235</v>
      </c>
      <c r="B216" s="71">
        <f t="shared" si="9"/>
        <v>203.61666666666565</v>
      </c>
      <c r="C216" s="71">
        <f t="shared" si="10"/>
        <v>189.77666666666565</v>
      </c>
      <c r="D216" s="71">
        <f t="shared" si="11"/>
        <v>13.84</v>
      </c>
      <c r="E216" s="87">
        <f>IF(DAY(A216+2)=1,'Main Budget'!$E$29,IF(DAY(A216+2)=15,'Main Budget'!$E$29,0))</f>
        <v>0</v>
      </c>
      <c r="F216" s="87">
        <f t="shared" si="12"/>
        <v>11.25</v>
      </c>
      <c r="G216" s="72">
        <f>IF(DAY(A216)='Main Budget'!$K$7,('Main Budget'!$E$7),0)</f>
        <v>0</v>
      </c>
      <c r="H216" s="72">
        <f>IF(DAY(A216)='Main Budget'!$K$8,('Main Budget'!$E$8)*2,0)</f>
        <v>0</v>
      </c>
      <c r="I216" s="72"/>
      <c r="J216" s="72"/>
      <c r="K216" s="73">
        <f>K215+SUM(E216:J216)-IF(E216&gt;0,-'Main Budget'!$I$9,0)</f>
        <v>201.02666666666565</v>
      </c>
      <c r="L216" s="73">
        <f>D216+IF(E216&gt;0,-'Main Budget'!$I$9,0)</f>
        <v>13.84</v>
      </c>
      <c r="M216" s="73">
        <f t="shared" si="8"/>
        <v>214.86666666666565</v>
      </c>
    </row>
    <row r="217" spans="1:13" x14ac:dyDescent="0.3">
      <c r="A217" s="70">
        <v>46236</v>
      </c>
      <c r="B217" s="71">
        <f t="shared" si="9"/>
        <v>214.86666666666565</v>
      </c>
      <c r="C217" s="71">
        <f t="shared" si="10"/>
        <v>201.02666666666565</v>
      </c>
      <c r="D217" s="71">
        <f t="shared" si="11"/>
        <v>13.84</v>
      </c>
      <c r="E217" s="87">
        <f>IF(DAY(A217+2)=1,'Main Budget'!$E$29,IF(DAY(A217+2)=15,'Main Budget'!$E$29,0))</f>
        <v>0</v>
      </c>
      <c r="F217" s="87">
        <f t="shared" si="12"/>
        <v>0</v>
      </c>
      <c r="G217" s="72">
        <f>IF(DAY(A217)='Main Budget'!$K$7,('Main Budget'!$E$7),0)</f>
        <v>0</v>
      </c>
      <c r="H217" s="72">
        <f>IF(DAY(A217)='Main Budget'!$K$8,('Main Budget'!$E$8)*2,0)</f>
        <v>0</v>
      </c>
      <c r="I217" s="72"/>
      <c r="J217" s="72"/>
      <c r="K217" s="73">
        <f>K216+SUM(E217:J217)-IF(E217&gt;0,-'Main Budget'!$I$9,0)</f>
        <v>201.02666666666565</v>
      </c>
      <c r="L217" s="73">
        <f>D217+IF(E217&gt;0,-'Main Budget'!$I$9,0)</f>
        <v>13.84</v>
      </c>
      <c r="M217" s="73">
        <f t="shared" si="8"/>
        <v>214.86666666666565</v>
      </c>
    </row>
    <row r="218" spans="1:13" x14ac:dyDescent="0.3">
      <c r="A218" s="70">
        <v>46237</v>
      </c>
      <c r="B218" s="71">
        <f t="shared" si="9"/>
        <v>214.86666666666565</v>
      </c>
      <c r="C218" s="71">
        <f t="shared" si="10"/>
        <v>201.02666666666565</v>
      </c>
      <c r="D218" s="71">
        <f t="shared" si="11"/>
        <v>13.84</v>
      </c>
      <c r="E218" s="87">
        <f>IF(DAY(A218+2)=1,'Main Budget'!$E$29,IF(DAY(A218+2)=15,'Main Budget'!$E$29,0))</f>
        <v>0</v>
      </c>
      <c r="F218" s="87">
        <f t="shared" si="12"/>
        <v>0</v>
      </c>
      <c r="G218" s="72">
        <f>IF(DAY(A218)='Main Budget'!$K$7,('Main Budget'!$E$7),0)</f>
        <v>0</v>
      </c>
      <c r="H218" s="72">
        <f>IF(DAY(A218)='Main Budget'!$K$8,('Main Budget'!$E$8)*2,0)</f>
        <v>0</v>
      </c>
      <c r="I218" s="72"/>
      <c r="J218" s="72"/>
      <c r="K218" s="73">
        <f>K217+SUM(E218:J218)-IF(E218&gt;0,-'Main Budget'!$I$9,0)</f>
        <v>201.02666666666565</v>
      </c>
      <c r="L218" s="73">
        <f>D218+IF(E218&gt;0,-'Main Budget'!$I$9,0)</f>
        <v>13.84</v>
      </c>
      <c r="M218" s="73">
        <f t="shared" si="8"/>
        <v>214.86666666666565</v>
      </c>
    </row>
    <row r="219" spans="1:13" x14ac:dyDescent="0.3">
      <c r="A219" s="70">
        <v>46238</v>
      </c>
      <c r="B219" s="71">
        <f t="shared" ref="B219:B243" si="13">M218</f>
        <v>214.86666666666565</v>
      </c>
      <c r="C219" s="71">
        <f t="shared" ref="C219:C243" si="14">K218</f>
        <v>201.02666666666565</v>
      </c>
      <c r="D219" s="71">
        <f t="shared" ref="D219:D243" si="15">L218</f>
        <v>13.84</v>
      </c>
      <c r="E219" s="87">
        <f>IF(DAY(A219+2)=1,'Main Budget'!$E$29,IF(DAY(A219+2)=15,'Main Budget'!$E$29,0))</f>
        <v>0</v>
      </c>
      <c r="F219" s="87">
        <f t="shared" ref="F219:F243" si="16">IF(OR(DAY(A219)=1,DAY(A219)=14),11.25,0)</f>
        <v>0</v>
      </c>
      <c r="G219" s="72">
        <f>IF(DAY(A219)='Main Budget'!$K$7,('Main Budget'!$E$7),0)</f>
        <v>0</v>
      </c>
      <c r="H219" s="72">
        <f>IF(DAY(A219)='Main Budget'!$K$8,('Main Budget'!$E$8)*2,0)</f>
        <v>0</v>
      </c>
      <c r="I219" s="72"/>
      <c r="J219" s="72"/>
      <c r="K219" s="73">
        <f>K218+SUM(E219:J219)-IF(E219&gt;0,-'Main Budget'!$I$9,0)</f>
        <v>201.02666666666565</v>
      </c>
      <c r="L219" s="73">
        <f>D219+IF(E219&gt;0,-'Main Budget'!$I$9,0)</f>
        <v>13.84</v>
      </c>
      <c r="M219" s="73">
        <f t="shared" ref="M219:M243" si="17">K219+L219</f>
        <v>214.86666666666565</v>
      </c>
    </row>
    <row r="220" spans="1:13" x14ac:dyDescent="0.3">
      <c r="A220" s="70">
        <v>46239</v>
      </c>
      <c r="B220" s="71">
        <f t="shared" si="13"/>
        <v>214.86666666666565</v>
      </c>
      <c r="C220" s="71">
        <f t="shared" si="14"/>
        <v>201.02666666666565</v>
      </c>
      <c r="D220" s="71">
        <f t="shared" si="15"/>
        <v>13.84</v>
      </c>
      <c r="E220" s="87">
        <f>IF(DAY(A220+2)=1,'Main Budget'!$E$29,IF(DAY(A220+2)=15,'Main Budget'!$E$29,0))</f>
        <v>0</v>
      </c>
      <c r="F220" s="87">
        <f t="shared" si="16"/>
        <v>0</v>
      </c>
      <c r="G220" s="72">
        <f>IF(DAY(A220)='Main Budget'!$K$7,('Main Budget'!$E$7),0)</f>
        <v>0</v>
      </c>
      <c r="H220" s="72">
        <f>IF(DAY(A220)='Main Budget'!$K$8,('Main Budget'!$E$8)*2,0)</f>
        <v>0</v>
      </c>
      <c r="I220" s="72"/>
      <c r="J220" s="72"/>
      <c r="K220" s="73">
        <f>K219+SUM(E220:J220)-IF(E220&gt;0,-'Main Budget'!$I$9,0)</f>
        <v>201.02666666666565</v>
      </c>
      <c r="L220" s="73">
        <f>D220+IF(E220&gt;0,-'Main Budget'!$I$9,0)</f>
        <v>13.84</v>
      </c>
      <c r="M220" s="73">
        <f t="shared" si="17"/>
        <v>214.86666666666565</v>
      </c>
    </row>
    <row r="221" spans="1:13" x14ac:dyDescent="0.3">
      <c r="A221" s="70">
        <v>46240</v>
      </c>
      <c r="B221" s="71">
        <f t="shared" si="13"/>
        <v>214.86666666666565</v>
      </c>
      <c r="C221" s="71">
        <f t="shared" si="14"/>
        <v>201.02666666666565</v>
      </c>
      <c r="D221" s="71">
        <f t="shared" si="15"/>
        <v>13.84</v>
      </c>
      <c r="E221" s="87">
        <f>IF(DAY(A221+2)=1,'Main Budget'!$E$29,IF(DAY(A221+2)=15,'Main Budget'!$E$29,0))</f>
        <v>0</v>
      </c>
      <c r="F221" s="87">
        <f t="shared" si="16"/>
        <v>0</v>
      </c>
      <c r="G221" s="72">
        <f>IF(DAY(A221)='Main Budget'!$K$7,('Main Budget'!$E$7),0)</f>
        <v>0</v>
      </c>
      <c r="H221" s="72">
        <f>IF(DAY(A221)='Main Budget'!$K$8,('Main Budget'!$E$8)*2,0)</f>
        <v>0</v>
      </c>
      <c r="I221" s="72"/>
      <c r="J221" s="72"/>
      <c r="K221" s="73">
        <f>K220+SUM(E221:J221)-IF(E221&gt;0,-'Main Budget'!$I$9,0)</f>
        <v>201.02666666666565</v>
      </c>
      <c r="L221" s="73">
        <f>D221+IF(E221&gt;0,-'Main Budget'!$I$9,0)</f>
        <v>13.84</v>
      </c>
      <c r="M221" s="73">
        <f t="shared" si="17"/>
        <v>214.86666666666565</v>
      </c>
    </row>
    <row r="222" spans="1:13" x14ac:dyDescent="0.3">
      <c r="A222" s="70">
        <v>46241</v>
      </c>
      <c r="B222" s="71">
        <f t="shared" si="13"/>
        <v>214.86666666666565</v>
      </c>
      <c r="C222" s="71">
        <f t="shared" si="14"/>
        <v>201.02666666666565</v>
      </c>
      <c r="D222" s="71">
        <f t="shared" si="15"/>
        <v>13.84</v>
      </c>
      <c r="E222" s="87">
        <f>IF(DAY(A222+2)=1,'Main Budget'!$E$29,IF(DAY(A222+2)=15,'Main Budget'!$E$29,0))</f>
        <v>0</v>
      </c>
      <c r="F222" s="87">
        <f t="shared" si="16"/>
        <v>0</v>
      </c>
      <c r="G222" s="72">
        <f>IF(DAY(A222)='Main Budget'!$K$7,('Main Budget'!$E$7),0)</f>
        <v>0</v>
      </c>
      <c r="H222" s="72">
        <f>IF(DAY(A222)='Main Budget'!$K$8,('Main Budget'!$E$8)*2,0)</f>
        <v>0</v>
      </c>
      <c r="I222" s="72"/>
      <c r="J222" s="72"/>
      <c r="K222" s="73">
        <f>K221+SUM(E222:J222)-IF(E222&gt;0,-'Main Budget'!$I$9,0)</f>
        <v>201.02666666666565</v>
      </c>
      <c r="L222" s="73">
        <f>D222+IF(E222&gt;0,-'Main Budget'!$I$9,0)</f>
        <v>13.84</v>
      </c>
      <c r="M222" s="73">
        <f t="shared" si="17"/>
        <v>214.86666666666565</v>
      </c>
    </row>
    <row r="223" spans="1:13" x14ac:dyDescent="0.3">
      <c r="A223" s="70">
        <v>46242</v>
      </c>
      <c r="B223" s="71">
        <f t="shared" si="13"/>
        <v>214.86666666666565</v>
      </c>
      <c r="C223" s="71">
        <f t="shared" si="14"/>
        <v>201.02666666666565</v>
      </c>
      <c r="D223" s="71">
        <f t="shared" si="15"/>
        <v>13.84</v>
      </c>
      <c r="E223" s="87">
        <f>IF(DAY(A223+2)=1,'Main Budget'!$E$29,IF(DAY(A223+2)=15,'Main Budget'!$E$29,0))</f>
        <v>0</v>
      </c>
      <c r="F223" s="87">
        <f t="shared" si="16"/>
        <v>0</v>
      </c>
      <c r="G223" s="72">
        <f>IF(DAY(A223)='Main Budget'!$K$7,('Main Budget'!$E$7),0)</f>
        <v>0</v>
      </c>
      <c r="H223" s="72">
        <f>IF(DAY(A223)='Main Budget'!$K$8,('Main Budget'!$E$8)*2,0)</f>
        <v>0</v>
      </c>
      <c r="I223" s="72"/>
      <c r="J223" s="72"/>
      <c r="K223" s="73">
        <f>K222+SUM(E223:J223)-IF(E223&gt;0,-'Main Budget'!$I$9,0)</f>
        <v>201.02666666666565</v>
      </c>
      <c r="L223" s="73">
        <f>D223+IF(E223&gt;0,-'Main Budget'!$I$9,0)</f>
        <v>13.84</v>
      </c>
      <c r="M223" s="73">
        <f t="shared" si="17"/>
        <v>214.86666666666565</v>
      </c>
    </row>
    <row r="224" spans="1:13" x14ac:dyDescent="0.3">
      <c r="A224" s="70">
        <v>46243</v>
      </c>
      <c r="B224" s="71">
        <f t="shared" si="13"/>
        <v>214.86666666666565</v>
      </c>
      <c r="C224" s="71">
        <f t="shared" si="14"/>
        <v>201.02666666666565</v>
      </c>
      <c r="D224" s="71">
        <f t="shared" si="15"/>
        <v>13.84</v>
      </c>
      <c r="E224" s="87">
        <f>IF(DAY(A224+2)=1,'Main Budget'!$E$29,IF(DAY(A224+2)=15,'Main Budget'!$E$29,0))</f>
        <v>0</v>
      </c>
      <c r="F224" s="87">
        <f t="shared" si="16"/>
        <v>0</v>
      </c>
      <c r="G224" s="72">
        <f>IF(DAY(A224)='Main Budget'!$K$7,('Main Budget'!$E$7),0)</f>
        <v>0</v>
      </c>
      <c r="H224" s="72">
        <f>IF(DAY(A224)='Main Budget'!$K$8,('Main Budget'!$E$8)*2,0)</f>
        <v>0</v>
      </c>
      <c r="I224" s="72"/>
      <c r="J224" s="72"/>
      <c r="K224" s="73">
        <f>K223+SUM(E224:J224)-IF(E224&gt;0,-'Main Budget'!$I$9,0)</f>
        <v>201.02666666666565</v>
      </c>
      <c r="L224" s="73">
        <f>D224+IF(E224&gt;0,-'Main Budget'!$I$9,0)</f>
        <v>13.84</v>
      </c>
      <c r="M224" s="73">
        <f t="shared" si="17"/>
        <v>214.86666666666565</v>
      </c>
    </row>
    <row r="225" spans="1:13" x14ac:dyDescent="0.3">
      <c r="A225" s="70">
        <v>46244</v>
      </c>
      <c r="B225" s="71">
        <f t="shared" si="13"/>
        <v>214.86666666666565</v>
      </c>
      <c r="C225" s="71">
        <f t="shared" si="14"/>
        <v>201.02666666666565</v>
      </c>
      <c r="D225" s="71">
        <f t="shared" si="15"/>
        <v>13.84</v>
      </c>
      <c r="E225" s="87">
        <f>IF(DAY(A225+2)=1,'Main Budget'!$E$29,IF(DAY(A225+2)=15,'Main Budget'!$E$29,0))</f>
        <v>0</v>
      </c>
      <c r="F225" s="87">
        <f t="shared" si="16"/>
        <v>0</v>
      </c>
      <c r="G225" s="72">
        <f>IF(DAY(A225)='Main Budget'!$K$7,('Main Budget'!$E$7),0)</f>
        <v>0</v>
      </c>
      <c r="H225" s="72">
        <f>IF(DAY(A225)='Main Budget'!$K$8,('Main Budget'!$E$8)*2,0)</f>
        <v>0</v>
      </c>
      <c r="I225" s="72"/>
      <c r="J225" s="72"/>
      <c r="K225" s="73">
        <f>K224+SUM(E225:J225)-IF(E225&gt;0,-'Main Budget'!$I$9,0)</f>
        <v>201.02666666666565</v>
      </c>
      <c r="L225" s="73">
        <f>D225+IF(E225&gt;0,-'Main Budget'!$I$9,0)</f>
        <v>13.84</v>
      </c>
      <c r="M225" s="73">
        <f t="shared" si="17"/>
        <v>214.86666666666565</v>
      </c>
    </row>
    <row r="226" spans="1:13" x14ac:dyDescent="0.3">
      <c r="A226" s="70">
        <v>46245</v>
      </c>
      <c r="B226" s="71">
        <f t="shared" si="13"/>
        <v>214.86666666666565</v>
      </c>
      <c r="C226" s="71">
        <f t="shared" si="14"/>
        <v>201.02666666666565</v>
      </c>
      <c r="D226" s="71">
        <f t="shared" si="15"/>
        <v>13.84</v>
      </c>
      <c r="E226" s="87">
        <f>IF(DAY(A226+2)=1,'Main Budget'!$E$29,IF(DAY(A226+2)=15,'Main Budget'!$E$29,0))</f>
        <v>0</v>
      </c>
      <c r="F226" s="87">
        <f t="shared" si="16"/>
        <v>0</v>
      </c>
      <c r="G226" s="72">
        <f>IF(DAY(A226)='Main Budget'!$K$7,('Main Budget'!$E$7),0)</f>
        <v>0</v>
      </c>
      <c r="H226" s="72">
        <f>IF(DAY(A226)='Main Budget'!$K$8,('Main Budget'!$E$8)*2,0)</f>
        <v>0</v>
      </c>
      <c r="I226" s="72"/>
      <c r="J226" s="72"/>
      <c r="K226" s="73">
        <f>K225+SUM(E226:J226)-IF(E226&gt;0,-'Main Budget'!$I$9,0)</f>
        <v>201.02666666666565</v>
      </c>
      <c r="L226" s="73">
        <f>D226+IF(E226&gt;0,-'Main Budget'!$I$9,0)</f>
        <v>13.84</v>
      </c>
      <c r="M226" s="73">
        <f t="shared" si="17"/>
        <v>214.86666666666565</v>
      </c>
    </row>
    <row r="227" spans="1:13" x14ac:dyDescent="0.3">
      <c r="A227" s="70">
        <v>46246</v>
      </c>
      <c r="B227" s="71">
        <f t="shared" si="13"/>
        <v>214.86666666666565</v>
      </c>
      <c r="C227" s="71">
        <f t="shared" si="14"/>
        <v>201.02666666666565</v>
      </c>
      <c r="D227" s="71">
        <f t="shared" si="15"/>
        <v>13.84</v>
      </c>
      <c r="E227" s="87">
        <f>IF(DAY(A227+2)=1,'Main Budget'!$E$29,IF(DAY(A227+2)=15,'Main Budget'!$E$29,0))</f>
        <v>0</v>
      </c>
      <c r="F227" s="87">
        <f t="shared" si="16"/>
        <v>0</v>
      </c>
      <c r="G227" s="72">
        <f>IF(DAY(A227)='Main Budget'!$K$7,('Main Budget'!$E$7),0)</f>
        <v>0</v>
      </c>
      <c r="H227" s="72">
        <f>IF(DAY(A227)='Main Budget'!$K$8,('Main Budget'!$E$8)*2,0)</f>
        <v>0</v>
      </c>
      <c r="I227" s="72"/>
      <c r="J227" s="72"/>
      <c r="K227" s="73">
        <f>K226+SUM(E227:J227)-IF(E227&gt;0,-'Main Budget'!$I$9,0)</f>
        <v>201.02666666666565</v>
      </c>
      <c r="L227" s="73">
        <f>D227+IF(E227&gt;0,-'Main Budget'!$I$9,0)</f>
        <v>13.84</v>
      </c>
      <c r="M227" s="73">
        <f t="shared" si="17"/>
        <v>214.86666666666565</v>
      </c>
    </row>
    <row r="228" spans="1:13" x14ac:dyDescent="0.3">
      <c r="A228" s="70">
        <v>46247</v>
      </c>
      <c r="B228" s="71">
        <f t="shared" si="13"/>
        <v>214.86666666666565</v>
      </c>
      <c r="C228" s="71">
        <f t="shared" si="14"/>
        <v>201.02666666666565</v>
      </c>
      <c r="D228" s="71">
        <f t="shared" si="15"/>
        <v>13.84</v>
      </c>
      <c r="E228" s="87">
        <f>IF(DAY(A228+2)=1,'Main Budget'!$E$29,IF(DAY(A228+2)=15,'Main Budget'!$E$29,0))</f>
        <v>84.998333333333335</v>
      </c>
      <c r="F228" s="87">
        <f t="shared" si="16"/>
        <v>0</v>
      </c>
      <c r="G228" s="72">
        <f>IF(DAY(A228)='Main Budget'!$K$7,('Main Budget'!$E$7),0)</f>
        <v>0</v>
      </c>
      <c r="H228" s="72">
        <f>IF(DAY(A228)='Main Budget'!$K$8,('Main Budget'!$E$8)*2,0)</f>
        <v>0</v>
      </c>
      <c r="I228" s="72"/>
      <c r="J228" s="72"/>
      <c r="K228" s="73">
        <f>K227+SUM(E228:J228)-IF(E228&gt;0,-'Main Budget'!$I$9,0)</f>
        <v>279.10499999999894</v>
      </c>
      <c r="L228" s="73">
        <f>D228+IF(E228&gt;0,-'Main Budget'!$I$9,0)</f>
        <v>20.759999999999998</v>
      </c>
      <c r="M228" s="73">
        <f t="shared" si="17"/>
        <v>299.86499999999893</v>
      </c>
    </row>
    <row r="229" spans="1:13" x14ac:dyDescent="0.3">
      <c r="A229" s="70">
        <v>46248</v>
      </c>
      <c r="B229" s="71">
        <f t="shared" si="13"/>
        <v>299.86499999999893</v>
      </c>
      <c r="C229" s="71">
        <f t="shared" si="14"/>
        <v>279.10499999999894</v>
      </c>
      <c r="D229" s="71">
        <f t="shared" si="15"/>
        <v>20.759999999999998</v>
      </c>
      <c r="E229" s="87">
        <f>IF(DAY(A229+2)=1,'Main Budget'!$E$29,IF(DAY(A229+2)=15,'Main Budget'!$E$29,0))</f>
        <v>0</v>
      </c>
      <c r="F229" s="87">
        <f t="shared" si="16"/>
        <v>11.25</v>
      </c>
      <c r="G229" s="72">
        <f>IF(DAY(A229)='Main Budget'!$K$7,('Main Budget'!$E$7),0)</f>
        <v>0</v>
      </c>
      <c r="H229" s="72">
        <f>IF(DAY(A229)='Main Budget'!$K$8,('Main Budget'!$E$8)*2,0)</f>
        <v>0</v>
      </c>
      <c r="I229" s="72"/>
      <c r="J229" s="72"/>
      <c r="K229" s="73">
        <f>K228+SUM(E229:J229)-IF(E229&gt;0,-'Main Budget'!$I$9,0)</f>
        <v>290.35499999999894</v>
      </c>
      <c r="L229" s="73">
        <f>D229+IF(E229&gt;0,-'Main Budget'!$I$9,0)</f>
        <v>20.759999999999998</v>
      </c>
      <c r="M229" s="73">
        <f t="shared" si="17"/>
        <v>311.11499999999893</v>
      </c>
    </row>
    <row r="230" spans="1:13" x14ac:dyDescent="0.3">
      <c r="A230" s="70">
        <v>46249</v>
      </c>
      <c r="B230" s="71">
        <f t="shared" si="13"/>
        <v>311.11499999999893</v>
      </c>
      <c r="C230" s="71">
        <f t="shared" si="14"/>
        <v>290.35499999999894</v>
      </c>
      <c r="D230" s="71">
        <f t="shared" si="15"/>
        <v>20.759999999999998</v>
      </c>
      <c r="E230" s="87">
        <f>IF(DAY(A230+2)=1,'Main Budget'!$E$29,IF(DAY(A230+2)=15,'Main Budget'!$E$29,0))</f>
        <v>0</v>
      </c>
      <c r="F230" s="87">
        <f t="shared" si="16"/>
        <v>0</v>
      </c>
      <c r="G230" s="72">
        <f>IF(DAY(A230)='Main Budget'!$K$7,('Main Budget'!$E$7),0)</f>
        <v>-30</v>
      </c>
      <c r="H230" s="72">
        <f>IF(DAY(A230)='Main Budget'!$K$8,('Main Budget'!$E$8)*2,0)</f>
        <v>0</v>
      </c>
      <c r="I230" s="72"/>
      <c r="J230" s="72"/>
      <c r="K230" s="73">
        <f>K229+SUM(E230:J230)-IF(E230&gt;0,-'Main Budget'!$I$9,0)</f>
        <v>260.35499999999894</v>
      </c>
      <c r="L230" s="73">
        <f>D230+IF(E230&gt;0,-'Main Budget'!$I$9,0)</f>
        <v>20.759999999999998</v>
      </c>
      <c r="M230" s="73">
        <f t="shared" si="17"/>
        <v>281.11499999999893</v>
      </c>
    </row>
    <row r="231" spans="1:13" x14ac:dyDescent="0.3">
      <c r="A231" s="70">
        <v>46250</v>
      </c>
      <c r="B231" s="71">
        <f t="shared" si="13"/>
        <v>281.11499999999893</v>
      </c>
      <c r="C231" s="71">
        <f t="shared" si="14"/>
        <v>260.35499999999894</v>
      </c>
      <c r="D231" s="71">
        <f t="shared" si="15"/>
        <v>20.759999999999998</v>
      </c>
      <c r="E231" s="87">
        <f>IF(DAY(A231+2)=1,'Main Budget'!$E$29,IF(DAY(A231+2)=15,'Main Budget'!$E$29,0))</f>
        <v>0</v>
      </c>
      <c r="F231" s="87">
        <f t="shared" si="16"/>
        <v>0</v>
      </c>
      <c r="G231" s="72">
        <f>IF(DAY(A231)='Main Budget'!$K$7,('Main Budget'!$E$7),0)</f>
        <v>0</v>
      </c>
      <c r="H231" s="72">
        <f>IF(DAY(A231)='Main Budget'!$K$8,('Main Budget'!$E$8)*2,0)</f>
        <v>0</v>
      </c>
      <c r="I231" s="72"/>
      <c r="J231" s="72"/>
      <c r="K231" s="73">
        <f>K230+SUM(E231:J231)-IF(E231&gt;0,-'Main Budget'!$I$9,0)</f>
        <v>260.35499999999894</v>
      </c>
      <c r="L231" s="73">
        <f>D231+IF(E231&gt;0,-'Main Budget'!$I$9,0)</f>
        <v>20.759999999999998</v>
      </c>
      <c r="M231" s="73">
        <f t="shared" si="17"/>
        <v>281.11499999999893</v>
      </c>
    </row>
    <row r="232" spans="1:13" x14ac:dyDescent="0.3">
      <c r="A232" s="70">
        <v>46251</v>
      </c>
      <c r="B232" s="71">
        <f t="shared" si="13"/>
        <v>281.11499999999893</v>
      </c>
      <c r="C232" s="71">
        <f t="shared" si="14"/>
        <v>260.35499999999894</v>
      </c>
      <c r="D232" s="71">
        <f t="shared" si="15"/>
        <v>20.759999999999998</v>
      </c>
      <c r="E232" s="87">
        <f>IF(DAY(A232+2)=1,'Main Budget'!$E$29,IF(DAY(A232+2)=15,'Main Budget'!$E$29,0))</f>
        <v>0</v>
      </c>
      <c r="F232" s="87">
        <f t="shared" si="16"/>
        <v>0</v>
      </c>
      <c r="G232" s="72">
        <f>IF(DAY(A232)='Main Budget'!$K$7,('Main Budget'!$E$7),0)</f>
        <v>0</v>
      </c>
      <c r="H232" s="72">
        <f>IF(DAY(A232)='Main Budget'!$K$8,('Main Budget'!$E$8)*2,0)</f>
        <v>-89.98</v>
      </c>
      <c r="I232" s="72"/>
      <c r="J232" s="72"/>
      <c r="K232" s="73">
        <f>K231+SUM(E232:J232)-IF(E232&gt;0,-'Main Budget'!$I$9,0)</f>
        <v>170.37499999999892</v>
      </c>
      <c r="L232" s="73">
        <f>D232+IF(E232&gt;0,-'Main Budget'!$I$9,0)</f>
        <v>20.759999999999998</v>
      </c>
      <c r="M232" s="73">
        <f t="shared" si="17"/>
        <v>191.13499999999891</v>
      </c>
    </row>
    <row r="233" spans="1:13" x14ac:dyDescent="0.3">
      <c r="A233" s="70">
        <v>46252</v>
      </c>
      <c r="B233" s="71">
        <f t="shared" si="13"/>
        <v>191.13499999999891</v>
      </c>
      <c r="C233" s="71">
        <f t="shared" si="14"/>
        <v>170.37499999999892</v>
      </c>
      <c r="D233" s="71">
        <f t="shared" si="15"/>
        <v>20.759999999999998</v>
      </c>
      <c r="E233" s="87">
        <f>IF(DAY(A233+2)=1,'Main Budget'!$E$29,IF(DAY(A233+2)=15,'Main Budget'!$E$29,0))</f>
        <v>0</v>
      </c>
      <c r="F233" s="87">
        <f t="shared" si="16"/>
        <v>0</v>
      </c>
      <c r="G233" s="72">
        <f>IF(DAY(A233)='Main Budget'!$K$7,('Main Budget'!$E$7),0)</f>
        <v>0</v>
      </c>
      <c r="H233" s="72">
        <f>IF(DAY(A233)='Main Budget'!$K$8,('Main Budget'!$E$8)*2,0)</f>
        <v>0</v>
      </c>
      <c r="I233" s="72"/>
      <c r="J233" s="72"/>
      <c r="K233" s="73">
        <f>K232+SUM(E233:J233)-IF(E233&gt;0,-'Main Budget'!$I$9,0)</f>
        <v>170.37499999999892</v>
      </c>
      <c r="L233" s="73">
        <f>D233+IF(E233&gt;0,-'Main Budget'!$I$9,0)</f>
        <v>20.759999999999998</v>
      </c>
      <c r="M233" s="73">
        <f t="shared" si="17"/>
        <v>191.13499999999891</v>
      </c>
    </row>
    <row r="234" spans="1:13" x14ac:dyDescent="0.3">
      <c r="A234" s="70">
        <v>46253</v>
      </c>
      <c r="B234" s="71">
        <f t="shared" si="13"/>
        <v>191.13499999999891</v>
      </c>
      <c r="C234" s="71">
        <f t="shared" si="14"/>
        <v>170.37499999999892</v>
      </c>
      <c r="D234" s="71">
        <f t="shared" si="15"/>
        <v>20.759999999999998</v>
      </c>
      <c r="E234" s="87">
        <f>IF(DAY(A234+2)=1,'Main Budget'!$E$29,IF(DAY(A234+2)=15,'Main Budget'!$E$29,0))</f>
        <v>0</v>
      </c>
      <c r="F234" s="87">
        <f t="shared" si="16"/>
        <v>0</v>
      </c>
      <c r="G234" s="72">
        <f>IF(DAY(A234)='Main Budget'!$K$7,('Main Budget'!$E$7),0)</f>
        <v>0</v>
      </c>
      <c r="H234" s="72">
        <f>IF(DAY(A234)='Main Budget'!$K$8,('Main Budget'!$E$8)*2,0)</f>
        <v>0</v>
      </c>
      <c r="I234" s="72"/>
      <c r="J234" s="72"/>
      <c r="K234" s="73">
        <f>K233+SUM(E234:J234)-IF(E234&gt;0,-'Main Budget'!$I$9,0)</f>
        <v>170.37499999999892</v>
      </c>
      <c r="L234" s="73">
        <f>D234+IF(E234&gt;0,-'Main Budget'!$I$9,0)</f>
        <v>20.759999999999998</v>
      </c>
      <c r="M234" s="73">
        <f t="shared" si="17"/>
        <v>191.13499999999891</v>
      </c>
    </row>
    <row r="235" spans="1:13" x14ac:dyDescent="0.3">
      <c r="A235" s="70">
        <v>46254</v>
      </c>
      <c r="B235" s="71">
        <f t="shared" si="13"/>
        <v>191.13499999999891</v>
      </c>
      <c r="C235" s="71">
        <f t="shared" si="14"/>
        <v>170.37499999999892</v>
      </c>
      <c r="D235" s="71">
        <f t="shared" si="15"/>
        <v>20.759999999999998</v>
      </c>
      <c r="E235" s="87">
        <f>IF(DAY(A235+2)=1,'Main Budget'!$E$29,IF(DAY(A235+2)=15,'Main Budget'!$E$29,0))</f>
        <v>0</v>
      </c>
      <c r="F235" s="87">
        <f t="shared" si="16"/>
        <v>0</v>
      </c>
      <c r="G235" s="72">
        <f>IF(DAY(A235)='Main Budget'!$K$7,('Main Budget'!$E$7),0)</f>
        <v>0</v>
      </c>
      <c r="H235" s="72">
        <f>IF(DAY(A235)='Main Budget'!$K$8,('Main Budget'!$E$8)*2,0)</f>
        <v>0</v>
      </c>
      <c r="I235" s="72"/>
      <c r="J235" s="72"/>
      <c r="K235" s="73">
        <f>K234+SUM(E235:J235)-IF(E235&gt;0,-'Main Budget'!$I$9,0)</f>
        <v>170.37499999999892</v>
      </c>
      <c r="L235" s="73">
        <f>D235+IF(E235&gt;0,-'Main Budget'!$I$9,0)</f>
        <v>20.759999999999998</v>
      </c>
      <c r="M235" s="73">
        <f t="shared" si="17"/>
        <v>191.13499999999891</v>
      </c>
    </row>
    <row r="236" spans="1:13" x14ac:dyDescent="0.3">
      <c r="A236" s="70">
        <v>46255</v>
      </c>
      <c r="B236" s="71">
        <f t="shared" si="13"/>
        <v>191.13499999999891</v>
      </c>
      <c r="C236" s="71">
        <f t="shared" si="14"/>
        <v>170.37499999999892</v>
      </c>
      <c r="D236" s="71">
        <f t="shared" si="15"/>
        <v>20.759999999999998</v>
      </c>
      <c r="E236" s="87">
        <f>IF(DAY(A236+2)=1,'Main Budget'!$E$29,IF(DAY(A236+2)=15,'Main Budget'!$E$29,0))</f>
        <v>0</v>
      </c>
      <c r="F236" s="87">
        <f t="shared" si="16"/>
        <v>0</v>
      </c>
      <c r="G236" s="72">
        <f>IF(DAY(A236)='Main Budget'!$K$7,('Main Budget'!$E$7),0)</f>
        <v>0</v>
      </c>
      <c r="H236" s="72">
        <f>IF(DAY(A236)='Main Budget'!$K$8,('Main Budget'!$E$8)*2,0)</f>
        <v>0</v>
      </c>
      <c r="I236" s="72"/>
      <c r="J236" s="72"/>
      <c r="K236" s="73">
        <f>K235+SUM(E236:J236)-IF(E236&gt;0,-'Main Budget'!$I$9,0)</f>
        <v>170.37499999999892</v>
      </c>
      <c r="L236" s="73">
        <f>D236+IF(E236&gt;0,-'Main Budget'!$I$9,0)</f>
        <v>20.759999999999998</v>
      </c>
      <c r="M236" s="73">
        <f t="shared" si="17"/>
        <v>191.13499999999891</v>
      </c>
    </row>
    <row r="237" spans="1:13" x14ac:dyDescent="0.3">
      <c r="A237" s="70">
        <v>46256</v>
      </c>
      <c r="B237" s="71">
        <f t="shared" si="13"/>
        <v>191.13499999999891</v>
      </c>
      <c r="C237" s="71">
        <f t="shared" si="14"/>
        <v>170.37499999999892</v>
      </c>
      <c r="D237" s="71">
        <f t="shared" si="15"/>
        <v>20.759999999999998</v>
      </c>
      <c r="E237" s="87">
        <f>IF(DAY(A237+2)=1,'Main Budget'!$E$29,IF(DAY(A237+2)=15,'Main Budget'!$E$29,0))</f>
        <v>0</v>
      </c>
      <c r="F237" s="87">
        <f t="shared" si="16"/>
        <v>0</v>
      </c>
      <c r="G237" s="72">
        <f>IF(DAY(A237)='Main Budget'!$K$7,('Main Budget'!$E$7),0)</f>
        <v>0</v>
      </c>
      <c r="H237" s="72">
        <f>IF(DAY(A237)='Main Budget'!$K$8,('Main Budget'!$E$8)*2,0)</f>
        <v>0</v>
      </c>
      <c r="I237" s="72"/>
      <c r="J237" s="72"/>
      <c r="K237" s="73">
        <f>K236+SUM(E237:J237)-IF(E237&gt;0,-'Main Budget'!$I$9,0)</f>
        <v>170.37499999999892</v>
      </c>
      <c r="L237" s="73">
        <f>D237+IF(E237&gt;0,-'Main Budget'!$I$9,0)</f>
        <v>20.759999999999998</v>
      </c>
      <c r="M237" s="73">
        <f t="shared" si="17"/>
        <v>191.13499999999891</v>
      </c>
    </row>
    <row r="238" spans="1:13" x14ac:dyDescent="0.3">
      <c r="A238" s="70">
        <v>46257</v>
      </c>
      <c r="B238" s="71">
        <f t="shared" si="13"/>
        <v>191.13499999999891</v>
      </c>
      <c r="C238" s="71">
        <f t="shared" si="14"/>
        <v>170.37499999999892</v>
      </c>
      <c r="D238" s="71">
        <f t="shared" si="15"/>
        <v>20.759999999999998</v>
      </c>
      <c r="E238" s="87">
        <f>IF(DAY(A238+2)=1,'Main Budget'!$E$29,IF(DAY(A238+2)=15,'Main Budget'!$E$29,0))</f>
        <v>0</v>
      </c>
      <c r="F238" s="87">
        <f t="shared" si="16"/>
        <v>0</v>
      </c>
      <c r="G238" s="72">
        <f>IF(DAY(A238)='Main Budget'!$K$7,('Main Budget'!$E$7),0)</f>
        <v>0</v>
      </c>
      <c r="H238" s="72">
        <f>IF(DAY(A238)='Main Budget'!$K$8,('Main Budget'!$E$8)*2,0)</f>
        <v>0</v>
      </c>
      <c r="I238" s="72"/>
      <c r="J238" s="72"/>
      <c r="K238" s="73">
        <f>K237+SUM(E238:J238)-IF(E238&gt;0,-'Main Budget'!$I$9,0)</f>
        <v>170.37499999999892</v>
      </c>
      <c r="L238" s="73">
        <f>D238+IF(E238&gt;0,-'Main Budget'!$I$9,0)</f>
        <v>20.759999999999998</v>
      </c>
      <c r="M238" s="73">
        <f t="shared" si="17"/>
        <v>191.13499999999891</v>
      </c>
    </row>
    <row r="239" spans="1:13" x14ac:dyDescent="0.3">
      <c r="A239" s="70">
        <v>46258</v>
      </c>
      <c r="B239" s="71">
        <f t="shared" si="13"/>
        <v>191.13499999999891</v>
      </c>
      <c r="C239" s="71">
        <f t="shared" si="14"/>
        <v>170.37499999999892</v>
      </c>
      <c r="D239" s="71">
        <f t="shared" si="15"/>
        <v>20.759999999999998</v>
      </c>
      <c r="E239" s="87">
        <f>IF(DAY(A239+2)=1,'Main Budget'!$E$29,IF(DAY(A239+2)=15,'Main Budget'!$E$29,0))</f>
        <v>0</v>
      </c>
      <c r="F239" s="87">
        <f t="shared" si="16"/>
        <v>0</v>
      </c>
      <c r="G239" s="72">
        <f>IF(DAY(A239)='Main Budget'!$K$7,('Main Budget'!$E$7),0)</f>
        <v>0</v>
      </c>
      <c r="H239" s="72">
        <f>IF(DAY(A239)='Main Budget'!$K$8,('Main Budget'!$E$8)*2,0)</f>
        <v>0</v>
      </c>
      <c r="I239" s="72"/>
      <c r="J239" s="72"/>
      <c r="K239" s="73">
        <f>K238+SUM(E239:J239)-IF(E239&gt;0,-'Main Budget'!$I$9,0)</f>
        <v>170.37499999999892</v>
      </c>
      <c r="L239" s="73">
        <f>D239+IF(E239&gt;0,-'Main Budget'!$I$9,0)</f>
        <v>20.759999999999998</v>
      </c>
      <c r="M239" s="73">
        <f t="shared" si="17"/>
        <v>191.13499999999891</v>
      </c>
    </row>
    <row r="240" spans="1:13" x14ac:dyDescent="0.3">
      <c r="A240" s="70">
        <v>46259</v>
      </c>
      <c r="B240" s="71">
        <f t="shared" si="13"/>
        <v>191.13499999999891</v>
      </c>
      <c r="C240" s="71">
        <f t="shared" si="14"/>
        <v>170.37499999999892</v>
      </c>
      <c r="D240" s="71">
        <f t="shared" si="15"/>
        <v>20.759999999999998</v>
      </c>
      <c r="E240" s="87">
        <f>IF(DAY(A240+2)=1,'Main Budget'!$E$29,IF(DAY(A240+2)=15,'Main Budget'!$E$29,0))</f>
        <v>0</v>
      </c>
      <c r="F240" s="87">
        <f t="shared" si="16"/>
        <v>0</v>
      </c>
      <c r="G240" s="72">
        <f>IF(DAY(A240)='Main Budget'!$K$7,('Main Budget'!$E$7),0)</f>
        <v>0</v>
      </c>
      <c r="H240" s="72">
        <f>IF(DAY(A240)='Main Budget'!$K$8,('Main Budget'!$E$8)*2,0)</f>
        <v>0</v>
      </c>
      <c r="I240" s="72"/>
      <c r="J240" s="72"/>
      <c r="K240" s="73">
        <f>K239+SUM(E240:J240)-IF(E240&gt;0,-'Main Budget'!$I$9,0)</f>
        <v>170.37499999999892</v>
      </c>
      <c r="L240" s="73">
        <f>D240+IF(E240&gt;0,-'Main Budget'!$I$9,0)</f>
        <v>20.759999999999998</v>
      </c>
      <c r="M240" s="73">
        <f t="shared" si="17"/>
        <v>191.13499999999891</v>
      </c>
    </row>
    <row r="241" spans="1:13" x14ac:dyDescent="0.3">
      <c r="A241" s="70">
        <v>46260</v>
      </c>
      <c r="B241" s="71">
        <f t="shared" si="13"/>
        <v>191.13499999999891</v>
      </c>
      <c r="C241" s="71">
        <f t="shared" si="14"/>
        <v>170.37499999999892</v>
      </c>
      <c r="D241" s="71">
        <f t="shared" si="15"/>
        <v>20.759999999999998</v>
      </c>
      <c r="E241" s="87">
        <f>IF(DAY(A241+2)=1,'Main Budget'!$E$29,IF(DAY(A241+2)=15,'Main Budget'!$E$29,0))</f>
        <v>0</v>
      </c>
      <c r="F241" s="87">
        <f t="shared" si="16"/>
        <v>0</v>
      </c>
      <c r="G241" s="72">
        <f>IF(DAY(A241)='Main Budget'!$K$7,('Main Budget'!$E$7),0)</f>
        <v>0</v>
      </c>
      <c r="H241" s="72">
        <f>IF(DAY(A241)='Main Budget'!$K$8,('Main Budget'!$E$8)*2,0)</f>
        <v>0</v>
      </c>
      <c r="I241" s="72"/>
      <c r="J241" s="72"/>
      <c r="K241" s="73">
        <f>K240+SUM(E241:J241)-IF(E241&gt;0,-'Main Budget'!$I$9,0)</f>
        <v>170.37499999999892</v>
      </c>
      <c r="L241" s="73">
        <f>D241+IF(E241&gt;0,-'Main Budget'!$I$9,0)</f>
        <v>20.759999999999998</v>
      </c>
      <c r="M241" s="73">
        <f t="shared" si="17"/>
        <v>191.13499999999891</v>
      </c>
    </row>
    <row r="242" spans="1:13" x14ac:dyDescent="0.3">
      <c r="A242" s="70">
        <v>46261</v>
      </c>
      <c r="B242" s="71">
        <f t="shared" si="13"/>
        <v>191.13499999999891</v>
      </c>
      <c r="C242" s="71">
        <f t="shared" si="14"/>
        <v>170.37499999999892</v>
      </c>
      <c r="D242" s="71">
        <f t="shared" si="15"/>
        <v>20.759999999999998</v>
      </c>
      <c r="E242" s="87">
        <f>IF(DAY(A242+2)=1,'Main Budget'!$E$29,IF(DAY(A242+2)=15,'Main Budget'!$E$29,0))</f>
        <v>0</v>
      </c>
      <c r="F242" s="87">
        <f t="shared" si="16"/>
        <v>0</v>
      </c>
      <c r="G242" s="72">
        <f>IF(DAY(A242)='Main Budget'!$K$7,('Main Budget'!$E$7),0)</f>
        <v>0</v>
      </c>
      <c r="H242" s="72">
        <f>IF(DAY(A242)='Main Budget'!$K$8,('Main Budget'!$E$8)*2,0)</f>
        <v>0</v>
      </c>
      <c r="I242" s="72"/>
      <c r="J242" s="72"/>
      <c r="K242" s="73">
        <f>K241+SUM(E242:J242)-IF(E242&gt;0,-'Main Budget'!$I$9,0)</f>
        <v>170.37499999999892</v>
      </c>
      <c r="L242" s="73">
        <f>D242+IF(E242&gt;0,-'Main Budget'!$I$9,0)</f>
        <v>20.759999999999998</v>
      </c>
      <c r="M242" s="73">
        <f t="shared" si="17"/>
        <v>191.13499999999891</v>
      </c>
    </row>
    <row r="243" spans="1:13" x14ac:dyDescent="0.3">
      <c r="A243" s="70">
        <v>46262</v>
      </c>
      <c r="B243" s="71">
        <f t="shared" si="13"/>
        <v>191.13499999999891</v>
      </c>
      <c r="C243" s="71">
        <f t="shared" si="14"/>
        <v>170.37499999999892</v>
      </c>
      <c r="D243" s="71">
        <f t="shared" si="15"/>
        <v>20.759999999999998</v>
      </c>
      <c r="E243" s="87">
        <f>IF(DAY(A243+2)=1,'Main Budget'!$E$29,IF(DAY(A243+2)=15,'Main Budget'!$E$29,0))</f>
        <v>0</v>
      </c>
      <c r="F243" s="87">
        <f t="shared" si="16"/>
        <v>0</v>
      </c>
      <c r="G243" s="72">
        <f>IF(DAY(A243)='Main Budget'!$K$7,('Main Budget'!$E$7),0)</f>
        <v>0</v>
      </c>
      <c r="H243" s="72">
        <f>IF(DAY(A243)='Main Budget'!$K$8,('Main Budget'!$E$8)*2,0)</f>
        <v>0</v>
      </c>
      <c r="I243" s="72"/>
      <c r="J243" s="72"/>
      <c r="K243" s="73">
        <f>K242+SUM(E243:J243)-IF(E243&gt;0,-'Main Budget'!$I$9,0)</f>
        <v>170.37499999999892</v>
      </c>
      <c r="L243" s="73">
        <f>D243+IF(E243&gt;0,-'Main Budget'!$I$9,0)</f>
        <v>20.759999999999998</v>
      </c>
      <c r="M243" s="73">
        <f t="shared" si="17"/>
        <v>191.13499999999891</v>
      </c>
    </row>
  </sheetData>
  <autoFilter ref="N2:N218"/>
  <mergeCells count="2">
    <mergeCell ref="G1:J1"/>
    <mergeCell ref="E1:F1"/>
  </mergeCells>
  <conditionalFormatting sqref="A2:N2">
    <cfRule type="expression" dxfId="2" priority="3">
      <formula>#REF!=TODAY()+1</formula>
    </cfRule>
  </conditionalFormatting>
  <conditionalFormatting sqref="A3:N217">
    <cfRule type="expression" dxfId="1" priority="2">
      <formula>$A4=TODAY()+1</formula>
    </cfRule>
  </conditionalFormatting>
  <conditionalFormatting sqref="A218:N243">
    <cfRule type="expression" dxfId="0" priority="1">
      <formula>$A219=TODAY()+1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Main Budget</vt:lpstr>
      <vt:lpstr>Mortgage Checking</vt:lpstr>
      <vt:lpstr>HOA Savings</vt:lpstr>
      <vt:lpstr>Bills Checking</vt:lpstr>
      <vt:lpstr>'Main Budget'!Print_Area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 Kemp</dc:creator>
  <cp:lastModifiedBy>Jon Kemp</cp:lastModifiedBy>
  <dcterms:created xsi:type="dcterms:W3CDTF">2026-08-03T12:42:34Z</dcterms:created>
  <dcterms:modified xsi:type="dcterms:W3CDTF">2026-08-05T14:23:53Z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043f10a-881e-4653-a55e-02ca2cc829dc_Enabled">
    <vt:lpwstr>true</vt:lpwstr>
  </property>
  <property fmtid="{D5CDD505-2E9C-101B-9397-08002B2CF9AE}" pid="3" name="MSIP_Label_9043f10a-881e-4653-a55e-02ca2cc829dc_SetDate">
    <vt:lpwstr>2026-08-03T12:54:57Z</vt:lpwstr>
  </property>
  <property fmtid="{D5CDD505-2E9C-101B-9397-08002B2CF9AE}" pid="4" name="MSIP_Label_9043f10a-881e-4653-a55e-02ca2cc829dc_Method">
    <vt:lpwstr>Standard</vt:lpwstr>
  </property>
  <property fmtid="{D5CDD505-2E9C-101B-9397-08002B2CF9AE}" pid="5" name="MSIP_Label_9043f10a-881e-4653-a55e-02ca2cc829dc_Name">
    <vt:lpwstr>ADC_class_200</vt:lpwstr>
  </property>
  <property fmtid="{D5CDD505-2E9C-101B-9397-08002B2CF9AE}" pid="6" name="MSIP_Label_9043f10a-881e-4653-a55e-02ca2cc829dc_SiteId">
    <vt:lpwstr>94cfddbc-0627-494a-ad7a-29aea3aea832</vt:lpwstr>
  </property>
  <property fmtid="{D5CDD505-2E9C-101B-9397-08002B2CF9AE}" pid="7" name="MSIP_Label_9043f10a-881e-4653-a55e-02ca2cc829dc_ActionId">
    <vt:lpwstr>1b52a5f6-ef2c-4a02-9a3a-2e22a4b82c8c</vt:lpwstr>
  </property>
  <property fmtid="{D5CDD505-2E9C-101B-9397-08002B2CF9AE}" pid="8" name="MSIP_Label_9043f10a-881e-4653-a55e-02ca2cc829dc_ContentBits">
    <vt:lpwstr>0</vt:lpwstr>
  </property>
  <property fmtid="{D5CDD505-2E9C-101B-9397-08002B2CF9AE}" pid="9" name="MSIP_Label_9043f10a-881e-4653-a55e-02ca2cc829dc_Tag">
    <vt:lpwstr>10, 3, 0, 1</vt:lpwstr>
  </property>
</Properties>
</file>